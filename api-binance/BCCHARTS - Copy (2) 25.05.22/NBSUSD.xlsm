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4CAA1811-CBB4-4C3B-ADB4-9D65C0811A28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16" i="5"/>
  <c r="C122" i="5"/>
  <c r="C133" i="5" s="1"/>
  <c r="D136" i="5" s="1"/>
  <c r="C116" i="4"/>
  <c r="C118" i="4"/>
  <c r="C122" i="3"/>
  <c r="C133" i="3" s="1"/>
  <c r="D136" i="3" s="1"/>
  <c r="R765" i="1"/>
  <c r="S766" i="1"/>
  <c r="T766" i="1" s="1"/>
  <c r="C118" i="3"/>
  <c r="D136" i="4" l="1"/>
  <c r="C138" i="4" s="1"/>
  <c r="C136" i="5"/>
  <c r="C138" i="5" s="1"/>
  <c r="C136" i="3"/>
  <c r="C138" i="3" s="1"/>
  <c r="R764" i="1"/>
  <c r="S765" i="1"/>
  <c r="T765" i="1" s="1"/>
  <c r="R763" i="1" l="1"/>
  <c r="S764" i="1"/>
  <c r="T764" i="1" s="1"/>
  <c r="S763" i="1" l="1"/>
  <c r="T763" i="1" s="1"/>
  <c r="R762" i="1"/>
  <c r="R761" i="1" l="1"/>
  <c r="S762" i="1"/>
  <c r="T762" i="1" s="1"/>
  <c r="S761" i="1" l="1"/>
  <c r="T761" i="1" s="1"/>
  <c r="R760" i="1"/>
  <c r="S760" i="1" l="1"/>
  <c r="T760" i="1" s="1"/>
  <c r="R759" i="1"/>
  <c r="S759" i="1" l="1"/>
  <c r="T759" i="1" s="1"/>
  <c r="R758" i="1"/>
  <c r="R757" i="1" l="1"/>
  <c r="S758" i="1"/>
  <c r="T758" i="1" s="1"/>
  <c r="R756" i="1" l="1"/>
  <c r="S757" i="1"/>
  <c r="T757" i="1" s="1"/>
  <c r="R755" i="1" l="1"/>
  <c r="S756" i="1"/>
  <c r="T756" i="1" s="1"/>
  <c r="S755" i="1" l="1"/>
  <c r="T755" i="1" s="1"/>
  <c r="R754" i="1"/>
  <c r="S754" i="1" l="1"/>
  <c r="T754" i="1" s="1"/>
  <c r="R753" i="1"/>
  <c r="S753" i="1" l="1"/>
  <c r="T753" i="1" s="1"/>
  <c r="R752" i="1"/>
  <c r="R751" i="1" l="1"/>
  <c r="S752" i="1"/>
  <c r="T752" i="1" s="1"/>
  <c r="R750" i="1" l="1"/>
  <c r="S751" i="1"/>
  <c r="T751" i="1" s="1"/>
  <c r="R749" i="1" l="1"/>
  <c r="S750" i="1"/>
  <c r="T750" i="1" s="1"/>
  <c r="S749" i="1" l="1"/>
  <c r="T749" i="1" s="1"/>
  <c r="R748" i="1"/>
  <c r="S748" i="1" l="1"/>
  <c r="T748" i="1" s="1"/>
  <c r="R747" i="1"/>
  <c r="S747" i="1" l="1"/>
  <c r="T747" i="1" s="1"/>
  <c r="R746" i="1"/>
  <c r="R745" i="1" l="1"/>
  <c r="S746" i="1"/>
  <c r="T746" i="1" s="1"/>
  <c r="R744" i="1" l="1"/>
  <c r="S745" i="1"/>
  <c r="T745" i="1" s="1"/>
  <c r="R743" i="1" l="1"/>
  <c r="S744" i="1"/>
  <c r="T744" i="1" s="1"/>
  <c r="S743" i="1" l="1"/>
  <c r="T743" i="1" s="1"/>
  <c r="R742" i="1"/>
  <c r="S742" i="1" l="1"/>
  <c r="T742" i="1" s="1"/>
  <c r="R741" i="1"/>
  <c r="S741" i="1" l="1"/>
  <c r="T741" i="1" s="1"/>
  <c r="R740" i="1"/>
  <c r="R739" i="1" l="1"/>
  <c r="S740" i="1"/>
  <c r="T740" i="1" s="1"/>
  <c r="R738" i="1" l="1"/>
  <c r="S739" i="1"/>
  <c r="T739" i="1" s="1"/>
  <c r="R737" i="1" l="1"/>
  <c r="S738" i="1"/>
  <c r="T738" i="1" s="1"/>
  <c r="S737" i="1" l="1"/>
  <c r="T737" i="1" s="1"/>
  <c r="R736" i="1"/>
  <c r="R735" i="1" l="1"/>
  <c r="S736" i="1"/>
  <c r="T736" i="1" s="1"/>
  <c r="R734" i="1" l="1"/>
  <c r="S735" i="1"/>
  <c r="T735" i="1" s="1"/>
  <c r="R733" i="1" l="1"/>
  <c r="S734" i="1"/>
  <c r="T734" i="1" s="1"/>
  <c r="S733" i="1" l="1"/>
  <c r="T733" i="1" s="1"/>
  <c r="R732" i="1"/>
  <c r="S732" i="1" l="1"/>
  <c r="T732" i="1" s="1"/>
  <c r="R731" i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S727" i="1" l="1"/>
  <c r="T727" i="1" s="1"/>
  <c r="R726" i="1"/>
  <c r="S726" i="1" l="1"/>
  <c r="T726" i="1" s="1"/>
  <c r="R725" i="1"/>
  <c r="S725" i="1" l="1"/>
  <c r="T725" i="1" s="1"/>
  <c r="R724" i="1"/>
  <c r="S724" i="1" l="1"/>
  <c r="T724" i="1" s="1"/>
  <c r="R723" i="1"/>
  <c r="R722" i="1" l="1"/>
  <c r="S723" i="1"/>
  <c r="T723" i="1" s="1"/>
  <c r="R721" i="1" l="1"/>
  <c r="S722" i="1"/>
  <c r="T722" i="1" s="1"/>
  <c r="R720" i="1" l="1"/>
  <c r="S721" i="1"/>
  <c r="T721" i="1" s="1"/>
  <c r="S720" i="1" l="1"/>
  <c r="T720" i="1" s="1"/>
  <c r="R719" i="1"/>
  <c r="S719" i="1" l="1"/>
  <c r="T719" i="1" s="1"/>
  <c r="R718" i="1"/>
  <c r="S718" i="1" l="1"/>
  <c r="T718" i="1" s="1"/>
  <c r="R717" i="1"/>
  <c r="R716" i="1" l="1"/>
  <c r="S717" i="1"/>
  <c r="T717" i="1" s="1"/>
  <c r="S716" i="1" l="1"/>
  <c r="T716" i="1" s="1"/>
  <c r="R715" i="1"/>
  <c r="R714" i="1" l="1"/>
  <c r="S715" i="1"/>
  <c r="T715" i="1" s="1"/>
  <c r="S714" i="1" l="1"/>
  <c r="T714" i="1" s="1"/>
  <c r="R713" i="1"/>
  <c r="R712" i="1" l="1"/>
  <c r="S713" i="1"/>
  <c r="T713" i="1" s="1"/>
  <c r="S712" i="1" l="1"/>
  <c r="T712" i="1" s="1"/>
  <c r="R711" i="1"/>
  <c r="R710" i="1" l="1"/>
  <c r="S711" i="1"/>
  <c r="T711" i="1" s="1"/>
  <c r="S710" i="1" l="1"/>
  <c r="T710" i="1" s="1"/>
  <c r="R709" i="1"/>
  <c r="R708" i="1" l="1"/>
  <c r="S709" i="1"/>
  <c r="T709" i="1" s="1"/>
  <c r="S708" i="1" l="1"/>
  <c r="T708" i="1" s="1"/>
  <c r="R707" i="1"/>
  <c r="R706" i="1" l="1"/>
  <c r="S707" i="1"/>
  <c r="T707" i="1" s="1"/>
  <c r="S706" i="1" l="1"/>
  <c r="T706" i="1" s="1"/>
  <c r="R705" i="1"/>
  <c r="R704" i="1" l="1"/>
  <c r="S705" i="1"/>
  <c r="T705" i="1" s="1"/>
  <c r="S704" i="1" l="1"/>
  <c r="T704" i="1" s="1"/>
  <c r="R703" i="1"/>
  <c r="R702" i="1" l="1"/>
  <c r="S703" i="1"/>
  <c r="T703" i="1" s="1"/>
  <c r="S702" i="1" l="1"/>
  <c r="T702" i="1" s="1"/>
  <c r="R701" i="1"/>
  <c r="S701" i="1" l="1"/>
  <c r="T701" i="1" s="1"/>
  <c r="R700" i="1"/>
  <c r="S700" i="1" l="1"/>
  <c r="T700" i="1" s="1"/>
  <c r="R699" i="1"/>
  <c r="R698" i="1" l="1"/>
  <c r="S699" i="1"/>
  <c r="T699" i="1" s="1"/>
  <c r="R697" i="1" l="1"/>
  <c r="S698" i="1"/>
  <c r="T698" i="1" s="1"/>
  <c r="R696" i="1" l="1"/>
  <c r="S697" i="1"/>
  <c r="T697" i="1" s="1"/>
  <c r="S696" i="1" l="1"/>
  <c r="T696" i="1" s="1"/>
  <c r="R695" i="1"/>
  <c r="S695" i="1" l="1"/>
  <c r="T695" i="1" s="1"/>
  <c r="R694" i="1"/>
  <c r="S694" i="1" l="1"/>
  <c r="T694" i="1" s="1"/>
  <c r="R693" i="1"/>
  <c r="R692" i="1" l="1"/>
  <c r="S693" i="1"/>
  <c r="T693" i="1" s="1"/>
  <c r="R691" i="1" l="1"/>
  <c r="S692" i="1"/>
  <c r="T692" i="1" s="1"/>
  <c r="R690" i="1" l="1"/>
  <c r="S691" i="1"/>
  <c r="T691" i="1" s="1"/>
  <c r="S690" i="1" l="1"/>
  <c r="T690" i="1" s="1"/>
  <c r="R689" i="1"/>
  <c r="S689" i="1" l="1"/>
  <c r="T689" i="1" s="1"/>
  <c r="R688" i="1"/>
  <c r="S688" i="1" l="1"/>
  <c r="T688" i="1" s="1"/>
  <c r="R687" i="1"/>
  <c r="R686" i="1" l="1"/>
  <c r="S687" i="1"/>
  <c r="T687" i="1" s="1"/>
  <c r="R685" i="1" l="1"/>
  <c r="S686" i="1"/>
  <c r="T686" i="1" s="1"/>
  <c r="R684" i="1" l="1"/>
  <c r="S685" i="1"/>
  <c r="T685" i="1" s="1"/>
  <c r="S684" i="1" l="1"/>
  <c r="T684" i="1" s="1"/>
  <c r="R683" i="1"/>
  <c r="R682" i="1" l="1"/>
  <c r="S683" i="1"/>
  <c r="T683" i="1" s="1"/>
  <c r="R681" i="1" l="1"/>
  <c r="S682" i="1"/>
  <c r="T682" i="1" s="1"/>
  <c r="R680" i="1" l="1"/>
  <c r="S681" i="1"/>
  <c r="T681" i="1" s="1"/>
  <c r="S680" i="1" l="1"/>
  <c r="T680" i="1" s="1"/>
  <c r="R679" i="1"/>
  <c r="S679" i="1" l="1"/>
  <c r="T679" i="1" s="1"/>
  <c r="R678" i="1"/>
  <c r="S678" i="1" l="1"/>
  <c r="T678" i="1" s="1"/>
  <c r="R677" i="1"/>
  <c r="R676" i="1" l="1"/>
  <c r="S677" i="1"/>
  <c r="T677" i="1" s="1"/>
  <c r="R675" i="1" l="1"/>
  <c r="S676" i="1"/>
  <c r="T676" i="1" s="1"/>
  <c r="R674" i="1" l="1"/>
  <c r="S675" i="1"/>
  <c r="T675" i="1" s="1"/>
  <c r="S674" i="1" l="1"/>
  <c r="T674" i="1" s="1"/>
  <c r="R673" i="1"/>
  <c r="S673" i="1" l="1"/>
  <c r="T673" i="1" s="1"/>
  <c r="R672" i="1"/>
  <c r="S672" i="1" l="1"/>
  <c r="T672" i="1" s="1"/>
  <c r="R671" i="1"/>
  <c r="R670" i="1" l="1"/>
  <c r="S671" i="1"/>
  <c r="T671" i="1" s="1"/>
  <c r="R669" i="1" l="1"/>
  <c r="S670" i="1"/>
  <c r="T670" i="1" s="1"/>
  <c r="R668" i="1" l="1"/>
  <c r="S669" i="1"/>
  <c r="T669" i="1" s="1"/>
  <c r="S668" i="1" l="1"/>
  <c r="T668" i="1" s="1"/>
  <c r="R667" i="1"/>
  <c r="S667" i="1" l="1"/>
  <c r="T667" i="1" s="1"/>
  <c r="R666" i="1"/>
  <c r="S666" i="1" l="1"/>
  <c r="T666" i="1" s="1"/>
  <c r="R665" i="1"/>
  <c r="R664" i="1" l="1"/>
  <c r="S665" i="1"/>
  <c r="T665" i="1" s="1"/>
  <c r="R663" i="1" l="1"/>
  <c r="S664" i="1"/>
  <c r="T664" i="1" s="1"/>
  <c r="R662" i="1" l="1"/>
  <c r="S663" i="1"/>
  <c r="T663" i="1" s="1"/>
  <c r="S662" i="1" l="1"/>
  <c r="T662" i="1" s="1"/>
  <c r="R661" i="1"/>
  <c r="S661" i="1" l="1"/>
  <c r="T661" i="1" s="1"/>
  <c r="R660" i="1"/>
  <c r="S660" i="1" l="1"/>
  <c r="T660" i="1" s="1"/>
  <c r="R659" i="1"/>
  <c r="R658" i="1" l="1"/>
  <c r="S659" i="1"/>
  <c r="T659" i="1" s="1"/>
  <c r="R657" i="1" l="1"/>
  <c r="S658" i="1"/>
  <c r="T658" i="1" s="1"/>
  <c r="R656" i="1" l="1"/>
  <c r="S657" i="1"/>
  <c r="T657" i="1" s="1"/>
  <c r="S656" i="1" l="1"/>
  <c r="T656" i="1" s="1"/>
  <c r="R655" i="1"/>
  <c r="S655" i="1" l="1"/>
  <c r="T655" i="1" s="1"/>
  <c r="R654" i="1"/>
  <c r="S654" i="1" l="1"/>
  <c r="T654" i="1" s="1"/>
  <c r="R653" i="1"/>
  <c r="R652" i="1" l="1"/>
  <c r="S653" i="1"/>
  <c r="T653" i="1" s="1"/>
  <c r="R651" i="1" l="1"/>
  <c r="S652" i="1"/>
  <c r="T652" i="1" s="1"/>
  <c r="R650" i="1" l="1"/>
  <c r="S651" i="1"/>
  <c r="T651" i="1" s="1"/>
  <c r="S650" i="1" l="1"/>
  <c r="T650" i="1" s="1"/>
  <c r="R649" i="1"/>
  <c r="S649" i="1" l="1"/>
  <c r="T649" i="1" s="1"/>
  <c r="R648" i="1"/>
  <c r="S648" i="1" l="1"/>
  <c r="T648" i="1" s="1"/>
  <c r="R647" i="1"/>
  <c r="R646" i="1" l="1"/>
  <c r="S647" i="1"/>
  <c r="T647" i="1" s="1"/>
  <c r="R645" i="1" l="1"/>
  <c r="S646" i="1"/>
  <c r="T646" i="1" s="1"/>
  <c r="R644" i="1" l="1"/>
  <c r="S645" i="1"/>
  <c r="T645" i="1" s="1"/>
  <c r="S644" i="1" l="1"/>
  <c r="T644" i="1" s="1"/>
  <c r="R643" i="1"/>
  <c r="S643" i="1" l="1"/>
  <c r="T643" i="1" s="1"/>
  <c r="R642" i="1"/>
  <c r="S642" i="1" l="1"/>
  <c r="T642" i="1" s="1"/>
  <c r="R641" i="1"/>
  <c r="R640" i="1" l="1"/>
  <c r="S641" i="1"/>
  <c r="T641" i="1" s="1"/>
  <c r="R639" i="1" l="1"/>
  <c r="S640" i="1"/>
  <c r="T640" i="1" s="1"/>
  <c r="R638" i="1" l="1"/>
  <c r="S639" i="1"/>
  <c r="T639" i="1" s="1"/>
  <c r="S638" i="1" l="1"/>
  <c r="T638" i="1" s="1"/>
  <c r="R637" i="1"/>
  <c r="S637" i="1" l="1"/>
  <c r="T637" i="1" s="1"/>
  <c r="R636" i="1"/>
  <c r="R635" i="1" l="1"/>
  <c r="S636" i="1"/>
  <c r="T636" i="1" s="1"/>
  <c r="R634" i="1" l="1"/>
  <c r="S635" i="1"/>
  <c r="T635" i="1" s="1"/>
  <c r="R633" i="1" l="1"/>
  <c r="S634" i="1"/>
  <c r="T634" i="1" s="1"/>
  <c r="S633" i="1" l="1"/>
  <c r="T633" i="1" s="1"/>
  <c r="R632" i="1"/>
  <c r="S632" i="1" l="1"/>
  <c r="T632" i="1" s="1"/>
  <c r="R631" i="1"/>
  <c r="S631" i="1" l="1"/>
  <c r="T631" i="1" s="1"/>
  <c r="R630" i="1"/>
  <c r="R629" i="1" l="1"/>
  <c r="S630" i="1"/>
  <c r="T630" i="1" s="1"/>
  <c r="R628" i="1" l="1"/>
  <c r="S629" i="1"/>
  <c r="T629" i="1" s="1"/>
  <c r="S628" i="1" l="1"/>
  <c r="T628" i="1" s="1"/>
  <c r="R627" i="1"/>
  <c r="S627" i="1" l="1"/>
  <c r="T627" i="1" s="1"/>
  <c r="R626" i="1"/>
  <c r="R625" i="1" l="1"/>
  <c r="S626" i="1"/>
  <c r="T626" i="1" s="1"/>
  <c r="R624" i="1" l="1"/>
  <c r="S625" i="1"/>
  <c r="T625" i="1" s="1"/>
  <c r="R623" i="1" l="1"/>
  <c r="S624" i="1"/>
  <c r="T624" i="1" s="1"/>
  <c r="S623" i="1" l="1"/>
  <c r="T623" i="1" s="1"/>
  <c r="R622" i="1"/>
  <c r="S622" i="1" l="1"/>
  <c r="T622" i="1" s="1"/>
  <c r="R621" i="1"/>
  <c r="S621" i="1" l="1"/>
  <c r="T621" i="1" s="1"/>
  <c r="R620" i="1"/>
  <c r="R619" i="1" l="1"/>
  <c r="S620" i="1"/>
  <c r="T620" i="1" s="1"/>
  <c r="R618" i="1" l="1"/>
  <c r="S619" i="1"/>
  <c r="T619" i="1" s="1"/>
  <c r="R617" i="1" l="1"/>
  <c r="S618" i="1"/>
  <c r="T618" i="1" s="1"/>
  <c r="S617" i="1" l="1"/>
  <c r="T617" i="1" s="1"/>
  <c r="R616" i="1"/>
  <c r="S616" i="1" l="1"/>
  <c r="T616" i="1" s="1"/>
  <c r="R615" i="1"/>
  <c r="S615" i="1" l="1"/>
  <c r="T615" i="1" s="1"/>
  <c r="R614" i="1"/>
  <c r="R613" i="1" l="1"/>
  <c r="S614" i="1"/>
  <c r="T614" i="1" s="1"/>
  <c r="R612" i="1" l="1"/>
  <c r="S613" i="1"/>
  <c r="T613" i="1" s="1"/>
  <c r="R611" i="1" l="1"/>
  <c r="S612" i="1"/>
  <c r="T612" i="1" s="1"/>
  <c r="S611" i="1" l="1"/>
  <c r="T611" i="1" s="1"/>
  <c r="R610" i="1"/>
  <c r="S610" i="1" l="1"/>
  <c r="T610" i="1" s="1"/>
  <c r="R609" i="1"/>
  <c r="S609" i="1" l="1"/>
  <c r="T609" i="1" s="1"/>
  <c r="R608" i="1"/>
  <c r="R607" i="1" l="1"/>
  <c r="S608" i="1"/>
  <c r="T608" i="1" s="1"/>
  <c r="R606" i="1" l="1"/>
  <c r="S607" i="1"/>
  <c r="T607" i="1" s="1"/>
  <c r="S606" i="1" l="1"/>
  <c r="T606" i="1" s="1"/>
  <c r="R605" i="1"/>
  <c r="S605" i="1" l="1"/>
  <c r="T605" i="1" s="1"/>
  <c r="R604" i="1"/>
  <c r="S604" i="1" l="1"/>
  <c r="T604" i="1" s="1"/>
  <c r="R603" i="1"/>
  <c r="S603" i="1" l="1"/>
  <c r="T603" i="1" s="1"/>
  <c r="R602" i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S598" i="1" l="1"/>
  <c r="T598" i="1" s="1"/>
  <c r="R597" i="1"/>
  <c r="S597" i="1" l="1"/>
  <c r="T597" i="1" s="1"/>
  <c r="R596" i="1"/>
  <c r="S596" i="1" l="1"/>
  <c r="T596" i="1" s="1"/>
  <c r="R595" i="1"/>
  <c r="R594" i="1" l="1"/>
  <c r="S595" i="1"/>
  <c r="T595" i="1" s="1"/>
  <c r="R593" i="1" l="1"/>
  <c r="S594" i="1"/>
  <c r="T594" i="1" s="1"/>
  <c r="R592" i="1" l="1"/>
  <c r="S593" i="1"/>
  <c r="T593" i="1" s="1"/>
  <c r="S592" i="1" l="1"/>
  <c r="T592" i="1" s="1"/>
  <c r="R591" i="1"/>
  <c r="S591" i="1" l="1"/>
  <c r="T591" i="1" s="1"/>
  <c r="R590" i="1"/>
  <c r="S590" i="1" l="1"/>
  <c r="T590" i="1" s="1"/>
  <c r="R589" i="1"/>
  <c r="R588" i="1" l="1"/>
  <c r="S589" i="1"/>
  <c r="T589" i="1" s="1"/>
  <c r="R587" i="1" l="1"/>
  <c r="S588" i="1"/>
  <c r="T588" i="1" s="1"/>
  <c r="R586" i="1" l="1"/>
  <c r="S587" i="1"/>
  <c r="T587" i="1" s="1"/>
  <c r="S586" i="1" l="1"/>
  <c r="T586" i="1" s="1"/>
  <c r="R585" i="1"/>
  <c r="S585" i="1" l="1"/>
  <c r="T585" i="1" s="1"/>
  <c r="R584" i="1"/>
  <c r="S584" i="1" l="1"/>
  <c r="T584" i="1" s="1"/>
  <c r="R583" i="1"/>
  <c r="R582" i="1" l="1"/>
  <c r="S583" i="1"/>
  <c r="T583" i="1" s="1"/>
  <c r="R581" i="1" l="1"/>
  <c r="S582" i="1"/>
  <c r="T582" i="1" s="1"/>
  <c r="R580" i="1" l="1"/>
  <c r="S581" i="1"/>
  <c r="T581" i="1" s="1"/>
  <c r="S580" i="1" l="1"/>
  <c r="T580" i="1" s="1"/>
  <c r="R579" i="1"/>
  <c r="S579" i="1" l="1"/>
  <c r="T579" i="1" s="1"/>
  <c r="R578" i="1"/>
  <c r="S578" i="1" l="1"/>
  <c r="T578" i="1" s="1"/>
  <c r="R577" i="1"/>
  <c r="R576" i="1" l="1"/>
  <c r="S577" i="1"/>
  <c r="T577" i="1" s="1"/>
  <c r="R575" i="1" l="1"/>
  <c r="S576" i="1"/>
  <c r="T576" i="1" s="1"/>
  <c r="R574" i="1" l="1"/>
  <c r="S575" i="1"/>
  <c r="T575" i="1" s="1"/>
  <c r="S574" i="1" l="1"/>
  <c r="T574" i="1" s="1"/>
  <c r="R573" i="1"/>
  <c r="S573" i="1" l="1"/>
  <c r="T573" i="1" s="1"/>
  <c r="R572" i="1"/>
  <c r="S572" i="1" l="1"/>
  <c r="T572" i="1" s="1"/>
  <c r="R571" i="1"/>
  <c r="R570" i="1" l="1"/>
  <c r="S571" i="1"/>
  <c r="T571" i="1" s="1"/>
  <c r="R569" i="1" l="1"/>
  <c r="S570" i="1"/>
  <c r="T570" i="1" s="1"/>
  <c r="R568" i="1" l="1"/>
  <c r="S569" i="1"/>
  <c r="T569" i="1" s="1"/>
  <c r="S568" i="1" l="1"/>
  <c r="T568" i="1" s="1"/>
  <c r="R567" i="1"/>
  <c r="S567" i="1" l="1"/>
  <c r="T567" i="1" s="1"/>
  <c r="R566" i="1"/>
  <c r="S566" i="1" l="1"/>
  <c r="T566" i="1" s="1"/>
  <c r="R565" i="1"/>
  <c r="R564" i="1" l="1"/>
  <c r="S565" i="1"/>
  <c r="T565" i="1" s="1"/>
  <c r="R563" i="1" l="1"/>
  <c r="S564" i="1"/>
  <c r="T564" i="1" s="1"/>
  <c r="R562" i="1" l="1"/>
  <c r="S563" i="1"/>
  <c r="T563" i="1" s="1"/>
  <c r="S562" i="1" l="1"/>
  <c r="T562" i="1" s="1"/>
  <c r="R561" i="1"/>
  <c r="S561" i="1" l="1"/>
  <c r="T561" i="1" s="1"/>
  <c r="R560" i="1"/>
  <c r="S560" i="1" l="1"/>
  <c r="T560" i="1" s="1"/>
  <c r="R559" i="1"/>
  <c r="R558" i="1" l="1"/>
  <c r="S559" i="1"/>
  <c r="T559" i="1" s="1"/>
  <c r="S558" i="1" l="1"/>
  <c r="T558" i="1" s="1"/>
  <c r="R557" i="1"/>
  <c r="R556" i="1" l="1"/>
  <c r="S557" i="1"/>
  <c r="T557" i="1" s="1"/>
  <c r="S556" i="1" l="1"/>
  <c r="T556" i="1" s="1"/>
  <c r="R555" i="1"/>
  <c r="R554" i="1" l="1"/>
  <c r="S555" i="1"/>
  <c r="T555" i="1" s="1"/>
  <c r="S554" i="1" l="1"/>
  <c r="T554" i="1" s="1"/>
  <c r="R553" i="1"/>
  <c r="R552" i="1" l="1"/>
  <c r="S553" i="1"/>
  <c r="T553" i="1" s="1"/>
  <c r="R551" i="1" l="1"/>
  <c r="S552" i="1"/>
  <c r="T552" i="1" s="1"/>
  <c r="R550" i="1" l="1"/>
  <c r="S551" i="1"/>
  <c r="T551" i="1" s="1"/>
  <c r="S550" i="1" l="1"/>
  <c r="T550" i="1" s="1"/>
  <c r="R549" i="1"/>
  <c r="S549" i="1" l="1"/>
  <c r="T549" i="1" s="1"/>
  <c r="R548" i="1"/>
  <c r="R547" i="1" l="1"/>
  <c r="S548" i="1"/>
  <c r="T548" i="1" s="1"/>
  <c r="R546" i="1" l="1"/>
  <c r="S547" i="1"/>
  <c r="T547" i="1" s="1"/>
  <c r="R545" i="1" l="1"/>
  <c r="S546" i="1"/>
  <c r="T546" i="1" s="1"/>
  <c r="S545" i="1" l="1"/>
  <c r="T545" i="1" s="1"/>
  <c r="R544" i="1"/>
  <c r="S544" i="1" l="1"/>
  <c r="T544" i="1" s="1"/>
  <c r="R543" i="1"/>
  <c r="S543" i="1" l="1"/>
  <c r="T543" i="1" s="1"/>
  <c r="R542" i="1"/>
  <c r="R541" i="1" l="1"/>
  <c r="S542" i="1"/>
  <c r="T542" i="1" s="1"/>
  <c r="R540" i="1" l="1"/>
  <c r="S541" i="1"/>
  <c r="T541" i="1" s="1"/>
  <c r="R539" i="1" l="1"/>
  <c r="S540" i="1"/>
  <c r="T540" i="1" s="1"/>
  <c r="S539" i="1" l="1"/>
  <c r="T539" i="1" s="1"/>
  <c r="R538" i="1"/>
  <c r="R537" i="1" l="1"/>
  <c r="S538" i="1"/>
  <c r="T538" i="1" s="1"/>
  <c r="S537" i="1" l="1"/>
  <c r="T537" i="1" s="1"/>
  <c r="R536" i="1"/>
  <c r="R535" i="1" l="1"/>
  <c r="S536" i="1"/>
  <c r="T536" i="1" s="1"/>
  <c r="S535" i="1" l="1"/>
  <c r="T535" i="1" s="1"/>
  <c r="R534" i="1"/>
  <c r="R533" i="1" l="1"/>
  <c r="S534" i="1"/>
  <c r="T534" i="1" s="1"/>
  <c r="S533" i="1" l="1"/>
  <c r="T533" i="1" s="1"/>
  <c r="R532" i="1"/>
  <c r="R531" i="1" l="1"/>
  <c r="S532" i="1"/>
  <c r="T532" i="1" s="1"/>
  <c r="S531" i="1" l="1"/>
  <c r="T531" i="1" s="1"/>
  <c r="R530" i="1"/>
  <c r="R529" i="1" l="1"/>
  <c r="S530" i="1"/>
  <c r="T530" i="1" s="1"/>
  <c r="S529" i="1" l="1"/>
  <c r="T529" i="1" s="1"/>
  <c r="R528" i="1"/>
  <c r="R527" i="1" l="1"/>
  <c r="S528" i="1"/>
  <c r="T528" i="1" s="1"/>
  <c r="S527" i="1" l="1"/>
  <c r="T527" i="1" s="1"/>
  <c r="R526" i="1"/>
  <c r="R525" i="1" l="1"/>
  <c r="S526" i="1"/>
  <c r="T526" i="1" s="1"/>
  <c r="S525" i="1" l="1"/>
  <c r="T525" i="1" s="1"/>
  <c r="R524" i="1"/>
  <c r="R523" i="1" l="1"/>
  <c r="S524" i="1"/>
  <c r="T524" i="1" s="1"/>
  <c r="S523" i="1" l="1"/>
  <c r="T523" i="1" s="1"/>
  <c r="R522" i="1"/>
  <c r="R521" i="1" l="1"/>
  <c r="S522" i="1"/>
  <c r="T522" i="1" s="1"/>
  <c r="S521" i="1" l="1"/>
  <c r="T521" i="1" s="1"/>
  <c r="R520" i="1"/>
  <c r="R519" i="1" l="1"/>
  <c r="S520" i="1"/>
  <c r="T520" i="1" s="1"/>
  <c r="S519" i="1" l="1"/>
  <c r="T519" i="1" s="1"/>
  <c r="R518" i="1"/>
  <c r="S518" i="1" l="1"/>
  <c r="T518" i="1" s="1"/>
  <c r="R517" i="1"/>
  <c r="S517" i="1" l="1"/>
  <c r="T517" i="1" s="1"/>
  <c r="R516" i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S510" i="1" l="1"/>
  <c r="T510" i="1" s="1"/>
  <c r="R509" i="1"/>
  <c r="R508" i="1" l="1"/>
  <c r="S509" i="1"/>
  <c r="T509" i="1" s="1"/>
  <c r="R507" i="1" l="1"/>
  <c r="S508" i="1"/>
  <c r="T508" i="1" s="1"/>
  <c r="R506" i="1" l="1"/>
  <c r="S507" i="1"/>
  <c r="T507" i="1" s="1"/>
  <c r="S506" i="1" l="1"/>
  <c r="T506" i="1" s="1"/>
  <c r="R505" i="1"/>
  <c r="S505" i="1" l="1"/>
  <c r="T505" i="1" s="1"/>
  <c r="R504" i="1"/>
  <c r="S504" i="1" l="1"/>
  <c r="T504" i="1" s="1"/>
  <c r="R503" i="1"/>
  <c r="R502" i="1" l="1"/>
  <c r="S503" i="1"/>
  <c r="T503" i="1" s="1"/>
  <c r="R501" i="1" l="1"/>
  <c r="S502" i="1"/>
  <c r="T502" i="1" s="1"/>
  <c r="R500" i="1" l="1"/>
  <c r="S501" i="1"/>
  <c r="T501" i="1" s="1"/>
  <c r="S500" i="1" l="1"/>
  <c r="T500" i="1" s="1"/>
  <c r="R499" i="1"/>
  <c r="S499" i="1" l="1"/>
  <c r="T499" i="1" s="1"/>
  <c r="R498" i="1"/>
  <c r="S498" i="1" l="1"/>
  <c r="T498" i="1" s="1"/>
  <c r="R497" i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S493" i="1" l="1"/>
  <c r="T493" i="1" s="1"/>
  <c r="R492" i="1"/>
  <c r="S492" i="1" l="1"/>
  <c r="T492" i="1" s="1"/>
  <c r="R491" i="1"/>
  <c r="S491" i="1" l="1"/>
  <c r="T491" i="1" s="1"/>
  <c r="R490" i="1"/>
  <c r="R489" i="1" l="1"/>
  <c r="S490" i="1"/>
  <c r="T490" i="1" s="1"/>
  <c r="R488" i="1" l="1"/>
  <c r="S489" i="1"/>
  <c r="T489" i="1" s="1"/>
  <c r="R487" i="1" l="1"/>
  <c r="S488" i="1"/>
  <c r="T488" i="1" s="1"/>
  <c r="S487" i="1" l="1"/>
  <c r="T487" i="1" s="1"/>
  <c r="R486" i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S482" i="1" l="1"/>
  <c r="T482" i="1" s="1"/>
  <c r="R481" i="1"/>
  <c r="S481" i="1" l="1"/>
  <c r="T481" i="1" s="1"/>
  <c r="R480" i="1"/>
  <c r="S480" i="1" l="1"/>
  <c r="T480" i="1" s="1"/>
  <c r="R479" i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S475" i="1" l="1"/>
  <c r="T475" i="1" s="1"/>
  <c r="R474" i="1"/>
  <c r="S474" i="1" l="1"/>
  <c r="T474" i="1" s="1"/>
  <c r="R473" i="1"/>
  <c r="S473" i="1" l="1"/>
  <c r="T473" i="1" s="1"/>
  <c r="R472" i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S466" i="1" l="1"/>
  <c r="T466" i="1" s="1"/>
  <c r="R465" i="1"/>
  <c r="S465" i="1" l="1"/>
  <c r="T465" i="1" s="1"/>
  <c r="R464" i="1"/>
  <c r="S464" i="1" l="1"/>
  <c r="T464" i="1" s="1"/>
  <c r="R463" i="1"/>
  <c r="R462" i="1" l="1"/>
  <c r="S463" i="1"/>
  <c r="T463" i="1" s="1"/>
  <c r="R461" i="1" l="1"/>
  <c r="S462" i="1"/>
  <c r="T462" i="1" s="1"/>
  <c r="R460" i="1" l="1"/>
  <c r="S461" i="1"/>
  <c r="T461" i="1" s="1"/>
  <c r="S460" i="1" l="1"/>
  <c r="T460" i="1" s="1"/>
  <c r="R459" i="1"/>
  <c r="S459" i="1" l="1"/>
  <c r="T459" i="1" s="1"/>
  <c r="R458" i="1"/>
  <c r="S458" i="1" l="1"/>
  <c r="T458" i="1" s="1"/>
  <c r="R457" i="1"/>
  <c r="R456" i="1" l="1"/>
  <c r="S457" i="1"/>
  <c r="T457" i="1" s="1"/>
  <c r="R455" i="1" l="1"/>
  <c r="S456" i="1"/>
  <c r="T456" i="1" s="1"/>
  <c r="S455" i="1" l="1"/>
  <c r="T455" i="1" s="1"/>
  <c r="R454" i="1"/>
  <c r="S454" i="1" l="1"/>
  <c r="T454" i="1" s="1"/>
  <c r="R453" i="1"/>
  <c r="S453" i="1" l="1"/>
  <c r="T453" i="1" s="1"/>
  <c r="R452" i="1"/>
  <c r="R451" i="1" l="1"/>
  <c r="S452" i="1"/>
  <c r="T452" i="1" s="1"/>
  <c r="S451" i="1" l="1"/>
  <c r="T451" i="1" s="1"/>
  <c r="R450" i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S446" i="1" l="1"/>
  <c r="T446" i="1" s="1"/>
  <c r="R445" i="1"/>
  <c r="S445" i="1" l="1"/>
  <c r="T445" i="1" s="1"/>
  <c r="R444" i="1"/>
  <c r="R443" i="1" l="1"/>
  <c r="S444" i="1"/>
  <c r="T444" i="1" s="1"/>
  <c r="R442" i="1" l="1"/>
  <c r="S443" i="1"/>
  <c r="T443" i="1" s="1"/>
  <c r="R441" i="1" l="1"/>
  <c r="S442" i="1"/>
  <c r="T442" i="1" s="1"/>
  <c r="S441" i="1" l="1"/>
  <c r="T441" i="1" s="1"/>
  <c r="R440" i="1"/>
  <c r="S440" i="1" l="1"/>
  <c r="T440" i="1" s="1"/>
  <c r="R439" i="1"/>
  <c r="S439" i="1" l="1"/>
  <c r="T439" i="1" s="1"/>
  <c r="R438" i="1"/>
  <c r="R437" i="1" l="1"/>
  <c r="S438" i="1"/>
  <c r="T438" i="1" s="1"/>
  <c r="R436" i="1" l="1"/>
  <c r="S437" i="1"/>
  <c r="T437" i="1" s="1"/>
  <c r="S436" i="1" l="1"/>
  <c r="T436" i="1" s="1"/>
  <c r="R435" i="1"/>
  <c r="S435" i="1" l="1"/>
  <c r="T435" i="1" s="1"/>
  <c r="R434" i="1"/>
  <c r="S434" i="1" l="1"/>
  <c r="T434" i="1" s="1"/>
  <c r="R433" i="1"/>
  <c r="R432" i="1" l="1"/>
  <c r="S433" i="1"/>
  <c r="T433" i="1" s="1"/>
  <c r="R431" i="1" l="1"/>
  <c r="S432" i="1"/>
  <c r="T432" i="1" s="1"/>
  <c r="R430" i="1" l="1"/>
  <c r="S431" i="1"/>
  <c r="T431" i="1" s="1"/>
  <c r="S430" i="1" l="1"/>
  <c r="T430" i="1" s="1"/>
  <c r="R429" i="1"/>
  <c r="S429" i="1" l="1"/>
  <c r="T429" i="1" s="1"/>
  <c r="R428" i="1"/>
  <c r="S428" i="1" l="1"/>
  <c r="T428" i="1" s="1"/>
  <c r="R427" i="1"/>
  <c r="R426" i="1" l="1"/>
  <c r="S427" i="1"/>
  <c r="T427" i="1" s="1"/>
  <c r="S426" i="1" l="1"/>
  <c r="T426" i="1" s="1"/>
  <c r="R425" i="1"/>
  <c r="R424" i="1" l="1"/>
  <c r="S425" i="1"/>
  <c r="T425" i="1" s="1"/>
  <c r="S424" i="1" l="1"/>
  <c r="T424" i="1" s="1"/>
  <c r="R423" i="1"/>
  <c r="R422" i="1" l="1"/>
  <c r="S423" i="1"/>
  <c r="T423" i="1" s="1"/>
  <c r="S422" i="1" l="1"/>
  <c r="T422" i="1" s="1"/>
  <c r="R421" i="1"/>
  <c r="R420" i="1" l="1"/>
  <c r="S421" i="1"/>
  <c r="T421" i="1" s="1"/>
  <c r="S420" i="1" l="1"/>
  <c r="T420" i="1" s="1"/>
  <c r="R419" i="1"/>
  <c r="S419" i="1" l="1"/>
  <c r="T419" i="1" s="1"/>
  <c r="R418" i="1"/>
  <c r="S418" i="1" l="1"/>
  <c r="T418" i="1" s="1"/>
  <c r="R417" i="1"/>
  <c r="R416" i="1" l="1"/>
  <c r="S417" i="1"/>
  <c r="T417" i="1" s="1"/>
  <c r="R415" i="1" l="1"/>
  <c r="S416" i="1"/>
  <c r="T416" i="1" s="1"/>
  <c r="R414" i="1" l="1"/>
  <c r="S415" i="1"/>
  <c r="T415" i="1" s="1"/>
  <c r="S414" i="1" l="1"/>
  <c r="T414" i="1" s="1"/>
  <c r="R413" i="1"/>
  <c r="R412" i="1" l="1"/>
  <c r="S413" i="1"/>
  <c r="T413" i="1" s="1"/>
  <c r="S412" i="1" l="1"/>
  <c r="T412" i="1" s="1"/>
  <c r="R411" i="1"/>
  <c r="R410" i="1" l="1"/>
  <c r="S411" i="1"/>
  <c r="T411" i="1" s="1"/>
  <c r="S410" i="1" l="1"/>
  <c r="T410" i="1" s="1"/>
  <c r="R409" i="1"/>
  <c r="R408" i="1" l="1"/>
  <c r="S409" i="1"/>
  <c r="T409" i="1" s="1"/>
  <c r="S408" i="1" l="1"/>
  <c r="T408" i="1" s="1"/>
  <c r="R407" i="1"/>
  <c r="S407" i="1" l="1"/>
  <c r="T407" i="1" s="1"/>
  <c r="R406" i="1"/>
  <c r="S406" i="1" l="1"/>
  <c r="T406" i="1" s="1"/>
  <c r="R405" i="1"/>
  <c r="R404" i="1" l="1"/>
  <c r="S405" i="1"/>
  <c r="T405" i="1" s="1"/>
  <c r="R403" i="1" l="1"/>
  <c r="S404" i="1"/>
  <c r="T404" i="1" s="1"/>
  <c r="R402" i="1" l="1"/>
  <c r="S403" i="1"/>
  <c r="T403" i="1" s="1"/>
  <c r="S402" i="1" l="1"/>
  <c r="T402" i="1" s="1"/>
  <c r="R401" i="1"/>
  <c r="S401" i="1" l="1"/>
  <c r="T401" i="1" s="1"/>
  <c r="R400" i="1"/>
  <c r="S400" i="1" l="1"/>
  <c r="T400" i="1" s="1"/>
  <c r="R399" i="1"/>
  <c r="S399" i="1" l="1"/>
  <c r="T399" i="1" s="1"/>
  <c r="R398" i="1"/>
  <c r="R397" i="1" l="1"/>
  <c r="S398" i="1"/>
  <c r="T398" i="1" s="1"/>
  <c r="R396" i="1" l="1"/>
  <c r="S397" i="1"/>
  <c r="T397" i="1" s="1"/>
  <c r="R395" i="1" l="1"/>
  <c r="S396" i="1"/>
  <c r="T396" i="1" s="1"/>
  <c r="S395" i="1" l="1"/>
  <c r="T395" i="1" s="1"/>
  <c r="R394" i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R389" i="1" l="1"/>
  <c r="S390" i="1"/>
  <c r="T390" i="1" s="1"/>
  <c r="S389" i="1" l="1"/>
  <c r="T389" i="1" s="1"/>
  <c r="R388" i="1"/>
  <c r="S388" i="1" l="1"/>
  <c r="T388" i="1" s="1"/>
  <c r="R387" i="1"/>
  <c r="S387" i="1" l="1"/>
  <c r="T387" i="1" s="1"/>
  <c r="R386" i="1"/>
  <c r="R385" i="1" l="1"/>
  <c r="S386" i="1"/>
  <c r="T386" i="1" s="1"/>
  <c r="S385" i="1" l="1"/>
  <c r="T385" i="1" s="1"/>
  <c r="R384" i="1"/>
  <c r="R383" i="1" l="1"/>
  <c r="S384" i="1"/>
  <c r="T384" i="1" s="1"/>
  <c r="S383" i="1" l="1"/>
  <c r="T383" i="1" s="1"/>
  <c r="R382" i="1"/>
  <c r="R381" i="1" l="1"/>
  <c r="S382" i="1"/>
  <c r="T382" i="1" s="1"/>
  <c r="S381" i="1" l="1"/>
  <c r="T381" i="1" s="1"/>
  <c r="R380" i="1"/>
  <c r="R379" i="1" l="1"/>
  <c r="S380" i="1"/>
  <c r="T380" i="1" s="1"/>
  <c r="S379" i="1" l="1"/>
  <c r="T379" i="1" s="1"/>
  <c r="R378" i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S374" i="1" l="1"/>
  <c r="T374" i="1" s="1"/>
  <c r="R373" i="1"/>
  <c r="S373" i="1" l="1"/>
  <c r="T373" i="1" s="1"/>
  <c r="R372" i="1"/>
  <c r="S372" i="1" l="1"/>
  <c r="T372" i="1" s="1"/>
  <c r="R371" i="1"/>
  <c r="S371" i="1" l="1"/>
  <c r="T371" i="1" s="1"/>
  <c r="R370" i="1"/>
  <c r="S370" i="1" l="1"/>
  <c r="T370" i="1" s="1"/>
  <c r="R369" i="1"/>
  <c r="S369" i="1" l="1"/>
  <c r="T369" i="1" s="1"/>
  <c r="R368" i="1"/>
  <c r="R367" i="1" l="1"/>
  <c r="S368" i="1"/>
  <c r="T368" i="1" s="1"/>
  <c r="R366" i="1" l="1"/>
  <c r="S367" i="1"/>
  <c r="T367" i="1" s="1"/>
  <c r="R365" i="1" l="1"/>
  <c r="S366" i="1"/>
  <c r="T366" i="1" s="1"/>
  <c r="S365" i="1" l="1"/>
  <c r="T365" i="1" s="1"/>
  <c r="R364" i="1"/>
  <c r="S364" i="1" l="1"/>
  <c r="T364" i="1" s="1"/>
  <c r="R363" i="1"/>
  <c r="S363" i="1" l="1"/>
  <c r="T363" i="1" s="1"/>
  <c r="R362" i="1"/>
  <c r="R361" i="1" l="1"/>
  <c r="S362" i="1"/>
  <c r="T362" i="1" s="1"/>
  <c r="R360" i="1" l="1"/>
  <c r="S361" i="1"/>
  <c r="T361" i="1" s="1"/>
  <c r="S360" i="1" l="1"/>
  <c r="T360" i="1" s="1"/>
  <c r="R359" i="1"/>
  <c r="S359" i="1" l="1"/>
  <c r="T359" i="1" s="1"/>
  <c r="R358" i="1"/>
  <c r="S358" i="1" l="1"/>
  <c r="T358" i="1" s="1"/>
  <c r="R357" i="1"/>
  <c r="R356" i="1" l="1"/>
  <c r="S357" i="1"/>
  <c r="T357" i="1" s="1"/>
  <c r="R355" i="1" l="1"/>
  <c r="S356" i="1"/>
  <c r="T356" i="1" s="1"/>
  <c r="R354" i="1" l="1"/>
  <c r="S355" i="1"/>
  <c r="T355" i="1" s="1"/>
  <c r="S354" i="1" l="1"/>
  <c r="T354" i="1" s="1"/>
  <c r="R353" i="1"/>
  <c r="S353" i="1" l="1"/>
  <c r="T353" i="1" s="1"/>
  <c r="R352" i="1"/>
  <c r="S352" i="1" l="1"/>
  <c r="T352" i="1" s="1"/>
  <c r="R351" i="1"/>
  <c r="S351" i="1" l="1"/>
  <c r="T351" i="1" s="1"/>
  <c r="R350" i="1"/>
  <c r="S350" i="1" l="1"/>
  <c r="T350" i="1" s="1"/>
  <c r="R349" i="1"/>
  <c r="R348" i="1" l="1"/>
  <c r="S349" i="1"/>
  <c r="T349" i="1" s="1"/>
  <c r="R347" i="1" l="1"/>
  <c r="S348" i="1"/>
  <c r="T348" i="1" s="1"/>
  <c r="R346" i="1" l="1"/>
  <c r="S347" i="1"/>
  <c r="T347" i="1" s="1"/>
  <c r="S346" i="1" l="1"/>
  <c r="T346" i="1" s="1"/>
  <c r="R345" i="1"/>
  <c r="S345" i="1" l="1"/>
  <c r="T345" i="1" s="1"/>
  <c r="R344" i="1"/>
  <c r="S344" i="1" l="1"/>
  <c r="T344" i="1" s="1"/>
  <c r="R343" i="1"/>
  <c r="R342" i="1" l="1"/>
  <c r="S343" i="1"/>
  <c r="T343" i="1" s="1"/>
  <c r="S342" i="1" l="1"/>
  <c r="T342" i="1" s="1"/>
  <c r="R341" i="1"/>
  <c r="R340" i="1" l="1"/>
  <c r="S341" i="1"/>
  <c r="T341" i="1" s="1"/>
  <c r="S340" i="1" l="1"/>
  <c r="T340" i="1" s="1"/>
  <c r="R339" i="1"/>
  <c r="R338" i="1" l="1"/>
  <c r="S339" i="1"/>
  <c r="T339" i="1" s="1"/>
  <c r="R337" i="1" l="1"/>
  <c r="S338" i="1"/>
  <c r="T338" i="1" s="1"/>
  <c r="R336" i="1" l="1"/>
  <c r="S337" i="1"/>
  <c r="T337" i="1" s="1"/>
  <c r="S336" i="1" l="1"/>
  <c r="T336" i="1" s="1"/>
  <c r="R335" i="1"/>
  <c r="S335" i="1" l="1"/>
  <c r="T335" i="1" s="1"/>
  <c r="R334" i="1"/>
  <c r="S334" i="1" l="1"/>
  <c r="T334" i="1" s="1"/>
  <c r="R333" i="1"/>
  <c r="S333" i="1" l="1"/>
  <c r="T333" i="1" s="1"/>
  <c r="R332" i="1"/>
  <c r="R331" i="1" l="1"/>
  <c r="S332" i="1"/>
  <c r="T332" i="1" s="1"/>
  <c r="R330" i="1" l="1"/>
  <c r="S331" i="1"/>
  <c r="T331" i="1" s="1"/>
  <c r="S330" i="1" l="1"/>
  <c r="T330" i="1" s="1"/>
  <c r="R329" i="1"/>
  <c r="S329" i="1" l="1"/>
  <c r="T329" i="1" s="1"/>
  <c r="R328" i="1"/>
  <c r="R327" i="1" l="1"/>
  <c r="S328" i="1"/>
  <c r="T328" i="1" s="1"/>
  <c r="R326" i="1" l="1"/>
  <c r="S327" i="1"/>
  <c r="T327" i="1" s="1"/>
  <c r="S326" i="1" l="1"/>
  <c r="T326" i="1" s="1"/>
  <c r="R325" i="1"/>
  <c r="S325" i="1" l="1"/>
  <c r="T325" i="1" s="1"/>
  <c r="R324" i="1"/>
  <c r="S324" i="1" l="1"/>
  <c r="T324" i="1" s="1"/>
  <c r="R323" i="1"/>
  <c r="S323" i="1" l="1"/>
  <c r="T323" i="1" s="1"/>
  <c r="R322" i="1"/>
  <c r="S322" i="1" l="1"/>
  <c r="T322" i="1" s="1"/>
  <c r="R321" i="1"/>
  <c r="R320" i="1" l="1"/>
  <c r="S321" i="1"/>
  <c r="T321" i="1" s="1"/>
  <c r="S320" i="1" l="1"/>
  <c r="T320" i="1" s="1"/>
  <c r="R319" i="1"/>
  <c r="S319" i="1" l="1"/>
  <c r="T319" i="1" s="1"/>
  <c r="R318" i="1"/>
  <c r="S318" i="1" l="1"/>
  <c r="T318" i="1" s="1"/>
  <c r="R317" i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S313" i="1" l="1"/>
  <c r="T313" i="1" s="1"/>
  <c r="R312" i="1"/>
  <c r="S312" i="1" l="1"/>
  <c r="T312" i="1" s="1"/>
  <c r="R311" i="1"/>
  <c r="S311" i="1" l="1"/>
  <c r="T311" i="1" s="1"/>
  <c r="R310" i="1"/>
  <c r="S310" i="1" l="1"/>
  <c r="T310" i="1" s="1"/>
  <c r="R309" i="1"/>
  <c r="S309" i="1" l="1"/>
  <c r="T309" i="1" s="1"/>
  <c r="R308" i="1"/>
  <c r="R307" i="1" l="1"/>
  <c r="S308" i="1"/>
  <c r="T308" i="1" s="1"/>
  <c r="R306" i="1" l="1"/>
  <c r="S307" i="1"/>
  <c r="T307" i="1" s="1"/>
  <c r="R305" i="1" l="1"/>
  <c r="S306" i="1"/>
  <c r="T306" i="1" s="1"/>
  <c r="S305" i="1" l="1"/>
  <c r="T305" i="1" s="1"/>
  <c r="R304" i="1"/>
  <c r="S304" i="1" l="1"/>
  <c r="T304" i="1" s="1"/>
  <c r="R303" i="1"/>
  <c r="S303" i="1" l="1"/>
  <c r="T303" i="1" s="1"/>
  <c r="R302" i="1"/>
  <c r="R301" i="1" l="1"/>
  <c r="S302" i="1"/>
  <c r="T302" i="1" s="1"/>
  <c r="R300" i="1" l="1"/>
  <c r="S301" i="1"/>
  <c r="T301" i="1" s="1"/>
  <c r="R299" i="1" l="1"/>
  <c r="S300" i="1"/>
  <c r="T300" i="1" s="1"/>
  <c r="S299" i="1" l="1"/>
  <c r="T299" i="1" s="1"/>
  <c r="R298" i="1"/>
  <c r="S298" i="1" l="1"/>
  <c r="T298" i="1" s="1"/>
  <c r="R297" i="1"/>
  <c r="S297" i="1" l="1"/>
  <c r="T297" i="1" s="1"/>
  <c r="R296" i="1"/>
  <c r="R295" i="1" l="1"/>
  <c r="S296" i="1"/>
  <c r="T296" i="1" s="1"/>
  <c r="S295" i="1" l="1"/>
  <c r="T295" i="1" s="1"/>
  <c r="R294" i="1"/>
  <c r="R293" i="1" l="1"/>
  <c r="S294" i="1"/>
  <c r="T294" i="1" s="1"/>
  <c r="S293" i="1" l="1"/>
  <c r="T293" i="1" s="1"/>
  <c r="R292" i="1"/>
  <c r="R291" i="1" l="1"/>
  <c r="S292" i="1"/>
  <c r="T292" i="1" s="1"/>
  <c r="S291" i="1" l="1"/>
  <c r="T291" i="1" s="1"/>
  <c r="R290" i="1"/>
  <c r="R289" i="1" l="1"/>
  <c r="S290" i="1"/>
  <c r="T290" i="1" s="1"/>
  <c r="S289" i="1" l="1"/>
  <c r="T289" i="1" s="1"/>
  <c r="R288" i="1"/>
  <c r="S288" i="1" l="1"/>
  <c r="T288" i="1" s="1"/>
  <c r="R287" i="1"/>
  <c r="S287" i="1" l="1"/>
  <c r="T287" i="1" s="1"/>
  <c r="R286" i="1"/>
  <c r="S286" i="1" l="1"/>
  <c r="T286" i="1" s="1"/>
  <c r="R285" i="1"/>
  <c r="R284" i="1" l="1"/>
  <c r="S285" i="1"/>
  <c r="T285" i="1" s="1"/>
  <c r="R283" i="1" l="1"/>
  <c r="S284" i="1"/>
  <c r="T284" i="1" s="1"/>
  <c r="R282" i="1" l="1"/>
  <c r="S283" i="1"/>
  <c r="T283" i="1" s="1"/>
  <c r="S282" i="1" l="1"/>
  <c r="T282" i="1" s="1"/>
  <c r="R281" i="1"/>
  <c r="S281" i="1" l="1"/>
  <c r="T281" i="1" s="1"/>
  <c r="R280" i="1"/>
  <c r="S280" i="1" l="1"/>
  <c r="T280" i="1" s="1"/>
  <c r="R279" i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S274" i="1" l="1"/>
  <c r="T274" i="1" s="1"/>
  <c r="R273" i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S269" i="1" l="1"/>
  <c r="T269" i="1" s="1"/>
  <c r="R268" i="1"/>
  <c r="S268" i="1" l="1"/>
  <c r="T268" i="1" s="1"/>
  <c r="R267" i="1"/>
  <c r="R266" i="1" l="1"/>
  <c r="S267" i="1"/>
  <c r="T267" i="1" s="1"/>
  <c r="R265" i="1" l="1"/>
  <c r="S266" i="1"/>
  <c r="T266" i="1" s="1"/>
  <c r="S265" i="1" l="1"/>
  <c r="T265" i="1" s="1"/>
  <c r="R264" i="1"/>
  <c r="S264" i="1" l="1"/>
  <c r="T264" i="1" s="1"/>
  <c r="R263" i="1"/>
  <c r="S263" i="1" l="1"/>
  <c r="T263" i="1" s="1"/>
  <c r="R262" i="1"/>
  <c r="R261" i="1" l="1"/>
  <c r="S262" i="1"/>
  <c r="T262" i="1" s="1"/>
  <c r="R260" i="1" l="1"/>
  <c r="S261" i="1"/>
  <c r="T261" i="1" s="1"/>
  <c r="S260" i="1" l="1"/>
  <c r="T260" i="1" s="1"/>
  <c r="R259" i="1"/>
  <c r="S259" i="1" l="1"/>
  <c r="T259" i="1" s="1"/>
  <c r="R258" i="1"/>
  <c r="S258" i="1" l="1"/>
  <c r="T258" i="1" s="1"/>
  <c r="R257" i="1"/>
  <c r="R256" i="1" l="1"/>
  <c r="S257" i="1"/>
  <c r="T257" i="1" s="1"/>
  <c r="R255" i="1" l="1"/>
  <c r="S256" i="1"/>
  <c r="T256" i="1" s="1"/>
  <c r="R254" i="1" l="1"/>
  <c r="S255" i="1"/>
  <c r="T255" i="1" s="1"/>
  <c r="S254" i="1" l="1"/>
  <c r="T254" i="1" s="1"/>
  <c r="R253" i="1"/>
  <c r="S253" i="1" l="1"/>
  <c r="T253" i="1" s="1"/>
  <c r="R252" i="1"/>
  <c r="S252" i="1" l="1"/>
  <c r="T252" i="1" s="1"/>
  <c r="R251" i="1"/>
  <c r="R250" i="1" l="1"/>
  <c r="S251" i="1"/>
  <c r="T251" i="1" s="1"/>
  <c r="R249" i="1" l="1"/>
  <c r="S250" i="1"/>
  <c r="T250" i="1" s="1"/>
  <c r="R248" i="1" l="1"/>
  <c r="S249" i="1"/>
  <c r="T249" i="1" s="1"/>
  <c r="S248" i="1" l="1"/>
  <c r="T248" i="1" s="1"/>
  <c r="R247" i="1"/>
  <c r="S247" i="1" l="1"/>
  <c r="T247" i="1" s="1"/>
  <c r="R246" i="1"/>
  <c r="S246" i="1" l="1"/>
  <c r="T246" i="1" s="1"/>
  <c r="R245" i="1"/>
  <c r="R244" i="1" l="1"/>
  <c r="S245" i="1"/>
  <c r="T245" i="1" s="1"/>
  <c r="S244" i="1" l="1"/>
  <c r="T244" i="1" s="1"/>
  <c r="R243" i="1"/>
  <c r="R242" i="1" l="1"/>
  <c r="S243" i="1"/>
  <c r="T243" i="1" s="1"/>
  <c r="R241" i="1" l="1"/>
  <c r="S242" i="1"/>
  <c r="T242" i="1" s="1"/>
  <c r="R240" i="1" l="1"/>
  <c r="S241" i="1"/>
  <c r="T241" i="1" s="1"/>
  <c r="S240" i="1" l="1"/>
  <c r="T240" i="1" s="1"/>
  <c r="R239" i="1"/>
  <c r="S239" i="1" l="1"/>
  <c r="T239" i="1" s="1"/>
  <c r="R238" i="1"/>
  <c r="S238" i="1" l="1"/>
  <c r="T238" i="1" s="1"/>
  <c r="R237" i="1"/>
  <c r="R236" i="1" l="1"/>
  <c r="S237" i="1"/>
  <c r="T237" i="1" s="1"/>
  <c r="S236" i="1" l="1"/>
  <c r="T236" i="1" s="1"/>
  <c r="R235" i="1"/>
  <c r="S235" i="1" l="1"/>
  <c r="T235" i="1" s="1"/>
  <c r="R234" i="1"/>
  <c r="S234" i="1" l="1"/>
  <c r="T234" i="1" s="1"/>
  <c r="R233" i="1"/>
  <c r="S233" i="1" l="1"/>
  <c r="T233" i="1" s="1"/>
  <c r="R232" i="1"/>
  <c r="S232" i="1" l="1"/>
  <c r="T232" i="1" s="1"/>
  <c r="R231" i="1"/>
  <c r="R230" i="1" l="1"/>
  <c r="S231" i="1"/>
  <c r="T231" i="1" s="1"/>
  <c r="S230" i="1" l="1"/>
  <c r="T230" i="1" s="1"/>
  <c r="R229" i="1"/>
  <c r="S229" i="1" l="1"/>
  <c r="T229" i="1" s="1"/>
  <c r="R228" i="1"/>
  <c r="R227" i="1" l="1"/>
  <c r="S228" i="1"/>
  <c r="T228" i="1" s="1"/>
  <c r="R226" i="1" l="1"/>
  <c r="S227" i="1"/>
  <c r="T227" i="1" s="1"/>
  <c r="S226" i="1" l="1"/>
  <c r="T226" i="1" s="1"/>
  <c r="R225" i="1"/>
  <c r="S225" i="1" l="1"/>
  <c r="T225" i="1" s="1"/>
  <c r="R224" i="1"/>
  <c r="S224" i="1" l="1"/>
  <c r="T224" i="1" s="1"/>
  <c r="R223" i="1"/>
  <c r="R222" i="1" l="1"/>
  <c r="S223" i="1"/>
  <c r="T223" i="1" s="1"/>
  <c r="R221" i="1" l="1"/>
  <c r="S222" i="1"/>
  <c r="T222" i="1" s="1"/>
  <c r="R220" i="1" l="1"/>
  <c r="S221" i="1"/>
  <c r="T221" i="1" s="1"/>
  <c r="S220" i="1" l="1"/>
  <c r="T220" i="1" s="1"/>
  <c r="R219" i="1"/>
  <c r="R218" i="1" l="1"/>
  <c r="S219" i="1"/>
  <c r="T219" i="1" s="1"/>
  <c r="S218" i="1" l="1"/>
  <c r="T218" i="1" s="1"/>
  <c r="R217" i="1"/>
  <c r="R216" i="1" l="1"/>
  <c r="S217" i="1"/>
  <c r="T217" i="1" s="1"/>
  <c r="S216" i="1" l="1"/>
  <c r="T216" i="1" s="1"/>
  <c r="R215" i="1"/>
  <c r="S215" i="1" l="1"/>
  <c r="T215" i="1" s="1"/>
  <c r="R214" i="1"/>
  <c r="S214" i="1" l="1"/>
  <c r="T214" i="1" s="1"/>
  <c r="R213" i="1"/>
  <c r="R212" i="1" l="1"/>
  <c r="S213" i="1"/>
  <c r="T213" i="1" s="1"/>
  <c r="R211" i="1" l="1"/>
  <c r="S212" i="1"/>
  <c r="T212" i="1" s="1"/>
  <c r="S211" i="1" l="1"/>
  <c r="T211" i="1" s="1"/>
  <c r="R210" i="1"/>
  <c r="S210" i="1" l="1"/>
  <c r="T210" i="1" s="1"/>
  <c r="R209" i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S205" i="1" l="1"/>
  <c r="T205" i="1" s="1"/>
  <c r="R204" i="1"/>
  <c r="S204" i="1" l="1"/>
  <c r="T204" i="1" s="1"/>
  <c r="R203" i="1"/>
  <c r="R202" i="1" l="1"/>
  <c r="S203" i="1"/>
  <c r="T203" i="1" s="1"/>
  <c r="R201" i="1" l="1"/>
  <c r="S202" i="1"/>
  <c r="T202" i="1" s="1"/>
  <c r="R200" i="1" l="1"/>
  <c r="S201" i="1"/>
  <c r="T201" i="1" s="1"/>
  <c r="S200" i="1" l="1"/>
  <c r="T200" i="1" s="1"/>
  <c r="R199" i="1"/>
  <c r="S199" i="1" l="1"/>
  <c r="T199" i="1" s="1"/>
  <c r="R198" i="1"/>
  <c r="S198" i="1" l="1"/>
  <c r="T198" i="1" s="1"/>
  <c r="R197" i="1"/>
  <c r="R196" i="1" l="1"/>
  <c r="S197" i="1"/>
  <c r="T197" i="1" s="1"/>
  <c r="R195" i="1" l="1"/>
  <c r="S196" i="1"/>
  <c r="T196" i="1" s="1"/>
  <c r="R194" i="1" l="1"/>
  <c r="S195" i="1"/>
  <c r="T195" i="1" s="1"/>
  <c r="S194" i="1" l="1"/>
  <c r="T194" i="1" s="1"/>
  <c r="R193" i="1"/>
  <c r="S193" i="1" l="1"/>
  <c r="T193" i="1" s="1"/>
  <c r="R192" i="1"/>
  <c r="S192" i="1" l="1"/>
  <c r="T192" i="1" s="1"/>
  <c r="R191" i="1"/>
  <c r="S191" i="1" l="1"/>
  <c r="T191" i="1" s="1"/>
  <c r="R190" i="1"/>
  <c r="R189" i="1" l="1"/>
  <c r="S190" i="1"/>
  <c r="T190" i="1" s="1"/>
  <c r="S189" i="1" l="1"/>
  <c r="T189" i="1" s="1"/>
  <c r="R188" i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S182" i="1" l="1"/>
  <c r="T182" i="1" s="1"/>
  <c r="R181" i="1"/>
  <c r="S181" i="1" l="1"/>
  <c r="T181" i="1" s="1"/>
  <c r="R180" i="1"/>
  <c r="R179" i="1" l="1"/>
  <c r="S180" i="1"/>
  <c r="T180" i="1" s="1"/>
  <c r="S179" i="1" l="1"/>
  <c r="T179" i="1" s="1"/>
  <c r="R178" i="1"/>
  <c r="R177" i="1" l="1"/>
  <c r="S178" i="1"/>
  <c r="T178" i="1" s="1"/>
  <c r="S177" i="1" l="1"/>
  <c r="T177" i="1" s="1"/>
  <c r="R176" i="1"/>
  <c r="R175" i="1" l="1"/>
  <c r="S176" i="1"/>
  <c r="T176" i="1" s="1"/>
  <c r="S175" i="1" l="1"/>
  <c r="T175" i="1" s="1"/>
  <c r="R174" i="1"/>
  <c r="S174" i="1" l="1"/>
  <c r="T174" i="1" s="1"/>
  <c r="R173" i="1"/>
  <c r="R172" i="1" l="1"/>
  <c r="S173" i="1"/>
  <c r="T173" i="1" s="1"/>
  <c r="S172" i="1" l="1"/>
  <c r="T172" i="1" s="1"/>
  <c r="R171" i="1"/>
  <c r="R170" i="1" l="1"/>
  <c r="S171" i="1"/>
  <c r="T171" i="1" s="1"/>
  <c r="S170" i="1" l="1"/>
  <c r="T170" i="1" s="1"/>
  <c r="R169" i="1"/>
  <c r="R168" i="1" l="1"/>
  <c r="S169" i="1"/>
  <c r="T169" i="1" s="1"/>
  <c r="S168" i="1" l="1"/>
  <c r="T168" i="1" s="1"/>
  <c r="R167" i="1"/>
  <c r="R166" i="1" l="1"/>
  <c r="S167" i="1"/>
  <c r="T167" i="1" s="1"/>
  <c r="S166" i="1" l="1"/>
  <c r="T166" i="1" s="1"/>
  <c r="R165" i="1"/>
  <c r="R164" i="1" l="1"/>
  <c r="S165" i="1"/>
  <c r="T165" i="1" s="1"/>
  <c r="S164" i="1" l="1"/>
  <c r="T164" i="1" s="1"/>
  <c r="R163" i="1"/>
  <c r="R162" i="1" l="1"/>
  <c r="S163" i="1"/>
  <c r="T163" i="1" s="1"/>
  <c r="S162" i="1" l="1"/>
  <c r="T162" i="1" s="1"/>
  <c r="R161" i="1"/>
  <c r="R160" i="1" l="1"/>
  <c r="S161" i="1"/>
  <c r="T161" i="1" s="1"/>
  <c r="S160" i="1" l="1"/>
  <c r="T160" i="1" s="1"/>
  <c r="R159" i="1"/>
  <c r="R158" i="1" l="1"/>
  <c r="S159" i="1"/>
  <c r="T159" i="1" s="1"/>
  <c r="S158" i="1" l="1"/>
  <c r="T158" i="1" s="1"/>
  <c r="R157" i="1"/>
  <c r="R156" i="1" l="1"/>
  <c r="S157" i="1"/>
  <c r="T157" i="1" s="1"/>
  <c r="S156" i="1" l="1"/>
  <c r="T156" i="1" s="1"/>
  <c r="R155" i="1"/>
  <c r="S155" i="1" l="1"/>
  <c r="T155" i="1" s="1"/>
  <c r="R154" i="1"/>
  <c r="S154" i="1" l="1"/>
  <c r="T154" i="1" s="1"/>
  <c r="R153" i="1"/>
  <c r="R152" i="1" l="1"/>
  <c r="S153" i="1"/>
  <c r="T153" i="1" s="1"/>
  <c r="R151" i="1" l="1"/>
  <c r="S152" i="1"/>
  <c r="T152" i="1" s="1"/>
  <c r="R150" i="1" l="1"/>
  <c r="S151" i="1"/>
  <c r="T151" i="1" s="1"/>
  <c r="S150" i="1" l="1"/>
  <c r="T150" i="1" s="1"/>
  <c r="R149" i="1"/>
  <c r="S149" i="1" l="1"/>
  <c r="T149" i="1" s="1"/>
  <c r="R148" i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S138" i="1" l="1"/>
  <c r="T138" i="1" s="1"/>
  <c r="R137" i="1"/>
  <c r="S137" i="1" l="1"/>
  <c r="T137" i="1" s="1"/>
  <c r="R136" i="1"/>
  <c r="S136" i="1" l="1"/>
  <c r="T136" i="1" s="1"/>
  <c r="R135" i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S130" i="1" l="1"/>
  <c r="T130" i="1" s="1"/>
  <c r="R129" i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S125" i="1" l="1"/>
  <c r="T125" i="1" s="1"/>
  <c r="R124" i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S118" i="1" l="1"/>
  <c r="T118" i="1" s="1"/>
  <c r="R117" i="1"/>
  <c r="R116" i="1" l="1"/>
  <c r="S117" i="1"/>
  <c r="T117" i="1" s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S112" i="1" l="1"/>
  <c r="T112" i="1" s="1"/>
  <c r="R111" i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S106" i="1" l="1"/>
  <c r="T106" i="1" s="1"/>
  <c r="R105" i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R100" i="1" l="1"/>
  <c r="S101" i="1"/>
  <c r="T101" i="1" s="1"/>
  <c r="R99" i="1" l="1"/>
  <c r="S100" i="1"/>
  <c r="T100" i="1" s="1"/>
  <c r="S99" i="1" l="1"/>
  <c r="T99" i="1" s="1"/>
  <c r="R98" i="1"/>
  <c r="S98" i="1" l="1"/>
  <c r="T98" i="1" s="1"/>
  <c r="R97" i="1"/>
  <c r="S97" i="1" l="1"/>
  <c r="T97" i="1" s="1"/>
  <c r="R96" i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S90" i="1" l="1"/>
  <c r="T90" i="1" s="1"/>
  <c r="R89" i="1"/>
  <c r="S89" i="1" l="1"/>
  <c r="T89" i="1" s="1"/>
  <c r="R88" i="1"/>
  <c r="S88" i="1" l="1"/>
  <c r="T88" i="1" s="1"/>
  <c r="R87" i="1"/>
  <c r="S87" i="1" l="1"/>
  <c r="T87" i="1" s="1"/>
  <c r="R86" i="1"/>
  <c r="R85" i="1" l="1"/>
  <c r="S86" i="1"/>
  <c r="T86" i="1" s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S79" i="1" l="1"/>
  <c r="T79" i="1" s="1"/>
  <c r="R78" i="1"/>
  <c r="R77" i="1" l="1"/>
  <c r="S78" i="1"/>
  <c r="T78" i="1" s="1"/>
  <c r="S77" i="1" l="1"/>
  <c r="T77" i="1" s="1"/>
  <c r="R76" i="1"/>
  <c r="R75" i="1" l="1"/>
  <c r="S76" i="1"/>
  <c r="T76" i="1" s="1"/>
  <c r="S75" i="1" l="1"/>
  <c r="T75" i="1" s="1"/>
  <c r="R74" i="1"/>
  <c r="R73" i="1" l="1"/>
  <c r="S74" i="1"/>
  <c r="T74" i="1" s="1"/>
  <c r="S73" i="1" l="1"/>
  <c r="T73" i="1" s="1"/>
  <c r="R72" i="1"/>
  <c r="S72" i="1" l="1"/>
  <c r="T72" i="1" s="1"/>
  <c r="R71" i="1"/>
  <c r="S71" i="1" l="1"/>
  <c r="T71" i="1" s="1"/>
  <c r="R70" i="1"/>
  <c r="S70" i="1" l="1"/>
  <c r="T70" i="1" s="1"/>
  <c r="R69" i="1"/>
  <c r="R68" i="1" l="1"/>
  <c r="S69" i="1"/>
  <c r="T69" i="1" s="1"/>
  <c r="S68" i="1" l="1"/>
  <c r="T68" i="1" s="1"/>
  <c r="R67" i="1"/>
  <c r="R66" i="1" l="1"/>
  <c r="S67" i="1"/>
  <c r="T67" i="1" s="1"/>
  <c r="S66" i="1" l="1"/>
  <c r="T66" i="1" s="1"/>
  <c r="R65" i="1"/>
  <c r="R64" i="1" l="1"/>
  <c r="S65" i="1"/>
  <c r="T65" i="1" s="1"/>
  <c r="R63" i="1" l="1"/>
  <c r="S64" i="1"/>
  <c r="T64" i="1" s="1"/>
  <c r="S63" i="1" l="1"/>
  <c r="T63" i="1" s="1"/>
  <c r="R62" i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S58" i="1" l="1"/>
  <c r="T58" i="1" s="1"/>
  <c r="R57" i="1"/>
  <c r="R56" i="1" l="1"/>
  <c r="S57" i="1"/>
  <c r="T57" i="1" s="1"/>
  <c r="S56" i="1" l="1"/>
  <c r="T56" i="1" s="1"/>
  <c r="R55" i="1"/>
  <c r="R54" i="1" l="1"/>
  <c r="S55" i="1"/>
  <c r="T55" i="1" s="1"/>
  <c r="S54" i="1" l="1"/>
  <c r="T54" i="1" s="1"/>
  <c r="R53" i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S49" i="1" l="1"/>
  <c r="T49" i="1" s="1"/>
  <c r="R48" i="1"/>
  <c r="R47" i="1" l="1"/>
  <c r="S48" i="1"/>
  <c r="T48" i="1" s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S40" i="1" l="1"/>
  <c r="T40" i="1" s="1"/>
  <c r="R39" i="1"/>
  <c r="S39" i="1" l="1"/>
  <c r="T39" i="1" s="1"/>
  <c r="R38" i="1"/>
  <c r="R37" i="1" l="1"/>
  <c r="S38" i="1"/>
  <c r="T38" i="1" s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R32" i="1" l="1"/>
  <c r="S33" i="1"/>
  <c r="T33" i="1" s="1"/>
  <c r="S32" i="1" l="1"/>
  <c r="T32" i="1" s="1"/>
  <c r="R31" i="1"/>
  <c r="R30" i="1" l="1"/>
  <c r="S31" i="1"/>
  <c r="T31" i="1" s="1"/>
  <c r="S30" i="1" l="1"/>
  <c r="T30" i="1" s="1"/>
  <c r="R29" i="1"/>
  <c r="R28" i="1" l="1"/>
  <c r="S29" i="1"/>
  <c r="T29" i="1" s="1"/>
  <c r="R27" i="1" l="1"/>
  <c r="S28" i="1"/>
  <c r="T28" i="1" s="1"/>
  <c r="R26" i="1" l="1"/>
  <c r="S27" i="1"/>
  <c r="T27" i="1" s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<sst xmlns="http://schemas.openxmlformats.org/spreadsheetml/2006/main" count="6829" uniqueCount="34">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</sst>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1.112E-2</c:v>
                </c:pt>
                <c:pt idx="1">
                  <c:v>1.14E-2</c:v>
                </c:pt>
                <c:pt idx="2">
                  <c:v>1.128E-2</c:v>
                </c:pt>
                <c:pt idx="3">
                  <c:v>1.1429999999999999E-2</c:v>
                </c:pt>
                <c:pt idx="4">
                  <c:v>1.251E-2</c:v>
                </c:pt>
                <c:pt idx="5">
                  <c:v>1.2019999999999999E-2</c:v>
                </c:pt>
                <c:pt idx="6">
                  <c:v>1.214E-2</c:v>
                </c:pt>
                <c:pt idx="7">
                  <c:v>1.4E-2</c:v>
                </c:pt>
                <c:pt idx="8">
                  <c:v>1.409E-2</c:v>
                </c:pt>
                <c:pt idx="9">
                  <c:v>1.455E-2</c:v>
                </c:pt>
                <c:pt idx="10">
                  <c:v>1.487E-2</c:v>
                </c:pt>
                <c:pt idx="11">
                  <c:v>1.6799999999999999E-2</c:v>
                </c:pt>
                <c:pt idx="12">
                  <c:v>1.434E-2</c:v>
                </c:pt>
                <c:pt idx="13">
                  <c:v>1.426E-2</c:v>
                </c:pt>
                <c:pt idx="14">
                  <c:v>1.3979999999999999E-2</c:v>
                </c:pt>
                <c:pt idx="15">
                  <c:v>1.478E-2</c:v>
                </c:pt>
                <c:pt idx="16">
                  <c:v>1.434E-2</c:v>
                </c:pt>
                <c:pt idx="17">
                  <c:v>1.3849999999999999E-2</c:v>
                </c:pt>
                <c:pt idx="18">
                  <c:v>1.4540000000000001E-2</c:v>
                </c:pt>
                <c:pt idx="19">
                  <c:v>1.4109999999999999E-2</c:v>
                </c:pt>
                <c:pt idx="20">
                  <c:v>1.393E-2</c:v>
                </c:pt>
                <c:pt idx="21">
                  <c:v>1.512E-2</c:v>
                </c:pt>
                <c:pt idx="22">
                  <c:v>1.5219999999999999E-2</c:v>
                </c:pt>
                <c:pt idx="23">
                  <c:v>1.6789999999999999E-2</c:v>
                </c:pt>
                <c:pt idx="24">
                  <c:v>1.6590000000000001E-2</c:v>
                </c:pt>
                <c:pt idx="25">
                  <c:v>1.7299999999999999E-2</c:v>
                </c:pt>
                <c:pt idx="26">
                  <c:v>1.685E-2</c:v>
                </c:pt>
                <c:pt idx="27">
                  <c:v>1.6310000000000002E-2</c:v>
                </c:pt>
                <c:pt idx="28">
                  <c:v>1.6639999999999999E-2</c:v>
                </c:pt>
                <c:pt idx="29">
                  <c:v>1.6979999999999999E-2</c:v>
                </c:pt>
                <c:pt idx="30">
                  <c:v>1.6889999999999999E-2</c:v>
                </c:pt>
                <c:pt idx="31">
                  <c:v>1.8499999999999999E-2</c:v>
                </c:pt>
                <c:pt idx="32">
                  <c:v>1.8270000000000002E-2</c:v>
                </c:pt>
                <c:pt idx="33">
                  <c:v>1.7850000000000001E-2</c:v>
                </c:pt>
                <c:pt idx="34">
                  <c:v>1.7670000000000002E-2</c:v>
                </c:pt>
                <c:pt idx="35">
                  <c:v>1.746E-2</c:v>
                </c:pt>
                <c:pt idx="36">
                  <c:v>1.6480000000000002E-2</c:v>
                </c:pt>
                <c:pt idx="37">
                  <c:v>1.652E-2</c:v>
                </c:pt>
                <c:pt idx="38">
                  <c:v>1.5800000000000002E-2</c:v>
                </c:pt>
                <c:pt idx="39">
                  <c:v>1.6199999999999999E-2</c:v>
                </c:pt>
                <c:pt idx="40">
                  <c:v>1.66E-2</c:v>
                </c:pt>
                <c:pt idx="41">
                  <c:v>1.6920000000000001E-2</c:v>
                </c:pt>
                <c:pt idx="42">
                  <c:v>1.5689999999999999E-2</c:v>
                </c:pt>
                <c:pt idx="43">
                  <c:v>1.5859999999999999E-2</c:v>
                </c:pt>
                <c:pt idx="44">
                  <c:v>1.5299999999999999E-2</c:v>
                </c:pt>
                <c:pt idx="45">
                  <c:v>1.486E-2</c:v>
                </c:pt>
                <c:pt idx="46">
                  <c:v>1.7229999999999999E-2</c:v>
                </c:pt>
                <c:pt idx="47">
                  <c:v>1.6660000000000001E-2</c:v>
                </c:pt>
                <c:pt idx="48">
                  <c:v>1.653E-2</c:v>
                </c:pt>
                <c:pt idx="49">
                  <c:v>1.7489999999999999E-2</c:v>
                </c:pt>
                <c:pt idx="50">
                  <c:v>1.882E-2</c:v>
                </c:pt>
                <c:pt idx="51">
                  <c:v>1.9380000000000001E-2</c:v>
                </c:pt>
                <c:pt idx="52">
                  <c:v>2.0039999999999999E-2</c:v>
                </c:pt>
                <c:pt idx="53">
                  <c:v>1.7080000000000001E-2</c:v>
                </c:pt>
                <c:pt idx="54">
                  <c:v>1.8790000000000001E-2</c:v>
                </c:pt>
                <c:pt idx="55">
                  <c:v>2.2190000000000001E-2</c:v>
                </c:pt>
                <c:pt idx="56">
                  <c:v>2.3820000000000001E-2</c:v>
                </c:pt>
                <c:pt idx="57">
                  <c:v>2.445E-2</c:v>
                </c:pt>
                <c:pt idx="58">
                  <c:v>2.4559999999999998E-2</c:v>
                </c:pt>
                <c:pt idx="59">
                  <c:v>2.486E-2</c:v>
                </c:pt>
                <c:pt idx="60">
                  <c:v>2.409E-2</c:v>
                </c:pt>
                <c:pt idx="61">
                  <c:v>2.383E-2</c:v>
                </c:pt>
                <c:pt idx="62">
                  <c:v>2.3720000000000001E-2</c:v>
                </c:pt>
                <c:pt idx="63">
                  <c:v>2.6499999999999999E-2</c:v>
                </c:pt>
                <c:pt idx="64">
                  <c:v>2.673E-2</c:v>
                </c:pt>
                <c:pt idx="65">
                  <c:v>2.8459999999999999E-2</c:v>
                </c:pt>
                <c:pt idx="66">
                  <c:v>2.2880000000000001E-2</c:v>
                </c:pt>
                <c:pt idx="67">
                  <c:v>2.4799999999999999E-2</c:v>
                </c:pt>
                <c:pt idx="68">
                  <c:v>2.4729999999999999E-2</c:v>
                </c:pt>
                <c:pt idx="69">
                  <c:v>2.145E-2</c:v>
                </c:pt>
                <c:pt idx="70">
                  <c:v>2.102E-2</c:v>
                </c:pt>
                <c:pt idx="71">
                  <c:v>2.1499999999999998E-2</c:v>
                </c:pt>
                <c:pt idx="72">
                  <c:v>2.0660000000000001E-2</c:v>
                </c:pt>
                <c:pt idx="73">
                  <c:v>2.2370000000000001E-2</c:v>
                </c:pt>
                <c:pt idx="74">
                  <c:v>2.4039999999999999E-2</c:v>
                </c:pt>
                <c:pt idx="75">
                  <c:v>2.5399999999999999E-2</c:v>
                </c:pt>
                <c:pt idx="76">
                  <c:v>1.883E-2</c:v>
                </c:pt>
                <c:pt idx="77">
                  <c:v>1.9599999999999999E-2</c:v>
                </c:pt>
                <c:pt idx="78">
                  <c:v>1.83E-2</c:v>
                </c:pt>
                <c:pt idx="79">
                  <c:v>1.958E-2</c:v>
                </c:pt>
                <c:pt idx="80">
                  <c:v>1.8890000000000001E-2</c:v>
                </c:pt>
                <c:pt idx="81">
                  <c:v>1.9560000000000001E-2</c:v>
                </c:pt>
                <c:pt idx="82">
                  <c:v>1.8769999999999998E-2</c:v>
                </c:pt>
                <c:pt idx="83">
                  <c:v>1.8620000000000001E-2</c:v>
                </c:pt>
                <c:pt idx="84">
                  <c:v>1.9040000000000001E-2</c:v>
                </c:pt>
                <c:pt idx="85">
                  <c:v>1.883E-2</c:v>
                </c:pt>
                <c:pt idx="86">
                  <c:v>1.932E-2</c:v>
                </c:pt>
                <c:pt idx="87">
                  <c:v>1.8610000000000002E-2</c:v>
                </c:pt>
                <c:pt idx="88">
                  <c:v>1.8350000000000002E-2</c:v>
                </c:pt>
                <c:pt idx="89">
                  <c:v>1.8610000000000002E-2</c:v>
                </c:pt>
                <c:pt idx="90">
                  <c:v>1.9300000000000001E-2</c:v>
                </c:pt>
                <c:pt idx="91">
                  <c:v>1.9560000000000001E-2</c:v>
                </c:pt>
                <c:pt idx="92">
                  <c:v>2.0619999999999999E-2</c:v>
                </c:pt>
                <c:pt idx="93">
                  <c:v>2.4160000000000001E-2</c:v>
                </c:pt>
                <c:pt idx="94">
                  <c:v>2.2450000000000001E-2</c:v>
                </c:pt>
                <c:pt idx="95">
                  <c:v>1.8120000000000001E-2</c:v>
                </c:pt>
                <c:pt idx="96">
                  <c:v>1.772E-2</c:v>
                </c:pt>
                <c:pt idx="97">
                  <c:v>1.77E-2</c:v>
                </c:pt>
                <c:pt idx="98">
                  <c:v>1.6789999999999999E-2</c:v>
                </c:pt>
                <c:pt idx="99">
                  <c:v>1.821E-2</c:v>
                </c:pt>
                <c:pt idx="100">
                  <c:v>1.7930000000000001E-2</c:v>
                </c:pt>
                <c:pt idx="101">
                  <c:v>1.806E-2</c:v>
                </c:pt>
                <c:pt idx="102">
                  <c:v>2.0230000000000001E-2</c:v>
                </c:pt>
                <c:pt idx="103">
                  <c:v>2.4910000000000002E-2</c:v>
                </c:pt>
                <c:pt idx="104">
                  <c:v>1.4E-2</c:v>
                </c:pt>
                <c:pt idx="105">
                  <c:v>1.3180000000000001E-2</c:v>
                </c:pt>
                <c:pt idx="106">
                  <c:v>1.35E-2</c:v>
                </c:pt>
                <c:pt idx="107">
                  <c:v>1.2630000000000001E-2</c:v>
                </c:pt>
                <c:pt idx="108">
                  <c:v>1.2789999999999999E-2</c:v>
                </c:pt>
                <c:pt idx="109">
                  <c:v>1.315E-2</c:v>
                </c:pt>
                <c:pt idx="110">
                  <c:v>1.345E-2</c:v>
                </c:pt>
                <c:pt idx="111">
                  <c:v>1.3180000000000001E-2</c:v>
                </c:pt>
                <c:pt idx="112">
                  <c:v>1.311E-2</c:v>
                </c:pt>
                <c:pt idx="113">
                  <c:v>1.3140000000000001E-2</c:v>
                </c:pt>
                <c:pt idx="114">
                  <c:v>1.329E-2</c:v>
                </c:pt>
                <c:pt idx="115">
                  <c:v>1.2630000000000001E-2</c:v>
                </c:pt>
                <c:pt idx="116">
                  <c:v>1.2630000000000001E-2</c:v>
                </c:pt>
                <c:pt idx="117">
                  <c:v>1.2670000000000001E-2</c:v>
                </c:pt>
                <c:pt idx="118">
                  <c:v>1.289E-2</c:v>
                </c:pt>
                <c:pt idx="119">
                  <c:v>1.2030000000000001E-2</c:v>
                </c:pt>
                <c:pt idx="120">
                  <c:v>1.15E-2</c:v>
                </c:pt>
                <c:pt idx="121">
                  <c:v>1.157E-2</c:v>
                </c:pt>
                <c:pt idx="122">
                  <c:v>1.158E-2</c:v>
                </c:pt>
                <c:pt idx="123">
                  <c:v>1.2120000000000001E-2</c:v>
                </c:pt>
                <c:pt idx="124">
                  <c:v>1.221E-2</c:v>
                </c:pt>
                <c:pt idx="125">
                  <c:v>1.274E-2</c:v>
                </c:pt>
                <c:pt idx="126">
                  <c:v>1.397E-2</c:v>
                </c:pt>
                <c:pt idx="127">
                  <c:v>1.3690000000000001E-2</c:v>
                </c:pt>
                <c:pt idx="128">
                  <c:v>1.273E-2</c:v>
                </c:pt>
                <c:pt idx="129">
                  <c:v>1.312E-2</c:v>
                </c:pt>
                <c:pt idx="130">
                  <c:v>1.342E-2</c:v>
                </c:pt>
                <c:pt idx="131">
                  <c:v>1.4200000000000001E-2</c:v>
                </c:pt>
                <c:pt idx="132">
                  <c:v>1.4829999999999999E-2</c:v>
                </c:pt>
                <c:pt idx="133">
                  <c:v>1.38E-2</c:v>
                </c:pt>
                <c:pt idx="134">
                  <c:v>1.299E-2</c:v>
                </c:pt>
                <c:pt idx="135">
                  <c:v>1.265E-2</c:v>
                </c:pt>
                <c:pt idx="136">
                  <c:v>1.231E-2</c:v>
                </c:pt>
                <c:pt idx="137">
                  <c:v>1.3469999999999999E-2</c:v>
                </c:pt>
                <c:pt idx="138">
                  <c:v>1.3559999999999999E-2</c:v>
                </c:pt>
                <c:pt idx="139">
                  <c:v>1.3089999999999999E-2</c:v>
                </c:pt>
                <c:pt idx="140">
                  <c:v>1.362E-2</c:v>
                </c:pt>
                <c:pt idx="141">
                  <c:v>1.367E-2</c:v>
                </c:pt>
                <c:pt idx="142">
                  <c:v>1.405E-2</c:v>
                </c:pt>
                <c:pt idx="143">
                  <c:v>1.7749999999999998E-2</c:v>
                </c:pt>
                <c:pt idx="144">
                  <c:v>1.6199999999999999E-2</c:v>
                </c:pt>
                <c:pt idx="145">
                  <c:v>1.5900000000000001E-2</c:v>
                </c:pt>
                <c:pt idx="146">
                  <c:v>1.567E-2</c:v>
                </c:pt>
                <c:pt idx="147">
                  <c:v>1.549E-2</c:v>
                </c:pt>
                <c:pt idx="148">
                  <c:v>1.519E-2</c:v>
                </c:pt>
                <c:pt idx="149">
                  <c:v>1.438E-2</c:v>
                </c:pt>
                <c:pt idx="150">
                  <c:v>1.487E-2</c:v>
                </c:pt>
                <c:pt idx="151">
                  <c:v>1.5350000000000001E-2</c:v>
                </c:pt>
                <c:pt idx="152">
                  <c:v>1.5089999999999999E-2</c:v>
                </c:pt>
                <c:pt idx="153">
                  <c:v>1.5509999999999999E-2</c:v>
                </c:pt>
                <c:pt idx="154">
                  <c:v>1.426E-2</c:v>
                </c:pt>
                <c:pt idx="155">
                  <c:v>1.5810000000000001E-2</c:v>
                </c:pt>
                <c:pt idx="156">
                  <c:v>1.525E-2</c:v>
                </c:pt>
                <c:pt idx="157">
                  <c:v>1.643E-2</c:v>
                </c:pt>
                <c:pt idx="158">
                  <c:v>1.5789999999999998E-2</c:v>
                </c:pt>
                <c:pt idx="159">
                  <c:v>1.558E-2</c:v>
                </c:pt>
                <c:pt idx="160">
                  <c:v>1.5990000000000001E-2</c:v>
                </c:pt>
                <c:pt idx="161">
                  <c:v>1.555E-2</c:v>
                </c:pt>
                <c:pt idx="162">
                  <c:v>1.468E-2</c:v>
                </c:pt>
                <c:pt idx="163">
                  <c:v>1.549E-2</c:v>
                </c:pt>
                <c:pt idx="164">
                  <c:v>1.668E-2</c:v>
                </c:pt>
                <c:pt idx="165">
                  <c:v>1.6820000000000002E-2</c:v>
                </c:pt>
                <c:pt idx="166">
                  <c:v>1.5810000000000001E-2</c:v>
                </c:pt>
                <c:pt idx="167">
                  <c:v>1.6119999999999999E-2</c:v>
                </c:pt>
                <c:pt idx="168">
                  <c:v>1.487E-2</c:v>
                </c:pt>
                <c:pt idx="169">
                  <c:v>1.4919999999999999E-2</c:v>
                </c:pt>
                <c:pt idx="170">
                  <c:v>1.44E-2</c:v>
                </c:pt>
                <c:pt idx="171">
                  <c:v>1.495E-2</c:v>
                </c:pt>
                <c:pt idx="172">
                  <c:v>1.2710000000000001E-2</c:v>
                </c:pt>
                <c:pt idx="173">
                  <c:v>1.4250000000000001E-2</c:v>
                </c:pt>
                <c:pt idx="174">
                  <c:v>1.3089999999999999E-2</c:v>
                </c:pt>
                <c:pt idx="175">
                  <c:v>1.242E-2</c:v>
                </c:pt>
                <c:pt idx="176">
                  <c:v>1.1979999999999999E-2</c:v>
                </c:pt>
                <c:pt idx="177">
                  <c:v>1.1509999999999999E-2</c:v>
                </c:pt>
                <c:pt idx="178">
                  <c:v>1.2019999999999999E-2</c:v>
                </c:pt>
                <c:pt idx="179">
                  <c:v>1.315E-2</c:v>
                </c:pt>
                <c:pt idx="180">
                  <c:v>1.285E-2</c:v>
                </c:pt>
                <c:pt idx="181">
                  <c:v>1.269E-2</c:v>
                </c:pt>
                <c:pt idx="182">
                  <c:v>1.2319999999999999E-2</c:v>
                </c:pt>
                <c:pt idx="183">
                  <c:v>1.261E-2</c:v>
                </c:pt>
                <c:pt idx="184">
                  <c:v>1.2189999999999999E-2</c:v>
                </c:pt>
                <c:pt idx="185">
                  <c:v>1.223E-2</c:v>
                </c:pt>
                <c:pt idx="186">
                  <c:v>1.1270000000000001E-2</c:v>
                </c:pt>
                <c:pt idx="187">
                  <c:v>1.061E-2</c:v>
                </c:pt>
                <c:pt idx="188">
                  <c:v>1.0319999999999999E-2</c:v>
                </c:pt>
                <c:pt idx="189">
                  <c:v>1.0030000000000001E-2</c:v>
                </c:pt>
                <c:pt idx="190">
                  <c:v>9.8499999999999994E-3</c:v>
                </c:pt>
                <c:pt idx="191">
                  <c:v>9.2499999999999995E-3</c:v>
                </c:pt>
                <c:pt idx="192">
                  <c:v>1.031E-2</c:v>
                </c:pt>
                <c:pt idx="193">
                  <c:v>1.142E-2</c:v>
                </c:pt>
                <c:pt idx="194">
                  <c:v>1.022E-2</c:v>
                </c:pt>
                <c:pt idx="195">
                  <c:v>1.093E-2</c:v>
                </c:pt>
                <c:pt idx="196">
                  <c:v>1.095E-2</c:v>
                </c:pt>
                <c:pt idx="197">
                  <c:v>1.1350000000000001E-2</c:v>
                </c:pt>
                <c:pt idx="198">
                  <c:v>1.1039999999999999E-2</c:v>
                </c:pt>
                <c:pt idx="199">
                  <c:v>1.153E-2</c:v>
                </c:pt>
                <c:pt idx="200">
                  <c:v>1.176E-2</c:v>
                </c:pt>
                <c:pt idx="201">
                  <c:v>1.1520000000000001E-2</c:v>
                </c:pt>
                <c:pt idx="202">
                  <c:v>1.197E-2</c:v>
                </c:pt>
                <c:pt idx="203">
                  <c:v>1.128E-2</c:v>
                </c:pt>
                <c:pt idx="204">
                  <c:v>1.183E-2</c:v>
                </c:pt>
                <c:pt idx="205">
                  <c:v>1.187E-2</c:v>
                </c:pt>
                <c:pt idx="206">
                  <c:v>1.1350000000000001E-2</c:v>
                </c:pt>
                <c:pt idx="207">
                  <c:v>1.2E-2</c:v>
                </c:pt>
                <c:pt idx="208">
                  <c:v>1.1820000000000001E-2</c:v>
                </c:pt>
                <c:pt idx="209">
                  <c:v>1.166E-2</c:v>
                </c:pt>
                <c:pt idx="210">
                  <c:v>1.1140000000000001E-2</c:v>
                </c:pt>
                <c:pt idx="211">
                  <c:v>1.1860000000000001E-2</c:v>
                </c:pt>
                <c:pt idx="212">
                  <c:v>1.2189999999999999E-2</c:v>
                </c:pt>
                <c:pt idx="213">
                  <c:v>1.1390000000000001E-2</c:v>
                </c:pt>
                <c:pt idx="214">
                  <c:v>1.145E-2</c:v>
                </c:pt>
                <c:pt idx="215">
                  <c:v>1.056E-2</c:v>
                </c:pt>
                <c:pt idx="216">
                  <c:v>1.0869999999999999E-2</c:v>
                </c:pt>
                <c:pt idx="217">
                  <c:v>1.2019999999999999E-2</c:v>
                </c:pt>
                <c:pt idx="218">
                  <c:v>1.2239999999999999E-2</c:v>
                </c:pt>
                <c:pt idx="219">
                  <c:v>1.0789999999999999E-2</c:v>
                </c:pt>
                <c:pt idx="220">
                  <c:v>1.1129999999999999E-2</c:v>
                </c:pt>
                <c:pt idx="221">
                  <c:v>1.3129999999999999E-2</c:v>
                </c:pt>
                <c:pt idx="222">
                  <c:v>1.321E-2</c:v>
                </c:pt>
                <c:pt idx="223">
                  <c:v>1.418E-2</c:v>
                </c:pt>
                <c:pt idx="224">
                  <c:v>1.391E-2</c:v>
                </c:pt>
                <c:pt idx="225">
                  <c:v>1.4200000000000001E-2</c:v>
                </c:pt>
                <c:pt idx="226">
                  <c:v>1.54E-2</c:v>
                </c:pt>
                <c:pt idx="227">
                  <c:v>1.669E-2</c:v>
                </c:pt>
                <c:pt idx="228">
                  <c:v>1.729E-2</c:v>
                </c:pt>
                <c:pt idx="229">
                  <c:v>1.529E-2</c:v>
                </c:pt>
                <c:pt idx="230">
                  <c:v>1.4840000000000001E-2</c:v>
                </c:pt>
                <c:pt idx="231">
                  <c:v>1.7010000000000001E-2</c:v>
                </c:pt>
                <c:pt idx="232">
                  <c:v>1.83E-2</c:v>
                </c:pt>
                <c:pt idx="233">
                  <c:v>1.7520000000000001E-2</c:v>
                </c:pt>
                <c:pt idx="234">
                  <c:v>1.7149999999999999E-2</c:v>
                </c:pt>
                <c:pt idx="235">
                  <c:v>2.1770000000000001E-2</c:v>
                </c:pt>
                <c:pt idx="236">
                  <c:v>1.256E-2</c:v>
                </c:pt>
                <c:pt idx="237">
                  <c:v>1.286E-2</c:v>
                </c:pt>
                <c:pt idx="238">
                  <c:v>1.3979999999999999E-2</c:v>
                </c:pt>
                <c:pt idx="239">
                  <c:v>1.294E-2</c:v>
                </c:pt>
                <c:pt idx="240">
                  <c:v>1.2840000000000001E-2</c:v>
                </c:pt>
                <c:pt idx="241">
                  <c:v>1.396E-2</c:v>
                </c:pt>
                <c:pt idx="242">
                  <c:v>1.2710000000000001E-2</c:v>
                </c:pt>
                <c:pt idx="243">
                  <c:v>1.209E-2</c:v>
                </c:pt>
                <c:pt idx="244">
                  <c:v>1.2840000000000001E-2</c:v>
                </c:pt>
                <c:pt idx="245">
                  <c:v>1.494E-2</c:v>
                </c:pt>
                <c:pt idx="246">
                  <c:v>1.502E-2</c:v>
                </c:pt>
                <c:pt idx="247">
                  <c:v>1.43E-2</c:v>
                </c:pt>
                <c:pt idx="248">
                  <c:v>1.223E-2</c:v>
                </c:pt>
                <c:pt idx="249">
                  <c:v>1.018E-2</c:v>
                </c:pt>
                <c:pt idx="250">
                  <c:v>1.189E-2</c:v>
                </c:pt>
                <c:pt idx="251">
                  <c:v>1.234E-2</c:v>
                </c:pt>
                <c:pt idx="252">
                  <c:v>1.5219999999999999E-2</c:v>
                </c:pt>
                <c:pt idx="253">
                  <c:v>1.3520000000000001E-2</c:v>
                </c:pt>
                <c:pt idx="254">
                  <c:v>2.1190000000000001E-2</c:v>
                </c:pt>
                <c:pt idx="255">
                  <c:v>2.0979999999999999E-2</c:v>
                </c:pt>
                <c:pt idx="256">
                  <c:v>2.324E-2</c:v>
                </c:pt>
                <c:pt idx="257">
                  <c:v>2.3009999999999999E-2</c:v>
                </c:pt>
                <c:pt idx="258">
                  <c:v>2.5739999999999999E-2</c:v>
                </c:pt>
                <c:pt idx="259">
                  <c:v>2.4049999999999998E-2</c:v>
                </c:pt>
                <c:pt idx="260">
                  <c:v>2.461E-2</c:v>
                </c:pt>
                <c:pt idx="261">
                  <c:v>2.989E-2</c:v>
                </c:pt>
                <c:pt idx="262">
                  <c:v>2.8910000000000002E-2</c:v>
                </c:pt>
                <c:pt idx="263">
                  <c:v>3.1570000000000001E-2</c:v>
                </c:pt>
                <c:pt idx="264">
                  <c:v>3.3000000000000002E-2</c:v>
                </c:pt>
                <c:pt idx="265">
                  <c:v>3.3349999999999998E-2</c:v>
                </c:pt>
                <c:pt idx="266">
                  <c:v>3.3360000000000001E-2</c:v>
                </c:pt>
                <c:pt idx="267">
                  <c:v>3.5450000000000002E-2</c:v>
                </c:pt>
                <c:pt idx="268">
                  <c:v>3.2500000000000001E-2</c:v>
                </c:pt>
                <c:pt idx="269">
                  <c:v>3.721E-2</c:v>
                </c:pt>
                <c:pt idx="270">
                  <c:v>3.3759999999999998E-2</c:v>
                </c:pt>
                <c:pt idx="271">
                  <c:v>3.4840000000000003E-2</c:v>
                </c:pt>
                <c:pt idx="272">
                  <c:v>3.3599999999999998E-2</c:v>
                </c:pt>
                <c:pt idx="273">
                  <c:v>3.0120000000000001E-2</c:v>
                </c:pt>
                <c:pt idx="274">
                  <c:v>3.0779999999999998E-2</c:v>
                </c:pt>
                <c:pt idx="275">
                  <c:v>3.2480000000000002E-2</c:v>
                </c:pt>
                <c:pt idx="276">
                  <c:v>2.9559999999999999E-2</c:v>
                </c:pt>
                <c:pt idx="277">
                  <c:v>2.529E-2</c:v>
                </c:pt>
                <c:pt idx="278">
                  <c:v>2.8150000000000001E-2</c:v>
                </c:pt>
                <c:pt idx="279">
                  <c:v>2.785E-2</c:v>
                </c:pt>
                <c:pt idx="280">
                  <c:v>3.0620000000000001E-2</c:v>
                </c:pt>
                <c:pt idx="281">
                  <c:v>3.4290000000000001E-2</c:v>
                </c:pt>
                <c:pt idx="282">
                  <c:v>3.7870000000000001E-2</c:v>
                </c:pt>
                <c:pt idx="283">
                  <c:v>2.879E-2</c:v>
                </c:pt>
                <c:pt idx="284">
                  <c:v>3.288E-2</c:v>
                </c:pt>
                <c:pt idx="285">
                  <c:v>3.9940000000000003E-2</c:v>
                </c:pt>
                <c:pt idx="286">
                  <c:v>3.9940000000000003E-2</c:v>
                </c:pt>
                <c:pt idx="287">
                  <c:v>3.9390000000000001E-2</c:v>
                </c:pt>
                <c:pt idx="288">
                  <c:v>3.7830000000000003E-2</c:v>
                </c:pt>
                <c:pt idx="289">
                  <c:v>3.8429999999999999E-2</c:v>
                </c:pt>
                <c:pt idx="290">
                  <c:v>3.9350000000000003E-2</c:v>
                </c:pt>
                <c:pt idx="291">
                  <c:v>4.1279999999999997E-2</c:v>
                </c:pt>
                <c:pt idx="292">
                  <c:v>4.0730000000000002E-2</c:v>
                </c:pt>
                <c:pt idx="293">
                  <c:v>4.4240000000000002E-2</c:v>
                </c:pt>
                <c:pt idx="294">
                  <c:v>4.1500000000000002E-2</c:v>
                </c:pt>
                <c:pt idx="295">
                  <c:v>3.8339999999999999E-2</c:v>
                </c:pt>
                <c:pt idx="296">
                  <c:v>4.4990000000000002E-2</c:v>
                </c:pt>
                <c:pt idx="297">
                  <c:v>4.8980000000000003E-2</c:v>
                </c:pt>
                <c:pt idx="298">
                  <c:v>4.6260000000000003E-2</c:v>
                </c:pt>
                <c:pt idx="299">
                  <c:v>3.986E-2</c:v>
                </c:pt>
                <c:pt idx="300">
                  <c:v>4.0480000000000002E-2</c:v>
                </c:pt>
                <c:pt idx="301">
                  <c:v>3.8269999999999998E-2</c:v>
                </c:pt>
                <c:pt idx="302">
                  <c:v>3.9480000000000001E-2</c:v>
                </c:pt>
                <c:pt idx="303">
                  <c:v>3.5270000000000003E-2</c:v>
                </c:pt>
                <c:pt idx="304">
                  <c:v>3.3619999999999997E-2</c:v>
                </c:pt>
                <c:pt idx="305">
                  <c:v>3.363E-2</c:v>
                </c:pt>
                <c:pt idx="306">
                  <c:v>3.3079999999999998E-2</c:v>
                </c:pt>
                <c:pt idx="307">
                  <c:v>3.3730000000000003E-2</c:v>
                </c:pt>
                <c:pt idx="308">
                  <c:v>3.1570000000000001E-2</c:v>
                </c:pt>
                <c:pt idx="309">
                  <c:v>2.8989999999999998E-2</c:v>
                </c:pt>
                <c:pt idx="310">
                  <c:v>3.073E-2</c:v>
                </c:pt>
                <c:pt idx="311">
                  <c:v>3.0290000000000001E-2</c:v>
                </c:pt>
                <c:pt idx="312">
                  <c:v>3.1600000000000003E-2</c:v>
                </c:pt>
                <c:pt idx="313">
                  <c:v>3.065E-2</c:v>
                </c:pt>
                <c:pt idx="314">
                  <c:v>3.0630000000000001E-2</c:v>
                </c:pt>
                <c:pt idx="315">
                  <c:v>2.9170000000000001E-2</c:v>
                </c:pt>
                <c:pt idx="316">
                  <c:v>2.9950000000000001E-2</c:v>
                </c:pt>
                <c:pt idx="317">
                  <c:v>3.107E-2</c:v>
                </c:pt>
                <c:pt idx="318">
                  <c:v>2.843E-2</c:v>
                </c:pt>
                <c:pt idx="319">
                  <c:v>2.8799999999999999E-2</c:v>
                </c:pt>
                <c:pt idx="320">
                  <c:v>2.8899999999999999E-2</c:v>
                </c:pt>
                <c:pt idx="321">
                  <c:v>2.8320000000000001E-2</c:v>
                </c:pt>
                <c:pt idx="322">
                  <c:v>3.5299999999999998E-2</c:v>
                </c:pt>
                <c:pt idx="323">
                  <c:v>2.2800000000000001E-2</c:v>
                </c:pt>
                <c:pt idx="324">
                  <c:v>2.0449999999999999E-2</c:v>
                </c:pt>
                <c:pt idx="325">
                  <c:v>1.9179999999999999E-2</c:v>
                </c:pt>
                <c:pt idx="326">
                  <c:v>1.9570000000000001E-2</c:v>
                </c:pt>
                <c:pt idx="327">
                  <c:v>1.908E-2</c:v>
                </c:pt>
                <c:pt idx="328">
                  <c:v>1.8200000000000001E-2</c:v>
                </c:pt>
                <c:pt idx="329">
                  <c:v>1.7770000000000001E-2</c:v>
                </c:pt>
                <c:pt idx="330">
                  <c:v>1.9199999999999998E-2</c:v>
                </c:pt>
                <c:pt idx="331">
                  <c:v>1.7219999999999999E-2</c:v>
                </c:pt>
                <c:pt idx="332">
                  <c:v>1.8440000000000002E-2</c:v>
                </c:pt>
                <c:pt idx="333">
                  <c:v>1.541E-2</c:v>
                </c:pt>
                <c:pt idx="334">
                  <c:v>1.7000000000000001E-2</c:v>
                </c:pt>
                <c:pt idx="335">
                  <c:v>1.6199999999999999E-2</c:v>
                </c:pt>
                <c:pt idx="336">
                  <c:v>1.6930000000000001E-2</c:v>
                </c:pt>
                <c:pt idx="337">
                  <c:v>1.84E-2</c:v>
                </c:pt>
                <c:pt idx="338">
                  <c:v>1.7659999999999999E-2</c:v>
                </c:pt>
                <c:pt idx="339">
                  <c:v>2.2370000000000001E-2</c:v>
                </c:pt>
                <c:pt idx="340">
                  <c:v>2.3220000000000001E-2</c:v>
                </c:pt>
                <c:pt idx="341">
                  <c:v>2.1950000000000001E-2</c:v>
                </c:pt>
                <c:pt idx="342">
                  <c:v>2.1930000000000002E-2</c:v>
                </c:pt>
                <c:pt idx="343">
                  <c:v>2.265E-2</c:v>
                </c:pt>
                <c:pt idx="344">
                  <c:v>2.1180000000000001E-2</c:v>
                </c:pt>
                <c:pt idx="345">
                  <c:v>2.0420000000000001E-2</c:v>
                </c:pt>
                <c:pt idx="346">
                  <c:v>2.07E-2</c:v>
                </c:pt>
                <c:pt idx="347">
                  <c:v>2.1909999999999999E-2</c:v>
                </c:pt>
                <c:pt idx="348">
                  <c:v>2.486E-2</c:v>
                </c:pt>
                <c:pt idx="349">
                  <c:v>2.3220000000000001E-2</c:v>
                </c:pt>
                <c:pt idx="350">
                  <c:v>2.2960000000000001E-2</c:v>
                </c:pt>
                <c:pt idx="351">
                  <c:v>1.9290000000000002E-2</c:v>
                </c:pt>
                <c:pt idx="352">
                  <c:v>1.9630000000000002E-2</c:v>
                </c:pt>
                <c:pt idx="353">
                  <c:v>1.7319999999999999E-2</c:v>
                </c:pt>
                <c:pt idx="354">
                  <c:v>1.6459999999999999E-2</c:v>
                </c:pt>
                <c:pt idx="355">
                  <c:v>1.694E-2</c:v>
                </c:pt>
                <c:pt idx="356">
                  <c:v>1.8120000000000001E-2</c:v>
                </c:pt>
                <c:pt idx="357">
                  <c:v>1.583E-2</c:v>
                </c:pt>
                <c:pt idx="358">
                  <c:v>1.6140000000000002E-2</c:v>
                </c:pt>
                <c:pt idx="359">
                  <c:v>1.4420000000000001E-2</c:v>
                </c:pt>
                <c:pt idx="360">
                  <c:v>1.431E-2</c:v>
                </c:pt>
                <c:pt idx="361">
                  <c:v>1.4880000000000001E-2</c:v>
                </c:pt>
                <c:pt idx="362">
                  <c:v>1.4239999999999999E-2</c:v>
                </c:pt>
                <c:pt idx="363">
                  <c:v>1.5169999999999999E-2</c:v>
                </c:pt>
                <c:pt idx="364">
                  <c:v>1.409E-2</c:v>
                </c:pt>
                <c:pt idx="365">
                  <c:v>1.221E-2</c:v>
                </c:pt>
                <c:pt idx="366">
                  <c:v>1.37E-2</c:v>
                </c:pt>
                <c:pt idx="367">
                  <c:v>1.308E-2</c:v>
                </c:pt>
                <c:pt idx="368">
                  <c:v>1.3599999999999999E-2</c:v>
                </c:pt>
                <c:pt idx="369">
                  <c:v>1.366E-2</c:v>
                </c:pt>
                <c:pt idx="370">
                  <c:v>1.397E-2</c:v>
                </c:pt>
                <c:pt idx="371">
                  <c:v>1.4200000000000001E-2</c:v>
                </c:pt>
                <c:pt idx="372">
                  <c:v>1.461E-2</c:v>
                </c:pt>
                <c:pt idx="373">
                  <c:v>1.452E-2</c:v>
                </c:pt>
                <c:pt idx="374">
                  <c:v>1.4970000000000001E-2</c:v>
                </c:pt>
                <c:pt idx="375">
                  <c:v>1.4370000000000001E-2</c:v>
                </c:pt>
                <c:pt idx="376">
                  <c:v>1.494E-2</c:v>
                </c:pt>
                <c:pt idx="377">
                  <c:v>1.498E-2</c:v>
                </c:pt>
                <c:pt idx="378">
                  <c:v>1.512E-2</c:v>
                </c:pt>
                <c:pt idx="379">
                  <c:v>1.511E-2</c:v>
                </c:pt>
                <c:pt idx="380">
                  <c:v>1.468E-2</c:v>
                </c:pt>
                <c:pt idx="381">
                  <c:v>1.5689999999999999E-2</c:v>
                </c:pt>
                <c:pt idx="382">
                  <c:v>1.439E-2</c:v>
                </c:pt>
                <c:pt idx="383">
                  <c:v>1.5599999999999999E-2</c:v>
                </c:pt>
                <c:pt idx="384">
                  <c:v>1.4030000000000001E-2</c:v>
                </c:pt>
                <c:pt idx="385">
                  <c:v>1.499E-2</c:v>
                </c:pt>
                <c:pt idx="386">
                  <c:v>1.3950000000000001E-2</c:v>
                </c:pt>
                <c:pt idx="387">
                  <c:v>1.3520000000000001E-2</c:v>
                </c:pt>
                <c:pt idx="388">
                  <c:v>1.367E-2</c:v>
                </c:pt>
                <c:pt idx="389">
                  <c:v>1.4200000000000001E-2</c:v>
                </c:pt>
                <c:pt idx="390">
                  <c:v>1.315E-2</c:v>
                </c:pt>
                <c:pt idx="391">
                  <c:v>1.325E-2</c:v>
                </c:pt>
                <c:pt idx="392">
                  <c:v>1.349E-2</c:v>
                </c:pt>
                <c:pt idx="393">
                  <c:v>1.2999999999999999E-2</c:v>
                </c:pt>
                <c:pt idx="394">
                  <c:v>1.265E-2</c:v>
                </c:pt>
                <c:pt idx="395">
                  <c:v>1.3809999999999999E-2</c:v>
                </c:pt>
                <c:pt idx="396">
                  <c:v>1.472E-2</c:v>
                </c:pt>
                <c:pt idx="397">
                  <c:v>1.4120000000000001E-2</c:v>
                </c:pt>
                <c:pt idx="398">
                  <c:v>1.519E-2</c:v>
                </c:pt>
                <c:pt idx="399">
                  <c:v>1.4200000000000001E-2</c:v>
                </c:pt>
                <c:pt idx="400">
                  <c:v>1.04E-2</c:v>
                </c:pt>
                <c:pt idx="401">
                  <c:v>1.4200000000000001E-2</c:v>
                </c:pt>
                <c:pt idx="402">
                  <c:v>1.506E-2</c:v>
                </c:pt>
                <c:pt idx="403">
                  <c:v>2.0389999999999998E-2</c:v>
                </c:pt>
                <c:pt idx="404">
                  <c:v>8.5100000000000002E-3</c:v>
                </c:pt>
                <c:pt idx="405">
                  <c:v>7.5799999999999999E-3</c:v>
                </c:pt>
                <c:pt idx="406">
                  <c:v>7.1799999999999998E-3</c:v>
                </c:pt>
                <c:pt idx="407">
                  <c:v>7.1799999999999998E-3</c:v>
                </c:pt>
                <c:pt idx="408">
                  <c:v>7.0000000000000001E-3</c:v>
                </c:pt>
                <c:pt idx="409">
                  <c:v>7.0699999999999999E-3</c:v>
                </c:pt>
                <c:pt idx="410">
                  <c:v>7.5100000000000002E-3</c:v>
                </c:pt>
                <c:pt idx="411">
                  <c:v>7.5900000000000004E-3</c:v>
                </c:pt>
                <c:pt idx="412">
                  <c:v>8.1300000000000001E-3</c:v>
                </c:pt>
                <c:pt idx="413">
                  <c:v>5.6899999999999997E-3</c:v>
                </c:pt>
                <c:pt idx="414">
                  <c:v>5.64E-3</c:v>
                </c:pt>
                <c:pt idx="415">
                  <c:v>5.5100000000000001E-3</c:v>
                </c:pt>
                <c:pt idx="416">
                  <c:v>5.5999999999999999E-3</c:v>
                </c:pt>
                <c:pt idx="417">
                  <c:v>5.4200000000000003E-3</c:v>
                </c:pt>
                <c:pt idx="418">
                  <c:v>5.5100000000000001E-3</c:v>
                </c:pt>
                <c:pt idx="419">
                  <c:v>5.2399999999999999E-3</c:v>
                </c:pt>
                <c:pt idx="420">
                  <c:v>5.5399999999999998E-3</c:v>
                </c:pt>
                <c:pt idx="421">
                  <c:v>5.5999999999999999E-3</c:v>
                </c:pt>
                <c:pt idx="422">
                  <c:v>5.62E-3</c:v>
                </c:pt>
                <c:pt idx="423">
                  <c:v>5.9500000000000004E-3</c:v>
                </c:pt>
                <c:pt idx="424">
                  <c:v>6.0000000000000001E-3</c:v>
                </c:pt>
                <c:pt idx="425">
                  <c:v>6.0000000000000001E-3</c:v>
                </c:pt>
                <c:pt idx="426">
                  <c:v>5.79E-3</c:v>
                </c:pt>
                <c:pt idx="427">
                  <c:v>5.3899999999999998E-3</c:v>
                </c:pt>
                <c:pt idx="428">
                  <c:v>6.2500000000000003E-3</c:v>
                </c:pt>
                <c:pt idx="429">
                  <c:v>6.3699999999999998E-3</c:v>
                </c:pt>
                <c:pt idx="430">
                  <c:v>6.4099999999999999E-3</c:v>
                </c:pt>
                <c:pt idx="431">
                  <c:v>6.45E-3</c:v>
                </c:pt>
                <c:pt idx="432">
                  <c:v>6.94E-3</c:v>
                </c:pt>
                <c:pt idx="433">
                  <c:v>6.7200000000000003E-3</c:v>
                </c:pt>
                <c:pt idx="434">
                  <c:v>6.6299999999999996E-3</c:v>
                </c:pt>
                <c:pt idx="435">
                  <c:v>6.6600000000000001E-3</c:v>
                </c:pt>
                <c:pt idx="436">
                  <c:v>6.8700000000000002E-3</c:v>
                </c:pt>
                <c:pt idx="437">
                  <c:v>6.1399999999999996E-3</c:v>
                </c:pt>
                <c:pt idx="438">
                  <c:v>6.1900000000000002E-3</c:v>
                </c:pt>
                <c:pt idx="439">
                  <c:v>6.3899999999999998E-3</c:v>
                </c:pt>
                <c:pt idx="440">
                  <c:v>6.7400000000000003E-3</c:v>
                </c:pt>
                <c:pt idx="441">
                  <c:v>6.7600000000000004E-3</c:v>
                </c:pt>
                <c:pt idx="442">
                  <c:v>7.0099999999999997E-3</c:v>
                </c:pt>
                <c:pt idx="443">
                  <c:v>6.2599999999999999E-3</c:v>
                </c:pt>
                <c:pt idx="444">
                  <c:v>5.5999999999999999E-3</c:v>
                </c:pt>
                <c:pt idx="445">
                  <c:v>5.64E-3</c:v>
                </c:pt>
                <c:pt idx="446">
                  <c:v>5.1700000000000001E-3</c:v>
                </c:pt>
                <c:pt idx="447">
                  <c:v>5.28E-3</c:v>
                </c:pt>
                <c:pt idx="448">
                  <c:v>4.8599999999999997E-3</c:v>
                </c:pt>
                <c:pt idx="449">
                  <c:v>4.5599999999999998E-3</c:v>
                </c:pt>
                <c:pt idx="450">
                  <c:v>4.5500000000000002E-3</c:v>
                </c:pt>
                <c:pt idx="451">
                  <c:v>4.8999999999999998E-3</c:v>
                </c:pt>
                <c:pt idx="452">
                  <c:v>5.2100000000000002E-3</c:v>
                </c:pt>
                <c:pt idx="453">
                  <c:v>4.96E-3</c:v>
                </c:pt>
                <c:pt idx="454">
                  <c:v>5.0400000000000002E-3</c:v>
                </c:pt>
                <c:pt idx="455">
                  <c:v>4.0899999999999999E-3</c:v>
                </c:pt>
                <c:pt idx="456">
                  <c:v>4.5799999999999999E-3</c:v>
                </c:pt>
                <c:pt idx="457">
                  <c:v>5.0099999999999997E-3</c:v>
                </c:pt>
                <c:pt idx="458">
                  <c:v>5.3200000000000001E-3</c:v>
                </c:pt>
                <c:pt idx="459">
                  <c:v>5.3499999999999997E-3</c:v>
                </c:pt>
                <c:pt idx="460">
                  <c:v>5.6800000000000002E-3</c:v>
                </c:pt>
                <c:pt idx="461">
                  <c:v>5.5799999999999999E-3</c:v>
                </c:pt>
                <c:pt idx="462">
                  <c:v>5.7800000000000004E-3</c:v>
                </c:pt>
                <c:pt idx="463">
                  <c:v>5.64E-3</c:v>
                </c:pt>
                <c:pt idx="464">
                  <c:v>6.0600000000000003E-3</c:v>
                </c:pt>
                <c:pt idx="465">
                  <c:v>6.3099999999999996E-3</c:v>
                </c:pt>
                <c:pt idx="466">
                  <c:v>6.3200000000000001E-3</c:v>
                </c:pt>
                <c:pt idx="467">
                  <c:v>6.4400000000000004E-3</c:v>
                </c:pt>
                <c:pt idx="468">
                  <c:v>6.2300000000000003E-3</c:v>
                </c:pt>
                <c:pt idx="469">
                  <c:v>6.43E-3</c:v>
                </c:pt>
                <c:pt idx="470">
                  <c:v>6.6400000000000001E-3</c:v>
                </c:pt>
                <c:pt idx="471">
                  <c:v>6.9800000000000001E-3</c:v>
                </c:pt>
                <c:pt idx="472">
                  <c:v>6.9800000000000001E-3</c:v>
                </c:pt>
                <c:pt idx="473">
                  <c:v>7.2100000000000003E-3</c:v>
                </c:pt>
                <c:pt idx="474">
                  <c:v>6.9699999999999996E-3</c:v>
                </c:pt>
                <c:pt idx="475">
                  <c:v>7.7499999999999999E-3</c:v>
                </c:pt>
                <c:pt idx="476">
                  <c:v>7.9699999999999997E-3</c:v>
                </c:pt>
                <c:pt idx="477">
                  <c:v>6.5300000000000002E-3</c:v>
                </c:pt>
                <c:pt idx="478">
                  <c:v>6.4900000000000001E-3</c:v>
                </c:pt>
                <c:pt idx="479">
                  <c:v>7.2700000000000004E-3</c:v>
                </c:pt>
                <c:pt idx="480">
                  <c:v>7.77E-3</c:v>
                </c:pt>
                <c:pt idx="481">
                  <c:v>7.77E-3</c:v>
                </c:pt>
                <c:pt idx="482">
                  <c:v>8.8400000000000006E-3</c:v>
                </c:pt>
                <c:pt idx="483">
                  <c:v>7.5300000000000002E-3</c:v>
                </c:pt>
                <c:pt idx="484">
                  <c:v>6.4799999999999996E-3</c:v>
                </c:pt>
                <c:pt idx="485">
                  <c:v>7.0000000000000001E-3</c:v>
                </c:pt>
                <c:pt idx="486">
                  <c:v>7.3899999999999999E-3</c:v>
                </c:pt>
                <c:pt idx="487">
                  <c:v>7.6499999999999997E-3</c:v>
                </c:pt>
                <c:pt idx="488">
                  <c:v>8.3499999999999998E-3</c:v>
                </c:pt>
                <c:pt idx="489">
                  <c:v>8.7100000000000007E-3</c:v>
                </c:pt>
                <c:pt idx="490">
                  <c:v>8.3499999999999998E-3</c:v>
                </c:pt>
                <c:pt idx="491">
                  <c:v>7.45E-3</c:v>
                </c:pt>
                <c:pt idx="492">
                  <c:v>1.056E-2</c:v>
                </c:pt>
                <c:pt idx="493">
                  <c:v>1.23E-2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AD-416E-90EE-588790ECC2D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-228.17191863100041</c:v>
                </c:pt>
                <c:pt idx="1">
                  <c:v>-228.15751924608614</c:v>
                </c:pt>
                <c:pt idx="2">
                  <c:v>-227.7040012103302</c:v>
                </c:pt>
                <c:pt idx="3">
                  <c:v>-227.60592424453017</c:v>
                </c:pt>
                <c:pt idx="4">
                  <c:v>-227.72762577265766</c:v>
                </c:pt>
                <c:pt idx="5">
                  <c:v>-227.67508176458495</c:v>
                </c:pt>
                <c:pt idx="6">
                  <c:v>-227.4248945004031</c:v>
                </c:pt>
                <c:pt idx="7">
                  <c:v>-226.30976329311923</c:v>
                </c:pt>
                <c:pt idx="8">
                  <c:v>-225.75155486111922</c:v>
                </c:pt>
                <c:pt idx="9">
                  <c:v>-225.34885197694493</c:v>
                </c:pt>
                <c:pt idx="10">
                  <c:v>-225.3781616752091</c:v>
                </c:pt>
                <c:pt idx="11">
                  <c:v>-222.55913074075852</c:v>
                </c:pt>
                <c:pt idx="12">
                  <c:v>-223.51781510073414</c:v>
                </c:pt>
                <c:pt idx="13">
                  <c:v>-223.42436420225027</c:v>
                </c:pt>
                <c:pt idx="14">
                  <c:v>-223.50365140325022</c:v>
                </c:pt>
                <c:pt idx="15">
                  <c:v>-222.81978463622804</c:v>
                </c:pt>
                <c:pt idx="16">
                  <c:v>-223.12812427366467</c:v>
                </c:pt>
                <c:pt idx="17">
                  <c:v>-223.2053090936837</c:v>
                </c:pt>
                <c:pt idx="18">
                  <c:v>-222.89459062618369</c:v>
                </c:pt>
                <c:pt idx="19">
                  <c:v>-222.91065522428426</c:v>
                </c:pt>
                <c:pt idx="20">
                  <c:v>-219.86225234646605</c:v>
                </c:pt>
                <c:pt idx="21">
                  <c:v>-219.44560543852717</c:v>
                </c:pt>
                <c:pt idx="22">
                  <c:v>-219.33825486112931</c:v>
                </c:pt>
                <c:pt idx="23">
                  <c:v>-219.06707093548223</c:v>
                </c:pt>
                <c:pt idx="24">
                  <c:v>-219.04284526548227</c:v>
                </c:pt>
                <c:pt idx="25">
                  <c:v>-218.8949843194282</c:v>
                </c:pt>
                <c:pt idx="26">
                  <c:v>-219.04779260069137</c:v>
                </c:pt>
                <c:pt idx="27">
                  <c:v>-219.20480838069136</c:v>
                </c:pt>
                <c:pt idx="28">
                  <c:v>-218.99540735290762</c:v>
                </c:pt>
                <c:pt idx="29">
                  <c:v>-218.81072960881815</c:v>
                </c:pt>
                <c:pt idx="30">
                  <c:v>-218.52896676074121</c:v>
                </c:pt>
                <c:pt idx="31">
                  <c:v>-217.52602864343766</c:v>
                </c:pt>
                <c:pt idx="32">
                  <c:v>-217.25598920049029</c:v>
                </c:pt>
                <c:pt idx="33">
                  <c:v>-217.33178776499034</c:v>
                </c:pt>
                <c:pt idx="34">
                  <c:v>-216.21309088392542</c:v>
                </c:pt>
                <c:pt idx="35">
                  <c:v>-215.19974955231839</c:v>
                </c:pt>
                <c:pt idx="36">
                  <c:v>-215.63447624505753</c:v>
                </c:pt>
                <c:pt idx="37">
                  <c:v>-215.17402184958624</c:v>
                </c:pt>
                <c:pt idx="38">
                  <c:v>-215.28510303680144</c:v>
                </c:pt>
                <c:pt idx="39">
                  <c:v>-215.16273891647418</c:v>
                </c:pt>
                <c:pt idx="40">
                  <c:v>-213.75436293967417</c:v>
                </c:pt>
                <c:pt idx="41">
                  <c:v>-212.72272708584853</c:v>
                </c:pt>
                <c:pt idx="42">
                  <c:v>-211.6774322772396</c:v>
                </c:pt>
                <c:pt idx="43">
                  <c:v>-211.18236567030212</c:v>
                </c:pt>
                <c:pt idx="44">
                  <c:v>-211.21973124824902</c:v>
                </c:pt>
                <c:pt idx="45">
                  <c:v>-211.59120062348524</c:v>
                </c:pt>
                <c:pt idx="46">
                  <c:v>-210.83928427393769</c:v>
                </c:pt>
                <c:pt idx="47">
                  <c:v>-210.18529481238664</c:v>
                </c:pt>
                <c:pt idx="48">
                  <c:v>-210.19655742056847</c:v>
                </c:pt>
                <c:pt idx="49">
                  <c:v>-209.62927206634689</c:v>
                </c:pt>
                <c:pt idx="50">
                  <c:v>-208.74183319478249</c:v>
                </c:pt>
                <c:pt idx="51">
                  <c:v>-209.08248655022692</c:v>
                </c:pt>
                <c:pt idx="52">
                  <c:v>-207.38693994349225</c:v>
                </c:pt>
                <c:pt idx="53">
                  <c:v>-204.18668612716868</c:v>
                </c:pt>
                <c:pt idx="54">
                  <c:v>-203.32337775721263</c:v>
                </c:pt>
                <c:pt idx="55">
                  <c:v>-203.54738717981652</c:v>
                </c:pt>
                <c:pt idx="56">
                  <c:v>-202.60254733793653</c:v>
                </c:pt>
                <c:pt idx="57">
                  <c:v>-202.62416879673782</c:v>
                </c:pt>
                <c:pt idx="58">
                  <c:v>-202.07822442355413</c:v>
                </c:pt>
                <c:pt idx="59">
                  <c:v>-199.83409225169896</c:v>
                </c:pt>
                <c:pt idx="60">
                  <c:v>-200.0780682193656</c:v>
                </c:pt>
                <c:pt idx="61">
                  <c:v>-201.27431231997139</c:v>
                </c:pt>
                <c:pt idx="62">
                  <c:v>-200.8851913151438</c:v>
                </c:pt>
                <c:pt idx="63">
                  <c:v>-198.49301325445674</c:v>
                </c:pt>
                <c:pt idx="64">
                  <c:v>-198.98147196420672</c:v>
                </c:pt>
                <c:pt idx="65">
                  <c:v>-198.26577323391734</c:v>
                </c:pt>
                <c:pt idx="66">
                  <c:v>-204.07208769401441</c:v>
                </c:pt>
                <c:pt idx="67">
                  <c:v>-202.92889946998039</c:v>
                </c:pt>
                <c:pt idx="68">
                  <c:v>-200.67050888828595</c:v>
                </c:pt>
                <c:pt idx="69">
                  <c:v>-202.73139612855621</c:v>
                </c:pt>
                <c:pt idx="70">
                  <c:v>-201.46692537954885</c:v>
                </c:pt>
                <c:pt idx="71">
                  <c:v>-199.53966472079398</c:v>
                </c:pt>
                <c:pt idx="72">
                  <c:v>-200.36022722543805</c:v>
                </c:pt>
                <c:pt idx="73">
                  <c:v>-198.02255204158831</c:v>
                </c:pt>
                <c:pt idx="74">
                  <c:v>-194.48481156693271</c:v>
                </c:pt>
                <c:pt idx="75">
                  <c:v>-173.82493999986647</c:v>
                </c:pt>
                <c:pt idx="76">
                  <c:v>-164.56140981662773</c:v>
                </c:pt>
                <c:pt idx="77">
                  <c:v>-164.3408883610492</c:v>
                </c:pt>
                <c:pt idx="78">
                  <c:v>-164.40823106089113</c:v>
                </c:pt>
                <c:pt idx="79">
                  <c:v>-163.54684056190183</c:v>
                </c:pt>
                <c:pt idx="80">
                  <c:v>-161.41414981540186</c:v>
                </c:pt>
                <c:pt idx="81">
                  <c:v>-160.53886851787172</c:v>
                </c:pt>
                <c:pt idx="82">
                  <c:v>-157.87622740582523</c:v>
                </c:pt>
                <c:pt idx="83">
                  <c:v>-157.4772118095899</c:v>
                </c:pt>
                <c:pt idx="84">
                  <c:v>-156.86943368156079</c:v>
                </c:pt>
                <c:pt idx="85">
                  <c:v>-157.1941371834894</c:v>
                </c:pt>
                <c:pt idx="86">
                  <c:v>-156.38302431177425</c:v>
                </c:pt>
                <c:pt idx="87">
                  <c:v>-157.03486514748232</c:v>
                </c:pt>
                <c:pt idx="88">
                  <c:v>-156.76233349847578</c:v>
                </c:pt>
                <c:pt idx="89">
                  <c:v>-155.94788663553462</c:v>
                </c:pt>
                <c:pt idx="90">
                  <c:v>-154.21894711904309</c:v>
                </c:pt>
                <c:pt idx="91">
                  <c:v>-153.1880019875104</c:v>
                </c:pt>
                <c:pt idx="92">
                  <c:v>-151.07829135913698</c:v>
                </c:pt>
                <c:pt idx="93">
                  <c:v>-144.2088138268407</c:v>
                </c:pt>
                <c:pt idx="94">
                  <c:v>-137.50200901927278</c:v>
                </c:pt>
                <c:pt idx="95">
                  <c:v>-136.68242009783935</c:v>
                </c:pt>
                <c:pt idx="96">
                  <c:v>-131.27585957122338</c:v>
                </c:pt>
                <c:pt idx="97">
                  <c:v>-129.5028631822095</c:v>
                </c:pt>
                <c:pt idx="98">
                  <c:v>-129.23192348182278</c:v>
                </c:pt>
                <c:pt idx="99">
                  <c:v>-127.38236034404017</c:v>
                </c:pt>
                <c:pt idx="100">
                  <c:v>-126.56561364580017</c:v>
                </c:pt>
                <c:pt idx="101">
                  <c:v>-125.73256673720709</c:v>
                </c:pt>
                <c:pt idx="102">
                  <c:v>-122.42721703813355</c:v>
                </c:pt>
                <c:pt idx="103">
                  <c:v>-114.24561411133486</c:v>
                </c:pt>
                <c:pt idx="104">
                  <c:v>-125.63180843993963</c:v>
                </c:pt>
                <c:pt idx="105">
                  <c:v>-126.4711727652643</c:v>
                </c:pt>
                <c:pt idx="106">
                  <c:v>-125.81659407615319</c:v>
                </c:pt>
                <c:pt idx="107">
                  <c:v>-126.38883092198655</c:v>
                </c:pt>
                <c:pt idx="108">
                  <c:v>-126.76481965000455</c:v>
                </c:pt>
                <c:pt idx="109">
                  <c:v>-126.59991145214741</c:v>
                </c:pt>
                <c:pt idx="110">
                  <c:v>-125.90196047464177</c:v>
                </c:pt>
                <c:pt idx="111">
                  <c:v>-125.58516603589179</c:v>
                </c:pt>
                <c:pt idx="112">
                  <c:v>-125.13341380811401</c:v>
                </c:pt>
                <c:pt idx="113">
                  <c:v>-125.28646192944736</c:v>
                </c:pt>
                <c:pt idx="114">
                  <c:v>-126.21307880706274</c:v>
                </c:pt>
                <c:pt idx="115">
                  <c:v>-126.59806456829608</c:v>
                </c:pt>
                <c:pt idx="116">
                  <c:v>-126.84058057773002</c:v>
                </c:pt>
                <c:pt idx="117">
                  <c:v>-126.6189179563586</c:v>
                </c:pt>
                <c:pt idx="118">
                  <c:v>-126.08209264561391</c:v>
                </c:pt>
                <c:pt idx="119">
                  <c:v>-126.92603610591581</c:v>
                </c:pt>
                <c:pt idx="120">
                  <c:v>-126.94102054354688</c:v>
                </c:pt>
                <c:pt idx="121">
                  <c:v>-126.75362297440991</c:v>
                </c:pt>
                <c:pt idx="122">
                  <c:v>-125.56540915584802</c:v>
                </c:pt>
                <c:pt idx="123">
                  <c:v>-124.35524485758003</c:v>
                </c:pt>
                <c:pt idx="124">
                  <c:v>-124.041530528297</c:v>
                </c:pt>
                <c:pt idx="125">
                  <c:v>-123.60324397239785</c:v>
                </c:pt>
                <c:pt idx="126">
                  <c:v>-123.2104087069587</c:v>
                </c:pt>
                <c:pt idx="127">
                  <c:v>-123.1449468009248</c:v>
                </c:pt>
                <c:pt idx="128">
                  <c:v>-123.85855294549624</c:v>
                </c:pt>
                <c:pt idx="129">
                  <c:v>-123.10867078424133</c:v>
                </c:pt>
                <c:pt idx="130">
                  <c:v>-122.97272644224132</c:v>
                </c:pt>
                <c:pt idx="131">
                  <c:v>-122.42019868158914</c:v>
                </c:pt>
                <c:pt idx="132">
                  <c:v>-121.13032247301771</c:v>
                </c:pt>
                <c:pt idx="133">
                  <c:v>-117.88075979216349</c:v>
                </c:pt>
                <c:pt idx="134">
                  <c:v>-115.9753579140968</c:v>
                </c:pt>
                <c:pt idx="135">
                  <c:v>-116.07419447161628</c:v>
                </c:pt>
                <c:pt idx="136">
                  <c:v>-116.43923947344486</c:v>
                </c:pt>
                <c:pt idx="137">
                  <c:v>-116.12142041958965</c:v>
                </c:pt>
                <c:pt idx="138">
                  <c:v>-115.91426939540155</c:v>
                </c:pt>
                <c:pt idx="139">
                  <c:v>-116.00204962640154</c:v>
                </c:pt>
                <c:pt idx="140">
                  <c:v>-115.64124155192536</c:v>
                </c:pt>
                <c:pt idx="141">
                  <c:v>-115.92929073108324</c:v>
                </c:pt>
                <c:pt idx="142">
                  <c:v>-116.06994731877685</c:v>
                </c:pt>
                <c:pt idx="143">
                  <c:v>-115.16137304921656</c:v>
                </c:pt>
                <c:pt idx="144">
                  <c:v>-118.10026897121656</c:v>
                </c:pt>
                <c:pt idx="145">
                  <c:v>-118.5873312259975</c:v>
                </c:pt>
                <c:pt idx="146">
                  <c:v>-118.47426682312408</c:v>
                </c:pt>
                <c:pt idx="147">
                  <c:v>-117.91221018076044</c:v>
                </c:pt>
                <c:pt idx="148">
                  <c:v>-118.38775703253823</c:v>
                </c:pt>
                <c:pt idx="149">
                  <c:v>-118.94281297031507</c:v>
                </c:pt>
                <c:pt idx="150">
                  <c:v>-118.62793540305925</c:v>
                </c:pt>
                <c:pt idx="151">
                  <c:v>-118.34020700718654</c:v>
                </c:pt>
                <c:pt idx="152">
                  <c:v>-118.39219822797376</c:v>
                </c:pt>
                <c:pt idx="153">
                  <c:v>-118.15975223659538</c:v>
                </c:pt>
                <c:pt idx="154">
                  <c:v>-118.84983225415738</c:v>
                </c:pt>
                <c:pt idx="155">
                  <c:v>-118.16283394205692</c:v>
                </c:pt>
                <c:pt idx="156">
                  <c:v>-118.81662926998375</c:v>
                </c:pt>
                <c:pt idx="157">
                  <c:v>-118.33939512731708</c:v>
                </c:pt>
                <c:pt idx="158">
                  <c:v>-117.68007725019709</c:v>
                </c:pt>
                <c:pt idx="159">
                  <c:v>-117.61875891009453</c:v>
                </c:pt>
                <c:pt idx="160">
                  <c:v>-117.75677416534919</c:v>
                </c:pt>
                <c:pt idx="161">
                  <c:v>-118.12906555211109</c:v>
                </c:pt>
                <c:pt idx="162">
                  <c:v>-119.58309443884347</c:v>
                </c:pt>
                <c:pt idx="163">
                  <c:v>-119.07644951153144</c:v>
                </c:pt>
                <c:pt idx="164">
                  <c:v>-118.38123664085872</c:v>
                </c:pt>
                <c:pt idx="165">
                  <c:v>-117.2521559989644</c:v>
                </c:pt>
                <c:pt idx="166">
                  <c:v>-115.2651960878772</c:v>
                </c:pt>
                <c:pt idx="167">
                  <c:v>-115.35423302105288</c:v>
                </c:pt>
                <c:pt idx="168">
                  <c:v>-115.9470238666745</c:v>
                </c:pt>
                <c:pt idx="169">
                  <c:v>-116.02189397447449</c:v>
                </c:pt>
                <c:pt idx="170">
                  <c:v>-115.084726464219</c:v>
                </c:pt>
                <c:pt idx="171">
                  <c:v>-114.02722334088872</c:v>
                </c:pt>
                <c:pt idx="172">
                  <c:v>-110.59361085850016</c:v>
                </c:pt>
                <c:pt idx="173">
                  <c:v>-109.86461799772108</c:v>
                </c:pt>
                <c:pt idx="174">
                  <c:v>-111.59446702947866</c:v>
                </c:pt>
                <c:pt idx="175">
                  <c:v>-109.7388340742834</c:v>
                </c:pt>
                <c:pt idx="176">
                  <c:v>-110.65536168659109</c:v>
                </c:pt>
                <c:pt idx="177">
                  <c:v>-111.2440938683776</c:v>
                </c:pt>
                <c:pt idx="178">
                  <c:v>-110.56075033721483</c:v>
                </c:pt>
                <c:pt idx="179">
                  <c:v>-109.04196859078624</c:v>
                </c:pt>
                <c:pt idx="180">
                  <c:v>-108.918071220198</c:v>
                </c:pt>
                <c:pt idx="181">
                  <c:v>-108.73147979288871</c:v>
                </c:pt>
                <c:pt idx="182">
                  <c:v>-109.30334901840418</c:v>
                </c:pt>
                <c:pt idx="183">
                  <c:v>-109.3140909976899</c:v>
                </c:pt>
                <c:pt idx="184">
                  <c:v>-109.61920853254703</c:v>
                </c:pt>
                <c:pt idx="185">
                  <c:v>-109.40055661870531</c:v>
                </c:pt>
                <c:pt idx="186">
                  <c:v>-108.97722355286923</c:v>
                </c:pt>
                <c:pt idx="187">
                  <c:v>-109.65465107786925</c:v>
                </c:pt>
                <c:pt idx="188">
                  <c:v>-109.74437847070023</c:v>
                </c:pt>
                <c:pt idx="189">
                  <c:v>-110.03767668999053</c:v>
                </c:pt>
                <c:pt idx="190">
                  <c:v>-110.01975418096197</c:v>
                </c:pt>
                <c:pt idx="191">
                  <c:v>-110.35014990783154</c:v>
                </c:pt>
                <c:pt idx="192">
                  <c:v>-109.51748024748889</c:v>
                </c:pt>
                <c:pt idx="193">
                  <c:v>-108.7618926912123</c:v>
                </c:pt>
                <c:pt idx="194">
                  <c:v>-108.88975411234421</c:v>
                </c:pt>
                <c:pt idx="195">
                  <c:v>-108.52884730932095</c:v>
                </c:pt>
                <c:pt idx="196">
                  <c:v>-108.57980052576325</c:v>
                </c:pt>
                <c:pt idx="197">
                  <c:v>-108.57414558539875</c:v>
                </c:pt>
                <c:pt idx="198">
                  <c:v>-108.92682770129397</c:v>
                </c:pt>
                <c:pt idx="199">
                  <c:v>-108.72878910449397</c:v>
                </c:pt>
                <c:pt idx="200">
                  <c:v>-108.68323685830352</c:v>
                </c:pt>
                <c:pt idx="201">
                  <c:v>-108.70049957623533</c:v>
                </c:pt>
                <c:pt idx="202">
                  <c:v>-108.40957485222124</c:v>
                </c:pt>
                <c:pt idx="203">
                  <c:v>-109.11243452649866</c:v>
                </c:pt>
                <c:pt idx="204">
                  <c:v>-108.84299201454213</c:v>
                </c:pt>
                <c:pt idx="205">
                  <c:v>-107.59596072554214</c:v>
                </c:pt>
                <c:pt idx="206">
                  <c:v>-107.49524791467816</c:v>
                </c:pt>
                <c:pt idx="207">
                  <c:v>-107.21533285543903</c:v>
                </c:pt>
                <c:pt idx="208">
                  <c:v>-106.75151597951596</c:v>
                </c:pt>
                <c:pt idx="209">
                  <c:v>-106.89980244654454</c:v>
                </c:pt>
                <c:pt idx="210">
                  <c:v>-107.09771254474273</c:v>
                </c:pt>
                <c:pt idx="211">
                  <c:v>-106.72895630182893</c:v>
                </c:pt>
                <c:pt idx="212">
                  <c:v>-106.77948764894322</c:v>
                </c:pt>
                <c:pt idx="213">
                  <c:v>-106.98370219162894</c:v>
                </c:pt>
                <c:pt idx="214">
                  <c:v>-106.62650079297586</c:v>
                </c:pt>
                <c:pt idx="215">
                  <c:v>-107.08113334179164</c:v>
                </c:pt>
                <c:pt idx="216">
                  <c:v>-107.13545760279165</c:v>
                </c:pt>
                <c:pt idx="217">
                  <c:v>-103.83501074035654</c:v>
                </c:pt>
                <c:pt idx="218">
                  <c:v>-104.28808409435655</c:v>
                </c:pt>
                <c:pt idx="219">
                  <c:v>-105.37534829464998</c:v>
                </c:pt>
                <c:pt idx="220">
                  <c:v>-105.58695847431665</c:v>
                </c:pt>
                <c:pt idx="221">
                  <c:v>-99.690339204811266</c:v>
                </c:pt>
                <c:pt idx="222">
                  <c:v>-100.24811259089736</c:v>
                </c:pt>
                <c:pt idx="223">
                  <c:v>-99.077244637770093</c:v>
                </c:pt>
                <c:pt idx="224">
                  <c:v>-97.558968089010108</c:v>
                </c:pt>
                <c:pt idx="225">
                  <c:v>-96.977597345515065</c:v>
                </c:pt>
                <c:pt idx="226">
                  <c:v>-96.142451854247994</c:v>
                </c:pt>
                <c:pt idx="227">
                  <c:v>-97.944487996879928</c:v>
                </c:pt>
                <c:pt idx="228">
                  <c:v>-97.624567644324358</c:v>
                </c:pt>
                <c:pt idx="229">
                  <c:v>-97.48218266281711</c:v>
                </c:pt>
                <c:pt idx="230">
                  <c:v>-98.156342234442562</c:v>
                </c:pt>
                <c:pt idx="231">
                  <c:v>-96.398655357067554</c:v>
                </c:pt>
                <c:pt idx="232">
                  <c:v>-93.479751270994271</c:v>
                </c:pt>
                <c:pt idx="233">
                  <c:v>-95.128797185832099</c:v>
                </c:pt>
                <c:pt idx="234">
                  <c:v>-94.687054001303594</c:v>
                </c:pt>
                <c:pt idx="235">
                  <c:v>-84.103224737180355</c:v>
                </c:pt>
                <c:pt idx="236">
                  <c:v>-77.045109570120445</c:v>
                </c:pt>
                <c:pt idx="237">
                  <c:v>-76.802500329632636</c:v>
                </c:pt>
                <c:pt idx="238">
                  <c:v>-76.557594903847885</c:v>
                </c:pt>
                <c:pt idx="239">
                  <c:v>-76.951428394617125</c:v>
                </c:pt>
                <c:pt idx="240">
                  <c:v>-77.143367699455837</c:v>
                </c:pt>
                <c:pt idx="241">
                  <c:v>-76.409051876496562</c:v>
                </c:pt>
                <c:pt idx="242">
                  <c:v>-76.780194281228262</c:v>
                </c:pt>
                <c:pt idx="243">
                  <c:v>-76.897197007927289</c:v>
                </c:pt>
                <c:pt idx="244">
                  <c:v>-76.752153719058441</c:v>
                </c:pt>
                <c:pt idx="245">
                  <c:v>-76.442056301340727</c:v>
                </c:pt>
                <c:pt idx="246">
                  <c:v>-76.296927676288092</c:v>
                </c:pt>
                <c:pt idx="247">
                  <c:v>-76.347632260155393</c:v>
                </c:pt>
                <c:pt idx="248">
                  <c:v>-78.044284698970571</c:v>
                </c:pt>
                <c:pt idx="249">
                  <c:v>-79.385017668082085</c:v>
                </c:pt>
                <c:pt idx="250">
                  <c:v>-79.341379970022686</c:v>
                </c:pt>
                <c:pt idx="251">
                  <c:v>-79.351228139129475</c:v>
                </c:pt>
                <c:pt idx="252">
                  <c:v>-78.947784194869243</c:v>
                </c:pt>
                <c:pt idx="253">
                  <c:v>-79.223904307785546</c:v>
                </c:pt>
                <c:pt idx="254">
                  <c:v>-78.522105908420414</c:v>
                </c:pt>
                <c:pt idx="255">
                  <c:v>-78.369667520765546</c:v>
                </c:pt>
                <c:pt idx="256">
                  <c:v>-78.055170535742363</c:v>
                </c:pt>
                <c:pt idx="257">
                  <c:v>-77.948005667686814</c:v>
                </c:pt>
                <c:pt idx="258">
                  <c:v>-77.39019724184088</c:v>
                </c:pt>
                <c:pt idx="259">
                  <c:v>-77.536755077868079</c:v>
                </c:pt>
                <c:pt idx="260">
                  <c:v>-77.335907027083579</c:v>
                </c:pt>
                <c:pt idx="261">
                  <c:v>-76.738016832667427</c:v>
                </c:pt>
                <c:pt idx="262">
                  <c:v>-77.159702589743702</c:v>
                </c:pt>
                <c:pt idx="263">
                  <c:v>-77.129290605931359</c:v>
                </c:pt>
                <c:pt idx="264">
                  <c:v>-76.960576527409017</c:v>
                </c:pt>
                <c:pt idx="265">
                  <c:v>-76.651184099337854</c:v>
                </c:pt>
                <c:pt idx="266">
                  <c:v>-76.426096136733079</c:v>
                </c:pt>
                <c:pt idx="267">
                  <c:v>-75.727733727760111</c:v>
                </c:pt>
                <c:pt idx="268">
                  <c:v>-75.833312894355856</c:v>
                </c:pt>
                <c:pt idx="269">
                  <c:v>-74.943032135992539</c:v>
                </c:pt>
                <c:pt idx="270">
                  <c:v>-75.266366491400831</c:v>
                </c:pt>
                <c:pt idx="271">
                  <c:v>-74.953184892618211</c:v>
                </c:pt>
                <c:pt idx="272">
                  <c:v>-75.222406668438836</c:v>
                </c:pt>
                <c:pt idx="273">
                  <c:v>-75.75904767643884</c:v>
                </c:pt>
                <c:pt idx="274">
                  <c:v>-75.692362406678555</c:v>
                </c:pt>
                <c:pt idx="275">
                  <c:v>-75.511056154262619</c:v>
                </c:pt>
                <c:pt idx="276">
                  <c:v>-75.821238097881519</c:v>
                </c:pt>
                <c:pt idx="277">
                  <c:v>-76.416871930165485</c:v>
                </c:pt>
                <c:pt idx="278">
                  <c:v>-75.985588314771107</c:v>
                </c:pt>
                <c:pt idx="279">
                  <c:v>-76.165237821150129</c:v>
                </c:pt>
                <c:pt idx="280">
                  <c:v>-76.396381057112563</c:v>
                </c:pt>
                <c:pt idx="281">
                  <c:v>-75.759218109998272</c:v>
                </c:pt>
                <c:pt idx="282">
                  <c:v>-70.907083897818723</c:v>
                </c:pt>
                <c:pt idx="283">
                  <c:v>-73.535858606717056</c:v>
                </c:pt>
                <c:pt idx="284">
                  <c:v>-72.294702500371841</c:v>
                </c:pt>
                <c:pt idx="285">
                  <c:v>-71.095051640714914</c:v>
                </c:pt>
                <c:pt idx="286">
                  <c:v>-70.290539313978059</c:v>
                </c:pt>
                <c:pt idx="287">
                  <c:v>-70.071126140378084</c:v>
                </c:pt>
                <c:pt idx="288">
                  <c:v>-69.891070066617843</c:v>
                </c:pt>
                <c:pt idx="289">
                  <c:v>-69.838361131851542</c:v>
                </c:pt>
                <c:pt idx="290">
                  <c:v>-69.980823677699448</c:v>
                </c:pt>
                <c:pt idx="291">
                  <c:v>-69.431024287263824</c:v>
                </c:pt>
                <c:pt idx="292">
                  <c:v>-69.976465066031736</c:v>
                </c:pt>
                <c:pt idx="293">
                  <c:v>-69.381533165387296</c:v>
                </c:pt>
                <c:pt idx="294">
                  <c:v>-69.465563584103506</c:v>
                </c:pt>
                <c:pt idx="295">
                  <c:v>-69.781872755404564</c:v>
                </c:pt>
                <c:pt idx="296">
                  <c:v>-69.088453517475614</c:v>
                </c:pt>
                <c:pt idx="297">
                  <c:v>-68.332241770649276</c:v>
                </c:pt>
                <c:pt idx="298">
                  <c:v>-69.266608484503337</c:v>
                </c:pt>
                <c:pt idx="299">
                  <c:v>-70.630516433764797</c:v>
                </c:pt>
                <c:pt idx="300">
                  <c:v>-69.879581379649792</c:v>
                </c:pt>
                <c:pt idx="301">
                  <c:v>-70.196670624765545</c:v>
                </c:pt>
                <c:pt idx="302">
                  <c:v>-68.190948013098861</c:v>
                </c:pt>
                <c:pt idx="303">
                  <c:v>-70.304070602952805</c:v>
                </c:pt>
                <c:pt idx="304">
                  <c:v>-70.719699068520384</c:v>
                </c:pt>
                <c:pt idx="305">
                  <c:v>-70.776611589999249</c:v>
                </c:pt>
                <c:pt idx="306">
                  <c:v>-70.663011727357457</c:v>
                </c:pt>
                <c:pt idx="307">
                  <c:v>-70.948968277062363</c:v>
                </c:pt>
                <c:pt idx="308">
                  <c:v>-70.890252189597362</c:v>
                </c:pt>
                <c:pt idx="309">
                  <c:v>-69.575299324167446</c:v>
                </c:pt>
                <c:pt idx="310">
                  <c:v>-68.805314606997499</c:v>
                </c:pt>
                <c:pt idx="311">
                  <c:v>-69.096908535167074</c:v>
                </c:pt>
                <c:pt idx="312">
                  <c:v>-68.381018821697197</c:v>
                </c:pt>
                <c:pt idx="313">
                  <c:v>-68.643589228316927</c:v>
                </c:pt>
                <c:pt idx="314">
                  <c:v>-65.911468182879304</c:v>
                </c:pt>
                <c:pt idx="315">
                  <c:v>-65.975388067498599</c:v>
                </c:pt>
                <c:pt idx="316">
                  <c:v>-65.546795599498594</c:v>
                </c:pt>
                <c:pt idx="317">
                  <c:v>-65.713802416833843</c:v>
                </c:pt>
                <c:pt idx="318">
                  <c:v>-67.039238075129802</c:v>
                </c:pt>
                <c:pt idx="319">
                  <c:v>-65.268664629853689</c:v>
                </c:pt>
                <c:pt idx="320">
                  <c:v>-65.041749063787023</c:v>
                </c:pt>
                <c:pt idx="321">
                  <c:v>-65.317544230806007</c:v>
                </c:pt>
                <c:pt idx="322">
                  <c:v>-59.995955917203133</c:v>
                </c:pt>
                <c:pt idx="323">
                  <c:v>-69.666239665275569</c:v>
                </c:pt>
                <c:pt idx="324">
                  <c:v>-69.343988831906756</c:v>
                </c:pt>
                <c:pt idx="325">
                  <c:v>-69.737936332348426</c:v>
                </c:pt>
                <c:pt idx="326">
                  <c:v>-69.859366980464358</c:v>
                </c:pt>
                <c:pt idx="327">
                  <c:v>-70.550032229491393</c:v>
                </c:pt>
                <c:pt idx="328">
                  <c:v>-70.181640702454345</c:v>
                </c:pt>
                <c:pt idx="329">
                  <c:v>-70.39775720798994</c:v>
                </c:pt>
                <c:pt idx="330">
                  <c:v>-70.370090404159825</c:v>
                </c:pt>
                <c:pt idx="331">
                  <c:v>-71.001350130723196</c:v>
                </c:pt>
                <c:pt idx="332">
                  <c:v>-70.822568818268664</c:v>
                </c:pt>
                <c:pt idx="333">
                  <c:v>-71.766140847245339</c:v>
                </c:pt>
                <c:pt idx="334">
                  <c:v>-71.5839808125762</c:v>
                </c:pt>
                <c:pt idx="335">
                  <c:v>-71.496051498803013</c:v>
                </c:pt>
                <c:pt idx="336">
                  <c:v>-71.355358118033777</c:v>
                </c:pt>
                <c:pt idx="337">
                  <c:v>-70.733844018033778</c:v>
                </c:pt>
                <c:pt idx="338">
                  <c:v>-70.53264974845824</c:v>
                </c:pt>
                <c:pt idx="339">
                  <c:v>-70.03660403426565</c:v>
                </c:pt>
                <c:pt idx="340">
                  <c:v>-69.098304976411796</c:v>
                </c:pt>
                <c:pt idx="341">
                  <c:v>-69.173941181548471</c:v>
                </c:pt>
                <c:pt idx="342">
                  <c:v>-68.407361285879972</c:v>
                </c:pt>
                <c:pt idx="343">
                  <c:v>-67.831032507176275</c:v>
                </c:pt>
                <c:pt idx="344">
                  <c:v>-67.926335389587848</c:v>
                </c:pt>
                <c:pt idx="345">
                  <c:v>-68.168185024059412</c:v>
                </c:pt>
                <c:pt idx="346">
                  <c:v>-67.333903613926068</c:v>
                </c:pt>
                <c:pt idx="347">
                  <c:v>-67.473882792064671</c:v>
                </c:pt>
                <c:pt idx="348">
                  <c:v>-66.890982922695741</c:v>
                </c:pt>
                <c:pt idx="349">
                  <c:v>-67.860468322141898</c:v>
                </c:pt>
                <c:pt idx="350">
                  <c:v>-68.396904221052779</c:v>
                </c:pt>
                <c:pt idx="351">
                  <c:v>-69.496356814563583</c:v>
                </c:pt>
                <c:pt idx="352">
                  <c:v>-70.16376011788104</c:v>
                </c:pt>
                <c:pt idx="353">
                  <c:v>-71.024035966402778</c:v>
                </c:pt>
                <c:pt idx="354">
                  <c:v>-71.149089871927643</c:v>
                </c:pt>
                <c:pt idx="355">
                  <c:v>-70.839743915171113</c:v>
                </c:pt>
                <c:pt idx="356">
                  <c:v>-70.617967095855604</c:v>
                </c:pt>
                <c:pt idx="357">
                  <c:v>-71.341123990099518</c:v>
                </c:pt>
                <c:pt idx="358">
                  <c:v>-71.018634135866492</c:v>
                </c:pt>
                <c:pt idx="359">
                  <c:v>-71.318493984209866</c:v>
                </c:pt>
                <c:pt idx="360">
                  <c:v>-71.522535137391699</c:v>
                </c:pt>
                <c:pt idx="361">
                  <c:v>-70.910663169391682</c:v>
                </c:pt>
                <c:pt idx="362">
                  <c:v>-71.025023528677409</c:v>
                </c:pt>
                <c:pt idx="363">
                  <c:v>-70.657795550935461</c:v>
                </c:pt>
                <c:pt idx="364">
                  <c:v>-66.109719342486869</c:v>
                </c:pt>
                <c:pt idx="365">
                  <c:v>-66.519102925626399</c:v>
                </c:pt>
                <c:pt idx="366">
                  <c:v>-66.321869374613058</c:v>
                </c:pt>
                <c:pt idx="367">
                  <c:v>-66.56120453240969</c:v>
                </c:pt>
                <c:pt idx="368">
                  <c:v>-66.318665922452226</c:v>
                </c:pt>
                <c:pt idx="369">
                  <c:v>-66.086350757129651</c:v>
                </c:pt>
                <c:pt idx="370">
                  <c:v>-65.935988041107677</c:v>
                </c:pt>
                <c:pt idx="371">
                  <c:v>-66.109637336913238</c:v>
                </c:pt>
                <c:pt idx="372">
                  <c:v>-65.678091561924461</c:v>
                </c:pt>
                <c:pt idx="373">
                  <c:v>-65.976737582285296</c:v>
                </c:pt>
                <c:pt idx="374">
                  <c:v>-65.713747207621282</c:v>
                </c:pt>
                <c:pt idx="375">
                  <c:v>-65.939471186790769</c:v>
                </c:pt>
                <c:pt idx="376">
                  <c:v>-65.691853054161157</c:v>
                </c:pt>
                <c:pt idx="377">
                  <c:v>-65.528942516827811</c:v>
                </c:pt>
                <c:pt idx="378">
                  <c:v>-65.626113417932103</c:v>
                </c:pt>
                <c:pt idx="379">
                  <c:v>-65.475261574265446</c:v>
                </c:pt>
                <c:pt idx="380">
                  <c:v>-65.7011979164308</c:v>
                </c:pt>
                <c:pt idx="381">
                  <c:v>-65.270778493403554</c:v>
                </c:pt>
                <c:pt idx="382">
                  <c:v>-65.594417044148457</c:v>
                </c:pt>
                <c:pt idx="383">
                  <c:v>-65.30420534389846</c:v>
                </c:pt>
                <c:pt idx="384">
                  <c:v>-65.174340827036161</c:v>
                </c:pt>
                <c:pt idx="385">
                  <c:v>-65.078615558645907</c:v>
                </c:pt>
                <c:pt idx="386">
                  <c:v>-64.713369630341333</c:v>
                </c:pt>
                <c:pt idx="387">
                  <c:v>-64.674756398776978</c:v>
                </c:pt>
                <c:pt idx="388">
                  <c:v>-64.616478292954753</c:v>
                </c:pt>
                <c:pt idx="389">
                  <c:v>-64.637074640127182</c:v>
                </c:pt>
                <c:pt idx="390">
                  <c:v>-64.533657040798502</c:v>
                </c:pt>
                <c:pt idx="391">
                  <c:v>-64.153187882047462</c:v>
                </c:pt>
                <c:pt idx="392">
                  <c:v>-62.944173097378538</c:v>
                </c:pt>
                <c:pt idx="393">
                  <c:v>-63.509226892378535</c:v>
                </c:pt>
                <c:pt idx="394">
                  <c:v>-63.387024973353114</c:v>
                </c:pt>
                <c:pt idx="395">
                  <c:v>-63.523649530945924</c:v>
                </c:pt>
                <c:pt idx="396">
                  <c:v>-62.720190583028682</c:v>
                </c:pt>
                <c:pt idx="397">
                  <c:v>-62.330490327266631</c:v>
                </c:pt>
                <c:pt idx="398">
                  <c:v>-61.093422080516632</c:v>
                </c:pt>
                <c:pt idx="399">
                  <c:v>-56.568960389062092</c:v>
                </c:pt>
                <c:pt idx="400">
                  <c:v>-55.923344204022726</c:v>
                </c:pt>
                <c:pt idx="401">
                  <c:v>-54.336522205334525</c:v>
                </c:pt>
                <c:pt idx="402">
                  <c:v>-52.52078900786821</c:v>
                </c:pt>
                <c:pt idx="403">
                  <c:v>-42.545333439065125</c:v>
                </c:pt>
                <c:pt idx="404">
                  <c:v>-23.786686617507918</c:v>
                </c:pt>
                <c:pt idx="405">
                  <c:v>-23.505196875660463</c:v>
                </c:pt>
                <c:pt idx="406">
                  <c:v>-23.651169437955541</c:v>
                </c:pt>
                <c:pt idx="407">
                  <c:v>-23.466711254322629</c:v>
                </c:pt>
                <c:pt idx="408">
                  <c:v>-23.212321137074923</c:v>
                </c:pt>
                <c:pt idx="409">
                  <c:v>-22.997786368133752</c:v>
                </c:pt>
                <c:pt idx="410">
                  <c:v>-22.687380391133747</c:v>
                </c:pt>
                <c:pt idx="411">
                  <c:v>-21.734063524979902</c:v>
                </c:pt>
                <c:pt idx="412">
                  <c:v>-14.230048351154398</c:v>
                </c:pt>
                <c:pt idx="413">
                  <c:v>-13.401607613251961</c:v>
                </c:pt>
                <c:pt idx="414">
                  <c:v>-13.431786501823389</c:v>
                </c:pt>
                <c:pt idx="415">
                  <c:v>-13.523548743244442</c:v>
                </c:pt>
                <c:pt idx="416">
                  <c:v>-12.505341819031846</c:v>
                </c:pt>
                <c:pt idx="417">
                  <c:v>-12.555455326801079</c:v>
                </c:pt>
                <c:pt idx="418">
                  <c:v>-12.533491859287565</c:v>
                </c:pt>
                <c:pt idx="419">
                  <c:v>-12.560988761537565</c:v>
                </c:pt>
                <c:pt idx="420">
                  <c:v>-12.481138249037564</c:v>
                </c:pt>
                <c:pt idx="421">
                  <c:v>-12.420467531422178</c:v>
                </c:pt>
                <c:pt idx="422">
                  <c:v>-12.228933145069236</c:v>
                </c:pt>
                <c:pt idx="423">
                  <c:v>-12.169041131915391</c:v>
                </c:pt>
                <c:pt idx="424">
                  <c:v>-12.228808174526501</c:v>
                </c:pt>
                <c:pt idx="425">
                  <c:v>-12.228808174526501</c:v>
                </c:pt>
                <c:pt idx="426">
                  <c:v>-12.255783010033351</c:v>
                </c:pt>
                <c:pt idx="427">
                  <c:v>-12.449677200507033</c:v>
                </c:pt>
                <c:pt idx="428">
                  <c:v>-12.389297085683504</c:v>
                </c:pt>
                <c:pt idx="429">
                  <c:v>-12.326030417683503</c:v>
                </c:pt>
                <c:pt idx="430">
                  <c:v>-12.108973966806309</c:v>
                </c:pt>
                <c:pt idx="431">
                  <c:v>-11.926073675719351</c:v>
                </c:pt>
                <c:pt idx="432">
                  <c:v>-11.844951508819351</c:v>
                </c:pt>
                <c:pt idx="433">
                  <c:v>-11.920864154377908</c:v>
                </c:pt>
                <c:pt idx="434">
                  <c:v>-11.92536627560518</c:v>
                </c:pt>
                <c:pt idx="435">
                  <c:v>-11.860348009890895</c:v>
                </c:pt>
                <c:pt idx="436">
                  <c:v>-11.860348009890895</c:v>
                </c:pt>
                <c:pt idx="437">
                  <c:v>-12.004780655379083</c:v>
                </c:pt>
                <c:pt idx="438">
                  <c:v>-12.112966960879083</c:v>
                </c:pt>
                <c:pt idx="439">
                  <c:v>-12.039262267962414</c:v>
                </c:pt>
                <c:pt idx="440">
                  <c:v>-11.870573001962416</c:v>
                </c:pt>
                <c:pt idx="441">
                  <c:v>-11.763185315450787</c:v>
                </c:pt>
                <c:pt idx="442">
                  <c:v>-11.011821040848378</c:v>
                </c:pt>
                <c:pt idx="443">
                  <c:v>-10.82681197975516</c:v>
                </c:pt>
                <c:pt idx="444">
                  <c:v>-11.093961108903306</c:v>
                </c:pt>
                <c:pt idx="445">
                  <c:v>-10.987030441903306</c:v>
                </c:pt>
                <c:pt idx="446">
                  <c:v>-10.992809556871046</c:v>
                </c:pt>
                <c:pt idx="447">
                  <c:v>-10.834299327953522</c:v>
                </c:pt>
                <c:pt idx="448">
                  <c:v>-10.988840234828523</c:v>
                </c:pt>
                <c:pt idx="449">
                  <c:v>-11.073933000908523</c:v>
                </c:pt>
                <c:pt idx="450">
                  <c:v>-11.043356162622807</c:v>
                </c:pt>
                <c:pt idx="451">
                  <c:v>-10.931706114346946</c:v>
                </c:pt>
                <c:pt idx="452">
                  <c:v>-10.71179516258937</c:v>
                </c:pt>
                <c:pt idx="453">
                  <c:v>-10.879482026299048</c:v>
                </c:pt>
                <c:pt idx="454">
                  <c:v>-9.9788421633378075</c:v>
                </c:pt>
                <c:pt idx="455">
                  <c:v>-10.569015267709066</c:v>
                </c:pt>
                <c:pt idx="456">
                  <c:v>-10.360449157058273</c:v>
                </c:pt>
                <c:pt idx="457">
                  <c:v>-10.226256880317532</c:v>
                </c:pt>
                <c:pt idx="458">
                  <c:v>-10.143302923650866</c:v>
                </c:pt>
                <c:pt idx="459">
                  <c:v>-10.096506207161978</c:v>
                </c:pt>
                <c:pt idx="460">
                  <c:v>-10.068572277161977</c:v>
                </c:pt>
                <c:pt idx="461">
                  <c:v>-10.099107312411977</c:v>
                </c:pt>
                <c:pt idx="462">
                  <c:v>-10.054038804192466</c:v>
                </c:pt>
                <c:pt idx="463">
                  <c:v>-9.6455492730732608</c:v>
                </c:pt>
                <c:pt idx="464">
                  <c:v>-9.4490493512065932</c:v>
                </c:pt>
                <c:pt idx="465">
                  <c:v>-9.3514272807009746</c:v>
                </c:pt>
                <c:pt idx="466">
                  <c:v>-9.3156531618774441</c:v>
                </c:pt>
                <c:pt idx="467">
                  <c:v>-9.1743405153774464</c:v>
                </c:pt>
                <c:pt idx="468">
                  <c:v>-8.9619384549144829</c:v>
                </c:pt>
                <c:pt idx="469">
                  <c:v>-8.9093780778618505</c:v>
                </c:pt>
                <c:pt idx="470">
                  <c:v>-8.8715374465460624</c:v>
                </c:pt>
                <c:pt idx="471">
                  <c:v>-8.8313185920460615</c:v>
                </c:pt>
                <c:pt idx="472">
                  <c:v>-8.936611217164705</c:v>
                </c:pt>
                <c:pt idx="473">
                  <c:v>-8.3583632064980389</c:v>
                </c:pt>
                <c:pt idx="474">
                  <c:v>-8.3386639249828871</c:v>
                </c:pt>
                <c:pt idx="475">
                  <c:v>-8.0933472583828863</c:v>
                </c:pt>
                <c:pt idx="476">
                  <c:v>-8.0256258369469897</c:v>
                </c:pt>
                <c:pt idx="477">
                  <c:v>-7.8774863227581768</c:v>
                </c:pt>
                <c:pt idx="478">
                  <c:v>-7.9852928175448445</c:v>
                </c:pt>
                <c:pt idx="479">
                  <c:v>-7.8185990190742567</c:v>
                </c:pt>
                <c:pt idx="480">
                  <c:v>-7.6938933171230373</c:v>
                </c:pt>
                <c:pt idx="481">
                  <c:v>-7.5915975757556904</c:v>
                </c:pt>
                <c:pt idx="482">
                  <c:v>-7.1445420335587206</c:v>
                </c:pt>
                <c:pt idx="483">
                  <c:v>-6.1525531602417054</c:v>
                </c:pt>
                <c:pt idx="484">
                  <c:v>-6.463581069520056</c:v>
                </c:pt>
                <c:pt idx="485">
                  <c:v>-6.2916034848533888</c:v>
                </c:pt>
                <c:pt idx="486">
                  <c:v>-6.1738020610220641</c:v>
                </c:pt>
                <c:pt idx="487">
                  <c:v>-5.8590180250220625</c:v>
                </c:pt>
                <c:pt idx="488">
                  <c:v>-5.6694955380220629</c:v>
                </c:pt>
                <c:pt idx="489">
                  <c:v>-5.2953349925138653</c:v>
                </c:pt>
                <c:pt idx="490">
                  <c:v>-5.3594071346903371</c:v>
                </c:pt>
                <c:pt idx="491">
                  <c:v>-6.0341589650351652</c:v>
                </c:pt>
                <c:pt idx="492">
                  <c:v>-4.5293984606303317</c:v>
                </c:pt>
                <c:pt idx="493">
                  <c:v>-2.999696417023026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AD-416E-90EE-588790ECC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404000"/>
        <c:axId val="507407328"/>
      </c:lineChart>
      <c:dateAx>
        <c:axId val="50740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07328"/>
        <c:crosses val="autoZero"/>
        <c:auto val="1"/>
        <c:lblOffset val="100"/>
        <c:baseTimeUnit val="days"/>
      </c:dateAx>
      <c:valAx>
        <c:axId val="50740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0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CF0FA86-872B-48A0-BC0B-2AF01E89561A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66F44C-E118-4313-A7A7-F94C4D9210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5.1999999999999998E-2</v>
      </c>
      <c r="D2" s="4">
        <f>MIN(D3:D1912)</f>
        <v>3.7299999999999998E-3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1.1379999999999999E-2</v>
      </c>
      <c r="C5">
        <v>1.1440000000000001E-2</v>
      </c>
      <c r="D5">
        <v>1.1089999999999999E-2</v>
      </c>
      <c r="E5">
        <v>1.112E-2</v>
      </c>
      <c r="F5">
        <v>1737856.8</v>
      </c>
      <c r="G5">
        <v>1.112E-2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-0.82857142857142629</v>
      </c>
      <c r="Q5">
        <f t="shared" ref="Q5" si="1">F5*P5</f>
        <v>-1439938.4914285676</v>
      </c>
      <c r="R5">
        <f t="shared" ref="R5" si="2">R6+Q5</f>
        <v>-22817191863.10004</v>
      </c>
      <c r="S5">
        <f t="shared" ref="S5" si="3">R5/100000</f>
        <v>-228171.91863100042</v>
      </c>
      <c r="T5">
        <f t="shared" ref="T5" si="4">S5/1000</f>
        <v>-228.17191863100041</v>
      </c>
    </row>
    <row r="6" spans="1:20" x14ac:dyDescent="0.25">
      <c r="A6" s="5">
        <v>44587</v>
      </c>
      <c r="B6">
        <v>1.1270000000000001E-2</v>
      </c>
      <c r="C6">
        <v>1.234E-2</v>
      </c>
      <c r="D6">
        <v>1.107E-2</v>
      </c>
      <c r="E6">
        <v>1.14E-2</v>
      </c>
      <c r="F6">
        <v>94420968.099999994</v>
      </c>
      <c r="G6">
        <v>1.14E-2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-0.48031496062992068</v>
      </c>
      <c r="Q6">
        <f t="shared" ref="Q6" si="6">F6*P6</f>
        <v>-45351803.575590491</v>
      </c>
      <c r="R6">
        <f t="shared" ref="R6" si="7">R7+Q6</f>
        <v>-22815751924.608612</v>
      </c>
      <c r="S6">
        <f t="shared" ref="S6" si="8">R6/100000</f>
        <v>-228157.51924608613</v>
      </c>
      <c r="T6">
        <f t="shared" ref="T6" si="9">S6/1000</f>
        <v>-228.15751924608614</v>
      </c>
    </row>
    <row r="7" spans="1:20" x14ac:dyDescent="0.25">
      <c r="A7" s="5">
        <v>44586</v>
      </c>
      <c r="B7">
        <v>1.141E-2</v>
      </c>
      <c r="C7">
        <v>1.167E-2</v>
      </c>
      <c r="D7">
        <v>1.102E-2</v>
      </c>
      <c r="E7">
        <v>1.128E-2</v>
      </c>
      <c r="F7">
        <v>49038482.899999999</v>
      </c>
      <c r="G7">
        <v>1.128E-2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-0.2</v>
      </c>
      <c r="Q7">
        <f t="shared" ref="Q7" si="11">F7*P7</f>
        <v>-9807696.5800000001</v>
      </c>
      <c r="R7">
        <f t="shared" ref="R7" si="12">R8+Q7</f>
        <v>-22770400121.03302</v>
      </c>
      <c r="S7">
        <f t="shared" ref="S7" si="13">R7/100000</f>
        <v>-227704.0012103302</v>
      </c>
      <c r="T7">
        <f t="shared" ref="T7" si="14">S7/1000</f>
        <v>-227.7040012103302</v>
      </c>
    </row>
    <row r="8" spans="1:20" x14ac:dyDescent="0.25">
      <c r="A8" s="5">
        <v>44585</v>
      </c>
      <c r="B8">
        <v>1.251E-2</v>
      </c>
      <c r="C8">
        <v>1.251E-2</v>
      </c>
      <c r="D8">
        <v>0.01</v>
      </c>
      <c r="E8">
        <v>1.1429999999999999E-2</v>
      </c>
      <c r="F8">
        <v>87277381.599999994</v>
      </c>
      <c r="G8">
        <v>1.1429999999999999E-2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0.13944223107569637</v>
      </c>
      <c r="Q8">
        <f t="shared" ref="Q8" si="16">F8*P8</f>
        <v>12170152.812748929</v>
      </c>
      <c r="R8">
        <f t="shared" ref="R8" si="17">R9+Q8</f>
        <v>-22760592424.453018</v>
      </c>
      <c r="S8">
        <f t="shared" ref="S8" si="18">R8/100000</f>
        <v>-227605.92424453018</v>
      </c>
      <c r="T8">
        <f t="shared" ref="T8" si="19">S8/1000</f>
        <v>-227.60592424453017</v>
      </c>
    </row>
    <row r="9" spans="1:20" x14ac:dyDescent="0.25">
      <c r="A9" s="5">
        <v>44584</v>
      </c>
      <c r="B9">
        <v>1.201E-2</v>
      </c>
      <c r="C9">
        <v>1.3100000000000001E-2</v>
      </c>
      <c r="D9">
        <v>1.2E-2</v>
      </c>
      <c r="E9">
        <v>1.251E-2</v>
      </c>
      <c r="F9">
        <v>72248011.099999994</v>
      </c>
      <c r="G9">
        <v>1.251E-2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-7.2727272727272904E-2</v>
      </c>
      <c r="Q9">
        <f t="shared" ref="Q9" si="21">F9*P9</f>
        <v>-5254400.8072727397</v>
      </c>
      <c r="R9">
        <f t="shared" ref="R9" si="22">R10+Q9</f>
        <v>-22772762577.265766</v>
      </c>
      <c r="S9">
        <f t="shared" ref="S9" si="23">R9/100000</f>
        <v>-227727.62577265766</v>
      </c>
      <c r="T9">
        <f t="shared" ref="T9" si="24">S9/1000</f>
        <v>-227.72762577265766</v>
      </c>
    </row>
    <row r="10" spans="1:20" x14ac:dyDescent="0.25">
      <c r="A10" s="5">
        <v>44583</v>
      </c>
      <c r="B10">
        <v>1.2109999999999999E-2</v>
      </c>
      <c r="C10">
        <v>1.2999999999999999E-2</v>
      </c>
      <c r="D10">
        <v>1.1350000000000001E-2</v>
      </c>
      <c r="E10">
        <v>1.2019999999999999E-2</v>
      </c>
      <c r="F10">
        <v>133164189</v>
      </c>
      <c r="G10">
        <v>1.2019999999999999E-2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-0.18787878787878878</v>
      </c>
      <c r="Q10">
        <f t="shared" ref="Q10" si="26">F10*P10</f>
        <v>-25018726.418181937</v>
      </c>
      <c r="R10">
        <f t="shared" ref="R10" si="27">R11+Q10</f>
        <v>-22767508176.458492</v>
      </c>
      <c r="S10">
        <f t="shared" ref="S10" si="28">R10/100000</f>
        <v>-227675.08176458493</v>
      </c>
      <c r="T10">
        <f t="shared" ref="T10" si="29">S10/1000</f>
        <v>-227.67508176458495</v>
      </c>
    </row>
    <row r="11" spans="1:20" x14ac:dyDescent="0.25">
      <c r="A11" s="5">
        <v>44582</v>
      </c>
      <c r="B11">
        <v>1.4019999999999999E-2</v>
      </c>
      <c r="C11">
        <v>1.4290000000000001E-2</v>
      </c>
      <c r="D11">
        <v>1.2E-2</v>
      </c>
      <c r="E11">
        <v>1.214E-2</v>
      </c>
      <c r="F11">
        <v>127047286.8</v>
      </c>
      <c r="G11">
        <v>1.214E-2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-0.87772925764192189</v>
      </c>
      <c r="Q11">
        <f t="shared" ref="Q11" si="31">F11*P11</f>
        <v>-111513120.72838435</v>
      </c>
      <c r="R11">
        <f t="shared" ref="R11" si="32">R12+Q11</f>
        <v>-22742489450.04031</v>
      </c>
      <c r="S11">
        <f t="shared" ref="S11" si="33">R11/100000</f>
        <v>-227424.89450040311</v>
      </c>
      <c r="T11">
        <f t="shared" ref="T11" si="34">S11/1000</f>
        <v>-227.4248945004031</v>
      </c>
    </row>
    <row r="12" spans="1:20" x14ac:dyDescent="0.25">
      <c r="A12" s="5">
        <v>44581</v>
      </c>
      <c r="B12">
        <v>1.4109999999999999E-2</v>
      </c>
      <c r="C12">
        <v>1.502E-2</v>
      </c>
      <c r="D12">
        <v>1.4E-2</v>
      </c>
      <c r="E12">
        <v>1.4E-2</v>
      </c>
      <c r="F12">
        <v>55820843.200000003</v>
      </c>
      <c r="G12">
        <v>1.4E-2</v>
      </c>
      <c r="L12" t="s">
        <v>7</v>
      </c>
      <c r="M12" t="s">
        <v>7</v>
      </c>
      <c r="N12" t="s">
        <v>8</v>
      </c>
      <c r="P12">
        <f t="shared" ref="P12" si="35">IF(C12=D12,0,((E12-D12)-(C12-E12))/(C12-D12))</f>
        <v>-1</v>
      </c>
      <c r="Q12">
        <f t="shared" ref="Q12" si="36">F12*P12</f>
        <v>-55820843.200000003</v>
      </c>
      <c r="R12">
        <f t="shared" ref="R12" si="37">R13+Q12</f>
        <v>-22630976329.311924</v>
      </c>
      <c r="S12">
        <f t="shared" ref="S12" si="38">R12/100000</f>
        <v>-226309.76329311923</v>
      </c>
      <c r="T12">
        <f t="shared" ref="T12" si="39">S12/1000</f>
        <v>-226.30976329311923</v>
      </c>
    </row>
    <row r="13" spans="1:20" x14ac:dyDescent="0.25">
      <c r="A13" s="5">
        <v>44580</v>
      </c>
      <c r="B13">
        <v>1.456E-2</v>
      </c>
      <c r="C13">
        <v>1.5010000000000001E-2</v>
      </c>
      <c r="D13">
        <v>1.392E-2</v>
      </c>
      <c r="E13">
        <v>1.409E-2</v>
      </c>
      <c r="F13">
        <v>58526152.5</v>
      </c>
      <c r="G13">
        <v>1.409E-2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-0.68807339449541305</v>
      </c>
      <c r="Q13">
        <f t="shared" ref="Q13" si="41">F13*P13</f>
        <v>-40270288.417431206</v>
      </c>
      <c r="R13">
        <f t="shared" ref="R13" si="42">R14+Q13</f>
        <v>-22575155486.111923</v>
      </c>
      <c r="S13">
        <f t="shared" ref="S13" si="43">R13/100000</f>
        <v>-225751.55486111922</v>
      </c>
      <c r="T13">
        <f t="shared" ref="T13" si="44">S13/1000</f>
        <v>-225.75155486111922</v>
      </c>
    </row>
    <row r="14" spans="1:20" x14ac:dyDescent="0.25">
      <c r="A14" s="5">
        <v>44579</v>
      </c>
      <c r="B14">
        <v>1.487E-2</v>
      </c>
      <c r="C14">
        <v>1.506E-2</v>
      </c>
      <c r="D14">
        <v>1.4E-2</v>
      </c>
      <c r="E14">
        <v>1.455E-2</v>
      </c>
      <c r="F14">
        <v>77670700.400000006</v>
      </c>
      <c r="G14">
        <v>1.455E-2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3.7735849056603869E-2</v>
      </c>
      <c r="Q14">
        <f t="shared" ref="Q14" si="46">F14*P14</f>
        <v>2930969.826415102</v>
      </c>
      <c r="R14">
        <f t="shared" ref="R14" si="47">R15+Q14</f>
        <v>-22534885197.694492</v>
      </c>
      <c r="S14">
        <f t="shared" ref="S14" si="48">R14/100000</f>
        <v>-225348.85197694492</v>
      </c>
      <c r="T14">
        <f t="shared" ref="T14" si="49">S14/1000</f>
        <v>-225.34885197694493</v>
      </c>
    </row>
    <row r="15" spans="1:20" x14ac:dyDescent="0.25">
      <c r="A15" s="5">
        <v>44578</v>
      </c>
      <c r="B15">
        <v>1.677E-2</v>
      </c>
      <c r="C15">
        <v>1.7420000000000001E-2</v>
      </c>
      <c r="D15">
        <v>1.469E-2</v>
      </c>
      <c r="E15">
        <v>1.487E-2</v>
      </c>
      <c r="F15">
        <v>324723816.5</v>
      </c>
      <c r="G15">
        <v>1.487E-2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-0.86813186813186849</v>
      </c>
      <c r="Q15">
        <f t="shared" ref="Q15" si="51">F15*P15</f>
        <v>-281903093.44505507</v>
      </c>
      <c r="R15">
        <f t="shared" ref="R15" si="52">R16+Q15</f>
        <v>-22537816167.520908</v>
      </c>
      <c r="S15">
        <f t="shared" ref="S15" si="53">R15/100000</f>
        <v>-225378.16167520909</v>
      </c>
      <c r="T15">
        <f t="shared" ref="T15" si="54">S15/1000</f>
        <v>-225.3781616752091</v>
      </c>
    </row>
    <row r="16" spans="1:20" x14ac:dyDescent="0.25">
      <c r="A16" s="5">
        <v>44577</v>
      </c>
      <c r="B16">
        <v>1.436E-2</v>
      </c>
      <c r="C16">
        <v>1.8929999999999999E-2</v>
      </c>
      <c r="D16">
        <v>1.401E-2</v>
      </c>
      <c r="E16">
        <v>1.6799999999999999E-2</v>
      </c>
      <c r="F16">
        <v>714655613.79999995</v>
      </c>
      <c r="G16">
        <v>1.6799999999999999E-2</v>
      </c>
      <c r="L16" t="s">
        <v>8</v>
      </c>
      <c r="M16" t="s">
        <v>8</v>
      </c>
      <c r="N16" t="s">
        <v>8</v>
      </c>
      <c r="P16">
        <f t="shared" ref="P16" si="55">IF(C16=D16,0,((E16-D16)-(C16-E16))/(C16-D16))</f>
        <v>0.13414634146341448</v>
      </c>
      <c r="Q16">
        <f t="shared" ref="Q16" si="56">F16*P16</f>
        <v>95868435.997560859</v>
      </c>
      <c r="R16">
        <f t="shared" ref="R16" si="57">R17+Q16</f>
        <v>-22255913074.075851</v>
      </c>
      <c r="S16">
        <f t="shared" ref="S16" si="58">R16/100000</f>
        <v>-222559.13074075853</v>
      </c>
      <c r="T16">
        <f t="shared" ref="T16" si="59">S16/1000</f>
        <v>-222.55913074075852</v>
      </c>
    </row>
    <row r="17" spans="1:20" x14ac:dyDescent="0.25">
      <c r="A17" s="5">
        <v>44576</v>
      </c>
      <c r="B17">
        <v>1.4279999999999999E-2</v>
      </c>
      <c r="C17">
        <v>1.472E-2</v>
      </c>
      <c r="D17">
        <v>1.41E-2</v>
      </c>
      <c r="E17">
        <v>1.434E-2</v>
      </c>
      <c r="F17">
        <v>41385397.899999999</v>
      </c>
      <c r="G17">
        <v>1.434E-2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-0.22580645161290214</v>
      </c>
      <c r="Q17">
        <f t="shared" ref="Q17" si="61">F17*P17</f>
        <v>-9345089.8483870514</v>
      </c>
      <c r="R17">
        <f t="shared" ref="R17" si="62">R18+Q17</f>
        <v>-22351781510.073414</v>
      </c>
      <c r="S17">
        <f t="shared" ref="S17" si="63">R17/100000</f>
        <v>-223517.81510073415</v>
      </c>
      <c r="T17">
        <f t="shared" ref="T17" si="64">S17/1000</f>
        <v>-223.51781510073414</v>
      </c>
    </row>
    <row r="18" spans="1:20" x14ac:dyDescent="0.25">
      <c r="A18" s="5">
        <v>44575</v>
      </c>
      <c r="B18">
        <v>1.3950000000000001E-2</v>
      </c>
      <c r="C18">
        <v>1.456E-2</v>
      </c>
      <c r="D18">
        <v>1.3809999999999999E-2</v>
      </c>
      <c r="E18">
        <v>1.426E-2</v>
      </c>
      <c r="F18">
        <v>39643600.5</v>
      </c>
      <c r="G18">
        <v>1.426E-2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0.20000000000000093</v>
      </c>
      <c r="Q18">
        <f t="shared" ref="Q18" si="66">F18*P18</f>
        <v>7928720.1000000369</v>
      </c>
      <c r="R18">
        <f t="shared" ref="R18" si="67">R19+Q18</f>
        <v>-22342436420.225025</v>
      </c>
      <c r="S18">
        <f t="shared" ref="S18" si="68">R18/100000</f>
        <v>-223424.36420225026</v>
      </c>
      <c r="T18">
        <f t="shared" ref="T18" si="69">S18/1000</f>
        <v>-223.42436420225027</v>
      </c>
    </row>
    <row r="19" spans="1:20" x14ac:dyDescent="0.25">
      <c r="A19" s="5">
        <v>44574</v>
      </c>
      <c r="B19">
        <v>1.4789999999999999E-2</v>
      </c>
      <c r="C19">
        <v>1.5270000000000001E-2</v>
      </c>
      <c r="D19">
        <v>1.392E-2</v>
      </c>
      <c r="E19">
        <v>1.3979999999999999E-2</v>
      </c>
      <c r="F19">
        <v>75058547.599999994</v>
      </c>
      <c r="G19">
        <v>1.3979999999999999E-2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-0.9111111111111122</v>
      </c>
      <c r="Q19">
        <f t="shared" ref="Q19" si="71">F19*P19</f>
        <v>-68386676.702222303</v>
      </c>
      <c r="R19">
        <f t="shared" ref="R19" si="72">R20+Q19</f>
        <v>-22350365140.325024</v>
      </c>
      <c r="S19">
        <f t="shared" ref="S19" si="73">R19/100000</f>
        <v>-223503.65140325023</v>
      </c>
      <c r="T19">
        <f t="shared" ref="T19" si="74">S19/1000</f>
        <v>-223.50365140325022</v>
      </c>
    </row>
    <row r="20" spans="1:20" x14ac:dyDescent="0.25">
      <c r="A20" s="5">
        <v>44573</v>
      </c>
      <c r="B20">
        <v>1.4370000000000001E-2</v>
      </c>
      <c r="C20">
        <v>1.489E-2</v>
      </c>
      <c r="D20">
        <v>1.418E-2</v>
      </c>
      <c r="E20">
        <v>1.478E-2</v>
      </c>
      <c r="F20">
        <v>44677784.200000003</v>
      </c>
      <c r="G20">
        <v>1.478E-2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0.69014084507042073</v>
      </c>
      <c r="Q20">
        <f t="shared" ref="Q20" si="76">F20*P20</f>
        <v>30833963.743661892</v>
      </c>
      <c r="R20">
        <f t="shared" ref="R20" si="77">R21+Q20</f>
        <v>-22281978463.622803</v>
      </c>
      <c r="S20">
        <f t="shared" ref="S20" si="78">R20/100000</f>
        <v>-222819.78463622803</v>
      </c>
      <c r="T20">
        <f t="shared" ref="T20" si="79">S20/1000</f>
        <v>-222.81978463622804</v>
      </c>
    </row>
    <row r="21" spans="1:20" x14ac:dyDescent="0.25">
      <c r="A21" s="5">
        <v>44572</v>
      </c>
      <c r="B21">
        <v>1.3849999999999999E-2</v>
      </c>
      <c r="C21">
        <v>1.4800000000000001E-2</v>
      </c>
      <c r="D21">
        <v>1.375E-2</v>
      </c>
      <c r="E21">
        <v>1.434E-2</v>
      </c>
      <c r="F21">
        <v>62341585.399999999</v>
      </c>
      <c r="G21">
        <v>1.434E-2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0.12380952380952365</v>
      </c>
      <c r="Q21">
        <f t="shared" ref="Q21" si="81">F21*P21</f>
        <v>7718482.0019047512</v>
      </c>
      <c r="R21">
        <f t="shared" ref="R21" si="82">R22+Q21</f>
        <v>-22312812427.366467</v>
      </c>
      <c r="S21">
        <f t="shared" ref="S21" si="83">R21/100000</f>
        <v>-223128.12427366467</v>
      </c>
      <c r="T21">
        <f t="shared" ref="T21" si="84">S21/1000</f>
        <v>-223.12812427366467</v>
      </c>
    </row>
    <row r="22" spans="1:20" x14ac:dyDescent="0.25">
      <c r="A22" s="5">
        <v>44571</v>
      </c>
      <c r="B22">
        <v>1.456E-2</v>
      </c>
      <c r="C22">
        <v>1.495E-2</v>
      </c>
      <c r="D22">
        <v>1.3350000000000001E-2</v>
      </c>
      <c r="E22">
        <v>1.3849999999999999E-2</v>
      </c>
      <c r="F22">
        <v>82858258</v>
      </c>
      <c r="G22">
        <v>1.3849999999999999E-2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-0.37500000000000122</v>
      </c>
      <c r="Q22">
        <f t="shared" ref="Q22" si="86">F22*P22</f>
        <v>-31071846.750000101</v>
      </c>
      <c r="R22">
        <f t="shared" ref="R22" si="87">R23+Q22</f>
        <v>-22320530909.36837</v>
      </c>
      <c r="S22">
        <f t="shared" ref="S22" si="88">R22/100000</f>
        <v>-223205.3090936837</v>
      </c>
      <c r="T22">
        <f t="shared" ref="T22" si="89">S22/1000</f>
        <v>-223.2053090936837</v>
      </c>
    </row>
    <row r="23" spans="1:20" x14ac:dyDescent="0.25">
      <c r="A23" s="5">
        <v>44570</v>
      </c>
      <c r="B23">
        <v>1.4160000000000001E-2</v>
      </c>
      <c r="C23">
        <v>1.542E-2</v>
      </c>
      <c r="D23">
        <v>1.363E-2</v>
      </c>
      <c r="E23">
        <v>1.4540000000000001E-2</v>
      </c>
      <c r="F23">
        <v>95852102</v>
      </c>
      <c r="G23">
        <v>1.4540000000000001E-2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1.6759776536314105E-2</v>
      </c>
      <c r="Q23">
        <f t="shared" ref="Q23" si="91">F23*P23</f>
        <v>1606459.8100559863</v>
      </c>
      <c r="R23">
        <f t="shared" ref="R23" si="92">R24+Q23</f>
        <v>-22289459062.61837</v>
      </c>
      <c r="S23">
        <f t="shared" ref="S23" si="93">R23/100000</f>
        <v>-222894.59062618369</v>
      </c>
      <c r="T23">
        <f t="shared" ref="T23" si="94">S23/1000</f>
        <v>-222.89459062618369</v>
      </c>
    </row>
    <row r="24" spans="1:20" x14ac:dyDescent="0.25">
      <c r="A24" s="5">
        <v>44569</v>
      </c>
      <c r="B24">
        <v>1.397E-2</v>
      </c>
      <c r="C24">
        <v>1.7500000000000002E-2</v>
      </c>
      <c r="D24">
        <v>1.376E-2</v>
      </c>
      <c r="E24">
        <v>1.4109999999999999E-2</v>
      </c>
      <c r="F24">
        <v>375033775.10000002</v>
      </c>
      <c r="G24">
        <v>1.4109999999999999E-2</v>
      </c>
      <c r="L24" t="s">
        <v>8</v>
      </c>
      <c r="M24" t="s">
        <v>8</v>
      </c>
      <c r="N24" t="s">
        <v>7</v>
      </c>
      <c r="P24">
        <f t="shared" ref="P24" si="95">IF(C24=D24,0,((E24-D24)-(C24-E24))/(C24-D24))</f>
        <v>-0.81283422459893073</v>
      </c>
      <c r="Q24">
        <f t="shared" ref="Q24" si="96">F24*P24</f>
        <v>-304840287.78181827</v>
      </c>
      <c r="R24">
        <f t="shared" ref="R24" si="97">R25+Q24</f>
        <v>-22291065522.428425</v>
      </c>
      <c r="S24">
        <f t="shared" ref="S24" si="98">R24/100000</f>
        <v>-222910.65522428424</v>
      </c>
      <c r="T24">
        <f t="shared" ref="T24" si="99">S24/1000</f>
        <v>-222.91065522428426</v>
      </c>
    </row>
    <row r="25" spans="1:20" x14ac:dyDescent="0.25">
      <c r="A25" s="5">
        <v>44568</v>
      </c>
      <c r="B25">
        <v>1.511E-2</v>
      </c>
      <c r="C25">
        <v>1.512E-2</v>
      </c>
      <c r="D25">
        <v>1.3809999999999999E-2</v>
      </c>
      <c r="E25">
        <v>1.393E-2</v>
      </c>
      <c r="F25">
        <v>51010042</v>
      </c>
      <c r="G25">
        <v>1.393E-2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-0.81679389312977058</v>
      </c>
      <c r="Q25">
        <f t="shared" ref="Q25" si="101">F25*P25</f>
        <v>-41664690.793893106</v>
      </c>
      <c r="R25">
        <f t="shared" ref="R25" si="102">R26+Q25</f>
        <v>-21986225234.646606</v>
      </c>
      <c r="S25">
        <f t="shared" ref="S25" si="103">R25/100000</f>
        <v>-219862.25234646606</v>
      </c>
      <c r="T25">
        <f t="shared" ref="T25" si="104">S25/1000</f>
        <v>-219.86225234646605</v>
      </c>
    </row>
    <row r="26" spans="1:20" x14ac:dyDescent="0.25">
      <c r="A26" s="5">
        <v>44567</v>
      </c>
      <c r="B26">
        <v>1.5219999999999999E-2</v>
      </c>
      <c r="C26">
        <v>1.5699999999999999E-2</v>
      </c>
      <c r="D26">
        <v>1.477E-2</v>
      </c>
      <c r="E26">
        <v>1.512E-2</v>
      </c>
      <c r="F26">
        <v>43406972.600000001</v>
      </c>
      <c r="G26">
        <v>1.512E-2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-0.24731182795698889</v>
      </c>
      <c r="Q26">
        <f t="shared" ref="Q26" si="106">F26*P26</f>
        <v>-10735057.739784932</v>
      </c>
      <c r="R26">
        <f t="shared" ref="R26" si="107">R27+Q26</f>
        <v>-21944560543.852715</v>
      </c>
      <c r="S26">
        <f t="shared" ref="S26" si="108">R26/100000</f>
        <v>-219445.60543852716</v>
      </c>
      <c r="T26">
        <f t="shared" ref="T26" si="109">S26/1000</f>
        <v>-219.44560543852717</v>
      </c>
    </row>
    <row r="27" spans="1:20" x14ac:dyDescent="0.25">
      <c r="A27" s="5">
        <v>44566</v>
      </c>
      <c r="B27">
        <v>1.6740000000000001E-2</v>
      </c>
      <c r="C27">
        <v>1.7299999999999999E-2</v>
      </c>
      <c r="D27">
        <v>1.4579999999999999E-2</v>
      </c>
      <c r="E27">
        <v>1.5219999999999999E-2</v>
      </c>
      <c r="F27">
        <v>51223630.399999999</v>
      </c>
      <c r="G27">
        <v>1.5219999999999999E-2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-0.52941176470588247</v>
      </c>
      <c r="Q27">
        <f t="shared" ref="Q27" si="111">F27*P27</f>
        <v>-27118392.564705886</v>
      </c>
      <c r="R27">
        <f t="shared" ref="R27" si="112">R28+Q27</f>
        <v>-21933825486.11293</v>
      </c>
      <c r="S27">
        <f t="shared" ref="S27" si="113">R27/100000</f>
        <v>-219338.2548611293</v>
      </c>
      <c r="T27">
        <f t="shared" ref="T27" si="114">S27/1000</f>
        <v>-219.33825486112931</v>
      </c>
    </row>
    <row r="28" spans="1:20" x14ac:dyDescent="0.25">
      <c r="A28" s="5">
        <v>44565</v>
      </c>
      <c r="B28">
        <v>1.6580000000000001E-2</v>
      </c>
      <c r="C28">
        <v>1.7409999999999998E-2</v>
      </c>
      <c r="D28">
        <v>1.6250000000000001E-2</v>
      </c>
      <c r="E28">
        <v>1.6789999999999999E-2</v>
      </c>
      <c r="F28">
        <v>35127221.5</v>
      </c>
      <c r="G28">
        <v>1.6789999999999999E-2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-6.8965517241379615E-2</v>
      </c>
      <c r="Q28">
        <f t="shared" ref="Q28" si="116">F28*P28</f>
        <v>-2422567.0000000107</v>
      </c>
      <c r="R28">
        <f t="shared" ref="R28" si="117">R29+Q28</f>
        <v>-21906707093.548225</v>
      </c>
      <c r="S28">
        <f t="shared" ref="S28" si="118">R28/100000</f>
        <v>-219067.07093548225</v>
      </c>
      <c r="T28">
        <f t="shared" ref="T28" si="119">S28/1000</f>
        <v>-219.06707093548223</v>
      </c>
    </row>
    <row r="29" spans="1:20" x14ac:dyDescent="0.25">
      <c r="A29" s="5">
        <v>44564</v>
      </c>
      <c r="B29">
        <v>1.7299999999999999E-2</v>
      </c>
      <c r="C29">
        <v>1.7440000000000001E-2</v>
      </c>
      <c r="D29">
        <v>1.6330000000000001E-2</v>
      </c>
      <c r="E29">
        <v>1.6590000000000001E-2</v>
      </c>
      <c r="F29">
        <v>27817906.800000001</v>
      </c>
      <c r="G29">
        <v>1.6590000000000001E-2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-0.53153153153153176</v>
      </c>
      <c r="Q29">
        <f t="shared" ref="Q29" si="121">F29*P29</f>
        <v>-14786094.605405413</v>
      </c>
      <c r="R29">
        <f t="shared" ref="R29" si="122">R30+Q29</f>
        <v>-21904284526.548225</v>
      </c>
      <c r="S29">
        <f t="shared" ref="S29" si="123">R29/100000</f>
        <v>-219042.84526548226</v>
      </c>
      <c r="T29">
        <f t="shared" ref="T29" si="124">S29/1000</f>
        <v>-219.04284526548227</v>
      </c>
    </row>
    <row r="30" spans="1:20" x14ac:dyDescent="0.25">
      <c r="A30" s="5">
        <v>44563</v>
      </c>
      <c r="B30">
        <v>1.686E-2</v>
      </c>
      <c r="C30">
        <v>1.7899999999999999E-2</v>
      </c>
      <c r="D30">
        <v>1.6379999999999999E-2</v>
      </c>
      <c r="E30">
        <v>1.7299999999999999E-2</v>
      </c>
      <c r="F30">
        <v>72583933.599999994</v>
      </c>
      <c r="G30">
        <v>1.7299999999999999E-2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0.21052631578947417</v>
      </c>
      <c r="Q30">
        <f t="shared" ref="Q30" si="126">F30*P30</f>
        <v>15280828.126315823</v>
      </c>
      <c r="R30">
        <f t="shared" ref="R30" si="127">R31+Q30</f>
        <v>-21889498431.942822</v>
      </c>
      <c r="S30">
        <f t="shared" ref="S30" si="128">R30/100000</f>
        <v>-218894.98431942821</v>
      </c>
      <c r="T30">
        <f t="shared" ref="T30" si="129">S30/1000</f>
        <v>-218.8949843194282</v>
      </c>
    </row>
    <row r="31" spans="1:20" x14ac:dyDescent="0.25">
      <c r="A31" s="5">
        <v>44562</v>
      </c>
      <c r="B31">
        <v>1.6320000000000001E-2</v>
      </c>
      <c r="C31">
        <v>1.7000000000000001E-2</v>
      </c>
      <c r="D31">
        <v>1.6199999999999999E-2</v>
      </c>
      <c r="E31">
        <v>1.685E-2</v>
      </c>
      <c r="F31">
        <v>25122524.800000001</v>
      </c>
      <c r="G31">
        <v>1.685E-2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0.62499999999999889</v>
      </c>
      <c r="Q31">
        <f t="shared" ref="Q31" si="131">F31*P31</f>
        <v>15701577.999999972</v>
      </c>
      <c r="R31">
        <f t="shared" ref="R31" si="132">R32+Q31</f>
        <v>-21904779260.069138</v>
      </c>
      <c r="S31">
        <f t="shared" ref="S31" si="133">R31/100000</f>
        <v>-219047.79260069138</v>
      </c>
      <c r="T31">
        <f t="shared" ref="T31" si="134">S31/1000</f>
        <v>-219.04779260069137</v>
      </c>
    </row>
    <row r="32" spans="1:20" x14ac:dyDescent="0.25">
      <c r="A32" s="5">
        <v>44561</v>
      </c>
      <c r="B32">
        <v>1.6639999999999999E-2</v>
      </c>
      <c r="C32">
        <v>1.7180000000000001E-2</v>
      </c>
      <c r="D32">
        <v>1.6070000000000001E-2</v>
      </c>
      <c r="E32">
        <v>1.6310000000000002E-2</v>
      </c>
      <c r="F32">
        <v>36894466.799999997</v>
      </c>
      <c r="G32">
        <v>1.6310000000000002E-2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-0.56756756756756643</v>
      </c>
      <c r="Q32">
        <f t="shared" ref="Q32" si="136">F32*P32</f>
        <v>-20940102.778378334</v>
      </c>
      <c r="R32">
        <f t="shared" ref="R32" si="137">R33+Q32</f>
        <v>-21920480838.069138</v>
      </c>
      <c r="S32">
        <f t="shared" ref="S32" si="138">R32/100000</f>
        <v>-219204.80838069136</v>
      </c>
      <c r="T32">
        <f t="shared" ref="T32" si="139">S32/1000</f>
        <v>-219.20480838069136</v>
      </c>
    </row>
    <row r="33" spans="1:20" x14ac:dyDescent="0.25">
      <c r="A33" s="5">
        <v>44560</v>
      </c>
      <c r="B33">
        <v>1.6920000000000001E-2</v>
      </c>
      <c r="C33">
        <v>1.7500000000000002E-2</v>
      </c>
      <c r="D33">
        <v>1.627E-2</v>
      </c>
      <c r="E33">
        <v>1.6639999999999999E-2</v>
      </c>
      <c r="F33">
        <v>46357882.700000003</v>
      </c>
      <c r="G33">
        <v>1.6639999999999999E-2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-0.39837398373984029</v>
      </c>
      <c r="Q33">
        <f t="shared" ref="Q33" si="141">F33*P33</f>
        <v>-18467774.408943225</v>
      </c>
      <c r="R33">
        <f t="shared" ref="R33" si="142">R34+Q33</f>
        <v>-21899540735.29076</v>
      </c>
      <c r="S33">
        <f t="shared" ref="S33" si="143">R33/100000</f>
        <v>-218995.40735290761</v>
      </c>
      <c r="T33">
        <f t="shared" ref="T33" si="144">S33/1000</f>
        <v>-218.99540735290762</v>
      </c>
    </row>
    <row r="34" spans="1:20" x14ac:dyDescent="0.25">
      <c r="A34" s="5">
        <v>44559</v>
      </c>
      <c r="B34">
        <v>1.6889999999999999E-2</v>
      </c>
      <c r="C34">
        <v>1.7749999999999998E-2</v>
      </c>
      <c r="D34">
        <v>1.6709999999999999E-2</v>
      </c>
      <c r="E34">
        <v>1.6979999999999999E-2</v>
      </c>
      <c r="F34">
        <v>58606672.399999999</v>
      </c>
      <c r="G34">
        <v>1.6979999999999999E-2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-0.48076923076923156</v>
      </c>
      <c r="Q34">
        <f t="shared" ref="Q34" si="146">F34*P34</f>
        <v>-28176284.807692353</v>
      </c>
      <c r="R34">
        <f t="shared" ref="R34" si="147">R35+Q34</f>
        <v>-21881072960.881817</v>
      </c>
      <c r="S34">
        <f t="shared" ref="S34" si="148">R34/100000</f>
        <v>-218810.72960881816</v>
      </c>
      <c r="T34">
        <f t="shared" ref="T34" si="149">S34/1000</f>
        <v>-218.81072960881815</v>
      </c>
    </row>
    <row r="35" spans="1:20" x14ac:dyDescent="0.25">
      <c r="A35" s="5">
        <v>44558</v>
      </c>
      <c r="B35">
        <v>1.8530000000000001E-2</v>
      </c>
      <c r="C35">
        <v>1.9E-2</v>
      </c>
      <c r="D35">
        <v>1.6760000000000001E-2</v>
      </c>
      <c r="E35">
        <v>1.6889999999999999E-2</v>
      </c>
      <c r="F35">
        <v>113463706.2</v>
      </c>
      <c r="G35">
        <v>1.6889999999999999E-2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-0.88392857142857295</v>
      </c>
      <c r="Q35">
        <f t="shared" ref="Q35" si="151">F35*P35</f>
        <v>-100293811.73035732</v>
      </c>
      <c r="R35">
        <f t="shared" ref="R35" si="152">R36+Q35</f>
        <v>-21852896676.074123</v>
      </c>
      <c r="S35">
        <f t="shared" ref="S35" si="153">R35/100000</f>
        <v>-218528.96676074123</v>
      </c>
      <c r="T35">
        <f t="shared" ref="T35" si="154">S35/1000</f>
        <v>-218.52896676074121</v>
      </c>
    </row>
    <row r="36" spans="1:20" x14ac:dyDescent="0.25">
      <c r="A36" s="5">
        <v>44557</v>
      </c>
      <c r="B36">
        <v>1.8270000000000002E-2</v>
      </c>
      <c r="C36">
        <v>1.9199999999999998E-2</v>
      </c>
      <c r="D36">
        <v>1.806E-2</v>
      </c>
      <c r="E36">
        <v>1.8499999999999999E-2</v>
      </c>
      <c r="F36">
        <v>118401909.59999999</v>
      </c>
      <c r="G36">
        <v>1.8499999999999999E-2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-0.22807017543859659</v>
      </c>
      <c r="Q36">
        <f t="shared" ref="Q36" si="156">F36*P36</f>
        <v>-27003944.294736851</v>
      </c>
      <c r="R36">
        <f t="shared" ref="R36" si="157">R37+Q36</f>
        <v>-21752602864.343765</v>
      </c>
      <c r="S36">
        <f t="shared" ref="S36" si="158">R36/100000</f>
        <v>-217526.02864343766</v>
      </c>
      <c r="T36">
        <f t="shared" ref="T36" si="159">S36/1000</f>
        <v>-217.52602864343766</v>
      </c>
    </row>
    <row r="37" spans="1:20" x14ac:dyDescent="0.25">
      <c r="A37" s="5">
        <v>44556</v>
      </c>
      <c r="B37">
        <v>1.7850000000000001E-2</v>
      </c>
      <c r="C37">
        <v>1.89E-2</v>
      </c>
      <c r="D37">
        <v>1.7500000000000002E-2</v>
      </c>
      <c r="E37">
        <v>1.8270000000000002E-2</v>
      </c>
      <c r="F37">
        <v>75798564.5</v>
      </c>
      <c r="G37">
        <v>1.8270000000000002E-2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0.10000000000000099</v>
      </c>
      <c r="Q37">
        <f t="shared" ref="Q37" si="161">F37*P37</f>
        <v>7579856.4500000747</v>
      </c>
      <c r="R37">
        <f t="shared" ref="R37" si="162">R38+Q37</f>
        <v>-21725598920.04903</v>
      </c>
      <c r="S37">
        <f t="shared" ref="S37" si="163">R37/100000</f>
        <v>-217255.98920049029</v>
      </c>
      <c r="T37">
        <f t="shared" ref="T37" si="164">S37/1000</f>
        <v>-217.25598920049029</v>
      </c>
    </row>
    <row r="38" spans="1:20" x14ac:dyDescent="0.25">
      <c r="A38" s="5">
        <v>44555</v>
      </c>
      <c r="B38">
        <v>1.7680000000000001E-2</v>
      </c>
      <c r="C38">
        <v>1.9199999999999998E-2</v>
      </c>
      <c r="D38">
        <v>1.7659999999999999E-2</v>
      </c>
      <c r="E38">
        <v>1.7850000000000001E-2</v>
      </c>
      <c r="F38">
        <v>148516654.90000001</v>
      </c>
      <c r="G38">
        <v>1.7850000000000001E-2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-0.75324675324674972</v>
      </c>
      <c r="Q38">
        <f t="shared" ref="Q38" si="166">F38*P38</f>
        <v>-111869688.10649298</v>
      </c>
      <c r="R38">
        <f t="shared" ref="R38" si="167">R39+Q38</f>
        <v>-21733178776.499031</v>
      </c>
      <c r="S38">
        <f t="shared" ref="S38" si="168">R38/100000</f>
        <v>-217331.78776499032</v>
      </c>
      <c r="T38">
        <f t="shared" ref="T38" si="169">S38/1000</f>
        <v>-217.33178776499034</v>
      </c>
    </row>
    <row r="39" spans="1:20" x14ac:dyDescent="0.25">
      <c r="A39" s="5">
        <v>44554</v>
      </c>
      <c r="B39">
        <v>1.7469999999999999E-2</v>
      </c>
      <c r="C39">
        <v>1.9879999999999998E-2</v>
      </c>
      <c r="D39">
        <v>1.6750000000000001E-2</v>
      </c>
      <c r="E39">
        <v>1.7670000000000002E-2</v>
      </c>
      <c r="F39">
        <v>245872741.69999999</v>
      </c>
      <c r="G39">
        <v>1.7670000000000002E-2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-0.41214057507987129</v>
      </c>
      <c r="Q39">
        <f t="shared" ref="Q39" si="171">F39*P39</f>
        <v>-101334133.16070265</v>
      </c>
      <c r="R39">
        <f t="shared" ref="R39" si="172">R40+Q39</f>
        <v>-21621309088.39254</v>
      </c>
      <c r="S39">
        <f t="shared" ref="S39" si="173">R39/100000</f>
        <v>-216213.09088392541</v>
      </c>
      <c r="T39">
        <f t="shared" ref="T39" si="174">S39/1000</f>
        <v>-216.21309088392542</v>
      </c>
    </row>
    <row r="40" spans="1:20" x14ac:dyDescent="0.25">
      <c r="A40" s="5">
        <v>44553</v>
      </c>
      <c r="B40">
        <v>1.6469999999999999E-2</v>
      </c>
      <c r="C40">
        <v>1.7809999999999999E-2</v>
      </c>
      <c r="D40">
        <v>1.6199999999999999E-2</v>
      </c>
      <c r="E40">
        <v>1.746E-2</v>
      </c>
      <c r="F40">
        <v>76913184.099999994</v>
      </c>
      <c r="G40">
        <v>1.746E-2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0.56521739130434834</v>
      </c>
      <c r="Q40">
        <f t="shared" ref="Q40" si="176">F40*P40</f>
        <v>43472669.273913078</v>
      </c>
      <c r="R40">
        <f t="shared" ref="R40" si="177">R41+Q40</f>
        <v>-21519974955.231838</v>
      </c>
      <c r="S40">
        <f t="shared" ref="S40" si="178">R40/100000</f>
        <v>-215199.74955231839</v>
      </c>
      <c r="T40">
        <f t="shared" ref="T40" si="179">S40/1000</f>
        <v>-215.19974955231839</v>
      </c>
    </row>
    <row r="41" spans="1:20" x14ac:dyDescent="0.25">
      <c r="A41" s="5">
        <v>44552</v>
      </c>
      <c r="B41">
        <v>1.652E-2</v>
      </c>
      <c r="C41">
        <v>1.7219999999999999E-2</v>
      </c>
      <c r="D41">
        <v>1.635E-2</v>
      </c>
      <c r="E41">
        <v>1.6480000000000002E-2</v>
      </c>
      <c r="F41">
        <v>65671364.600000001</v>
      </c>
      <c r="G41">
        <v>1.6480000000000002E-2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-0.70114942528735225</v>
      </c>
      <c r="Q41">
        <f t="shared" ref="Q41" si="181">F41*P41</f>
        <v>-46045439.547126167</v>
      </c>
      <c r="R41">
        <f t="shared" ref="R41" si="182">R42+Q41</f>
        <v>-21563447624.505753</v>
      </c>
      <c r="S41">
        <f t="shared" ref="S41" si="183">R41/100000</f>
        <v>-215634.47624505754</v>
      </c>
      <c r="T41">
        <f t="shared" ref="T41" si="184">S41/1000</f>
        <v>-215.63447624505753</v>
      </c>
    </row>
    <row r="42" spans="1:20" x14ac:dyDescent="0.25">
      <c r="A42" s="5">
        <v>44551</v>
      </c>
      <c r="B42">
        <v>1.5820000000000001E-2</v>
      </c>
      <c r="C42">
        <v>1.7180000000000001E-2</v>
      </c>
      <c r="D42">
        <v>1.5599999999999999E-2</v>
      </c>
      <c r="E42">
        <v>1.652E-2</v>
      </c>
      <c r="F42">
        <v>67503183</v>
      </c>
      <c r="G42">
        <v>1.652E-2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0.16455696202531617</v>
      </c>
      <c r="Q42">
        <f t="shared" ref="Q42" si="186">F42*P42</f>
        <v>11108118.721518967</v>
      </c>
      <c r="R42">
        <f t="shared" ref="R42" si="187">R43+Q42</f>
        <v>-21517402184.958626</v>
      </c>
      <c r="S42">
        <f t="shared" ref="S42" si="188">R42/100000</f>
        <v>-215174.02184958625</v>
      </c>
      <c r="T42">
        <f t="shared" ref="T42" si="189">S42/1000</f>
        <v>-215.17402184958624</v>
      </c>
    </row>
    <row r="43" spans="1:20" x14ac:dyDescent="0.25">
      <c r="A43" s="5">
        <v>44550</v>
      </c>
      <c r="B43">
        <v>1.619E-2</v>
      </c>
      <c r="C43">
        <v>1.6490000000000001E-2</v>
      </c>
      <c r="D43">
        <v>1.5389999999999999E-2</v>
      </c>
      <c r="E43">
        <v>1.5800000000000002E-2</v>
      </c>
      <c r="F43">
        <v>48071618.700000003</v>
      </c>
      <c r="G43">
        <v>1.5800000000000002E-2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-0.25454545454545158</v>
      </c>
      <c r="Q43">
        <f t="shared" ref="Q43" si="191">F43*P43</f>
        <v>-12236412.032727132</v>
      </c>
      <c r="R43">
        <f t="shared" ref="R43" si="192">R44+Q43</f>
        <v>-21528510303.680145</v>
      </c>
      <c r="S43">
        <f t="shared" ref="S43" si="193">R43/100000</f>
        <v>-215285.10303680145</v>
      </c>
      <c r="T43">
        <f t="shared" ref="T43" si="194">S43/1000</f>
        <v>-215.28510303680144</v>
      </c>
    </row>
    <row r="44" spans="1:20" x14ac:dyDescent="0.25">
      <c r="A44" s="5">
        <v>44549</v>
      </c>
      <c r="B44">
        <v>1.66E-2</v>
      </c>
      <c r="C44">
        <v>1.83E-2</v>
      </c>
      <c r="D44">
        <v>1.6049999999999998E-2</v>
      </c>
      <c r="E44">
        <v>1.6199999999999999E-2</v>
      </c>
      <c r="F44">
        <v>162504920.40000001</v>
      </c>
      <c r="G44">
        <v>1.6199999999999999E-2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-0.86666666666666603</v>
      </c>
      <c r="Q44">
        <f t="shared" ref="Q44" si="196">F44*P44</f>
        <v>-140837597.67999989</v>
      </c>
      <c r="R44">
        <f t="shared" ref="R44" si="197">R45+Q44</f>
        <v>-21516273891.647419</v>
      </c>
      <c r="S44">
        <f t="shared" ref="S44" si="198">R44/100000</f>
        <v>-215162.73891647419</v>
      </c>
      <c r="T44">
        <f t="shared" ref="T44" si="199">S44/1000</f>
        <v>-215.16273891647418</v>
      </c>
    </row>
    <row r="45" spans="1:20" x14ac:dyDescent="0.25">
      <c r="A45" s="5">
        <v>44548</v>
      </c>
      <c r="B45">
        <v>1.6899999999999998E-2</v>
      </c>
      <c r="C45">
        <v>1.839E-2</v>
      </c>
      <c r="D45">
        <v>1.644E-2</v>
      </c>
      <c r="E45">
        <v>1.66E-2</v>
      </c>
      <c r="F45">
        <v>123416559.2</v>
      </c>
      <c r="G45">
        <v>1.66E-2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-0.83589743589743548</v>
      </c>
      <c r="Q45">
        <f t="shared" ref="Q45" si="201">F45*P45</f>
        <v>-103163585.38256405</v>
      </c>
      <c r="R45">
        <f t="shared" ref="R45" si="202">R46+Q45</f>
        <v>-21375436293.967419</v>
      </c>
      <c r="S45">
        <f t="shared" ref="S45" si="203">R45/100000</f>
        <v>-213754.36293967417</v>
      </c>
      <c r="T45">
        <f t="shared" ref="T45" si="204">S45/1000</f>
        <v>-213.75436293967417</v>
      </c>
    </row>
    <row r="46" spans="1:20" x14ac:dyDescent="0.25">
      <c r="A46" s="5">
        <v>44547</v>
      </c>
      <c r="B46">
        <v>1.5689999999999999E-2</v>
      </c>
      <c r="C46">
        <v>1.924E-2</v>
      </c>
      <c r="D46">
        <v>1.566E-2</v>
      </c>
      <c r="E46">
        <v>1.6920000000000001E-2</v>
      </c>
      <c r="F46">
        <v>353033529.69999999</v>
      </c>
      <c r="G46">
        <v>1.6920000000000001E-2</v>
      </c>
      <c r="L46" t="s">
        <v>8</v>
      </c>
      <c r="M46" t="s">
        <v>8</v>
      </c>
      <c r="N46" t="s">
        <v>7</v>
      </c>
      <c r="P46">
        <f t="shared" ref="P46" si="205">IF(C46=D46,0,((E46-D46)-(C46-E46))/(C46-D46))</f>
        <v>-0.29608938547485991</v>
      </c>
      <c r="Q46">
        <f t="shared" ref="Q46" si="206">F46*P46</f>
        <v>-104529480.8608937</v>
      </c>
      <c r="R46">
        <f t="shared" ref="R46" si="207">R47+Q46</f>
        <v>-21272272708.584854</v>
      </c>
      <c r="S46">
        <f t="shared" ref="S46" si="208">R46/100000</f>
        <v>-212722.72708584854</v>
      </c>
      <c r="T46">
        <f t="shared" ref="T46" si="209">S46/1000</f>
        <v>-212.72272708584853</v>
      </c>
    </row>
    <row r="47" spans="1:20" x14ac:dyDescent="0.25">
      <c r="A47" s="5">
        <v>44546</v>
      </c>
      <c r="B47">
        <v>1.5859999999999999E-2</v>
      </c>
      <c r="C47">
        <v>1.6799999999999999E-2</v>
      </c>
      <c r="D47">
        <v>1.5520000000000001E-2</v>
      </c>
      <c r="E47">
        <v>1.5689999999999999E-2</v>
      </c>
      <c r="F47">
        <v>67413325.200000003</v>
      </c>
      <c r="G47">
        <v>1.5689999999999999E-2</v>
      </c>
      <c r="L47" t="s">
        <v>7</v>
      </c>
      <c r="M47" t="s">
        <v>8</v>
      </c>
      <c r="N47" t="s">
        <v>7</v>
      </c>
      <c r="P47">
        <f t="shared" ref="P47" si="210">IF(C47=D47,0,((E47-D47)-(C47-E47))/(C47-D47))</f>
        <v>-0.73437500000000233</v>
      </c>
      <c r="Q47">
        <f t="shared" ref="Q47" si="211">F47*P47</f>
        <v>-49506660.693750158</v>
      </c>
      <c r="R47">
        <f t="shared" ref="R47" si="212">R48+Q47</f>
        <v>-21167743227.723961</v>
      </c>
      <c r="S47">
        <f t="shared" ref="S47" si="213">R47/100000</f>
        <v>-211677.4322772396</v>
      </c>
      <c r="T47">
        <f t="shared" ref="T47" si="214">S47/1000</f>
        <v>-211.6774322772396</v>
      </c>
    </row>
    <row r="48" spans="1:20" x14ac:dyDescent="0.25">
      <c r="A48" s="5">
        <v>44545</v>
      </c>
      <c r="B48">
        <v>1.529E-2</v>
      </c>
      <c r="C48">
        <v>1.695E-2</v>
      </c>
      <c r="D48">
        <v>1.469E-2</v>
      </c>
      <c r="E48">
        <v>1.5859999999999999E-2</v>
      </c>
      <c r="F48">
        <v>105557757.7</v>
      </c>
      <c r="G48">
        <v>1.5859999999999999E-2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3.5398230088494902E-2</v>
      </c>
      <c r="Q48">
        <f t="shared" ref="Q48" si="216">F48*P48</f>
        <v>3736557.7946901945</v>
      </c>
      <c r="R48">
        <f t="shared" ref="R48" si="217">R49+Q48</f>
        <v>-21118236567.030212</v>
      </c>
      <c r="S48">
        <f t="shared" ref="S48" si="218">R48/100000</f>
        <v>-211182.36567030213</v>
      </c>
      <c r="T48">
        <f t="shared" ref="T48" si="219">S48/1000</f>
        <v>-211.18236567030212</v>
      </c>
    </row>
    <row r="49" spans="1:20" x14ac:dyDescent="0.25">
      <c r="A49" s="5">
        <v>44544</v>
      </c>
      <c r="B49">
        <v>1.486E-2</v>
      </c>
      <c r="C49">
        <v>1.558E-2</v>
      </c>
      <c r="D49">
        <v>1.431E-2</v>
      </c>
      <c r="E49">
        <v>1.5299999999999999E-2</v>
      </c>
      <c r="F49">
        <v>66445930.5</v>
      </c>
      <c r="G49">
        <v>1.5299999999999999E-2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0.55905511811023512</v>
      </c>
      <c r="Q49">
        <f t="shared" ref="Q49" si="221">F49*P49</f>
        <v>37146937.523621976</v>
      </c>
      <c r="R49">
        <f t="shared" ref="R49" si="222">R50+Q49</f>
        <v>-21121973124.824902</v>
      </c>
      <c r="S49">
        <f t="shared" ref="S49" si="223">R49/100000</f>
        <v>-211219.73124824901</v>
      </c>
      <c r="T49">
        <f t="shared" ref="T49" si="224">S49/1000</f>
        <v>-211.21973124824902</v>
      </c>
    </row>
    <row r="50" spans="1:20" x14ac:dyDescent="0.25">
      <c r="A50" s="5">
        <v>44543</v>
      </c>
      <c r="B50">
        <v>1.721E-2</v>
      </c>
      <c r="C50">
        <v>1.736E-2</v>
      </c>
      <c r="D50">
        <v>1.473E-2</v>
      </c>
      <c r="E50">
        <v>1.486E-2</v>
      </c>
      <c r="F50">
        <v>83440506.299999997</v>
      </c>
      <c r="G50">
        <v>1.486E-2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-0.90114068441064643</v>
      </c>
      <c r="Q50">
        <f t="shared" ref="Q50" si="226">F50*P50</f>
        <v>-75191634.954752848</v>
      </c>
      <c r="R50">
        <f t="shared" ref="R50" si="227">R51+Q50</f>
        <v>-21159120062.348522</v>
      </c>
      <c r="S50">
        <f t="shared" ref="S50" si="228">R50/100000</f>
        <v>-211591.20062348523</v>
      </c>
      <c r="T50">
        <f t="shared" ref="T50" si="229">S50/1000</f>
        <v>-211.59120062348524</v>
      </c>
    </row>
    <row r="51" spans="1:20" x14ac:dyDescent="0.25">
      <c r="A51" s="5">
        <v>44542</v>
      </c>
      <c r="B51">
        <v>1.7090000000000001E-2</v>
      </c>
      <c r="C51">
        <v>1.8960000000000001E-2</v>
      </c>
      <c r="D51">
        <v>1.651E-2</v>
      </c>
      <c r="E51">
        <v>1.7229999999999999E-2</v>
      </c>
      <c r="F51">
        <v>158641008</v>
      </c>
      <c r="G51">
        <v>1.7229999999999999E-2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-0.41224489795918517</v>
      </c>
      <c r="Q51">
        <f t="shared" ref="Q51" si="231">F51*P51</f>
        <v>-65398946.155102275</v>
      </c>
      <c r="R51">
        <f t="shared" ref="R51" si="232">R52+Q51</f>
        <v>-21083928427.393768</v>
      </c>
      <c r="S51">
        <f t="shared" ref="S51" si="233">R51/100000</f>
        <v>-210839.28427393769</v>
      </c>
      <c r="T51">
        <f t="shared" ref="T51" si="234">S51/1000</f>
        <v>-210.83928427393769</v>
      </c>
    </row>
    <row r="52" spans="1:20" x14ac:dyDescent="0.25">
      <c r="A52" s="5">
        <v>44541</v>
      </c>
      <c r="B52">
        <v>1.651E-2</v>
      </c>
      <c r="C52">
        <v>1.6820000000000002E-2</v>
      </c>
      <c r="D52">
        <v>1.6160000000000001E-2</v>
      </c>
      <c r="E52">
        <v>1.6660000000000001E-2</v>
      </c>
      <c r="F52">
        <v>2186271</v>
      </c>
      <c r="G52">
        <v>1.6660000000000001E-2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0.51515151515151447</v>
      </c>
      <c r="Q52">
        <f t="shared" ref="Q52" si="236">F52*P52</f>
        <v>1126260.8181818167</v>
      </c>
      <c r="R52">
        <f t="shared" ref="R52" si="237">R53+Q52</f>
        <v>-21018529481.238667</v>
      </c>
      <c r="S52">
        <f t="shared" ref="S52" si="238">R52/100000</f>
        <v>-210185.29481238665</v>
      </c>
      <c r="T52">
        <f t="shared" ref="T52" si="239">S52/1000</f>
        <v>-210.18529481238664</v>
      </c>
    </row>
    <row r="53" spans="1:20" x14ac:dyDescent="0.25">
      <c r="A53" s="5">
        <v>44540</v>
      </c>
      <c r="B53">
        <v>1.7469999999999999E-2</v>
      </c>
      <c r="C53">
        <v>1.8079999999999999E-2</v>
      </c>
      <c r="D53">
        <v>1.6410000000000001E-2</v>
      </c>
      <c r="E53">
        <v>1.653E-2</v>
      </c>
      <c r="F53">
        <v>66249408.5</v>
      </c>
      <c r="G53">
        <v>1.653E-2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-0.85628742514970213</v>
      </c>
      <c r="Q53">
        <f t="shared" ref="Q53" si="241">F53*P53</f>
        <v>-56728535.42215579</v>
      </c>
      <c r="R53">
        <f t="shared" ref="R53" si="242">R54+Q53</f>
        <v>-21019655742.056847</v>
      </c>
      <c r="S53">
        <f t="shared" ref="S53" si="243">R53/100000</f>
        <v>-210196.55742056845</v>
      </c>
      <c r="T53">
        <f t="shared" ref="T53" si="244">S53/1000</f>
        <v>-210.19655742056847</v>
      </c>
    </row>
    <row r="54" spans="1:20" x14ac:dyDescent="0.25">
      <c r="A54" s="5">
        <v>44539</v>
      </c>
      <c r="B54">
        <v>1.8780000000000002E-2</v>
      </c>
      <c r="C54">
        <v>1.9060000000000001E-2</v>
      </c>
      <c r="D54">
        <v>1.7430000000000001E-2</v>
      </c>
      <c r="E54">
        <v>1.7489999999999999E-2</v>
      </c>
      <c r="F54">
        <v>95796381.5</v>
      </c>
      <c r="G54">
        <v>1.7489999999999999E-2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-0.92638036809816249</v>
      </c>
      <c r="Q54">
        <f t="shared" ref="Q54" si="246">F54*P54</f>
        <v>-88743887.156442001</v>
      </c>
      <c r="R54">
        <f t="shared" ref="R54" si="247">R55+Q54</f>
        <v>-20962927206.634689</v>
      </c>
      <c r="S54">
        <f t="shared" ref="S54" si="248">R54/100000</f>
        <v>-209629.27206634689</v>
      </c>
      <c r="T54">
        <f t="shared" ref="T54" si="249">S54/1000</f>
        <v>-209.62927206634689</v>
      </c>
    </row>
    <row r="55" spans="1:20" x14ac:dyDescent="0.25">
      <c r="A55" s="5">
        <v>44538</v>
      </c>
      <c r="B55">
        <v>1.9400000000000001E-2</v>
      </c>
      <c r="C55">
        <v>1.9400000000000001E-2</v>
      </c>
      <c r="D55">
        <v>1.787E-2</v>
      </c>
      <c r="E55">
        <v>1.882E-2</v>
      </c>
      <c r="F55">
        <v>140864765.90000001</v>
      </c>
      <c r="G55">
        <v>1.882E-2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0.24183006535947632</v>
      </c>
      <c r="Q55">
        <f t="shared" ref="Q55" si="251">F55*P55</f>
        <v>34065335.54444433</v>
      </c>
      <c r="R55">
        <f t="shared" ref="R55" si="252">R56+Q55</f>
        <v>-20874183319.478249</v>
      </c>
      <c r="S55">
        <f t="shared" ref="S55" si="253">R55/100000</f>
        <v>-208741.83319478249</v>
      </c>
      <c r="T55">
        <f t="shared" ref="T55" si="254">S55/1000</f>
        <v>-208.74183319478249</v>
      </c>
    </row>
    <row r="56" spans="1:20" x14ac:dyDescent="0.25">
      <c r="A56" s="5">
        <v>44537</v>
      </c>
      <c r="B56">
        <v>2.0039999999999999E-2</v>
      </c>
      <c r="C56">
        <v>2.0959999999999999E-2</v>
      </c>
      <c r="D56">
        <v>1.9E-2</v>
      </c>
      <c r="E56">
        <v>1.9380000000000001E-2</v>
      </c>
      <c r="F56">
        <v>276939279.10000002</v>
      </c>
      <c r="G56">
        <v>1.9380000000000001E-2</v>
      </c>
      <c r="L56" t="s">
        <v>7</v>
      </c>
      <c r="M56" t="s">
        <v>7</v>
      </c>
      <c r="N56" t="s">
        <v>8</v>
      </c>
      <c r="P56">
        <f t="shared" ref="P56" si="255">IF(C56=D56,0,((E56-D56)-(C56-E56))/(C56-D56))</f>
        <v>-0.6122448979591818</v>
      </c>
      <c r="Q56">
        <f t="shared" ref="Q56" si="256">F56*P56</f>
        <v>-169554660.67346889</v>
      </c>
      <c r="R56">
        <f t="shared" ref="R56" si="257">R57+Q56</f>
        <v>-20908248655.022694</v>
      </c>
      <c r="S56">
        <f t="shared" ref="S56" si="258">R56/100000</f>
        <v>-209082.48655022692</v>
      </c>
      <c r="T56">
        <f t="shared" ref="T56" si="259">S56/1000</f>
        <v>-209.08248655022692</v>
      </c>
    </row>
    <row r="57" spans="1:20" x14ac:dyDescent="0.25">
      <c r="A57" s="5">
        <v>44536</v>
      </c>
      <c r="B57">
        <v>1.712E-2</v>
      </c>
      <c r="C57">
        <v>2.5780000000000001E-2</v>
      </c>
      <c r="D57">
        <v>1.626E-2</v>
      </c>
      <c r="E57">
        <v>2.0039999999999999E-2</v>
      </c>
      <c r="F57">
        <v>1554408996.5</v>
      </c>
      <c r="G57">
        <v>2.0039999999999999E-2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-0.20588235294117682</v>
      </c>
      <c r="Q57">
        <f t="shared" ref="Q57" si="261">F57*P57</f>
        <v>-320025381.63235348</v>
      </c>
      <c r="R57">
        <f t="shared" ref="R57" si="262">R58+Q57</f>
        <v>-20738693994.349224</v>
      </c>
      <c r="S57">
        <f t="shared" ref="S57" si="263">R57/100000</f>
        <v>-207386.93994349224</v>
      </c>
      <c r="T57">
        <f t="shared" ref="T57" si="264">S57/1000</f>
        <v>-207.38693994349225</v>
      </c>
    </row>
    <row r="58" spans="1:20" x14ac:dyDescent="0.25">
      <c r="A58" s="5">
        <v>44535</v>
      </c>
      <c r="B58">
        <v>1.8790000000000001E-2</v>
      </c>
      <c r="C58">
        <v>1.9630000000000002E-2</v>
      </c>
      <c r="D58">
        <v>1.644E-2</v>
      </c>
      <c r="E58">
        <v>1.7080000000000001E-2</v>
      </c>
      <c r="F58">
        <v>144186057.59999999</v>
      </c>
      <c r="G58">
        <v>1.7080000000000001E-2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-0.59874608150470132</v>
      </c>
      <c r="Q58">
        <f t="shared" ref="Q58" si="266">F58*P58</f>
        <v>-86330836.995611161</v>
      </c>
      <c r="R58">
        <f t="shared" ref="R58" si="267">R59+Q58</f>
        <v>-20418668612.716869</v>
      </c>
      <c r="S58">
        <f t="shared" ref="S58" si="268">R58/100000</f>
        <v>-204186.68612716868</v>
      </c>
      <c r="T58">
        <f t="shared" ref="T58" si="269">S58/1000</f>
        <v>-204.18668612716868</v>
      </c>
    </row>
    <row r="59" spans="1:20" x14ac:dyDescent="0.25">
      <c r="A59" s="5">
        <v>44534</v>
      </c>
      <c r="B59">
        <v>2.2200000000000001E-2</v>
      </c>
      <c r="C59">
        <v>2.2249999999999999E-2</v>
      </c>
      <c r="D59">
        <v>1.46E-2</v>
      </c>
      <c r="E59">
        <v>1.8790000000000001E-2</v>
      </c>
      <c r="F59">
        <v>234749600.40000001</v>
      </c>
      <c r="G59">
        <v>1.8790000000000001E-2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9.5424836601307628E-2</v>
      </c>
      <c r="Q59">
        <f t="shared" ref="Q59" si="271">F59*P59</f>
        <v>22400942.26039226</v>
      </c>
      <c r="R59">
        <f t="shared" ref="R59" si="272">R60+Q59</f>
        <v>-20332337775.72126</v>
      </c>
      <c r="S59">
        <f t="shared" ref="S59" si="273">R59/100000</f>
        <v>-203323.37775721261</v>
      </c>
      <c r="T59">
        <f t="shared" ref="T59" si="274">S59/1000</f>
        <v>-203.32337775721263</v>
      </c>
    </row>
    <row r="60" spans="1:20" x14ac:dyDescent="0.25">
      <c r="A60" s="5">
        <v>44533</v>
      </c>
      <c r="B60">
        <v>2.3910000000000001E-2</v>
      </c>
      <c r="C60">
        <v>2.4680000000000001E-2</v>
      </c>
      <c r="D60">
        <v>2.1680000000000001E-2</v>
      </c>
      <c r="E60">
        <v>2.2190000000000001E-2</v>
      </c>
      <c r="F60">
        <v>143157551.80000001</v>
      </c>
      <c r="G60">
        <v>2.2190000000000001E-2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-0.65999999999999992</v>
      </c>
      <c r="Q60">
        <f t="shared" ref="Q60" si="276">F60*P60</f>
        <v>-94483984.187999994</v>
      </c>
      <c r="R60">
        <f t="shared" ref="R60" si="277">R61+Q60</f>
        <v>-20354738717.981651</v>
      </c>
      <c r="S60">
        <f t="shared" ref="S60" si="278">R60/100000</f>
        <v>-203547.38717981652</v>
      </c>
      <c r="T60">
        <f t="shared" ref="T60" si="279">S60/1000</f>
        <v>-203.54738717981652</v>
      </c>
    </row>
    <row r="61" spans="1:20" x14ac:dyDescent="0.25">
      <c r="A61" s="5">
        <v>44532</v>
      </c>
      <c r="B61">
        <v>2.4410000000000001E-2</v>
      </c>
      <c r="C61">
        <v>2.4559999999999998E-2</v>
      </c>
      <c r="D61">
        <v>2.3050000000000001E-2</v>
      </c>
      <c r="E61">
        <v>2.3820000000000001E-2</v>
      </c>
      <c r="F61">
        <v>108828009.3</v>
      </c>
      <c r="G61">
        <v>2.3820000000000001E-2</v>
      </c>
      <c r="L61" t="s">
        <v>7</v>
      </c>
      <c r="M61" t="s">
        <v>7</v>
      </c>
      <c r="N61" t="s">
        <v>8</v>
      </c>
      <c r="P61">
        <f t="shared" ref="P61" si="280">IF(C61=D61,0,((E61-D61)-(C61-E61))/(C61-D61))</f>
        <v>1.9867549668875693E-2</v>
      </c>
      <c r="Q61">
        <f t="shared" ref="Q61" si="281">F61*P61</f>
        <v>2162145.8801326156</v>
      </c>
      <c r="R61">
        <f t="shared" ref="R61" si="282">R62+Q61</f>
        <v>-20260254733.793652</v>
      </c>
      <c r="S61">
        <f t="shared" ref="S61" si="283">R61/100000</f>
        <v>-202602.54733793653</v>
      </c>
      <c r="T61">
        <f t="shared" ref="T61" si="284">S61/1000</f>
        <v>-202.60254733793653</v>
      </c>
    </row>
    <row r="62" spans="1:20" x14ac:dyDescent="0.25">
      <c r="A62" s="5">
        <v>44531</v>
      </c>
      <c r="B62">
        <v>2.4590000000000001E-2</v>
      </c>
      <c r="C62">
        <v>2.562E-2</v>
      </c>
      <c r="D62">
        <v>2.4150000000000001E-2</v>
      </c>
      <c r="E62">
        <v>2.445E-2</v>
      </c>
      <c r="F62">
        <v>92245773.400000006</v>
      </c>
      <c r="G62">
        <v>2.445E-2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-0.59183673469387976</v>
      </c>
      <c r="Q62">
        <f t="shared" ref="Q62" si="286">F62*P62</f>
        <v>-54594437.318367556</v>
      </c>
      <c r="R62">
        <f t="shared" ref="R62" si="287">R63+Q62</f>
        <v>-20262416879.673782</v>
      </c>
      <c r="S62">
        <f t="shared" ref="S62" si="288">R62/100000</f>
        <v>-202624.16879673782</v>
      </c>
      <c r="T62">
        <f t="shared" ref="T62" si="289">S62/1000</f>
        <v>-202.62416879673782</v>
      </c>
    </row>
    <row r="63" spans="1:20" x14ac:dyDescent="0.25">
      <c r="A63" s="5">
        <v>44530</v>
      </c>
      <c r="B63">
        <v>2.4899999999999999E-2</v>
      </c>
      <c r="C63">
        <v>2.8570000000000002E-2</v>
      </c>
      <c r="D63">
        <v>2.4150000000000001E-2</v>
      </c>
      <c r="E63">
        <v>2.4559999999999998E-2</v>
      </c>
      <c r="F63">
        <v>275529561.10000002</v>
      </c>
      <c r="G63">
        <v>2.4559999999999998E-2</v>
      </c>
      <c r="L63" t="s">
        <v>8</v>
      </c>
      <c r="M63" t="s">
        <v>8</v>
      </c>
      <c r="N63" t="s">
        <v>8</v>
      </c>
      <c r="P63">
        <f t="shared" ref="P63" si="290">IF(C63=D63,0,((E63-D63)-(C63-E63))/(C63-D63))</f>
        <v>-0.8144796380090511</v>
      </c>
      <c r="Q63">
        <f t="shared" ref="Q63" si="291">F63*P63</f>
        <v>-224413217.18552074</v>
      </c>
      <c r="R63">
        <f t="shared" ref="R63" si="292">R64+Q63</f>
        <v>-20207822442.355415</v>
      </c>
      <c r="S63">
        <f t="shared" ref="S63" si="293">R63/100000</f>
        <v>-202078.22442355414</v>
      </c>
      <c r="T63">
        <f t="shared" ref="T63" si="294">S63/1000</f>
        <v>-202.07822442355413</v>
      </c>
    </row>
    <row r="64" spans="1:20" x14ac:dyDescent="0.25">
      <c r="A64" s="5">
        <v>44529</v>
      </c>
      <c r="B64">
        <v>2.4080000000000001E-2</v>
      </c>
      <c r="C64">
        <v>2.5760000000000002E-2</v>
      </c>
      <c r="D64">
        <v>2.3599999999999999E-2</v>
      </c>
      <c r="E64">
        <v>2.486E-2</v>
      </c>
      <c r="F64">
        <v>146385580.59999999</v>
      </c>
      <c r="G64">
        <v>2.486E-2</v>
      </c>
      <c r="L64" t="s">
        <v>8</v>
      </c>
      <c r="M64" t="s">
        <v>8</v>
      </c>
      <c r="N64" t="s">
        <v>8</v>
      </c>
      <c r="P64">
        <f t="shared" ref="P64" si="295">IF(C64=D64,0,((E64-D64)-(C64-E64))/(C64-D64))</f>
        <v>0.16666666666666613</v>
      </c>
      <c r="Q64">
        <f t="shared" ref="Q64" si="296">F64*P64</f>
        <v>24397596.766666587</v>
      </c>
      <c r="R64">
        <f t="shared" ref="R64" si="297">R65+Q64</f>
        <v>-19983409225.169895</v>
      </c>
      <c r="S64">
        <f t="shared" ref="S64" si="298">R64/100000</f>
        <v>-199834.09225169895</v>
      </c>
      <c r="T64">
        <f t="shared" ref="T64" si="299">S64/1000</f>
        <v>-199.83409225169896</v>
      </c>
    </row>
    <row r="65" spans="1:20" x14ac:dyDescent="0.25">
      <c r="A65" s="5">
        <v>44528</v>
      </c>
      <c r="B65">
        <v>2.3820000000000001E-2</v>
      </c>
      <c r="C65">
        <v>2.41E-2</v>
      </c>
      <c r="D65">
        <v>2.2020000000000001E-2</v>
      </c>
      <c r="E65">
        <v>2.409E-2</v>
      </c>
      <c r="F65">
        <v>120785812.09999999</v>
      </c>
      <c r="G65">
        <v>2.409E-2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0.99038461538461575</v>
      </c>
      <c r="Q65">
        <f t="shared" ref="Q65" si="301">F65*P65</f>
        <v>119624410.06057696</v>
      </c>
      <c r="R65">
        <f t="shared" ref="R65" si="302">R66+Q65</f>
        <v>-20007806821.936562</v>
      </c>
      <c r="S65">
        <f t="shared" ref="S65" si="303">R65/100000</f>
        <v>-200078.06821936561</v>
      </c>
      <c r="T65">
        <f t="shared" ref="T65" si="304">S65/1000</f>
        <v>-200.0780682193656</v>
      </c>
    </row>
    <row r="66" spans="1:20" x14ac:dyDescent="0.25">
      <c r="A66" s="5">
        <v>44527</v>
      </c>
      <c r="B66">
        <v>2.3720000000000001E-2</v>
      </c>
      <c r="C66">
        <v>2.5000000000000001E-2</v>
      </c>
      <c r="D66">
        <v>2.3259999999999999E-2</v>
      </c>
      <c r="E66">
        <v>2.383E-2</v>
      </c>
      <c r="F66">
        <v>112845091.40000001</v>
      </c>
      <c r="G66">
        <v>2.383E-2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-0.34482758620689608</v>
      </c>
      <c r="Q66">
        <f t="shared" ref="Q66" si="306">F66*P66</f>
        <v>-38912100.482758567</v>
      </c>
      <c r="R66">
        <f t="shared" ref="R66" si="307">R67+Q66</f>
        <v>-20127431231.997139</v>
      </c>
      <c r="S66">
        <f t="shared" ref="S66" si="308">R66/100000</f>
        <v>-201274.31231997139</v>
      </c>
      <c r="T66">
        <f t="shared" ref="T66" si="309">S66/1000</f>
        <v>-201.27431231997139</v>
      </c>
    </row>
    <row r="67" spans="1:20" x14ac:dyDescent="0.25">
      <c r="A67" s="5">
        <v>44526</v>
      </c>
      <c r="B67">
        <v>2.6499999999999999E-2</v>
      </c>
      <c r="C67">
        <v>2.9170000000000001E-2</v>
      </c>
      <c r="D67">
        <v>2.3609999999999999E-2</v>
      </c>
      <c r="E67">
        <v>2.3720000000000001E-2</v>
      </c>
      <c r="F67">
        <v>249073221.30000001</v>
      </c>
      <c r="G67">
        <v>2.3720000000000001E-2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-0.96043165467625813</v>
      </c>
      <c r="Q67">
        <f t="shared" ref="Q67" si="311">F67*P67</f>
        <v>-239217806.06870484</v>
      </c>
      <c r="R67">
        <f t="shared" ref="R67" si="312">R68+Q67</f>
        <v>-20088519131.514381</v>
      </c>
      <c r="S67">
        <f t="shared" ref="S67" si="313">R67/100000</f>
        <v>-200885.19131514381</v>
      </c>
      <c r="T67">
        <f t="shared" ref="T67" si="314">S67/1000</f>
        <v>-200.8851913151438</v>
      </c>
    </row>
    <row r="68" spans="1:20" x14ac:dyDescent="0.25">
      <c r="A68" s="5">
        <v>44525</v>
      </c>
      <c r="B68">
        <v>2.6169999999999999E-2</v>
      </c>
      <c r="C68">
        <v>2.7550000000000002E-2</v>
      </c>
      <c r="D68">
        <v>2.4750000000000001E-2</v>
      </c>
      <c r="E68">
        <v>2.6499999999999999E-2</v>
      </c>
      <c r="F68">
        <v>195383483.90000001</v>
      </c>
      <c r="G68">
        <v>2.6499999999999999E-2</v>
      </c>
      <c r="L68" t="s">
        <v>7</v>
      </c>
      <c r="M68" t="s">
        <v>8</v>
      </c>
      <c r="N68" t="s">
        <v>8</v>
      </c>
      <c r="P68">
        <f t="shared" ref="P68" si="315">IF(C68=D68,0,((E68-D68)-(C68-E68))/(C68-D68))</f>
        <v>0.24999999999999845</v>
      </c>
      <c r="Q68">
        <f t="shared" ref="Q68" si="316">F68*P68</f>
        <v>48845870.974999696</v>
      </c>
      <c r="R68">
        <f t="shared" ref="R68" si="317">R69+Q68</f>
        <v>-19849301325.445675</v>
      </c>
      <c r="S68">
        <f t="shared" ref="S68" si="318">R68/100000</f>
        <v>-198493.01325445675</v>
      </c>
      <c r="T68">
        <f t="shared" ref="T68" si="319">S68/1000</f>
        <v>-198.49301325445674</v>
      </c>
    </row>
    <row r="69" spans="1:20" x14ac:dyDescent="0.25">
      <c r="A69" s="5">
        <v>44524</v>
      </c>
      <c r="B69">
        <v>2.8469999999999999E-2</v>
      </c>
      <c r="C69">
        <v>2.8840000000000001E-2</v>
      </c>
      <c r="D69">
        <v>2.6110000000000001E-2</v>
      </c>
      <c r="E69">
        <v>2.673E-2</v>
      </c>
      <c r="F69">
        <v>131131378.09999999</v>
      </c>
      <c r="G69">
        <v>2.673E-2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-0.54578754578754651</v>
      </c>
      <c r="Q69">
        <f t="shared" ref="Q69" si="321">F69*P69</f>
        <v>-71569873.028937817</v>
      </c>
      <c r="R69">
        <f t="shared" ref="R69" si="322">R70+Q69</f>
        <v>-19898147196.420673</v>
      </c>
      <c r="S69">
        <f t="shared" ref="S69" si="323">R69/100000</f>
        <v>-198981.47196420672</v>
      </c>
      <c r="T69">
        <f t="shared" ref="T69" si="324">S69/1000</f>
        <v>-198.98147196420672</v>
      </c>
    </row>
    <row r="70" spans="1:20" x14ac:dyDescent="0.25">
      <c r="A70" s="5">
        <v>44523</v>
      </c>
      <c r="B70">
        <v>2.2870000000000001E-2</v>
      </c>
      <c r="C70">
        <v>2.8729999999999999E-2</v>
      </c>
      <c r="D70">
        <v>2.2550000000000001E-2</v>
      </c>
      <c r="E70">
        <v>2.8459999999999999E-2</v>
      </c>
      <c r="F70">
        <v>636223818.5</v>
      </c>
      <c r="G70">
        <v>2.8459999999999999E-2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0.91262135922330112</v>
      </c>
      <c r="Q70">
        <f t="shared" ref="Q70" si="326">F70*P70</f>
        <v>580631446.00970888</v>
      </c>
      <c r="R70">
        <f t="shared" ref="R70" si="327">R71+Q70</f>
        <v>-19826577323.391735</v>
      </c>
      <c r="S70">
        <f t="shared" ref="S70" si="328">R70/100000</f>
        <v>-198265.77323391734</v>
      </c>
      <c r="T70">
        <f t="shared" ref="T70" si="329">S70/1000</f>
        <v>-198.26577323391734</v>
      </c>
    </row>
    <row r="71" spans="1:20" x14ac:dyDescent="0.25">
      <c r="A71" s="5">
        <v>44522</v>
      </c>
      <c r="B71">
        <v>2.4799999999999999E-2</v>
      </c>
      <c r="C71">
        <v>2.5020000000000001E-2</v>
      </c>
      <c r="D71">
        <v>2.2669999999999999E-2</v>
      </c>
      <c r="E71">
        <v>2.2880000000000001E-2</v>
      </c>
      <c r="F71">
        <v>139196493.59999999</v>
      </c>
      <c r="G71">
        <v>2.2880000000000001E-2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-0.82127659574467937</v>
      </c>
      <c r="Q71">
        <f t="shared" ref="Q71" si="331">F71*P71</f>
        <v>-114318822.40340404</v>
      </c>
      <c r="R71">
        <f t="shared" ref="R71" si="332">R72+Q71</f>
        <v>-20407208769.401443</v>
      </c>
      <c r="S71">
        <f t="shared" ref="S71" si="333">R71/100000</f>
        <v>-204072.08769401442</v>
      </c>
      <c r="T71">
        <f t="shared" ref="T71" si="334">S71/1000</f>
        <v>-204.07208769401441</v>
      </c>
    </row>
    <row r="72" spans="1:20" x14ac:dyDescent="0.25">
      <c r="A72" s="5">
        <v>44521</v>
      </c>
      <c r="B72">
        <v>2.4729999999999999E-2</v>
      </c>
      <c r="C72">
        <v>2.7E-2</v>
      </c>
      <c r="D72">
        <v>2.4119999999999999E-2</v>
      </c>
      <c r="E72">
        <v>2.4799999999999999E-2</v>
      </c>
      <c r="F72">
        <v>427905583.89999998</v>
      </c>
      <c r="G72">
        <v>2.4799999999999999E-2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-0.52777777777777779</v>
      </c>
      <c r="Q72">
        <f t="shared" ref="Q72" si="336">F72*P72</f>
        <v>-225839058.16944444</v>
      </c>
      <c r="R72">
        <f t="shared" ref="R72" si="337">R73+Q72</f>
        <v>-20292889946.998039</v>
      </c>
      <c r="S72">
        <f t="shared" ref="S72" si="338">R72/100000</f>
        <v>-202928.89946998039</v>
      </c>
      <c r="T72">
        <f t="shared" ref="T72" si="339">S72/1000</f>
        <v>-202.92889946998039</v>
      </c>
    </row>
    <row r="73" spans="1:20" x14ac:dyDescent="0.25">
      <c r="A73" s="5">
        <v>44520</v>
      </c>
      <c r="B73">
        <v>2.1510000000000001E-2</v>
      </c>
      <c r="C73">
        <v>2.6620000000000001E-2</v>
      </c>
      <c r="D73">
        <v>2.1440000000000001E-2</v>
      </c>
      <c r="E73">
        <v>2.4729999999999999E-2</v>
      </c>
      <c r="F73">
        <v>762528278.89999998</v>
      </c>
      <c r="G73">
        <v>2.4729999999999999E-2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0.27027027027026929</v>
      </c>
      <c r="Q73">
        <f t="shared" ref="Q73" si="341">F73*P73</f>
        <v>206088724.02702627</v>
      </c>
      <c r="R73">
        <f t="shared" ref="R73" si="342">R74+Q73</f>
        <v>-20067050888.828594</v>
      </c>
      <c r="S73">
        <f t="shared" ref="S73" si="343">R73/100000</f>
        <v>-200670.50888828596</v>
      </c>
      <c r="T73">
        <f t="shared" ref="T73" si="344">S73/1000</f>
        <v>-200.67050888828595</v>
      </c>
    </row>
    <row r="74" spans="1:20" x14ac:dyDescent="0.25">
      <c r="A74" s="5">
        <v>44519</v>
      </c>
      <c r="B74">
        <v>2.104E-2</v>
      </c>
      <c r="C74">
        <v>2.3400000000000001E-2</v>
      </c>
      <c r="D74">
        <v>2.068E-2</v>
      </c>
      <c r="E74">
        <v>2.145E-2</v>
      </c>
      <c r="F74">
        <v>291471223.5</v>
      </c>
      <c r="G74">
        <v>2.145E-2</v>
      </c>
      <c r="L74" t="s">
        <v>7</v>
      </c>
      <c r="M74" t="s">
        <v>8</v>
      </c>
      <c r="N74" t="s">
        <v>7</v>
      </c>
      <c r="P74">
        <f t="shared" ref="P74" si="345">IF(C74=D74,0,((E74-D74)-(C74-E74))/(C74-D74))</f>
        <v>-0.43382352941176483</v>
      </c>
      <c r="Q74">
        <f t="shared" ref="Q74" si="346">F74*P74</f>
        <v>-126447074.90073533</v>
      </c>
      <c r="R74">
        <f t="shared" ref="R74" si="347">R75+Q74</f>
        <v>-20273139612.855621</v>
      </c>
      <c r="S74">
        <f t="shared" ref="S74" si="348">R74/100000</f>
        <v>-202731.39612855623</v>
      </c>
      <c r="T74">
        <f t="shared" ref="T74" si="349">S74/1000</f>
        <v>-202.73139612855621</v>
      </c>
    </row>
    <row r="75" spans="1:20" x14ac:dyDescent="0.25">
      <c r="A75" s="5">
        <v>44518</v>
      </c>
      <c r="B75">
        <v>2.1520000000000001E-2</v>
      </c>
      <c r="C75">
        <v>2.3699999999999999E-2</v>
      </c>
      <c r="D75">
        <v>2.0109999999999999E-2</v>
      </c>
      <c r="E75">
        <v>2.102E-2</v>
      </c>
      <c r="F75">
        <v>390896370.89999998</v>
      </c>
      <c r="G75">
        <v>2.102E-2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-0.49303621169916367</v>
      </c>
      <c r="Q75">
        <f t="shared" ref="Q75" si="351">F75*P75</f>
        <v>-192726065.87548718</v>
      </c>
      <c r="R75">
        <f t="shared" ref="R75" si="352">R76+Q75</f>
        <v>-20146692537.954887</v>
      </c>
      <c r="S75">
        <f t="shared" ref="S75" si="353">R75/100000</f>
        <v>-201466.92537954886</v>
      </c>
      <c r="T75">
        <f t="shared" ref="T75" si="354">S75/1000</f>
        <v>-201.46692537954885</v>
      </c>
    </row>
    <row r="76" spans="1:20" x14ac:dyDescent="0.25">
      <c r="A76" s="5">
        <v>44517</v>
      </c>
      <c r="B76">
        <v>2.0650000000000002E-2</v>
      </c>
      <c r="C76">
        <v>2.1839999999999998E-2</v>
      </c>
      <c r="D76">
        <v>2.0070000000000001E-2</v>
      </c>
      <c r="E76">
        <v>2.1499999999999998E-2</v>
      </c>
      <c r="F76">
        <v>133247305.8</v>
      </c>
      <c r="G76">
        <v>2.1499999999999998E-2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0.61581920903954745</v>
      </c>
      <c r="Q76">
        <f t="shared" ref="Q76" si="356">F76*P76</f>
        <v>82056250.464406699</v>
      </c>
      <c r="R76">
        <f t="shared" ref="R76" si="357">R77+Q76</f>
        <v>-19953966472.079399</v>
      </c>
      <c r="S76">
        <f t="shared" ref="S76" si="358">R76/100000</f>
        <v>-199539.66472079398</v>
      </c>
      <c r="T76">
        <f t="shared" ref="T76" si="359">S76/1000</f>
        <v>-199.53966472079398</v>
      </c>
    </row>
    <row r="77" spans="1:20" x14ac:dyDescent="0.25">
      <c r="A77" s="5">
        <v>44516</v>
      </c>
      <c r="B77">
        <v>2.2370000000000001E-2</v>
      </c>
      <c r="C77">
        <v>2.2370000000000001E-2</v>
      </c>
      <c r="D77">
        <v>2.0639999999999999E-2</v>
      </c>
      <c r="E77">
        <v>2.0660000000000001E-2</v>
      </c>
      <c r="F77">
        <v>239300477.40000001</v>
      </c>
      <c r="G77">
        <v>2.0660000000000001E-2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-0.97687861271676002</v>
      </c>
      <c r="Q77">
        <f t="shared" ref="Q77" si="361">F77*P77</f>
        <v>-233767518.3849704</v>
      </c>
      <c r="R77">
        <f t="shared" ref="R77" si="362">R78+Q77</f>
        <v>-20036022722.543804</v>
      </c>
      <c r="S77">
        <f t="shared" ref="S77" si="363">R77/100000</f>
        <v>-200360.22722543805</v>
      </c>
      <c r="T77">
        <f t="shared" ref="T77" si="364">S77/1000</f>
        <v>-200.36022722543805</v>
      </c>
    </row>
    <row r="78" spans="1:20" x14ac:dyDescent="0.25">
      <c r="A78" s="5">
        <v>44515</v>
      </c>
      <c r="B78">
        <v>2.4039999999999999E-2</v>
      </c>
      <c r="C78">
        <v>2.462E-2</v>
      </c>
      <c r="D78">
        <v>2.2210000000000001E-2</v>
      </c>
      <c r="E78">
        <v>2.2370000000000001E-2</v>
      </c>
      <c r="F78">
        <v>407940408.80000001</v>
      </c>
      <c r="G78">
        <v>2.2370000000000001E-2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-0.86721991701244772</v>
      </c>
      <c r="Q78">
        <f t="shared" ref="Q78" si="366">F78*P78</f>
        <v>-353774047.46556002</v>
      </c>
      <c r="R78">
        <f t="shared" ref="R78" si="367">R79+Q78</f>
        <v>-19802255204.158833</v>
      </c>
      <c r="S78">
        <f t="shared" ref="S78" si="368">R78/100000</f>
        <v>-198022.55204158832</v>
      </c>
      <c r="T78">
        <f t="shared" ref="T78" si="369">S78/1000</f>
        <v>-198.02255204158831</v>
      </c>
    </row>
    <row r="79" spans="1:20" x14ac:dyDescent="0.25">
      <c r="A79" s="5">
        <v>44514</v>
      </c>
      <c r="B79">
        <v>2.5409999999999999E-2</v>
      </c>
      <c r="C79">
        <v>2.9870000000000001E-2</v>
      </c>
      <c r="D79">
        <v>2.383E-2</v>
      </c>
      <c r="E79">
        <v>2.4039999999999999E-2</v>
      </c>
      <c r="F79">
        <v>2220384773.4000001</v>
      </c>
      <c r="G79">
        <v>2.4039999999999999E-2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-0.93046357615894093</v>
      </c>
      <c r="Q79">
        <f t="shared" ref="Q79" si="371">F79*P79</f>
        <v>-2065987156.7066238</v>
      </c>
      <c r="R79">
        <f t="shared" ref="R79" si="372">R80+Q79</f>
        <v>-19448481156.693272</v>
      </c>
      <c r="S79">
        <f t="shared" ref="S79" si="373">R79/100000</f>
        <v>-194484.81156693271</v>
      </c>
      <c r="T79">
        <f t="shared" ref="T79" si="374">S79/1000</f>
        <v>-194.48481156693271</v>
      </c>
    </row>
    <row r="80" spans="1:20" x14ac:dyDescent="0.25">
      <c r="A80" s="5">
        <v>44513</v>
      </c>
      <c r="B80">
        <v>1.883E-2</v>
      </c>
      <c r="C80">
        <v>3.6999999999999998E-2</v>
      </c>
      <c r="D80">
        <v>1.857E-2</v>
      </c>
      <c r="E80">
        <v>2.5399999999999999E-2</v>
      </c>
      <c r="F80">
        <v>3579179481.6999998</v>
      </c>
      <c r="G80">
        <v>2.5399999999999999E-2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-0.25881714595767774</v>
      </c>
      <c r="Q80">
        <f t="shared" ref="Q80" si="376">F80*P80</f>
        <v>-926353018.32387424</v>
      </c>
      <c r="R80">
        <f t="shared" ref="R80" si="377">R81+Q80</f>
        <v>-17382493999.986649</v>
      </c>
      <c r="S80">
        <f t="shared" ref="S80" si="378">R80/100000</f>
        <v>-173824.93999986647</v>
      </c>
      <c r="T80">
        <f t="shared" ref="T80" si="379">S80/1000</f>
        <v>-173.82493999986647</v>
      </c>
    </row>
    <row r="81" spans="1:20" x14ac:dyDescent="0.25">
      <c r="A81" s="5">
        <v>44512</v>
      </c>
      <c r="B81">
        <v>1.9599999999999999E-2</v>
      </c>
      <c r="C81">
        <v>1.9609999999999999E-2</v>
      </c>
      <c r="D81">
        <v>1.84E-2</v>
      </c>
      <c r="E81">
        <v>1.883E-2</v>
      </c>
      <c r="F81">
        <v>76237417.5</v>
      </c>
      <c r="G81">
        <v>1.883E-2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-0.28925619834710731</v>
      </c>
      <c r="Q81">
        <f t="shared" ref="Q81" si="381">F81*P81</f>
        <v>-22052145.557851229</v>
      </c>
      <c r="R81">
        <f t="shared" ref="R81" si="382">R82+Q81</f>
        <v>-16456140981.662773</v>
      </c>
      <c r="S81">
        <f t="shared" ref="S81" si="383">R81/100000</f>
        <v>-164561.40981662774</v>
      </c>
      <c r="T81">
        <f t="shared" ref="T81" si="384">S81/1000</f>
        <v>-164.56140981662773</v>
      </c>
    </row>
    <row r="82" spans="1:20" x14ac:dyDescent="0.25">
      <c r="A82" s="5">
        <v>44511</v>
      </c>
      <c r="B82">
        <v>1.8259999999999998E-2</v>
      </c>
      <c r="C82">
        <v>2.1000000000000001E-2</v>
      </c>
      <c r="D82">
        <v>1.8089999999999998E-2</v>
      </c>
      <c r="E82">
        <v>1.9599999999999999E-2</v>
      </c>
      <c r="F82">
        <v>178152051.40000001</v>
      </c>
      <c r="G82">
        <v>1.9599999999999999E-2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3.7800687285222984E-2</v>
      </c>
      <c r="Q82">
        <f t="shared" ref="Q82" si="386">F82*P82</f>
        <v>6734269.9841923714</v>
      </c>
      <c r="R82">
        <f t="shared" ref="R82" si="387">R83+Q82</f>
        <v>-16434088836.104921</v>
      </c>
      <c r="S82">
        <f t="shared" ref="S82" si="388">R82/100000</f>
        <v>-164340.8883610492</v>
      </c>
      <c r="T82">
        <f t="shared" ref="T82" si="389">S82/1000</f>
        <v>-164.3408883610492</v>
      </c>
    </row>
    <row r="83" spans="1:20" x14ac:dyDescent="0.25">
      <c r="A83" s="5">
        <v>44510</v>
      </c>
      <c r="B83">
        <v>1.958E-2</v>
      </c>
      <c r="C83">
        <v>1.9779999999999999E-2</v>
      </c>
      <c r="D83">
        <v>1.7909999999999999E-2</v>
      </c>
      <c r="E83">
        <v>1.83E-2</v>
      </c>
      <c r="F83">
        <v>147779837.90000001</v>
      </c>
      <c r="G83">
        <v>1.83E-2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-0.5828877005347578</v>
      </c>
      <c r="Q83">
        <f t="shared" ref="Q83" si="391">F83*P83</f>
        <v>-86139049.898930252</v>
      </c>
      <c r="R83">
        <f t="shared" ref="R83" si="392">R84+Q83</f>
        <v>-16440823106.089113</v>
      </c>
      <c r="S83">
        <f t="shared" ref="S83" si="393">R83/100000</f>
        <v>-164408.23106089112</v>
      </c>
      <c r="T83">
        <f t="shared" ref="T83" si="394">S83/1000</f>
        <v>-164.40823106089113</v>
      </c>
    </row>
    <row r="84" spans="1:20" x14ac:dyDescent="0.25">
      <c r="A84" s="5">
        <v>44509</v>
      </c>
      <c r="B84">
        <v>1.89E-2</v>
      </c>
      <c r="C84">
        <v>2.2190000000000001E-2</v>
      </c>
      <c r="D84">
        <v>1.8710000000000001E-2</v>
      </c>
      <c r="E84">
        <v>1.958E-2</v>
      </c>
      <c r="F84">
        <v>426538149.30000001</v>
      </c>
      <c r="G84">
        <v>1.958E-2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-0.50000000000000044</v>
      </c>
      <c r="Q84">
        <f t="shared" ref="Q84" si="396">F84*P84</f>
        <v>-213269074.65000018</v>
      </c>
      <c r="R84">
        <f t="shared" ref="R84" si="397">R85+Q84</f>
        <v>-16354684056.190184</v>
      </c>
      <c r="S84">
        <f t="shared" ref="S84" si="398">R84/100000</f>
        <v>-163546.84056190183</v>
      </c>
      <c r="T84">
        <f t="shared" ref="T84" si="399">S84/1000</f>
        <v>-163.54684056190183</v>
      </c>
    </row>
    <row r="85" spans="1:20" x14ac:dyDescent="0.25">
      <c r="A85" s="5">
        <v>44508</v>
      </c>
      <c r="B85">
        <v>1.9550000000000001E-2</v>
      </c>
      <c r="C85">
        <v>1.958E-2</v>
      </c>
      <c r="D85">
        <v>1.8749999999999999E-2</v>
      </c>
      <c r="E85">
        <v>1.8890000000000001E-2</v>
      </c>
      <c r="F85">
        <v>132087904.90000001</v>
      </c>
      <c r="G85">
        <v>1.8890000000000001E-2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-0.66265060240963591</v>
      </c>
      <c r="Q85">
        <f t="shared" ref="Q85" si="401">F85*P85</f>
        <v>-87528129.753011703</v>
      </c>
      <c r="R85">
        <f t="shared" ref="R85" si="402">R86+Q85</f>
        <v>-16141414981.540184</v>
      </c>
      <c r="S85">
        <f t="shared" ref="S85" si="403">R85/100000</f>
        <v>-161414.14981540185</v>
      </c>
      <c r="T85">
        <f t="shared" ref="T85" si="404">S85/1000</f>
        <v>-161.41414981540186</v>
      </c>
    </row>
    <row r="86" spans="1:20" x14ac:dyDescent="0.25">
      <c r="A86" s="5">
        <v>44507</v>
      </c>
      <c r="B86">
        <v>1.8769999999999998E-2</v>
      </c>
      <c r="C86">
        <v>2.29E-2</v>
      </c>
      <c r="D86">
        <v>1.8599999999999998E-2</v>
      </c>
      <c r="E86">
        <v>1.9560000000000001E-2</v>
      </c>
      <c r="F86">
        <v>481065411</v>
      </c>
      <c r="G86">
        <v>1.9560000000000001E-2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-0.55348837209302226</v>
      </c>
      <c r="Q86">
        <f t="shared" ref="Q86" si="406">F86*P86</f>
        <v>-266264111.20465067</v>
      </c>
      <c r="R86">
        <f t="shared" ref="R86" si="407">R87+Q86</f>
        <v>-16053886851.787172</v>
      </c>
      <c r="S86">
        <f t="shared" ref="S86" si="408">R86/100000</f>
        <v>-160538.86851787171</v>
      </c>
      <c r="T86">
        <f t="shared" ref="T86" si="409">S86/1000</f>
        <v>-160.53886851787172</v>
      </c>
    </row>
    <row r="87" spans="1:20" x14ac:dyDescent="0.25">
      <c r="A87" s="5">
        <v>44506</v>
      </c>
      <c r="B87">
        <v>1.8620000000000001E-2</v>
      </c>
      <c r="C87">
        <v>1.9820000000000001E-2</v>
      </c>
      <c r="D87">
        <v>1.8120000000000001E-2</v>
      </c>
      <c r="E87">
        <v>1.8769999999999998E-2</v>
      </c>
      <c r="F87">
        <v>169581628.40000001</v>
      </c>
      <c r="G87">
        <v>1.8769999999999998E-2</v>
      </c>
      <c r="L87" t="s">
        <v>8</v>
      </c>
      <c r="M87" t="s">
        <v>7</v>
      </c>
      <c r="N87" t="s">
        <v>7</v>
      </c>
      <c r="P87">
        <f t="shared" ref="P87" si="410">IF(C87=D87,0,((E87-D87)-(C87-E87))/(C87-D87))</f>
        <v>-0.23529411764706146</v>
      </c>
      <c r="Q87">
        <f t="shared" ref="Q87" si="411">F87*P87</f>
        <v>-39901559.623529859</v>
      </c>
      <c r="R87">
        <f t="shared" ref="R87" si="412">R88+Q87</f>
        <v>-15787622740.582521</v>
      </c>
      <c r="S87">
        <f t="shared" ref="S87" si="413">R87/100000</f>
        <v>-157876.22740582522</v>
      </c>
      <c r="T87">
        <f t="shared" ref="T87" si="414">S87/1000</f>
        <v>-157.87622740582523</v>
      </c>
    </row>
    <row r="88" spans="1:20" x14ac:dyDescent="0.25">
      <c r="A88" s="5">
        <v>44505</v>
      </c>
      <c r="B88">
        <v>1.9040000000000001E-2</v>
      </c>
      <c r="C88">
        <v>1.9429999999999999E-2</v>
      </c>
      <c r="D88">
        <v>1.84E-2</v>
      </c>
      <c r="E88">
        <v>1.8620000000000001E-2</v>
      </c>
      <c r="F88">
        <v>106103639.3</v>
      </c>
      <c r="G88">
        <v>1.8620000000000001E-2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-0.57281553398057961</v>
      </c>
      <c r="Q88">
        <f t="shared" ref="Q88" si="416">F88*P88</f>
        <v>-60777812.80291231</v>
      </c>
      <c r="R88">
        <f t="shared" ref="R88" si="417">R89+Q88</f>
        <v>-15747721180.958992</v>
      </c>
      <c r="S88">
        <f t="shared" ref="S88" si="418">R88/100000</f>
        <v>-157477.21180958991</v>
      </c>
      <c r="T88">
        <f t="shared" ref="T88" si="419">S88/1000</f>
        <v>-157.4772118095899</v>
      </c>
    </row>
    <row r="89" spans="1:20" x14ac:dyDescent="0.25">
      <c r="A89" s="5">
        <v>44504</v>
      </c>
      <c r="B89">
        <v>1.883E-2</v>
      </c>
      <c r="C89">
        <v>1.959E-2</v>
      </c>
      <c r="D89">
        <v>1.8190000000000001E-2</v>
      </c>
      <c r="E89">
        <v>1.9040000000000001E-2</v>
      </c>
      <c r="F89">
        <v>151528300.90000001</v>
      </c>
      <c r="G89">
        <v>1.9040000000000001E-2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0.21428571428571569</v>
      </c>
      <c r="Q89">
        <f t="shared" ref="Q89" si="421">F89*P89</f>
        <v>32470350.192857359</v>
      </c>
      <c r="R89">
        <f t="shared" ref="R89" si="422">R90+Q89</f>
        <v>-15686943368.15608</v>
      </c>
      <c r="S89">
        <f t="shared" ref="S89" si="423">R89/100000</f>
        <v>-156869.4336815608</v>
      </c>
      <c r="T89">
        <f t="shared" ref="T89" si="424">S89/1000</f>
        <v>-156.86943368156079</v>
      </c>
    </row>
    <row r="90" spans="1:20" x14ac:dyDescent="0.25">
      <c r="A90" s="5">
        <v>44503</v>
      </c>
      <c r="B90">
        <v>1.9369999999999998E-2</v>
      </c>
      <c r="C90">
        <v>2.0109999999999999E-2</v>
      </c>
      <c r="D90">
        <v>1.8460000000000001E-2</v>
      </c>
      <c r="E90">
        <v>1.883E-2</v>
      </c>
      <c r="F90">
        <v>147069916.30000001</v>
      </c>
      <c r="G90">
        <v>1.883E-2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-0.55151515151515262</v>
      </c>
      <c r="Q90">
        <f t="shared" ref="Q90" si="426">F90*P90</f>
        <v>-81111287.171515316</v>
      </c>
      <c r="R90">
        <f t="shared" ref="R90" si="427">R91+Q90</f>
        <v>-15719413718.348938</v>
      </c>
      <c r="S90">
        <f t="shared" ref="S90" si="428">R90/100000</f>
        <v>-157194.13718348939</v>
      </c>
      <c r="T90">
        <f t="shared" ref="T90" si="429">S90/1000</f>
        <v>-157.1941371834894</v>
      </c>
    </row>
    <row r="91" spans="1:20" x14ac:dyDescent="0.25">
      <c r="A91" s="5">
        <v>44502</v>
      </c>
      <c r="B91">
        <v>1.8620000000000001E-2</v>
      </c>
      <c r="C91">
        <v>1.983E-2</v>
      </c>
      <c r="D91">
        <v>1.822E-2</v>
      </c>
      <c r="E91">
        <v>1.932E-2</v>
      </c>
      <c r="F91">
        <v>177875211.09999999</v>
      </c>
      <c r="G91">
        <v>1.932E-2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0.36645962732919263</v>
      </c>
      <c r="Q91">
        <f t="shared" ref="Q91" si="431">F91*P91</f>
        <v>65184083.570807464</v>
      </c>
      <c r="R91">
        <f t="shared" ref="R91" si="432">R92+Q91</f>
        <v>-15638302431.177423</v>
      </c>
      <c r="S91">
        <f t="shared" ref="S91" si="433">R91/100000</f>
        <v>-156383.02431177424</v>
      </c>
      <c r="T91">
        <f t="shared" ref="T91" si="434">S91/1000</f>
        <v>-156.38302431177425</v>
      </c>
    </row>
    <row r="92" spans="1:20" x14ac:dyDescent="0.25">
      <c r="A92" s="5">
        <v>44501</v>
      </c>
      <c r="B92">
        <v>1.839E-2</v>
      </c>
      <c r="C92">
        <v>1.9529999999999999E-2</v>
      </c>
      <c r="D92">
        <v>1.7999999999999999E-2</v>
      </c>
      <c r="E92">
        <v>1.8610000000000002E-2</v>
      </c>
      <c r="F92">
        <v>134507555.80000001</v>
      </c>
      <c r="G92">
        <v>1.8610000000000002E-2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-0.20261437908496358</v>
      </c>
      <c r="Q92">
        <f t="shared" ref="Q92" si="436">F92*P92</f>
        <v>-27253164.900653094</v>
      </c>
      <c r="R92">
        <f t="shared" ref="R92" si="437">R93+Q92</f>
        <v>-15703486514.748232</v>
      </c>
      <c r="S92">
        <f t="shared" ref="S92" si="438">R92/100000</f>
        <v>-157034.86514748231</v>
      </c>
      <c r="T92">
        <f t="shared" ref="T92" si="439">S92/1000</f>
        <v>-157.03486514748232</v>
      </c>
    </row>
    <row r="93" spans="1:20" x14ac:dyDescent="0.25">
      <c r="A93" s="5">
        <v>44500</v>
      </c>
      <c r="B93">
        <v>1.865E-2</v>
      </c>
      <c r="C93">
        <v>1.9769999999999999E-2</v>
      </c>
      <c r="D93">
        <v>1.7899999999999999E-2</v>
      </c>
      <c r="E93">
        <v>1.8350000000000002E-2</v>
      </c>
      <c r="F93">
        <v>157011921</v>
      </c>
      <c r="G93">
        <v>1.8350000000000002E-2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-0.51871657754010436</v>
      </c>
      <c r="Q93">
        <f t="shared" ref="Q93" si="441">F93*P93</f>
        <v>-81444686.294117242</v>
      </c>
      <c r="R93">
        <f t="shared" ref="R93" si="442">R94+Q93</f>
        <v>-15676233349.847578</v>
      </c>
      <c r="S93">
        <f t="shared" ref="S93" si="443">R93/100000</f>
        <v>-156762.33349847578</v>
      </c>
      <c r="T93">
        <f t="shared" ref="T93" si="444">S93/1000</f>
        <v>-156.76233349847578</v>
      </c>
    </row>
    <row r="94" spans="1:20" x14ac:dyDescent="0.25">
      <c r="A94" s="5">
        <v>44499</v>
      </c>
      <c r="B94">
        <v>1.9300000000000001E-2</v>
      </c>
      <c r="C94">
        <v>2.0150000000000001E-2</v>
      </c>
      <c r="D94">
        <v>1.8380000000000001E-2</v>
      </c>
      <c r="E94">
        <v>1.8610000000000002E-2</v>
      </c>
      <c r="F94">
        <v>233604804.90000001</v>
      </c>
      <c r="G94">
        <v>1.8610000000000002E-2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-0.74011299435028144</v>
      </c>
      <c r="Q94">
        <f t="shared" ref="Q94" si="446">F94*P94</f>
        <v>-172893951.64915231</v>
      </c>
      <c r="R94">
        <f t="shared" ref="R94" si="447">R95+Q94</f>
        <v>-15594788663.553461</v>
      </c>
      <c r="S94">
        <f t="shared" ref="S94" si="448">R94/100000</f>
        <v>-155947.88663553461</v>
      </c>
      <c r="T94">
        <f t="shared" ref="T94" si="449">S94/1000</f>
        <v>-155.94788663553462</v>
      </c>
    </row>
    <row r="95" spans="1:20" x14ac:dyDescent="0.25">
      <c r="A95" s="5">
        <v>44498</v>
      </c>
      <c r="B95">
        <v>1.9560000000000001E-2</v>
      </c>
      <c r="C95">
        <v>2.01E-2</v>
      </c>
      <c r="D95">
        <v>1.9029999999999998E-2</v>
      </c>
      <c r="E95">
        <v>1.9300000000000001E-2</v>
      </c>
      <c r="F95">
        <v>208134205.80000001</v>
      </c>
      <c r="G95">
        <v>1.9300000000000001E-2</v>
      </c>
      <c r="L95" t="s">
        <v>7</v>
      </c>
      <c r="M95" t="s">
        <v>7</v>
      </c>
      <c r="N95" t="s">
        <v>7</v>
      </c>
      <c r="P95">
        <f t="shared" ref="P95" si="450">IF(C95=D95,0,((E95-D95)-(C95-E95))/(C95-D95))</f>
        <v>-0.49532710280373365</v>
      </c>
      <c r="Q95">
        <f t="shared" ref="Q95" si="451">F95*P95</f>
        <v>-103094513.15327007</v>
      </c>
      <c r="R95">
        <f t="shared" ref="R95" si="452">R96+Q95</f>
        <v>-15421894711.904308</v>
      </c>
      <c r="S95">
        <f t="shared" ref="S95" si="453">R95/100000</f>
        <v>-154218.94711904309</v>
      </c>
      <c r="T95">
        <f t="shared" ref="T95" si="454">S95/1000</f>
        <v>-154.21894711904309</v>
      </c>
    </row>
    <row r="96" spans="1:20" x14ac:dyDescent="0.25">
      <c r="A96" s="5">
        <v>44497</v>
      </c>
      <c r="B96">
        <v>2.0619999999999999E-2</v>
      </c>
      <c r="C96">
        <v>2.1409999999999998E-2</v>
      </c>
      <c r="D96">
        <v>1.908E-2</v>
      </c>
      <c r="E96">
        <v>1.9560000000000001E-2</v>
      </c>
      <c r="F96">
        <v>358804800.30000001</v>
      </c>
      <c r="G96">
        <v>1.9560000000000001E-2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-0.58798283261802442</v>
      </c>
      <c r="Q96">
        <f t="shared" ref="Q96" si="456">F96*P96</f>
        <v>-210971062.8373386</v>
      </c>
      <c r="R96">
        <f t="shared" ref="R96" si="457">R97+Q96</f>
        <v>-15318800198.751038</v>
      </c>
      <c r="S96">
        <f t="shared" ref="S96" si="458">R96/100000</f>
        <v>-153188.00198751039</v>
      </c>
      <c r="T96">
        <f t="shared" ref="T96" si="459">S96/1000</f>
        <v>-153.1880019875104</v>
      </c>
    </row>
    <row r="97" spans="1:20" x14ac:dyDescent="0.25">
      <c r="A97" s="5">
        <v>44496</v>
      </c>
      <c r="B97">
        <v>2.4160000000000001E-2</v>
      </c>
      <c r="C97">
        <v>2.5999999999999999E-2</v>
      </c>
      <c r="D97">
        <v>2.06E-2</v>
      </c>
      <c r="E97">
        <v>2.0619999999999999E-2</v>
      </c>
      <c r="F97">
        <v>692074229</v>
      </c>
      <c r="G97">
        <v>2.0619999999999999E-2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-0.99259259259259291</v>
      </c>
      <c r="Q97">
        <f t="shared" ref="Q97" si="461">F97*P97</f>
        <v>-686947753.22962987</v>
      </c>
      <c r="R97">
        <f t="shared" ref="R97" si="462">R98+Q97</f>
        <v>-15107829135.913698</v>
      </c>
      <c r="S97">
        <f t="shared" ref="S97" si="463">R97/100000</f>
        <v>-151078.29135913699</v>
      </c>
      <c r="T97">
        <f t="shared" ref="T97" si="464">S97/1000</f>
        <v>-151.07829135913698</v>
      </c>
    </row>
    <row r="98" spans="1:20" x14ac:dyDescent="0.25">
      <c r="A98" s="5">
        <v>44495</v>
      </c>
      <c r="B98">
        <v>2.247E-2</v>
      </c>
      <c r="C98">
        <v>2.9700000000000001E-2</v>
      </c>
      <c r="D98">
        <v>2.1600000000000001E-2</v>
      </c>
      <c r="E98">
        <v>2.4160000000000001E-2</v>
      </c>
      <c r="F98">
        <v>1822990568.5</v>
      </c>
      <c r="G98">
        <v>2.4160000000000001E-2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-0.36790123456790125</v>
      </c>
      <c r="Q98">
        <f t="shared" ref="Q98" si="466">F98*P98</f>
        <v>-670680480.75679016</v>
      </c>
      <c r="R98">
        <f t="shared" ref="R98" si="467">R99+Q98</f>
        <v>-14420881382.684069</v>
      </c>
      <c r="S98">
        <f t="shared" ref="S98" si="468">R98/100000</f>
        <v>-144208.81382684069</v>
      </c>
      <c r="T98">
        <f t="shared" ref="T98" si="469">S98/1000</f>
        <v>-144.2088138268407</v>
      </c>
    </row>
    <row r="99" spans="1:20" x14ac:dyDescent="0.25">
      <c r="A99" s="5">
        <v>44494</v>
      </c>
      <c r="B99">
        <v>1.813E-2</v>
      </c>
      <c r="C99">
        <v>2.75E-2</v>
      </c>
      <c r="D99">
        <v>1.7809999999999999E-2</v>
      </c>
      <c r="E99">
        <v>2.2450000000000001E-2</v>
      </c>
      <c r="F99">
        <v>1937028450.9000001</v>
      </c>
      <c r="G99">
        <v>2.2450000000000001E-2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-4.2311661506707648E-2</v>
      </c>
      <c r="Q99">
        <f t="shared" ref="Q99" si="471">F99*P99</f>
        <v>-81958892.143343076</v>
      </c>
      <c r="R99">
        <f t="shared" ref="R99" si="472">R100+Q99</f>
        <v>-13750200901.927279</v>
      </c>
      <c r="S99">
        <f t="shared" ref="S99" si="473">R99/100000</f>
        <v>-137502.00901927278</v>
      </c>
      <c r="T99">
        <f t="shared" ref="T99" si="474">S99/1000</f>
        <v>-137.50200901927278</v>
      </c>
    </row>
    <row r="100" spans="1:20" x14ac:dyDescent="0.25">
      <c r="A100" s="5">
        <v>44493</v>
      </c>
      <c r="B100">
        <v>1.7739999999999999E-2</v>
      </c>
      <c r="C100">
        <v>2.1999999999999999E-2</v>
      </c>
      <c r="D100">
        <v>1.6740000000000001E-2</v>
      </c>
      <c r="E100">
        <v>1.8120000000000001E-2</v>
      </c>
      <c r="F100">
        <v>1137540334.8</v>
      </c>
      <c r="G100">
        <v>1.8120000000000001E-2</v>
      </c>
      <c r="L100" t="s">
        <v>8</v>
      </c>
      <c r="M100" t="s">
        <v>8</v>
      </c>
      <c r="N100" t="s">
        <v>7</v>
      </c>
      <c r="P100">
        <f t="shared" ref="P100" si="475">IF(C100=D100,0,((E100-D100)-(C100-E100))/(C100-D100))</f>
        <v>-0.47528517110266161</v>
      </c>
      <c r="Q100">
        <f t="shared" ref="Q100" si="476">F100*P100</f>
        <v>-540656052.66159689</v>
      </c>
      <c r="R100">
        <f t="shared" ref="R100" si="477">R101+Q100</f>
        <v>-13668242009.783936</v>
      </c>
      <c r="S100">
        <f t="shared" ref="S100" si="478">R100/100000</f>
        <v>-136682.42009783935</v>
      </c>
      <c r="T100">
        <f t="shared" ref="T100" si="479">S100/1000</f>
        <v>-136.68242009783935</v>
      </c>
    </row>
    <row r="101" spans="1:20" x14ac:dyDescent="0.25">
      <c r="A101" s="5">
        <v>44492</v>
      </c>
      <c r="B101">
        <v>1.77E-2</v>
      </c>
      <c r="C101">
        <v>1.95E-2</v>
      </c>
      <c r="D101">
        <v>1.6619999999999999E-2</v>
      </c>
      <c r="E101">
        <v>1.772E-2</v>
      </c>
      <c r="F101">
        <v>750916117.70000005</v>
      </c>
      <c r="G101">
        <v>1.772E-2</v>
      </c>
      <c r="L101" t="s">
        <v>8</v>
      </c>
      <c r="M101" t="s">
        <v>8</v>
      </c>
      <c r="N101" t="s">
        <v>7</v>
      </c>
      <c r="P101">
        <f t="shared" ref="P101" si="480">IF(C101=D101,0,((E101-D101)-(C101-E101))/(C101-D101))</f>
        <v>-0.23611111111111108</v>
      </c>
      <c r="Q101">
        <f t="shared" ref="Q101" si="481">F101*P101</f>
        <v>-177299638.90138888</v>
      </c>
      <c r="R101">
        <f t="shared" ref="R101" si="482">R102+Q101</f>
        <v>-13127585957.122339</v>
      </c>
      <c r="S101">
        <f t="shared" ref="S101" si="483">R101/100000</f>
        <v>-131275.85957122338</v>
      </c>
      <c r="T101">
        <f t="shared" ref="T101" si="484">S101/1000</f>
        <v>-131.27585957122338</v>
      </c>
    </row>
    <row r="102" spans="1:20" x14ac:dyDescent="0.25">
      <c r="A102" s="5">
        <v>44491</v>
      </c>
      <c r="B102">
        <v>1.6809999999999999E-2</v>
      </c>
      <c r="C102">
        <v>1.9640000000000001E-2</v>
      </c>
      <c r="D102">
        <v>1.602E-2</v>
      </c>
      <c r="E102">
        <v>1.77E-2</v>
      </c>
      <c r="F102">
        <v>377231429</v>
      </c>
      <c r="G102">
        <v>1.77E-2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-7.1823204419889417E-2</v>
      </c>
      <c r="Q102">
        <f t="shared" ref="Q102" si="486">F102*P102</f>
        <v>-27093970.038674001</v>
      </c>
      <c r="R102">
        <f t="shared" ref="R102" si="487">R103+Q102</f>
        <v>-12950286318.220951</v>
      </c>
      <c r="S102">
        <f t="shared" ref="S102" si="488">R102/100000</f>
        <v>-129502.8631822095</v>
      </c>
      <c r="T102">
        <f t="shared" ref="T102" si="489">S102/1000</f>
        <v>-129.5028631822095</v>
      </c>
    </row>
    <row r="103" spans="1:20" x14ac:dyDescent="0.25">
      <c r="A103" s="5">
        <v>44490</v>
      </c>
      <c r="B103">
        <v>1.821E-2</v>
      </c>
      <c r="C103">
        <v>1.8450000000000001E-2</v>
      </c>
      <c r="D103">
        <v>1.661E-2</v>
      </c>
      <c r="E103">
        <v>1.6789999999999999E-2</v>
      </c>
      <c r="F103">
        <v>229945687.40000001</v>
      </c>
      <c r="G103">
        <v>1.6789999999999999E-2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-0.8043478260869571</v>
      </c>
      <c r="Q103">
        <f t="shared" ref="Q103" si="491">F103*P103</f>
        <v>-184956313.77826101</v>
      </c>
      <c r="R103">
        <f t="shared" ref="R103" si="492">R104+Q103</f>
        <v>-12923192348.182278</v>
      </c>
      <c r="S103">
        <f t="shared" ref="S103" si="493">R103/100000</f>
        <v>-129231.92348182277</v>
      </c>
      <c r="T103">
        <f t="shared" ref="T103" si="494">S103/1000</f>
        <v>-129.23192348182278</v>
      </c>
    </row>
    <row r="104" spans="1:20" x14ac:dyDescent="0.25">
      <c r="A104" s="5">
        <v>44489</v>
      </c>
      <c r="B104">
        <v>1.7930000000000001E-2</v>
      </c>
      <c r="C104">
        <v>1.9199999999999998E-2</v>
      </c>
      <c r="D104">
        <v>1.77E-2</v>
      </c>
      <c r="E104">
        <v>1.821E-2</v>
      </c>
      <c r="F104">
        <v>255233343.19999999</v>
      </c>
      <c r="G104">
        <v>1.821E-2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-0.31999999999999901</v>
      </c>
      <c r="Q104">
        <f t="shared" ref="Q104" si="496">F104*P104</f>
        <v>-81674669.823999748</v>
      </c>
      <c r="R104">
        <f t="shared" ref="R104" si="497">R105+Q104</f>
        <v>-12738236034.404016</v>
      </c>
      <c r="S104">
        <f t="shared" ref="S104" si="498">R104/100000</f>
        <v>-127382.36034404016</v>
      </c>
      <c r="T104">
        <f t="shared" ref="T104" si="499">S104/1000</f>
        <v>-127.38236034404017</v>
      </c>
    </row>
    <row r="105" spans="1:20" x14ac:dyDescent="0.25">
      <c r="A105" s="5">
        <v>44488</v>
      </c>
      <c r="B105">
        <v>1.805E-2</v>
      </c>
      <c r="C105">
        <v>1.8859999999999998E-2</v>
      </c>
      <c r="D105">
        <v>1.7409999999999998E-2</v>
      </c>
      <c r="E105">
        <v>1.7930000000000001E-2</v>
      </c>
      <c r="F105">
        <v>294614150.60000002</v>
      </c>
      <c r="G105">
        <v>1.7930000000000001E-2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-0.28275862068965085</v>
      </c>
      <c r="Q105">
        <f t="shared" ref="Q105" si="501">F105*P105</f>
        <v>-83304690.859309077</v>
      </c>
      <c r="R105">
        <f t="shared" ref="R105" si="502">R106+Q105</f>
        <v>-12656561364.580017</v>
      </c>
      <c r="S105">
        <f t="shared" ref="S105" si="503">R105/100000</f>
        <v>-126565.61364580017</v>
      </c>
      <c r="T105">
        <f t="shared" ref="T105" si="504">S105/1000</f>
        <v>-126.56561364580017</v>
      </c>
    </row>
    <row r="106" spans="1:20" x14ac:dyDescent="0.25">
      <c r="A106" s="5">
        <v>44487</v>
      </c>
      <c r="B106">
        <v>2.0250000000000001E-2</v>
      </c>
      <c r="C106">
        <v>2.0480000000000002E-2</v>
      </c>
      <c r="D106">
        <v>1.7760000000000001E-2</v>
      </c>
      <c r="E106">
        <v>1.806E-2</v>
      </c>
      <c r="F106">
        <v>424082602.89999998</v>
      </c>
      <c r="G106">
        <v>1.806E-2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-0.77941176470588369</v>
      </c>
      <c r="Q106">
        <f t="shared" ref="Q106" si="506">F106*P106</f>
        <v>-330534969.90735346</v>
      </c>
      <c r="R106">
        <f t="shared" ref="R106" si="507">R107+Q106</f>
        <v>-12573256673.720709</v>
      </c>
      <c r="S106">
        <f t="shared" ref="S106" si="508">R106/100000</f>
        <v>-125732.56673720709</v>
      </c>
      <c r="T106">
        <f t="shared" ref="T106" si="509">S106/1000</f>
        <v>-125.73256673720709</v>
      </c>
    </row>
    <row r="107" spans="1:20" x14ac:dyDescent="0.25">
      <c r="A107" s="5">
        <v>44486</v>
      </c>
      <c r="B107">
        <v>2.4910000000000002E-2</v>
      </c>
      <c r="C107">
        <v>2.4979999999999999E-2</v>
      </c>
      <c r="D107">
        <v>1.882E-2</v>
      </c>
      <c r="E107">
        <v>2.0230000000000001E-2</v>
      </c>
      <c r="F107">
        <v>1508942336.2</v>
      </c>
      <c r="G107">
        <v>2.0230000000000001E-2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-0.54220779220779158</v>
      </c>
      <c r="Q107">
        <f t="shared" ref="Q107" si="511">F107*P107</f>
        <v>-818160292.67986917</v>
      </c>
      <c r="R107">
        <f t="shared" ref="R107" si="512">R108+Q107</f>
        <v>-12242721703.813354</v>
      </c>
      <c r="S107">
        <f t="shared" ref="S107" si="513">R107/100000</f>
        <v>-122427.21703813355</v>
      </c>
      <c r="T107">
        <f t="shared" ref="T107" si="514">S107/1000</f>
        <v>-122.42721703813355</v>
      </c>
    </row>
    <row r="108" spans="1:20" x14ac:dyDescent="0.25">
      <c r="A108" s="5">
        <v>44485</v>
      </c>
      <c r="B108">
        <v>1.4030000000000001E-2</v>
      </c>
      <c r="C108">
        <v>3.3590000000000002E-2</v>
      </c>
      <c r="D108">
        <v>1.388E-2</v>
      </c>
      <c r="E108">
        <v>2.4910000000000002E-2</v>
      </c>
      <c r="F108">
        <v>9549867668.7999992</v>
      </c>
      <c r="G108">
        <v>2.4910000000000002E-2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0.11922881785895491</v>
      </c>
      <c r="Q108">
        <f t="shared" ref="Q108" si="516">F108*P108</f>
        <v>1138619432.8604774</v>
      </c>
      <c r="R108">
        <f t="shared" ref="R108" si="517">R109+Q108</f>
        <v>-11424561411.133486</v>
      </c>
      <c r="S108">
        <f t="shared" ref="S108" si="518">R108/100000</f>
        <v>-114245.61411133486</v>
      </c>
      <c r="T108">
        <f t="shared" ref="T108" si="519">S108/1000</f>
        <v>-114.24561411133486</v>
      </c>
    </row>
    <row r="109" spans="1:20" x14ac:dyDescent="0.25">
      <c r="A109" s="5">
        <v>44484</v>
      </c>
      <c r="B109">
        <v>1.3180000000000001E-2</v>
      </c>
      <c r="C109">
        <v>1.443E-2</v>
      </c>
      <c r="D109">
        <v>1.289E-2</v>
      </c>
      <c r="E109">
        <v>1.4E-2</v>
      </c>
      <c r="F109">
        <v>190091332.5</v>
      </c>
      <c r="G109">
        <v>1.4E-2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0.44155844155844165</v>
      </c>
      <c r="Q109">
        <f t="shared" ref="Q109" si="521">F109*P109</f>
        <v>83936432.532467544</v>
      </c>
      <c r="R109">
        <f t="shared" ref="R109" si="522">R110+Q109</f>
        <v>-12563180843.993963</v>
      </c>
      <c r="S109">
        <f t="shared" ref="S109" si="523">R109/100000</f>
        <v>-125631.80843993963</v>
      </c>
      <c r="T109">
        <f t="shared" ref="T109" si="524">S109/1000</f>
        <v>-125.63180843993963</v>
      </c>
    </row>
    <row r="110" spans="1:20" x14ac:dyDescent="0.25">
      <c r="A110" s="5">
        <v>44483</v>
      </c>
      <c r="B110">
        <v>1.35E-2</v>
      </c>
      <c r="C110">
        <v>1.376E-2</v>
      </c>
      <c r="D110">
        <v>1.304E-2</v>
      </c>
      <c r="E110">
        <v>1.3180000000000001E-2</v>
      </c>
      <c r="F110">
        <v>107112876.40000001</v>
      </c>
      <c r="G110">
        <v>1.3180000000000001E-2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-0.61111111111110772</v>
      </c>
      <c r="Q110">
        <f t="shared" ref="Q110" si="526">F110*P110</f>
        <v>-65457868.911110751</v>
      </c>
      <c r="R110">
        <f t="shared" ref="R110" si="527">R111+Q110</f>
        <v>-12647117276.52643</v>
      </c>
      <c r="S110">
        <f t="shared" ref="S110" si="528">R110/100000</f>
        <v>-126471.1727652643</v>
      </c>
      <c r="T110">
        <f t="shared" ref="T110" si="529">S110/1000</f>
        <v>-126.4711727652643</v>
      </c>
    </row>
    <row r="111" spans="1:20" x14ac:dyDescent="0.25">
      <c r="A111" s="5">
        <v>44482</v>
      </c>
      <c r="B111">
        <v>1.2630000000000001E-2</v>
      </c>
      <c r="C111">
        <v>1.3599999999999999E-2</v>
      </c>
      <c r="D111">
        <v>1.24E-2</v>
      </c>
      <c r="E111">
        <v>1.35E-2</v>
      </c>
      <c r="F111">
        <v>68668421.5</v>
      </c>
      <c r="G111">
        <v>1.35E-2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0.83333333333333426</v>
      </c>
      <c r="Q111">
        <f t="shared" ref="Q111" si="531">F111*P111</f>
        <v>57223684.583333395</v>
      </c>
      <c r="R111">
        <f t="shared" ref="R111" si="532">R112+Q111</f>
        <v>-12581659407.61532</v>
      </c>
      <c r="S111">
        <f t="shared" ref="S111" si="533">R111/100000</f>
        <v>-125816.5940761532</v>
      </c>
      <c r="T111">
        <f t="shared" ref="T111" si="534">S111/1000</f>
        <v>-125.81659407615319</v>
      </c>
    </row>
    <row r="112" spans="1:20" x14ac:dyDescent="0.25">
      <c r="A112" s="5">
        <v>44481</v>
      </c>
      <c r="B112">
        <v>1.2800000000000001E-2</v>
      </c>
      <c r="C112">
        <v>1.2880000000000001E-2</v>
      </c>
      <c r="D112">
        <v>1.1769999999999999E-2</v>
      </c>
      <c r="E112">
        <v>1.2630000000000001E-2</v>
      </c>
      <c r="F112">
        <v>68417621</v>
      </c>
      <c r="G112">
        <v>1.2630000000000001E-2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0.54954954954954982</v>
      </c>
      <c r="Q112">
        <f t="shared" ref="Q112" si="536">F112*P112</f>
        <v>37598872.801801823</v>
      </c>
      <c r="R112">
        <f t="shared" ref="R112" si="537">R113+Q112</f>
        <v>-12638883092.198654</v>
      </c>
      <c r="S112">
        <f t="shared" ref="S112" si="538">R112/100000</f>
        <v>-126388.83092198655</v>
      </c>
      <c r="T112">
        <f t="shared" ref="T112" si="539">S112/1000</f>
        <v>-126.38883092198655</v>
      </c>
    </row>
    <row r="113" spans="1:20" x14ac:dyDescent="0.25">
      <c r="A113" s="5">
        <v>44480</v>
      </c>
      <c r="B113">
        <v>1.316E-2</v>
      </c>
      <c r="C113">
        <v>1.3339999999999999E-2</v>
      </c>
      <c r="D113">
        <v>1.257E-2</v>
      </c>
      <c r="E113">
        <v>1.2789999999999999E-2</v>
      </c>
      <c r="F113">
        <v>38478579.5</v>
      </c>
      <c r="G113">
        <v>1.2789999999999999E-2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-0.42857142857142921</v>
      </c>
      <c r="Q113">
        <f t="shared" ref="Q113" si="541">F113*P113</f>
        <v>-16490819.78571431</v>
      </c>
      <c r="R113">
        <f t="shared" ref="R113" si="542">R114+Q113</f>
        <v>-12676481965.000456</v>
      </c>
      <c r="S113">
        <f t="shared" ref="S113" si="543">R113/100000</f>
        <v>-126764.81965000456</v>
      </c>
      <c r="T113">
        <f t="shared" ref="T113" si="544">S113/1000</f>
        <v>-126.76481965000455</v>
      </c>
    </row>
    <row r="114" spans="1:20" x14ac:dyDescent="0.25">
      <c r="A114" s="5">
        <v>44479</v>
      </c>
      <c r="B114">
        <v>1.3429999999999999E-2</v>
      </c>
      <c r="C114">
        <v>1.3899999999999999E-2</v>
      </c>
      <c r="D114">
        <v>1.3010000000000001E-2</v>
      </c>
      <c r="E114">
        <v>1.315E-2</v>
      </c>
      <c r="F114">
        <v>101832191.8</v>
      </c>
      <c r="G114">
        <v>1.315E-2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-0.68539325842696686</v>
      </c>
      <c r="Q114">
        <f t="shared" ref="Q114" si="546">F114*P114</f>
        <v>-69795097.750561848</v>
      </c>
      <c r="R114">
        <f t="shared" ref="R114" si="547">R115+Q114</f>
        <v>-12659991145.214741</v>
      </c>
      <c r="S114">
        <f t="shared" ref="S114" si="548">R114/100000</f>
        <v>-126599.91145214741</v>
      </c>
      <c r="T114">
        <f t="shared" ref="T114" si="549">S114/1000</f>
        <v>-126.59991145214741</v>
      </c>
    </row>
    <row r="115" spans="1:20" x14ac:dyDescent="0.25">
      <c r="A115" s="5">
        <v>44478</v>
      </c>
      <c r="B115">
        <v>1.3180000000000001E-2</v>
      </c>
      <c r="C115">
        <v>1.4E-2</v>
      </c>
      <c r="D115">
        <v>1.312E-2</v>
      </c>
      <c r="E115">
        <v>1.345E-2</v>
      </c>
      <c r="F115">
        <v>126717775.5</v>
      </c>
      <c r="G115">
        <v>1.345E-2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-0.2499999999999995</v>
      </c>
      <c r="Q115">
        <f t="shared" ref="Q115" si="551">F115*P115</f>
        <v>-31679443.874999937</v>
      </c>
      <c r="R115">
        <f t="shared" ref="R115" si="552">R116+Q115</f>
        <v>-12590196047.464178</v>
      </c>
      <c r="S115">
        <f t="shared" ref="S115" si="553">R115/100000</f>
        <v>-125901.96047464178</v>
      </c>
      <c r="T115">
        <f t="shared" ref="T115" si="554">S115/1000</f>
        <v>-125.90196047464177</v>
      </c>
    </row>
    <row r="116" spans="1:20" x14ac:dyDescent="0.25">
      <c r="A116" s="5">
        <v>44477</v>
      </c>
      <c r="B116">
        <v>1.311E-2</v>
      </c>
      <c r="C116">
        <v>1.3599999999999999E-2</v>
      </c>
      <c r="D116">
        <v>1.306E-2</v>
      </c>
      <c r="E116">
        <v>1.3180000000000001E-2</v>
      </c>
      <c r="F116">
        <v>81315401</v>
      </c>
      <c r="G116">
        <v>1.3180000000000001E-2</v>
      </c>
      <c r="L116" t="s">
        <v>8</v>
      </c>
      <c r="M116" t="s">
        <v>7</v>
      </c>
      <c r="N116" t="s">
        <v>7</v>
      </c>
      <c r="P116">
        <f t="shared" ref="P116" si="555">IF(C116=D116,0,((E116-D116)-(C116-E116))/(C116-D116))</f>
        <v>-0.55555555555555336</v>
      </c>
      <c r="Q116">
        <f t="shared" ref="Q116" si="556">F116*P116</f>
        <v>-45175222.777777597</v>
      </c>
      <c r="R116">
        <f t="shared" ref="R116" si="557">R117+Q116</f>
        <v>-12558516603.589178</v>
      </c>
      <c r="S116">
        <f t="shared" ref="S116" si="558">R116/100000</f>
        <v>-125585.16603589179</v>
      </c>
      <c r="T116">
        <f t="shared" ref="T116" si="559">S116/1000</f>
        <v>-125.58516603589179</v>
      </c>
    </row>
    <row r="117" spans="1:20" x14ac:dyDescent="0.25">
      <c r="A117" s="5">
        <v>44476</v>
      </c>
      <c r="B117">
        <v>1.315E-2</v>
      </c>
      <c r="C117">
        <v>1.345E-2</v>
      </c>
      <c r="D117">
        <v>1.261E-2</v>
      </c>
      <c r="E117">
        <v>1.311E-2</v>
      </c>
      <c r="F117">
        <v>80350263.700000003</v>
      </c>
      <c r="G117">
        <v>1.311E-2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0.19047619047619088</v>
      </c>
      <c r="Q117">
        <f t="shared" ref="Q117" si="561">F117*P117</f>
        <v>15304812.133333366</v>
      </c>
      <c r="R117">
        <f t="shared" ref="R117" si="562">R118+Q117</f>
        <v>-12513341380.811401</v>
      </c>
      <c r="S117">
        <f t="shared" ref="S117" si="563">R117/100000</f>
        <v>-125133.41380811401</v>
      </c>
      <c r="T117">
        <f t="shared" ref="T117" si="564">S117/1000</f>
        <v>-125.13341380811401</v>
      </c>
    </row>
    <row r="118" spans="1:20" x14ac:dyDescent="0.25">
      <c r="A118" s="5">
        <v>44475</v>
      </c>
      <c r="B118">
        <v>1.3299999999999999E-2</v>
      </c>
      <c r="C118">
        <v>1.337E-2</v>
      </c>
      <c r="D118">
        <v>1.129E-2</v>
      </c>
      <c r="E118">
        <v>1.3140000000000001E-2</v>
      </c>
      <c r="F118">
        <v>118973031.2</v>
      </c>
      <c r="G118">
        <v>1.3140000000000001E-2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0.77884615384615452</v>
      </c>
      <c r="Q118">
        <f t="shared" ref="Q118" si="566">F118*P118</f>
        <v>92661687.76153855</v>
      </c>
      <c r="R118">
        <f t="shared" ref="R118" si="567">R119+Q118</f>
        <v>-12528646192.944735</v>
      </c>
      <c r="S118">
        <f t="shared" ref="S118" si="568">R118/100000</f>
        <v>-125286.46192944735</v>
      </c>
      <c r="T118">
        <f t="shared" ref="T118" si="569">S118/1000</f>
        <v>-125.28646192944736</v>
      </c>
    </row>
    <row r="119" spans="1:20" x14ac:dyDescent="0.25">
      <c r="A119" s="5">
        <v>44474</v>
      </c>
      <c r="B119">
        <v>1.261E-2</v>
      </c>
      <c r="C119">
        <v>1.367E-2</v>
      </c>
      <c r="D119">
        <v>1.247E-2</v>
      </c>
      <c r="E119">
        <v>1.329E-2</v>
      </c>
      <c r="F119">
        <v>104996116.7</v>
      </c>
      <c r="G119">
        <v>1.329E-2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0.36666666666666631</v>
      </c>
      <c r="Q119">
        <f t="shared" ref="Q119" si="571">F119*P119</f>
        <v>38498576.123333298</v>
      </c>
      <c r="R119">
        <f t="shared" ref="R119" si="572">R120+Q119</f>
        <v>-12621307880.706274</v>
      </c>
      <c r="S119">
        <f t="shared" ref="S119" si="573">R119/100000</f>
        <v>-126213.07880706275</v>
      </c>
      <c r="T119">
        <f t="shared" ref="T119" si="574">S119/1000</f>
        <v>-126.21307880706274</v>
      </c>
    </row>
    <row r="120" spans="1:20" x14ac:dyDescent="0.25">
      <c r="A120" s="5">
        <v>44473</v>
      </c>
      <c r="B120">
        <v>1.268E-2</v>
      </c>
      <c r="C120">
        <v>1.277E-2</v>
      </c>
      <c r="D120">
        <v>1.2239999999999999E-2</v>
      </c>
      <c r="E120">
        <v>1.2630000000000001E-2</v>
      </c>
      <c r="F120">
        <v>51413394</v>
      </c>
      <c r="G120">
        <v>1.2630000000000001E-2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0.47169811320755001</v>
      </c>
      <c r="Q120">
        <f t="shared" ref="Q120" si="576">F120*P120</f>
        <v>24251600.943396371</v>
      </c>
      <c r="R120">
        <f t="shared" ref="R120" si="577">R121+Q120</f>
        <v>-12659806456.829607</v>
      </c>
      <c r="S120">
        <f t="shared" ref="S120" si="578">R120/100000</f>
        <v>-126598.06456829607</v>
      </c>
      <c r="T120">
        <f t="shared" ref="T120" si="579">S120/1000</f>
        <v>-126.59806456829608</v>
      </c>
    </row>
    <row r="121" spans="1:20" x14ac:dyDescent="0.25">
      <c r="A121" s="5">
        <v>44472</v>
      </c>
      <c r="B121">
        <v>1.2659999999999999E-2</v>
      </c>
      <c r="C121">
        <v>1.3100000000000001E-2</v>
      </c>
      <c r="D121">
        <v>1.24E-2</v>
      </c>
      <c r="E121">
        <v>1.2630000000000001E-2</v>
      </c>
      <c r="F121">
        <v>64651597.899999999</v>
      </c>
      <c r="G121">
        <v>1.2630000000000001E-2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-0.34285714285714081</v>
      </c>
      <c r="Q121">
        <f t="shared" ref="Q121" si="581">F121*P121</f>
        <v>-22166262.137142725</v>
      </c>
      <c r="R121">
        <f t="shared" ref="R121" si="582">R122+Q121</f>
        <v>-12684058057.773003</v>
      </c>
      <c r="S121">
        <f t="shared" ref="S121" si="583">R121/100000</f>
        <v>-126840.58057773003</v>
      </c>
      <c r="T121">
        <f t="shared" ref="T121" si="584">S121/1000</f>
        <v>-126.84058057773002</v>
      </c>
    </row>
    <row r="122" spans="1:20" x14ac:dyDescent="0.25">
      <c r="A122" s="5">
        <v>44471</v>
      </c>
      <c r="B122">
        <v>1.289E-2</v>
      </c>
      <c r="C122">
        <v>1.333E-2</v>
      </c>
      <c r="D122">
        <v>1.239E-2</v>
      </c>
      <c r="E122">
        <v>1.2670000000000001E-2</v>
      </c>
      <c r="F122">
        <v>132793629.5</v>
      </c>
      <c r="G122">
        <v>1.2670000000000001E-2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-0.40425531914893453</v>
      </c>
      <c r="Q122">
        <f t="shared" ref="Q122" si="586">F122*P122</f>
        <v>-53682531.074467868</v>
      </c>
      <c r="R122">
        <f t="shared" ref="R122" si="587">R123+Q122</f>
        <v>-12661891795.63586</v>
      </c>
      <c r="S122">
        <f t="shared" ref="S122" si="588">R122/100000</f>
        <v>-126618.91795635861</v>
      </c>
      <c r="T122">
        <f t="shared" ref="T122" si="589">S122/1000</f>
        <v>-126.6189179563586</v>
      </c>
    </row>
    <row r="123" spans="1:20" x14ac:dyDescent="0.25">
      <c r="A123" s="5">
        <v>44470</v>
      </c>
      <c r="B123">
        <v>1.209E-2</v>
      </c>
      <c r="C123">
        <v>1.298E-2</v>
      </c>
      <c r="D123">
        <v>1.192E-2</v>
      </c>
      <c r="E123">
        <v>1.289E-2</v>
      </c>
      <c r="F123">
        <v>101656825.90000001</v>
      </c>
      <c r="G123">
        <v>1.289E-2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0.83018867924528339</v>
      </c>
      <c r="Q123">
        <f t="shared" ref="Q123" si="591">F123*P123</f>
        <v>84394346.030188724</v>
      </c>
      <c r="R123">
        <f t="shared" ref="R123" si="592">R124+Q123</f>
        <v>-12608209264.561392</v>
      </c>
      <c r="S123">
        <f t="shared" ref="S123" si="593">R123/100000</f>
        <v>-126082.09264561391</v>
      </c>
      <c r="T123">
        <f t="shared" ref="T123" si="594">S123/1000</f>
        <v>-126.08209264561391</v>
      </c>
    </row>
    <row r="124" spans="1:20" x14ac:dyDescent="0.25">
      <c r="A124" s="5">
        <v>44469</v>
      </c>
      <c r="B124">
        <v>1.15E-2</v>
      </c>
      <c r="C124">
        <v>1.2529999999999999E-2</v>
      </c>
      <c r="D124">
        <v>1.15E-2</v>
      </c>
      <c r="E124">
        <v>1.2030000000000001E-2</v>
      </c>
      <c r="F124">
        <v>51446569.200000003</v>
      </c>
      <c r="G124">
        <v>1.2030000000000001E-2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2.91262135922352E-2</v>
      </c>
      <c r="Q124">
        <f t="shared" ref="Q124" si="596">F124*P124</f>
        <v>1498443.7631069089</v>
      </c>
      <c r="R124">
        <f t="shared" ref="R124" si="597">R125+Q124</f>
        <v>-12692603610.591581</v>
      </c>
      <c r="S124">
        <f t="shared" ref="S124" si="598">R124/100000</f>
        <v>-126926.03610591582</v>
      </c>
      <c r="T124">
        <f t="shared" ref="T124" si="599">S124/1000</f>
        <v>-126.92603610591581</v>
      </c>
    </row>
    <row r="125" spans="1:20" x14ac:dyDescent="0.25">
      <c r="A125" s="5">
        <v>44468</v>
      </c>
      <c r="B125">
        <v>1.157E-2</v>
      </c>
      <c r="C125">
        <v>1.1979999999999999E-2</v>
      </c>
      <c r="D125">
        <v>1.125E-2</v>
      </c>
      <c r="E125">
        <v>1.15E-2</v>
      </c>
      <c r="F125">
        <v>59478358.899999999</v>
      </c>
      <c r="G125">
        <v>1.15E-2</v>
      </c>
      <c r="L125" t="s">
        <v>7</v>
      </c>
      <c r="M125" t="s">
        <v>8</v>
      </c>
      <c r="N125" t="s">
        <v>7</v>
      </c>
      <c r="P125">
        <f t="shared" ref="P125" si="600">IF(C125=D125,0,((E125-D125)-(C125-E125))/(C125-D125))</f>
        <v>-0.31506849315068408</v>
      </c>
      <c r="Q125">
        <f t="shared" ref="Q125" si="601">F125*P125</f>
        <v>-18739756.91369858</v>
      </c>
      <c r="R125">
        <f t="shared" ref="R125" si="602">R126+Q125</f>
        <v>-12694102054.354689</v>
      </c>
      <c r="S125">
        <f t="shared" ref="S125" si="603">R125/100000</f>
        <v>-126941.02054354688</v>
      </c>
      <c r="T125">
        <f t="shared" ref="T125" si="604">S125/1000</f>
        <v>-126.94102054354688</v>
      </c>
    </row>
    <row r="126" spans="1:20" x14ac:dyDescent="0.25">
      <c r="A126" s="5">
        <v>44467</v>
      </c>
      <c r="B126">
        <v>1.158E-2</v>
      </c>
      <c r="C126">
        <v>1.2489999999999999E-2</v>
      </c>
      <c r="D126">
        <v>1.1440000000000001E-2</v>
      </c>
      <c r="E126">
        <v>1.157E-2</v>
      </c>
      <c r="F126">
        <v>157927153.09999999</v>
      </c>
      <c r="G126">
        <v>1.157E-2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-0.75238095238095226</v>
      </c>
      <c r="Q126">
        <f t="shared" ref="Q126" si="606">F126*P126</f>
        <v>-118821381.85619046</v>
      </c>
      <c r="R126">
        <f t="shared" ref="R126" si="607">R127+Q126</f>
        <v>-12675362297.44099</v>
      </c>
      <c r="S126">
        <f t="shared" ref="S126" si="608">R126/100000</f>
        <v>-126753.62297440991</v>
      </c>
      <c r="T126">
        <f t="shared" ref="T126" si="609">S126/1000</f>
        <v>-126.75362297440991</v>
      </c>
    </row>
    <row r="127" spans="1:20" x14ac:dyDescent="0.25">
      <c r="A127" s="5">
        <v>44466</v>
      </c>
      <c r="B127">
        <v>1.217E-2</v>
      </c>
      <c r="C127">
        <v>1.303E-2</v>
      </c>
      <c r="D127">
        <v>1.15E-2</v>
      </c>
      <c r="E127">
        <v>1.158E-2</v>
      </c>
      <c r="F127">
        <v>135149735.5</v>
      </c>
      <c r="G127">
        <v>1.158E-2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-0.89542483660130689</v>
      </c>
      <c r="Q127">
        <f t="shared" ref="Q127" si="611">F127*P127</f>
        <v>-121016429.82679735</v>
      </c>
      <c r="R127">
        <f t="shared" ref="R127" si="612">R128+Q127</f>
        <v>-12556540915.584801</v>
      </c>
      <c r="S127">
        <f t="shared" ref="S127" si="613">R127/100000</f>
        <v>-125565.40915584801</v>
      </c>
      <c r="T127">
        <f t="shared" ref="T127" si="614">S127/1000</f>
        <v>-125.56540915584802</v>
      </c>
    </row>
    <row r="128" spans="1:20" x14ac:dyDescent="0.25">
      <c r="A128" s="5">
        <v>44465</v>
      </c>
      <c r="B128">
        <v>1.222E-2</v>
      </c>
      <c r="C128">
        <v>1.37E-2</v>
      </c>
      <c r="D128">
        <v>1.1050000000000001E-2</v>
      </c>
      <c r="E128">
        <v>1.2120000000000001E-2</v>
      </c>
      <c r="F128">
        <v>163008426</v>
      </c>
      <c r="G128">
        <v>1.2120000000000001E-2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-0.19245283018867929</v>
      </c>
      <c r="Q128">
        <f t="shared" ref="Q128" si="616">F128*P128</f>
        <v>-31371432.928301893</v>
      </c>
      <c r="R128">
        <f t="shared" ref="R128" si="617">R129+Q128</f>
        <v>-12435524485.758003</v>
      </c>
      <c r="S128">
        <f t="shared" ref="S128" si="618">R128/100000</f>
        <v>-124355.24485758004</v>
      </c>
      <c r="T128">
        <f t="shared" ref="T128" si="619">S128/1000</f>
        <v>-124.35524485758003</v>
      </c>
    </row>
    <row r="129" spans="1:20" x14ac:dyDescent="0.25">
      <c r="A129" s="5">
        <v>44464</v>
      </c>
      <c r="B129">
        <v>1.281E-2</v>
      </c>
      <c r="C129">
        <v>1.3140000000000001E-2</v>
      </c>
      <c r="D129">
        <v>1.1950000000000001E-2</v>
      </c>
      <c r="E129">
        <v>1.221E-2</v>
      </c>
      <c r="F129">
        <v>77844925.599999994</v>
      </c>
      <c r="G129">
        <v>1.221E-2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-0.56302521008403394</v>
      </c>
      <c r="Q129">
        <f t="shared" ref="Q129" si="621">F129*P129</f>
        <v>-43828655.589915991</v>
      </c>
      <c r="R129">
        <f t="shared" ref="R129" si="622">R130+Q129</f>
        <v>-12404153052.8297</v>
      </c>
      <c r="S129">
        <f t="shared" ref="S129" si="623">R129/100000</f>
        <v>-124041.53052829701</v>
      </c>
      <c r="T129">
        <f t="shared" ref="T129" si="624">S129/1000</f>
        <v>-124.041530528297</v>
      </c>
    </row>
    <row r="130" spans="1:20" x14ac:dyDescent="0.25">
      <c r="A130" s="5">
        <v>44463</v>
      </c>
      <c r="B130">
        <v>1.397E-2</v>
      </c>
      <c r="C130">
        <v>1.41E-2</v>
      </c>
      <c r="D130">
        <v>1.221E-2</v>
      </c>
      <c r="E130">
        <v>1.274E-2</v>
      </c>
      <c r="F130">
        <v>89452849.599999994</v>
      </c>
      <c r="G130">
        <v>1.274E-2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-0.4391534391534398</v>
      </c>
      <c r="Q130">
        <f t="shared" ref="Q130" si="626">F130*P130</f>
        <v>-39283526.543915398</v>
      </c>
      <c r="R130">
        <f t="shared" ref="R130" si="627">R131+Q130</f>
        <v>-12360324397.239784</v>
      </c>
      <c r="S130">
        <f t="shared" ref="S130" si="628">R130/100000</f>
        <v>-123603.24397239785</v>
      </c>
      <c r="T130">
        <f t="shared" ref="T130" si="629">S130/1000</f>
        <v>-123.60324397239785</v>
      </c>
    </row>
    <row r="131" spans="1:20" x14ac:dyDescent="0.25">
      <c r="A131" s="5">
        <v>44462</v>
      </c>
      <c r="B131">
        <v>1.367E-2</v>
      </c>
      <c r="C131">
        <v>1.46E-2</v>
      </c>
      <c r="D131">
        <v>1.342E-2</v>
      </c>
      <c r="E131">
        <v>1.397E-2</v>
      </c>
      <c r="F131">
        <v>96556311.400000006</v>
      </c>
      <c r="G131">
        <v>1.397E-2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-6.7796610169491678E-2</v>
      </c>
      <c r="Q131">
        <f t="shared" ref="Q131" si="631">F131*P131</f>
        <v>-6546190.6033898452</v>
      </c>
      <c r="R131">
        <f t="shared" ref="R131" si="632">R132+Q131</f>
        <v>-12321040870.695869</v>
      </c>
      <c r="S131">
        <f t="shared" ref="S131" si="633">R131/100000</f>
        <v>-123210.4087069587</v>
      </c>
      <c r="T131">
        <f t="shared" ref="T131" si="634">S131/1000</f>
        <v>-123.2104087069587</v>
      </c>
    </row>
    <row r="132" spans="1:20" x14ac:dyDescent="0.25">
      <c r="A132" s="5">
        <v>44461</v>
      </c>
      <c r="B132">
        <v>1.285E-2</v>
      </c>
      <c r="C132">
        <v>1.396E-2</v>
      </c>
      <c r="D132">
        <v>1.2699999999999999E-2</v>
      </c>
      <c r="E132">
        <v>1.3690000000000001E-2</v>
      </c>
      <c r="F132">
        <v>124881075.3</v>
      </c>
      <c r="G132">
        <v>1.3690000000000001E-2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0.57142857142857262</v>
      </c>
      <c r="Q132">
        <f t="shared" ref="Q132" si="636">F132*P132</f>
        <v>71360614.457143009</v>
      </c>
      <c r="R132">
        <f t="shared" ref="R132" si="637">R133+Q132</f>
        <v>-12314494680.09248</v>
      </c>
      <c r="S132">
        <f t="shared" ref="S132" si="638">R132/100000</f>
        <v>-123144.94680092479</v>
      </c>
      <c r="T132">
        <f t="shared" ref="T132" si="639">S132/1000</f>
        <v>-123.1449468009248</v>
      </c>
    </row>
    <row r="133" spans="1:20" x14ac:dyDescent="0.25">
      <c r="A133" s="5">
        <v>44460</v>
      </c>
      <c r="B133">
        <v>1.2500000000000001E-2</v>
      </c>
      <c r="C133">
        <v>1.47E-2</v>
      </c>
      <c r="D133">
        <v>1.1639999999999999E-2</v>
      </c>
      <c r="E133">
        <v>1.273E-2</v>
      </c>
      <c r="F133">
        <v>260754478.80000001</v>
      </c>
      <c r="G133">
        <v>1.273E-2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-0.28758169934640482</v>
      </c>
      <c r="Q133">
        <f t="shared" ref="Q133" si="641">F133*P133</f>
        <v>-74988216.125490099</v>
      </c>
      <c r="R133">
        <f t="shared" ref="R133" si="642">R134+Q133</f>
        <v>-12385855294.549623</v>
      </c>
      <c r="S133">
        <f t="shared" ref="S133" si="643">R133/100000</f>
        <v>-123858.55294549624</v>
      </c>
      <c r="T133">
        <f t="shared" ref="T133" si="644">S133/1000</f>
        <v>-123.85855294549624</v>
      </c>
    </row>
    <row r="134" spans="1:20" x14ac:dyDescent="0.25">
      <c r="A134" s="5">
        <v>44459</v>
      </c>
      <c r="B134">
        <v>1.342E-2</v>
      </c>
      <c r="C134">
        <v>1.387E-2</v>
      </c>
      <c r="D134">
        <v>1.257E-2</v>
      </c>
      <c r="E134">
        <v>1.312E-2</v>
      </c>
      <c r="F134">
        <v>88363822.299999997</v>
      </c>
      <c r="G134">
        <v>1.312E-2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-0.15384615384615416</v>
      </c>
      <c r="Q134">
        <f t="shared" ref="Q134" si="646">F134*P134</f>
        <v>-13594434.200000027</v>
      </c>
      <c r="R134">
        <f t="shared" ref="R134" si="647">R135+Q134</f>
        <v>-12310867078.424133</v>
      </c>
      <c r="S134">
        <f t="shared" ref="S134" si="648">R134/100000</f>
        <v>-123108.67078424133</v>
      </c>
      <c r="T134">
        <f t="shared" ref="T134" si="649">S134/1000</f>
        <v>-123.10867078424133</v>
      </c>
    </row>
    <row r="135" spans="1:20" x14ac:dyDescent="0.25">
      <c r="A135" s="5">
        <v>44458</v>
      </c>
      <c r="B135">
        <v>1.4160000000000001E-2</v>
      </c>
      <c r="C135">
        <v>1.427E-2</v>
      </c>
      <c r="D135">
        <v>1.3350000000000001E-2</v>
      </c>
      <c r="E135">
        <v>1.342E-2</v>
      </c>
      <c r="F135">
        <v>65169941</v>
      </c>
      <c r="G135">
        <v>1.342E-2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-0.84782608695652395</v>
      </c>
      <c r="Q135">
        <f t="shared" ref="Q135" si="651">F135*P135</f>
        <v>-55252776.065217532</v>
      </c>
      <c r="R135">
        <f t="shared" ref="R135" si="652">R136+Q135</f>
        <v>-12297272644.224133</v>
      </c>
      <c r="S135">
        <f t="shared" ref="S135" si="653">R135/100000</f>
        <v>-122972.72644224133</v>
      </c>
      <c r="T135">
        <f t="shared" ref="T135" si="654">S135/1000</f>
        <v>-122.97272644224132</v>
      </c>
    </row>
    <row r="136" spans="1:20" x14ac:dyDescent="0.25">
      <c r="A136" s="5">
        <v>44457</v>
      </c>
      <c r="B136">
        <v>1.4829999999999999E-2</v>
      </c>
      <c r="C136">
        <v>1.54E-2</v>
      </c>
      <c r="D136">
        <v>1.4E-2</v>
      </c>
      <c r="E136">
        <v>1.4200000000000001E-2</v>
      </c>
      <c r="F136">
        <v>180582669.19999999</v>
      </c>
      <c r="G136">
        <v>1.4200000000000001E-2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-0.71428571428571352</v>
      </c>
      <c r="Q136">
        <f t="shared" ref="Q136" si="656">F136*P136</f>
        <v>-128987620.85714272</v>
      </c>
      <c r="R136">
        <f t="shared" ref="R136" si="657">R137+Q136</f>
        <v>-12242019868.158915</v>
      </c>
      <c r="S136">
        <f t="shared" ref="S136" si="658">R136/100000</f>
        <v>-122420.19868158914</v>
      </c>
      <c r="T136">
        <f t="shared" ref="T136" si="659">S136/1000</f>
        <v>-122.42019868158914</v>
      </c>
    </row>
    <row r="137" spans="1:20" x14ac:dyDescent="0.25">
      <c r="A137" s="5">
        <v>44456</v>
      </c>
      <c r="B137">
        <v>1.3860000000000001E-2</v>
      </c>
      <c r="C137">
        <v>1.72E-2</v>
      </c>
      <c r="D137">
        <v>1.3769999999999999E-2</v>
      </c>
      <c r="E137">
        <v>1.4829999999999999E-2</v>
      </c>
      <c r="F137">
        <v>850839694.29999995</v>
      </c>
      <c r="G137">
        <v>1.4829999999999999E-2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-0.38192419825072887</v>
      </c>
      <c r="Q137">
        <f t="shared" ref="Q137" si="661">F137*P137</f>
        <v>-324956268.08542275</v>
      </c>
      <c r="R137">
        <f t="shared" ref="R137" si="662">R138+Q137</f>
        <v>-12113032247.301771</v>
      </c>
      <c r="S137">
        <f t="shared" ref="S137" si="663">R137/100000</f>
        <v>-121130.32247301772</v>
      </c>
      <c r="T137">
        <f t="shared" ref="T137" si="664">S137/1000</f>
        <v>-121.13032247301771</v>
      </c>
    </row>
    <row r="138" spans="1:20" x14ac:dyDescent="0.25">
      <c r="A138" s="5">
        <v>44455</v>
      </c>
      <c r="B138">
        <v>1.299E-2</v>
      </c>
      <c r="C138">
        <v>1.6580000000000001E-2</v>
      </c>
      <c r="D138">
        <v>1.268E-2</v>
      </c>
      <c r="E138">
        <v>1.38E-2</v>
      </c>
      <c r="F138">
        <v>447654658.10000002</v>
      </c>
      <c r="G138">
        <v>1.38E-2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-0.42564102564102602</v>
      </c>
      <c r="Q138">
        <f t="shared" ref="Q138" si="666">F138*P138</f>
        <v>-190540187.80666685</v>
      </c>
      <c r="R138">
        <f t="shared" ref="R138" si="667">R139+Q138</f>
        <v>-11788075979.216349</v>
      </c>
      <c r="S138">
        <f t="shared" ref="S138" si="668">R138/100000</f>
        <v>-117880.75979216349</v>
      </c>
      <c r="T138">
        <f t="shared" ref="T138" si="669">S138/1000</f>
        <v>-117.88075979216349</v>
      </c>
    </row>
    <row r="139" spans="1:20" x14ac:dyDescent="0.25">
      <c r="A139" s="5">
        <v>44454</v>
      </c>
      <c r="B139">
        <v>1.265E-2</v>
      </c>
      <c r="C139">
        <v>1.3310000000000001E-2</v>
      </c>
      <c r="D139">
        <v>1.2540000000000001E-2</v>
      </c>
      <c r="E139">
        <v>1.299E-2</v>
      </c>
      <c r="F139">
        <v>58541653.299999997</v>
      </c>
      <c r="G139">
        <v>1.299E-2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0.1688311688311665</v>
      </c>
      <c r="Q139">
        <f t="shared" ref="Q139" si="671">F139*P139</f>
        <v>9883655.7519479152</v>
      </c>
      <c r="R139">
        <f t="shared" ref="R139" si="672">R140+Q139</f>
        <v>-11597535791.409681</v>
      </c>
      <c r="S139">
        <f t="shared" ref="S139" si="673">R139/100000</f>
        <v>-115975.35791409681</v>
      </c>
      <c r="T139">
        <f t="shared" ref="T139" si="674">S139/1000</f>
        <v>-115.9753579140968</v>
      </c>
    </row>
    <row r="140" spans="1:20" x14ac:dyDescent="0.25">
      <c r="A140" s="5">
        <v>44453</v>
      </c>
      <c r="B140">
        <v>1.2290000000000001E-2</v>
      </c>
      <c r="C140">
        <v>1.278E-2</v>
      </c>
      <c r="D140">
        <v>1.208E-2</v>
      </c>
      <c r="E140">
        <v>1.265E-2</v>
      </c>
      <c r="F140">
        <v>58075341.200000003</v>
      </c>
      <c r="G140">
        <v>1.265E-2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0.62857142857142845</v>
      </c>
      <c r="Q140">
        <f t="shared" ref="Q140" si="676">F140*P140</f>
        <v>36504500.182857141</v>
      </c>
      <c r="R140">
        <f t="shared" ref="R140" si="677">R141+Q140</f>
        <v>-11607419447.161629</v>
      </c>
      <c r="S140">
        <f t="shared" ref="S140" si="678">R140/100000</f>
        <v>-116074.19447161628</v>
      </c>
      <c r="T140">
        <f t="shared" ref="T140" si="679">S140/1000</f>
        <v>-116.07419447161628</v>
      </c>
    </row>
    <row r="141" spans="1:20" x14ac:dyDescent="0.25">
      <c r="A141" s="5">
        <v>44452</v>
      </c>
      <c r="B141">
        <v>1.3469999999999999E-2</v>
      </c>
      <c r="C141">
        <v>1.363E-2</v>
      </c>
      <c r="D141">
        <v>1.142E-2</v>
      </c>
      <c r="E141">
        <v>1.231E-2</v>
      </c>
      <c r="F141">
        <v>163344211.40000001</v>
      </c>
      <c r="G141">
        <v>1.231E-2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-0.19457013574660625</v>
      </c>
      <c r="Q141">
        <f t="shared" ref="Q141" si="681">F141*P141</f>
        <v>-31781905.38552035</v>
      </c>
      <c r="R141">
        <f t="shared" ref="R141" si="682">R142+Q141</f>
        <v>-11643923947.344486</v>
      </c>
      <c r="S141">
        <f t="shared" ref="S141" si="683">R141/100000</f>
        <v>-116439.23947344486</v>
      </c>
      <c r="T141">
        <f t="shared" ref="T141" si="684">S141/1000</f>
        <v>-116.43923947344486</v>
      </c>
    </row>
    <row r="142" spans="1:20" x14ac:dyDescent="0.25">
      <c r="A142" s="5">
        <v>44451</v>
      </c>
      <c r="B142">
        <v>1.358E-2</v>
      </c>
      <c r="C142">
        <v>1.417E-2</v>
      </c>
      <c r="D142">
        <v>1.316E-2</v>
      </c>
      <c r="E142">
        <v>1.3469999999999999E-2</v>
      </c>
      <c r="F142">
        <v>53646803.700000003</v>
      </c>
      <c r="G142">
        <v>1.3469999999999999E-2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-0.38613861386138737</v>
      </c>
      <c r="Q142">
        <f t="shared" ref="Q142" si="686">F142*P142</f>
        <v>-20715102.418811947</v>
      </c>
      <c r="R142">
        <f t="shared" ref="R142" si="687">R143+Q142</f>
        <v>-11612142041.958965</v>
      </c>
      <c r="S142">
        <f t="shared" ref="S142" si="688">R142/100000</f>
        <v>-116121.42041958966</v>
      </c>
      <c r="T142">
        <f t="shared" ref="T142" si="689">S142/1000</f>
        <v>-116.12142041958965</v>
      </c>
    </row>
    <row r="143" spans="1:20" x14ac:dyDescent="0.25">
      <c r="A143" s="5">
        <v>44450</v>
      </c>
      <c r="B143">
        <v>1.3129999999999999E-2</v>
      </c>
      <c r="C143">
        <v>1.404E-2</v>
      </c>
      <c r="D143">
        <v>1.286E-2</v>
      </c>
      <c r="E143">
        <v>1.3559999999999999E-2</v>
      </c>
      <c r="F143">
        <v>47082123.899999999</v>
      </c>
      <c r="G143">
        <v>1.3559999999999999E-2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0.18644067796609989</v>
      </c>
      <c r="Q143">
        <f t="shared" ref="Q143" si="691">F143*P143</f>
        <v>8778023.0999999158</v>
      </c>
      <c r="R143">
        <f t="shared" ref="R143" si="692">R144+Q143</f>
        <v>-11591426939.540154</v>
      </c>
      <c r="S143">
        <f t="shared" ref="S143" si="693">R143/100000</f>
        <v>-115914.26939540154</v>
      </c>
      <c r="T143">
        <f t="shared" ref="T143" si="694">S143/1000</f>
        <v>-115.91426939540155</v>
      </c>
    </row>
    <row r="144" spans="1:20" x14ac:dyDescent="0.25">
      <c r="A144" s="5">
        <v>44449</v>
      </c>
      <c r="B144">
        <v>1.366E-2</v>
      </c>
      <c r="C144">
        <v>1.406E-2</v>
      </c>
      <c r="D144">
        <v>1.2800000000000001E-2</v>
      </c>
      <c r="E144">
        <v>1.3089999999999999E-2</v>
      </c>
      <c r="F144">
        <v>66855613.799999997</v>
      </c>
      <c r="G144">
        <v>1.3089999999999999E-2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-0.53968253968254154</v>
      </c>
      <c r="Q144">
        <f t="shared" ref="Q144" si="696">F144*P144</f>
        <v>-36080807.44761917</v>
      </c>
      <c r="R144">
        <f t="shared" ref="R144" si="697">R145+Q144</f>
        <v>-11600204962.640154</v>
      </c>
      <c r="S144">
        <f t="shared" ref="S144" si="698">R144/100000</f>
        <v>-116002.04962640154</v>
      </c>
      <c r="T144">
        <f t="shared" ref="T144" si="699">S144/1000</f>
        <v>-116.00204962640154</v>
      </c>
    </row>
    <row r="145" spans="1:20" x14ac:dyDescent="0.25">
      <c r="A145" s="5">
        <v>44448</v>
      </c>
      <c r="B145">
        <v>1.3690000000000001E-2</v>
      </c>
      <c r="C145">
        <v>1.392E-2</v>
      </c>
      <c r="D145">
        <v>1.2970000000000001E-2</v>
      </c>
      <c r="E145">
        <v>1.362E-2</v>
      </c>
      <c r="F145">
        <v>78184777.200000003</v>
      </c>
      <c r="G145">
        <v>1.362E-2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0.36842105263157876</v>
      </c>
      <c r="Q145">
        <f t="shared" ref="Q145" si="701">F145*P145</f>
        <v>28804917.915789459</v>
      </c>
      <c r="R145">
        <f t="shared" ref="R145" si="702">R146+Q145</f>
        <v>-11564124155.192535</v>
      </c>
      <c r="S145">
        <f t="shared" ref="S145" si="703">R145/100000</f>
        <v>-115641.24155192536</v>
      </c>
      <c r="T145">
        <f t="shared" ref="T145" si="704">S145/1000</f>
        <v>-115.64124155192536</v>
      </c>
    </row>
    <row r="146" spans="1:20" x14ac:dyDescent="0.25">
      <c r="A146" s="5">
        <v>44447</v>
      </c>
      <c r="B146">
        <v>1.4019999999999999E-2</v>
      </c>
      <c r="C146">
        <v>1.473E-2</v>
      </c>
      <c r="D146">
        <v>1.238E-2</v>
      </c>
      <c r="E146">
        <v>1.367E-2</v>
      </c>
      <c r="F146">
        <v>143714339.59999999</v>
      </c>
      <c r="G146">
        <v>1.367E-2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9.7872340425531626E-2</v>
      </c>
      <c r="Q146">
        <f t="shared" ref="Q146" si="706">F146*P146</f>
        <v>14065658.76936166</v>
      </c>
      <c r="R146">
        <f t="shared" ref="R146" si="707">R147+Q146</f>
        <v>-11592929073.108324</v>
      </c>
      <c r="S146">
        <f t="shared" ref="S146" si="708">R146/100000</f>
        <v>-115929.29073108324</v>
      </c>
      <c r="T146">
        <f t="shared" ref="T146" si="709">S146/1000</f>
        <v>-115.92929073108324</v>
      </c>
    </row>
    <row r="147" spans="1:20" x14ac:dyDescent="0.25">
      <c r="A147" s="5">
        <v>44446</v>
      </c>
      <c r="B147">
        <v>1.7749999999999998E-2</v>
      </c>
      <c r="C147">
        <v>1.7780000000000001E-2</v>
      </c>
      <c r="D147">
        <v>1.239E-2</v>
      </c>
      <c r="E147">
        <v>1.405E-2</v>
      </c>
      <c r="F147">
        <v>236580449.90000001</v>
      </c>
      <c r="G147">
        <v>1.405E-2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-0.38404452690166985</v>
      </c>
      <c r="Q147">
        <f t="shared" ref="Q147" si="711">F147*P147</f>
        <v>-90857426.956029713</v>
      </c>
      <c r="R147">
        <f t="shared" ref="R147" si="712">R148+Q147</f>
        <v>-11606994731.877686</v>
      </c>
      <c r="S147">
        <f t="shared" ref="S147" si="713">R147/100000</f>
        <v>-116069.94731877686</v>
      </c>
      <c r="T147">
        <f t="shared" ref="T147" si="714">S147/1000</f>
        <v>-116.06994731877685</v>
      </c>
    </row>
    <row r="148" spans="1:20" x14ac:dyDescent="0.25">
      <c r="A148" s="5">
        <v>44445</v>
      </c>
      <c r="B148">
        <v>1.6230000000000001E-2</v>
      </c>
      <c r="C148">
        <v>1.7749999999999998E-2</v>
      </c>
      <c r="D148">
        <v>1.5980000000000001E-2</v>
      </c>
      <c r="E148">
        <v>1.7749999999999998E-2</v>
      </c>
      <c r="F148">
        <v>293889592.19999999</v>
      </c>
      <c r="G148">
        <v>1.7749999999999998E-2</v>
      </c>
      <c r="L148" t="s">
        <v>8</v>
      </c>
      <c r="M148" t="s">
        <v>8</v>
      </c>
      <c r="N148" t="s">
        <v>7</v>
      </c>
      <c r="P148">
        <f t="shared" ref="P148" si="715">IF(C148=D148,0,((E148-D148)-(C148-E148))/(C148-D148))</f>
        <v>1</v>
      </c>
      <c r="Q148">
        <f t="shared" ref="Q148" si="716">F148*P148</f>
        <v>293889592.19999999</v>
      </c>
      <c r="R148">
        <f t="shared" ref="R148" si="717">R149+Q148</f>
        <v>-11516137304.921656</v>
      </c>
      <c r="S148">
        <f t="shared" ref="S148" si="718">R148/100000</f>
        <v>-115161.37304921656</v>
      </c>
      <c r="T148">
        <f t="shared" ref="T148" si="719">S148/1000</f>
        <v>-115.16137304921656</v>
      </c>
    </row>
    <row r="149" spans="1:20" x14ac:dyDescent="0.25">
      <c r="A149" s="5">
        <v>44444</v>
      </c>
      <c r="B149">
        <v>1.5939999999999999E-2</v>
      </c>
      <c r="C149">
        <v>1.651E-2</v>
      </c>
      <c r="D149">
        <v>1.546E-2</v>
      </c>
      <c r="E149">
        <v>1.6199999999999999E-2</v>
      </c>
      <c r="F149">
        <v>118933806.40000001</v>
      </c>
      <c r="G149">
        <v>1.6199999999999999E-2</v>
      </c>
      <c r="L149" t="s">
        <v>7</v>
      </c>
      <c r="M149" t="s">
        <v>8</v>
      </c>
      <c r="N149" t="s">
        <v>7</v>
      </c>
      <c r="P149">
        <f t="shared" ref="P149" si="720">IF(C149=D149,0,((E149-D149)-(C149-E149))/(C149-D149))</f>
        <v>0.40952380952380746</v>
      </c>
      <c r="Q149">
        <f t="shared" ref="Q149" si="721">F149*P149</f>
        <v>48706225.478094995</v>
      </c>
      <c r="R149">
        <f t="shared" ref="R149" si="722">R150+Q149</f>
        <v>-11810026897.121656</v>
      </c>
      <c r="S149">
        <f t="shared" ref="S149" si="723">R149/100000</f>
        <v>-118100.26897121656</v>
      </c>
      <c r="T149">
        <f t="shared" ref="T149" si="724">S149/1000</f>
        <v>-118.10026897121656</v>
      </c>
    </row>
    <row r="150" spans="1:20" x14ac:dyDescent="0.25">
      <c r="A150" s="5">
        <v>44443</v>
      </c>
      <c r="B150">
        <v>1.566E-2</v>
      </c>
      <c r="C150">
        <v>1.636E-2</v>
      </c>
      <c r="D150">
        <v>1.5570000000000001E-2</v>
      </c>
      <c r="E150">
        <v>1.5900000000000001E-2</v>
      </c>
      <c r="F150">
        <v>68708367.900000006</v>
      </c>
      <c r="G150">
        <v>1.5900000000000001E-2</v>
      </c>
      <c r="L150" t="s">
        <v>7</v>
      </c>
      <c r="M150" t="s">
        <v>8</v>
      </c>
      <c r="N150" t="s">
        <v>7</v>
      </c>
      <c r="P150">
        <f t="shared" ref="P150" si="725">IF(C150=D150,0,((E150-D150)-(C150-E150))/(C150-D150))</f>
        <v>-0.16455696202531434</v>
      </c>
      <c r="Q150">
        <f t="shared" ref="Q150" si="726">F150*P150</f>
        <v>-11306440.287341628</v>
      </c>
      <c r="R150">
        <f t="shared" ref="R150" si="727">R151+Q150</f>
        <v>-11858733122.599751</v>
      </c>
      <c r="S150">
        <f t="shared" ref="S150" si="728">R150/100000</f>
        <v>-118587.33122599751</v>
      </c>
      <c r="T150">
        <f t="shared" ref="T150" si="729">S150/1000</f>
        <v>-118.5873312259975</v>
      </c>
    </row>
    <row r="151" spans="1:20" x14ac:dyDescent="0.25">
      <c r="A151" s="5">
        <v>44442</v>
      </c>
      <c r="B151">
        <v>1.5520000000000001E-2</v>
      </c>
      <c r="C151">
        <v>1.6930000000000001E-2</v>
      </c>
      <c r="D151">
        <v>1.5169999999999999E-2</v>
      </c>
      <c r="E151">
        <v>1.567E-2</v>
      </c>
      <c r="F151">
        <v>130160485.59999999</v>
      </c>
      <c r="G151">
        <v>1.567E-2</v>
      </c>
      <c r="L151" t="s">
        <v>8</v>
      </c>
      <c r="M151" t="s">
        <v>8</v>
      </c>
      <c r="N151" t="s">
        <v>7</v>
      </c>
      <c r="P151">
        <f t="shared" ref="P151" si="730">IF(C151=D151,0,((E151-D151)-(C151-E151))/(C151-D151))</f>
        <v>-0.43181818181818166</v>
      </c>
      <c r="Q151">
        <f t="shared" ref="Q151" si="731">F151*P151</f>
        <v>-56205664.236363612</v>
      </c>
      <c r="R151">
        <f t="shared" ref="R151" si="732">R152+Q151</f>
        <v>-11847426682.312408</v>
      </c>
      <c r="S151">
        <f t="shared" ref="S151" si="733">R151/100000</f>
        <v>-118474.26682312408</v>
      </c>
      <c r="T151">
        <f t="shared" ref="T151" si="734">S151/1000</f>
        <v>-118.47426682312408</v>
      </c>
    </row>
    <row r="152" spans="1:20" x14ac:dyDescent="0.25">
      <c r="A152" s="5">
        <v>44441</v>
      </c>
      <c r="B152">
        <v>1.52E-2</v>
      </c>
      <c r="C152">
        <v>1.5640000000000001E-2</v>
      </c>
      <c r="D152">
        <v>1.4829999999999999E-2</v>
      </c>
      <c r="E152">
        <v>1.549E-2</v>
      </c>
      <c r="F152">
        <v>75528029.400000006</v>
      </c>
      <c r="G152">
        <v>1.549E-2</v>
      </c>
      <c r="L152" t="s">
        <v>8</v>
      </c>
      <c r="M152" t="s">
        <v>8</v>
      </c>
      <c r="N152" t="s">
        <v>7</v>
      </c>
      <c r="P152">
        <f t="shared" ref="P152" si="735">IF(C152=D152,0,((E152-D152)-(C152-E152))/(C152-D152))</f>
        <v>0.62962962962962832</v>
      </c>
      <c r="Q152">
        <f t="shared" ref="Q152" si="736">F152*P152</f>
        <v>47554685.177777685</v>
      </c>
      <c r="R152">
        <f t="shared" ref="R152" si="737">R153+Q152</f>
        <v>-11791221018.076044</v>
      </c>
      <c r="S152">
        <f t="shared" ref="S152" si="738">R152/100000</f>
        <v>-117912.21018076043</v>
      </c>
      <c r="T152">
        <f t="shared" ref="T152" si="739">S152/1000</f>
        <v>-117.91221018076044</v>
      </c>
    </row>
    <row r="153" spans="1:20" x14ac:dyDescent="0.25">
      <c r="A153" s="5">
        <v>44440</v>
      </c>
      <c r="B153">
        <v>1.435E-2</v>
      </c>
      <c r="C153">
        <v>1.52E-2</v>
      </c>
      <c r="D153">
        <v>1.3990000000000001E-2</v>
      </c>
      <c r="E153">
        <v>1.519E-2</v>
      </c>
      <c r="F153">
        <v>56438460.899999999</v>
      </c>
      <c r="G153">
        <v>1.519E-2</v>
      </c>
      <c r="L153" t="s">
        <v>8</v>
      </c>
      <c r="M153" t="s">
        <v>8</v>
      </c>
      <c r="N153" t="s">
        <v>7</v>
      </c>
      <c r="P153">
        <f t="shared" ref="P153" si="740">IF(C153=D153,0,((E153-D153)-(C153-E153))/(C153-D153))</f>
        <v>0.9834710743801659</v>
      </c>
      <c r="Q153">
        <f t="shared" ref="Q153" si="741">F153*P153</f>
        <v>55505593.777685985</v>
      </c>
      <c r="R153">
        <f t="shared" ref="R153" si="742">R154+Q153</f>
        <v>-11838775703.253822</v>
      </c>
      <c r="S153">
        <f t="shared" ref="S153" si="743">R153/100000</f>
        <v>-118387.75703253823</v>
      </c>
      <c r="T153">
        <f t="shared" ref="T153" si="744">S153/1000</f>
        <v>-118.38775703253823</v>
      </c>
    </row>
    <row r="154" spans="1:20" x14ac:dyDescent="0.25">
      <c r="A154" s="5">
        <v>44439</v>
      </c>
      <c r="B154">
        <v>1.482E-2</v>
      </c>
      <c r="C154">
        <v>1.4970000000000001E-2</v>
      </c>
      <c r="D154">
        <v>1.4109999999999999E-2</v>
      </c>
      <c r="E154">
        <v>1.438E-2</v>
      </c>
      <c r="F154">
        <v>84623346.200000003</v>
      </c>
      <c r="G154">
        <v>1.438E-2</v>
      </c>
      <c r="L154" t="s">
        <v>7</v>
      </c>
      <c r="M154" t="s">
        <v>8</v>
      </c>
      <c r="N154" t="s">
        <v>7</v>
      </c>
      <c r="P154">
        <f t="shared" ref="P154" si="745">IF(C154=D154,0,((E154-D154)-(C154-E154))/(C154-D154))</f>
        <v>-0.37209302325581234</v>
      </c>
      <c r="Q154">
        <f t="shared" ref="Q154" si="746">F154*P154</f>
        <v>-31487756.725581259</v>
      </c>
      <c r="R154">
        <f t="shared" ref="R154" si="747">R155+Q154</f>
        <v>-11894281297.031507</v>
      </c>
      <c r="S154">
        <f t="shared" ref="S154" si="748">R154/100000</f>
        <v>-118942.81297031508</v>
      </c>
      <c r="T154">
        <f t="shared" ref="T154" si="749">S154/1000</f>
        <v>-118.94281297031507</v>
      </c>
    </row>
    <row r="155" spans="1:20" x14ac:dyDescent="0.25">
      <c r="A155" s="5">
        <v>44438</v>
      </c>
      <c r="B155">
        <v>1.5350000000000001E-2</v>
      </c>
      <c r="C155">
        <v>1.5689999999999999E-2</v>
      </c>
      <c r="D155">
        <v>1.4590000000000001E-2</v>
      </c>
      <c r="E155">
        <v>1.487E-2</v>
      </c>
      <c r="F155">
        <v>58611339.899999999</v>
      </c>
      <c r="G155">
        <v>1.487E-2</v>
      </c>
      <c r="L155" t="s">
        <v>7</v>
      </c>
      <c r="M155" t="s">
        <v>8</v>
      </c>
      <c r="N155" t="s">
        <v>7</v>
      </c>
      <c r="P155">
        <f t="shared" ref="P155" si="750">IF(C155=D155,0,((E155-D155)-(C155-E155))/(C155-D155))</f>
        <v>-0.49090909090909207</v>
      </c>
      <c r="Q155">
        <f t="shared" ref="Q155" si="751">F155*P155</f>
        <v>-28772839.587272793</v>
      </c>
      <c r="R155">
        <f t="shared" ref="R155" si="752">R156+Q155</f>
        <v>-11862793540.305925</v>
      </c>
      <c r="S155">
        <f t="shared" ref="S155" si="753">R155/100000</f>
        <v>-118627.93540305925</v>
      </c>
      <c r="T155">
        <f t="shared" ref="T155" si="754">S155/1000</f>
        <v>-118.62793540305925</v>
      </c>
    </row>
    <row r="156" spans="1:20" x14ac:dyDescent="0.25">
      <c r="A156" s="5">
        <v>44437</v>
      </c>
      <c r="B156">
        <v>1.508E-2</v>
      </c>
      <c r="C156">
        <v>1.6E-2</v>
      </c>
      <c r="D156">
        <v>1.4590000000000001E-2</v>
      </c>
      <c r="E156">
        <v>1.5350000000000001E-2</v>
      </c>
      <c r="F156">
        <v>66643292.100000001</v>
      </c>
      <c r="G156">
        <v>1.5350000000000001E-2</v>
      </c>
      <c r="L156" t="s">
        <v>8</v>
      </c>
      <c r="M156" t="s">
        <v>8</v>
      </c>
      <c r="N156" t="s">
        <v>7</v>
      </c>
      <c r="P156">
        <f t="shared" ref="P156" si="755">IF(C156=D156,0,((E156-D156)-(C156-E156))/(C156-D156))</f>
        <v>7.8014184397163649E-2</v>
      </c>
      <c r="Q156">
        <f t="shared" ref="Q156" si="756">F156*P156</f>
        <v>5199122.0787234399</v>
      </c>
      <c r="R156">
        <f t="shared" ref="R156" si="757">R157+Q156</f>
        <v>-11834020700.718653</v>
      </c>
      <c r="S156">
        <f t="shared" ref="S156" si="758">R156/100000</f>
        <v>-118340.20700718653</v>
      </c>
      <c r="T156">
        <f t="shared" ref="T156" si="759">S156/1000</f>
        <v>-118.34020700718654</v>
      </c>
    </row>
    <row r="157" spans="1:20" x14ac:dyDescent="0.25">
      <c r="A157" s="5">
        <v>44436</v>
      </c>
      <c r="B157">
        <v>1.554E-2</v>
      </c>
      <c r="C157">
        <v>1.5859999999999999E-2</v>
      </c>
      <c r="D157">
        <v>1.4749999999999999E-2</v>
      </c>
      <c r="E157">
        <v>1.5089999999999999E-2</v>
      </c>
      <c r="F157">
        <v>60003500.100000001</v>
      </c>
      <c r="G157">
        <v>1.5089999999999999E-2</v>
      </c>
      <c r="L157" t="s">
        <v>8</v>
      </c>
      <c r="M157" t="s">
        <v>8</v>
      </c>
      <c r="N157" t="s">
        <v>7</v>
      </c>
      <c r="P157">
        <f t="shared" ref="P157" si="760">IF(C157=D157,0,((E157-D157)-(C157-E157))/(C157-D157))</f>
        <v>-0.38738738738738726</v>
      </c>
      <c r="Q157">
        <f t="shared" ref="Q157" si="761">F157*P157</f>
        <v>-23244599.137837831</v>
      </c>
      <c r="R157">
        <f t="shared" ref="R157" si="762">R158+Q157</f>
        <v>-11839219822.797377</v>
      </c>
      <c r="S157">
        <f t="shared" ref="S157" si="763">R157/100000</f>
        <v>-118392.19822797377</v>
      </c>
      <c r="T157">
        <f t="shared" ref="T157" si="764">S157/1000</f>
        <v>-118.39219822797376</v>
      </c>
    </row>
    <row r="158" spans="1:20" x14ac:dyDescent="0.25">
      <c r="A158" s="5">
        <v>44435</v>
      </c>
      <c r="B158">
        <v>1.426E-2</v>
      </c>
      <c r="C158">
        <v>1.5970000000000002E-2</v>
      </c>
      <c r="D158">
        <v>1.355E-2</v>
      </c>
      <c r="E158">
        <v>1.5509999999999999E-2</v>
      </c>
      <c r="F158">
        <v>111332909.5</v>
      </c>
      <c r="G158">
        <v>1.5509999999999999E-2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0.61983471074380025</v>
      </c>
      <c r="Q158">
        <f t="shared" ref="Q158" si="766">F158*P158</f>
        <v>69008001.756198198</v>
      </c>
      <c r="R158">
        <f t="shared" ref="R158" si="767">R159+Q158</f>
        <v>-11815975223.659538</v>
      </c>
      <c r="S158">
        <f t="shared" ref="S158" si="768">R158/100000</f>
        <v>-118159.75223659538</v>
      </c>
      <c r="T158">
        <f t="shared" ref="T158" si="769">S158/1000</f>
        <v>-118.15975223659538</v>
      </c>
    </row>
    <row r="159" spans="1:20" x14ac:dyDescent="0.25">
      <c r="A159" s="5">
        <v>44434</v>
      </c>
      <c r="B159">
        <v>1.5810000000000001E-2</v>
      </c>
      <c r="C159">
        <v>1.6379999999999999E-2</v>
      </c>
      <c r="D159">
        <v>1.4189999999999999E-2</v>
      </c>
      <c r="E159">
        <v>1.426E-2</v>
      </c>
      <c r="F159">
        <v>73391527</v>
      </c>
      <c r="G159">
        <v>1.426E-2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-0.93607305936073004</v>
      </c>
      <c r="Q159">
        <f t="shared" ref="Q159" si="771">F159*P159</f>
        <v>-68699831.210045621</v>
      </c>
      <c r="R159">
        <f t="shared" ref="R159" si="772">R160+Q159</f>
        <v>-11884983225.415737</v>
      </c>
      <c r="S159">
        <f t="shared" ref="S159" si="773">R159/100000</f>
        <v>-118849.83225415737</v>
      </c>
      <c r="T159">
        <f t="shared" ref="T159" si="774">S159/1000</f>
        <v>-118.84983225415738</v>
      </c>
    </row>
    <row r="160" spans="1:20" x14ac:dyDescent="0.25">
      <c r="A160" s="5">
        <v>44433</v>
      </c>
      <c r="B160">
        <v>1.524E-2</v>
      </c>
      <c r="C160">
        <v>1.5970000000000002E-2</v>
      </c>
      <c r="D160">
        <v>1.4330000000000001E-2</v>
      </c>
      <c r="E160">
        <v>1.5810000000000001E-2</v>
      </c>
      <c r="F160">
        <v>81229116.5</v>
      </c>
      <c r="G160">
        <v>1.5810000000000001E-2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0.80487804878048741</v>
      </c>
      <c r="Q160">
        <f t="shared" ref="Q160" si="776">F160*P160</f>
        <v>65379532.792682894</v>
      </c>
      <c r="R160">
        <f t="shared" ref="R160" si="777">R161+Q160</f>
        <v>-11816283394.205692</v>
      </c>
      <c r="S160">
        <f t="shared" ref="S160" si="778">R160/100000</f>
        <v>-118162.83394205692</v>
      </c>
      <c r="T160">
        <f t="shared" ref="T160" si="779">S160/1000</f>
        <v>-118.16283394205692</v>
      </c>
    </row>
    <row r="161" spans="1:20" x14ac:dyDescent="0.25">
      <c r="A161" s="5">
        <v>44432</v>
      </c>
      <c r="B161">
        <v>1.6459999999999999E-2</v>
      </c>
      <c r="C161">
        <v>1.6799999999999999E-2</v>
      </c>
      <c r="D161">
        <v>1.4999999999999999E-2</v>
      </c>
      <c r="E161">
        <v>1.525E-2</v>
      </c>
      <c r="F161">
        <v>66078573.600000001</v>
      </c>
      <c r="G161">
        <v>1.525E-2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-0.72222222222222188</v>
      </c>
      <c r="Q161">
        <f t="shared" ref="Q161" si="781">F161*P161</f>
        <v>-47723414.266666643</v>
      </c>
      <c r="R161">
        <f t="shared" ref="R161" si="782">R162+Q161</f>
        <v>-11881662926.998375</v>
      </c>
      <c r="S161">
        <f t="shared" ref="S161" si="783">R161/100000</f>
        <v>-118816.62926998375</v>
      </c>
      <c r="T161">
        <f t="shared" ref="T161" si="784">S161/1000</f>
        <v>-118.81662926998375</v>
      </c>
    </row>
    <row r="162" spans="1:20" x14ac:dyDescent="0.25">
      <c r="A162" s="5">
        <v>44431</v>
      </c>
      <c r="B162">
        <v>1.6899999999999998E-2</v>
      </c>
      <c r="C162">
        <v>1.7250000000000001E-2</v>
      </c>
      <c r="D162">
        <v>1.6250000000000001E-2</v>
      </c>
      <c r="E162">
        <v>1.643E-2</v>
      </c>
      <c r="F162">
        <v>103018418.3</v>
      </c>
      <c r="G162">
        <v>1.643E-2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-0.64000000000000112</v>
      </c>
      <c r="Q162">
        <f t="shared" ref="Q162" si="786">F162*P162</f>
        <v>-65931787.712000117</v>
      </c>
      <c r="R162">
        <f t="shared" ref="R162" si="787">R163+Q162</f>
        <v>-11833939512.731709</v>
      </c>
      <c r="S162">
        <f t="shared" ref="S162" si="788">R162/100000</f>
        <v>-118339.39512731708</v>
      </c>
      <c r="T162">
        <f t="shared" ref="T162" si="789">S162/1000</f>
        <v>-118.33939512731708</v>
      </c>
    </row>
    <row r="163" spans="1:20" x14ac:dyDescent="0.25">
      <c r="A163" s="5">
        <v>44430</v>
      </c>
      <c r="B163">
        <v>1.559E-2</v>
      </c>
      <c r="C163">
        <v>1.6320000000000001E-2</v>
      </c>
      <c r="D163">
        <v>1.554E-2</v>
      </c>
      <c r="E163">
        <v>1.5789999999999998E-2</v>
      </c>
      <c r="F163">
        <v>17081537.600000001</v>
      </c>
      <c r="G163">
        <v>1.5789999999999998E-2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-0.35897435897436381</v>
      </c>
      <c r="Q163">
        <f t="shared" ref="Q163" si="791">F163*P163</f>
        <v>-6131834.0102564935</v>
      </c>
      <c r="R163">
        <f t="shared" ref="R163" si="792">R164+Q163</f>
        <v>-11768007725.019709</v>
      </c>
      <c r="S163">
        <f t="shared" ref="S163" si="793">R163/100000</f>
        <v>-117680.07725019709</v>
      </c>
      <c r="T163">
        <f t="shared" ref="T163" si="794">S163/1000</f>
        <v>-117.68007725019709</v>
      </c>
    </row>
    <row r="164" spans="1:20" x14ac:dyDescent="0.25">
      <c r="A164" s="5">
        <v>44429</v>
      </c>
      <c r="B164">
        <v>1.5949999999999999E-2</v>
      </c>
      <c r="C164">
        <v>1.6240000000000001E-2</v>
      </c>
      <c r="D164">
        <v>1.4630000000000001E-2</v>
      </c>
      <c r="E164">
        <v>1.558E-2</v>
      </c>
      <c r="F164">
        <v>76622262.400000006</v>
      </c>
      <c r="G164">
        <v>1.558E-2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0.18012422360248356</v>
      </c>
      <c r="Q164">
        <f t="shared" ref="Q164" si="796">F164*P164</f>
        <v>13801525.52546577</v>
      </c>
      <c r="R164">
        <f t="shared" ref="R164" si="797">R165+Q164</f>
        <v>-11761875891.009453</v>
      </c>
      <c r="S164">
        <f t="shared" ref="S164" si="798">R164/100000</f>
        <v>-117618.75891009453</v>
      </c>
      <c r="T164">
        <f t="shared" ref="T164" si="799">S164/1000</f>
        <v>-117.61875891009453</v>
      </c>
    </row>
    <row r="165" spans="1:20" x14ac:dyDescent="0.25">
      <c r="A165" s="5">
        <v>44428</v>
      </c>
      <c r="B165">
        <v>1.559E-2</v>
      </c>
      <c r="C165">
        <v>1.619E-2</v>
      </c>
      <c r="D165">
        <v>1.5350000000000001E-2</v>
      </c>
      <c r="E165">
        <v>1.5990000000000001E-2</v>
      </c>
      <c r="F165">
        <v>71073810.200000003</v>
      </c>
      <c r="G165">
        <v>1.5990000000000001E-2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0.52380952380952595</v>
      </c>
      <c r="Q165">
        <f t="shared" ref="Q165" si="801">F165*P165</f>
        <v>37229138.67619063</v>
      </c>
      <c r="R165">
        <f t="shared" ref="R165" si="802">R166+Q165</f>
        <v>-11775677416.534918</v>
      </c>
      <c r="S165">
        <f t="shared" ref="S165" si="803">R165/100000</f>
        <v>-117756.77416534918</v>
      </c>
      <c r="T165">
        <f t="shared" ref="T165" si="804">S165/1000</f>
        <v>-117.75677416534919</v>
      </c>
    </row>
    <row r="166" spans="1:20" x14ac:dyDescent="0.25">
      <c r="A166" s="5">
        <v>44427</v>
      </c>
      <c r="B166">
        <v>1.469E-2</v>
      </c>
      <c r="C166">
        <v>1.5650000000000001E-2</v>
      </c>
      <c r="D166">
        <v>1.423E-2</v>
      </c>
      <c r="E166">
        <v>1.555E-2</v>
      </c>
      <c r="F166">
        <v>169239427.80000001</v>
      </c>
      <c r="G166">
        <v>1.555E-2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0.85915492957746331</v>
      </c>
      <c r="Q166">
        <f t="shared" ref="Q166" si="806">F166*P166</f>
        <v>145402888.6732392</v>
      </c>
      <c r="R166">
        <f t="shared" ref="R166" si="807">R167+Q166</f>
        <v>-11812906555.211109</v>
      </c>
      <c r="S166">
        <f t="shared" ref="S166" si="808">R166/100000</f>
        <v>-118129.06555211109</v>
      </c>
      <c r="T166">
        <f t="shared" ref="T166" si="809">S166/1000</f>
        <v>-118.12906555211109</v>
      </c>
    </row>
    <row r="167" spans="1:20" x14ac:dyDescent="0.25">
      <c r="A167" s="5">
        <v>44426</v>
      </c>
      <c r="B167">
        <v>1.5429999999999999E-2</v>
      </c>
      <c r="C167">
        <v>1.584E-2</v>
      </c>
      <c r="D167">
        <v>1.443E-2</v>
      </c>
      <c r="E167">
        <v>1.468E-2</v>
      </c>
      <c r="F167">
        <v>78502126.099999994</v>
      </c>
      <c r="G167">
        <v>1.468E-2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-0.64539007092198541</v>
      </c>
      <c r="Q167">
        <f t="shared" ref="Q167" si="811">F167*P167</f>
        <v>-50664492.731205635</v>
      </c>
      <c r="R167">
        <f t="shared" ref="R167" si="812">R168+Q167</f>
        <v>-11958309443.884348</v>
      </c>
      <c r="S167">
        <f t="shared" ref="S167" si="813">R167/100000</f>
        <v>-119583.09443884347</v>
      </c>
      <c r="T167">
        <f t="shared" ref="T167" si="814">S167/1000</f>
        <v>-119.58309443884347</v>
      </c>
    </row>
    <row r="168" spans="1:20" x14ac:dyDescent="0.25">
      <c r="A168" s="5">
        <v>44425</v>
      </c>
      <c r="B168">
        <v>1.669E-2</v>
      </c>
      <c r="C168">
        <v>1.6910000000000001E-2</v>
      </c>
      <c r="D168">
        <v>1.5259999999999999E-2</v>
      </c>
      <c r="E168">
        <v>1.549E-2</v>
      </c>
      <c r="F168">
        <v>96395061.900000006</v>
      </c>
      <c r="G168">
        <v>1.549E-2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-0.72121212121212031</v>
      </c>
      <c r="Q168">
        <f t="shared" ref="Q168" si="816">F168*P168</f>
        <v>-69521287.067272648</v>
      </c>
      <c r="R168">
        <f t="shared" ref="R168" si="817">R169+Q168</f>
        <v>-11907644951.153143</v>
      </c>
      <c r="S168">
        <f t="shared" ref="S168" si="818">R168/100000</f>
        <v>-119076.44951153143</v>
      </c>
      <c r="T168">
        <f t="shared" ref="T168" si="819">S168/1000</f>
        <v>-119.07644951153144</v>
      </c>
    </row>
    <row r="169" spans="1:20" x14ac:dyDescent="0.25">
      <c r="A169" s="5">
        <v>44424</v>
      </c>
      <c r="B169">
        <v>1.685E-2</v>
      </c>
      <c r="C169">
        <v>1.771E-2</v>
      </c>
      <c r="D169">
        <v>1.6480000000000002E-2</v>
      </c>
      <c r="E169">
        <v>1.668E-2</v>
      </c>
      <c r="F169">
        <v>167321589.09999999</v>
      </c>
      <c r="G169">
        <v>1.668E-2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-0.67479674796748124</v>
      </c>
      <c r="Q169">
        <f t="shared" ref="Q169" si="821">F169*P169</f>
        <v>-112908064.18943115</v>
      </c>
      <c r="R169">
        <f t="shared" ref="R169" si="822">R170+Q169</f>
        <v>-11838123664.085871</v>
      </c>
      <c r="S169">
        <f t="shared" ref="S169" si="823">R169/100000</f>
        <v>-118381.23664085871</v>
      </c>
      <c r="T169">
        <f t="shared" ref="T169" si="824">S169/1000</f>
        <v>-118.38123664085872</v>
      </c>
    </row>
    <row r="170" spans="1:20" x14ac:dyDescent="0.25">
      <c r="A170" s="5">
        <v>44423</v>
      </c>
      <c r="B170">
        <v>1.5810000000000001E-2</v>
      </c>
      <c r="C170">
        <v>1.915E-2</v>
      </c>
      <c r="D170">
        <v>1.5709999999999998E-2</v>
      </c>
      <c r="E170">
        <v>1.6820000000000002E-2</v>
      </c>
      <c r="F170">
        <v>560257548.70000005</v>
      </c>
      <c r="G170">
        <v>1.6820000000000002E-2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-0.35465116279069614</v>
      </c>
      <c r="Q170">
        <f t="shared" ref="Q170" si="826">F170*P170</f>
        <v>-198695991.10872009</v>
      </c>
      <c r="R170">
        <f t="shared" ref="R170" si="827">R171+Q170</f>
        <v>-11725215599.896441</v>
      </c>
      <c r="S170">
        <f t="shared" ref="S170" si="828">R170/100000</f>
        <v>-117252.1559989644</v>
      </c>
      <c r="T170">
        <f t="shared" ref="T170" si="829">S170/1000</f>
        <v>-117.2521559989644</v>
      </c>
    </row>
    <row r="171" spans="1:20" x14ac:dyDescent="0.25">
      <c r="A171" s="5">
        <v>44422</v>
      </c>
      <c r="B171">
        <v>1.6119999999999999E-2</v>
      </c>
      <c r="C171">
        <v>1.6500000000000001E-2</v>
      </c>
      <c r="D171">
        <v>1.502E-2</v>
      </c>
      <c r="E171">
        <v>1.5810000000000001E-2</v>
      </c>
      <c r="F171">
        <v>131774661.09999999</v>
      </c>
      <c r="G171">
        <v>1.5810000000000001E-2</v>
      </c>
      <c r="L171" t="s">
        <v>7</v>
      </c>
      <c r="M171" t="s">
        <v>8</v>
      </c>
      <c r="N171" t="s">
        <v>7</v>
      </c>
      <c r="P171">
        <f t="shared" ref="P171" si="830">IF(C171=D171,0,((E171-D171)-(C171-E171))/(C171-D171))</f>
        <v>6.7567567567568307E-2</v>
      </c>
      <c r="Q171">
        <f t="shared" ref="Q171" si="831">F171*P171</f>
        <v>8903693.3175676651</v>
      </c>
      <c r="R171">
        <f t="shared" ref="R171" si="832">R172+Q171</f>
        <v>-11526519608.78772</v>
      </c>
      <c r="S171">
        <f t="shared" ref="S171" si="833">R171/100000</f>
        <v>-115265.19608787719</v>
      </c>
      <c r="T171">
        <f t="shared" ref="T171" si="834">S171/1000</f>
        <v>-115.2651960878772</v>
      </c>
    </row>
    <row r="172" spans="1:20" x14ac:dyDescent="0.25">
      <c r="A172" s="5">
        <v>44421</v>
      </c>
      <c r="B172">
        <v>1.4880000000000001E-2</v>
      </c>
      <c r="C172">
        <v>1.67E-2</v>
      </c>
      <c r="D172">
        <v>1.485E-2</v>
      </c>
      <c r="E172">
        <v>1.6119999999999999E-2</v>
      </c>
      <c r="F172">
        <v>158936676</v>
      </c>
      <c r="G172">
        <v>1.6119999999999999E-2</v>
      </c>
      <c r="L172" t="s">
        <v>8</v>
      </c>
      <c r="M172" t="s">
        <v>8</v>
      </c>
      <c r="N172" t="s">
        <v>7</v>
      </c>
      <c r="P172">
        <f t="shared" ref="P172" si="835">IF(C172=D172,0,((E172-D172)-(C172-E172))/(C172-D172))</f>
        <v>0.37297297297297199</v>
      </c>
      <c r="Q172">
        <f t="shared" ref="Q172" si="836">F172*P172</f>
        <v>59279084.562162004</v>
      </c>
      <c r="R172">
        <f t="shared" ref="R172" si="837">R173+Q172</f>
        <v>-11535423302.105288</v>
      </c>
      <c r="S172">
        <f t="shared" ref="S172" si="838">R172/100000</f>
        <v>-115354.23302105287</v>
      </c>
      <c r="T172">
        <f t="shared" ref="T172" si="839">S172/1000</f>
        <v>-115.35423302105288</v>
      </c>
    </row>
    <row r="173" spans="1:20" x14ac:dyDescent="0.25">
      <c r="A173" s="5">
        <v>44420</v>
      </c>
      <c r="B173">
        <v>1.49E-2</v>
      </c>
      <c r="C173">
        <v>1.5650000000000001E-2</v>
      </c>
      <c r="D173">
        <v>1.4E-2</v>
      </c>
      <c r="E173">
        <v>1.487E-2</v>
      </c>
      <c r="F173">
        <v>137261864.30000001</v>
      </c>
      <c r="G173">
        <v>1.487E-2</v>
      </c>
      <c r="L173" t="s">
        <v>7</v>
      </c>
      <c r="M173" t="s">
        <v>8</v>
      </c>
      <c r="N173" t="s">
        <v>7</v>
      </c>
      <c r="P173">
        <f t="shared" ref="P173" si="840">IF(C173=D173,0,((E173-D173)-(C173-E173))/(C173-D173))</f>
        <v>5.4545454545453363E-2</v>
      </c>
      <c r="Q173">
        <f t="shared" ref="Q173" si="841">F173*P173</f>
        <v>7487010.7799998382</v>
      </c>
      <c r="R173">
        <f t="shared" ref="R173" si="842">R174+Q173</f>
        <v>-11594702386.66745</v>
      </c>
      <c r="S173">
        <f t="shared" ref="S173" si="843">R173/100000</f>
        <v>-115947.0238666745</v>
      </c>
      <c r="T173">
        <f t="shared" ref="T173" si="844">S173/1000</f>
        <v>-115.9470238666745</v>
      </c>
    </row>
    <row r="174" spans="1:20" x14ac:dyDescent="0.25">
      <c r="A174" s="5">
        <v>44419</v>
      </c>
      <c r="B174">
        <v>1.4370000000000001E-2</v>
      </c>
      <c r="C174">
        <v>1.6449999999999999E-2</v>
      </c>
      <c r="D174">
        <v>1.418E-2</v>
      </c>
      <c r="E174">
        <v>1.4919999999999999E-2</v>
      </c>
      <c r="F174">
        <v>269287373.19999999</v>
      </c>
      <c r="G174">
        <v>1.4919999999999999E-2</v>
      </c>
      <c r="L174" t="s">
        <v>8</v>
      </c>
      <c r="M174" t="s">
        <v>8</v>
      </c>
      <c r="N174" t="s">
        <v>7</v>
      </c>
      <c r="P174">
        <f t="shared" ref="P174" si="845">IF(C174=D174,0,((E174-D174)-(C174-E174))/(C174-D174))</f>
        <v>-0.34801762114537488</v>
      </c>
      <c r="Q174">
        <f t="shared" ref="Q174" si="846">F174*P174</f>
        <v>-93716751.025550768</v>
      </c>
      <c r="R174">
        <f t="shared" ref="R174" si="847">R175+Q174</f>
        <v>-11602189397.447451</v>
      </c>
      <c r="S174">
        <f t="shared" ref="S174" si="848">R174/100000</f>
        <v>-116021.8939744745</v>
      </c>
      <c r="T174">
        <f t="shared" ref="T174" si="849">S174/1000</f>
        <v>-116.02189397447449</v>
      </c>
    </row>
    <row r="175" spans="1:20" x14ac:dyDescent="0.25">
      <c r="A175" s="5">
        <v>44418</v>
      </c>
      <c r="B175">
        <v>1.4930000000000001E-2</v>
      </c>
      <c r="C175">
        <v>1.5859999999999999E-2</v>
      </c>
      <c r="D175">
        <v>1.3679999999999999E-2</v>
      </c>
      <c r="E175">
        <v>1.44E-2</v>
      </c>
      <c r="F175">
        <v>311534703.89999998</v>
      </c>
      <c r="G175">
        <v>1.44E-2</v>
      </c>
      <c r="L175" t="s">
        <v>7</v>
      </c>
      <c r="M175" t="s">
        <v>8</v>
      </c>
      <c r="N175" t="s">
        <v>7</v>
      </c>
      <c r="P175">
        <f t="shared" ref="P175" si="850">IF(C175=D175,0,((E175-D175)-(C175-E175))/(C175-D175))</f>
        <v>-0.33944954128440341</v>
      </c>
      <c r="Q175">
        <f t="shared" ref="Q175" si="851">F175*P175</f>
        <v>-105750312.33302744</v>
      </c>
      <c r="R175">
        <f t="shared" ref="R175" si="852">R176+Q175</f>
        <v>-11508472646.4219</v>
      </c>
      <c r="S175">
        <f t="shared" ref="S175" si="853">R175/100000</f>
        <v>-115084.726464219</v>
      </c>
      <c r="T175">
        <f t="shared" ref="T175" si="854">S175/1000</f>
        <v>-115.084726464219</v>
      </c>
    </row>
    <row r="176" spans="1:20" x14ac:dyDescent="0.25">
      <c r="A176" s="5">
        <v>44417</v>
      </c>
      <c r="B176">
        <v>1.273E-2</v>
      </c>
      <c r="C176">
        <v>2.1100000000000001E-2</v>
      </c>
      <c r="D176">
        <v>1.235E-2</v>
      </c>
      <c r="E176">
        <v>1.495E-2</v>
      </c>
      <c r="F176">
        <v>846312935.79999995</v>
      </c>
      <c r="G176">
        <v>1.495E-2</v>
      </c>
      <c r="L176" t="s">
        <v>8</v>
      </c>
      <c r="M176" t="s">
        <v>7</v>
      </c>
      <c r="N176" t="s">
        <v>8</v>
      </c>
      <c r="P176">
        <f t="shared" ref="P176" si="855">IF(C176=D176,0,((E176-D176)-(C176-E176))/(C176-D176))</f>
        <v>-0.40571428571428581</v>
      </c>
      <c r="Q176">
        <f t="shared" ref="Q176" si="856">F176*P176</f>
        <v>-343361248.23885721</v>
      </c>
      <c r="R176">
        <f t="shared" ref="R176" si="857">R177+Q176</f>
        <v>-11402722334.088873</v>
      </c>
      <c r="S176">
        <f t="shared" ref="S176" si="858">R176/100000</f>
        <v>-114027.22334088873</v>
      </c>
      <c r="T176">
        <f t="shared" ref="T176" si="859">S176/1000</f>
        <v>-114.02722334088872</v>
      </c>
    </row>
    <row r="177" spans="1:20" x14ac:dyDescent="0.25">
      <c r="A177" s="5">
        <v>44416</v>
      </c>
      <c r="B177">
        <v>1.4250000000000001E-2</v>
      </c>
      <c r="C177">
        <v>1.4279999999999999E-2</v>
      </c>
      <c r="D177">
        <v>1.256E-2</v>
      </c>
      <c r="E177">
        <v>1.2710000000000001E-2</v>
      </c>
      <c r="F177">
        <v>88300543.700000003</v>
      </c>
      <c r="G177">
        <v>1.2710000000000001E-2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-0.82558139534883612</v>
      </c>
      <c r="Q177">
        <f t="shared" ref="Q177" si="861">F177*P177</f>
        <v>-72899286.077906877</v>
      </c>
      <c r="R177">
        <f t="shared" ref="R177" si="862">R178+Q177</f>
        <v>-11059361085.850016</v>
      </c>
      <c r="S177">
        <f t="shared" ref="S177" si="863">R177/100000</f>
        <v>-110593.61085850015</v>
      </c>
      <c r="T177">
        <f t="shared" ref="T177" si="864">S177/1000</f>
        <v>-110.59361085850016</v>
      </c>
    </row>
    <row r="178" spans="1:20" x14ac:dyDescent="0.25">
      <c r="A178" s="5">
        <v>44415</v>
      </c>
      <c r="B178">
        <v>1.3100000000000001E-2</v>
      </c>
      <c r="C178">
        <v>1.43E-2</v>
      </c>
      <c r="D178">
        <v>1.298E-2</v>
      </c>
      <c r="E178">
        <v>1.4250000000000001E-2</v>
      </c>
      <c r="F178">
        <v>187163993.59999999</v>
      </c>
      <c r="G178">
        <v>1.4250000000000001E-2</v>
      </c>
      <c r="L178" t="s">
        <v>7</v>
      </c>
      <c r="M178" t="s">
        <v>7</v>
      </c>
      <c r="N178" t="s">
        <v>8</v>
      </c>
      <c r="P178">
        <f t="shared" ref="P178" si="865">IF(C178=D178,0,((E178-D178)-(C178-E178))/(C178-D178))</f>
        <v>0.92424242424242475</v>
      </c>
      <c r="Q178">
        <f t="shared" ref="Q178" si="866">F178*P178</f>
        <v>172984903.17575768</v>
      </c>
      <c r="R178">
        <f t="shared" ref="R178" si="867">R179+Q178</f>
        <v>-10986461799.772108</v>
      </c>
      <c r="S178">
        <f t="shared" ref="S178" si="868">R178/100000</f>
        <v>-109864.61799772108</v>
      </c>
      <c r="T178">
        <f t="shared" ref="T178" si="869">S178/1000</f>
        <v>-109.86461799772108</v>
      </c>
    </row>
    <row r="179" spans="1:20" x14ac:dyDescent="0.25">
      <c r="A179" s="5">
        <v>44414</v>
      </c>
      <c r="B179">
        <v>1.242E-2</v>
      </c>
      <c r="C179">
        <v>1.554E-2</v>
      </c>
      <c r="D179">
        <v>1.2160000000000001E-2</v>
      </c>
      <c r="E179">
        <v>1.3089999999999999E-2</v>
      </c>
      <c r="F179">
        <v>412634170.30000001</v>
      </c>
      <c r="G179">
        <v>1.3089999999999999E-2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-0.44970414201183506</v>
      </c>
      <c r="Q179">
        <f t="shared" ref="Q179" si="871">F179*P179</f>
        <v>-185563295.51952693</v>
      </c>
      <c r="R179">
        <f t="shared" ref="R179" si="872">R180+Q179</f>
        <v>-11159446702.947866</v>
      </c>
      <c r="S179">
        <f t="shared" ref="S179" si="873">R179/100000</f>
        <v>-111594.46702947866</v>
      </c>
      <c r="T179">
        <f t="shared" ref="T179" si="874">S179/1000</f>
        <v>-111.59446702947866</v>
      </c>
    </row>
    <row r="180" spans="1:20" x14ac:dyDescent="0.25">
      <c r="A180" s="5">
        <v>44413</v>
      </c>
      <c r="B180">
        <v>1.196E-2</v>
      </c>
      <c r="C180">
        <v>1.2540000000000001E-2</v>
      </c>
      <c r="D180">
        <v>1.15E-2</v>
      </c>
      <c r="E180">
        <v>1.242E-2</v>
      </c>
      <c r="F180">
        <v>119148589.59999999</v>
      </c>
      <c r="G180">
        <v>1.242E-2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0.76923076923076883</v>
      </c>
      <c r="Q180">
        <f t="shared" ref="Q180" si="876">F180*P180</f>
        <v>91652761.230769172</v>
      </c>
      <c r="R180">
        <f t="shared" ref="R180" si="877">R181+Q180</f>
        <v>-10973883407.428339</v>
      </c>
      <c r="S180">
        <f t="shared" ref="S180" si="878">R180/100000</f>
        <v>-109738.8340742834</v>
      </c>
      <c r="T180">
        <f t="shared" ref="T180" si="879">S180/1000</f>
        <v>-109.7388340742834</v>
      </c>
    </row>
    <row r="181" spans="1:20" x14ac:dyDescent="0.25">
      <c r="A181" s="5">
        <v>44412</v>
      </c>
      <c r="B181">
        <v>1.153E-2</v>
      </c>
      <c r="C181">
        <v>1.208E-2</v>
      </c>
      <c r="D181">
        <v>1.119E-2</v>
      </c>
      <c r="E181">
        <v>1.1979999999999999E-2</v>
      </c>
      <c r="F181">
        <v>75937919.099999994</v>
      </c>
      <c r="G181">
        <v>1.1979999999999999E-2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0.77528089887640195</v>
      </c>
      <c r="Q181">
        <f t="shared" ref="Q181" si="881">F181*P181</f>
        <v>58873218.178651489</v>
      </c>
      <c r="R181">
        <f t="shared" ref="R181" si="882">R182+Q181</f>
        <v>-11065536168.659109</v>
      </c>
      <c r="S181">
        <f t="shared" ref="S181" si="883">R181/100000</f>
        <v>-110655.36168659109</v>
      </c>
      <c r="T181">
        <f t="shared" ref="T181" si="884">S181/1000</f>
        <v>-110.65536168659109</v>
      </c>
    </row>
    <row r="182" spans="1:20" x14ac:dyDescent="0.25">
      <c r="A182" s="5">
        <v>44411</v>
      </c>
      <c r="B182">
        <v>1.2030000000000001E-2</v>
      </c>
      <c r="C182">
        <v>1.226E-2</v>
      </c>
      <c r="D182">
        <v>1.14E-2</v>
      </c>
      <c r="E182">
        <v>1.1509999999999999E-2</v>
      </c>
      <c r="F182">
        <v>91824287</v>
      </c>
      <c r="G182">
        <v>1.1509999999999999E-2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-0.74418604651163012</v>
      </c>
      <c r="Q182">
        <f t="shared" ref="Q182" si="886">F182*P182</f>
        <v>-68334353.116279274</v>
      </c>
      <c r="R182">
        <f t="shared" ref="R182" si="887">R183+Q182</f>
        <v>-11124409386.837761</v>
      </c>
      <c r="S182">
        <f t="shared" ref="S182" si="888">R182/100000</f>
        <v>-111244.0938683776</v>
      </c>
      <c r="T182">
        <f t="shared" ref="T182" si="889">S182/1000</f>
        <v>-111.2440938683776</v>
      </c>
    </row>
    <row r="183" spans="1:20" x14ac:dyDescent="0.25">
      <c r="A183" s="5">
        <v>44410</v>
      </c>
      <c r="B183">
        <v>1.3140000000000001E-2</v>
      </c>
      <c r="C183">
        <v>1.37E-2</v>
      </c>
      <c r="D183">
        <v>1.174E-2</v>
      </c>
      <c r="E183">
        <v>1.2019999999999999E-2</v>
      </c>
      <c r="F183">
        <v>212629444.5</v>
      </c>
      <c r="G183">
        <v>1.2019999999999999E-2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-0.7142857142857153</v>
      </c>
      <c r="Q183">
        <f t="shared" ref="Q183" si="891">F183*P183</f>
        <v>-151878174.64285737</v>
      </c>
      <c r="R183">
        <f t="shared" ref="R183" si="892">R184+Q183</f>
        <v>-11056075033.721481</v>
      </c>
      <c r="S183">
        <f t="shared" ref="S183" si="893">R183/100000</f>
        <v>-110560.75033721482</v>
      </c>
      <c r="T183">
        <f t="shared" ref="T183" si="894">S183/1000</f>
        <v>-110.56075033721483</v>
      </c>
    </row>
    <row r="184" spans="1:20" x14ac:dyDescent="0.25">
      <c r="A184" s="5">
        <v>44409</v>
      </c>
      <c r="B184">
        <v>1.285E-2</v>
      </c>
      <c r="C184">
        <v>1.3650000000000001E-2</v>
      </c>
      <c r="D184">
        <v>1.2800000000000001E-2</v>
      </c>
      <c r="E184">
        <v>1.315E-2</v>
      </c>
      <c r="F184">
        <v>70208510</v>
      </c>
      <c r="G184">
        <v>1.315E-2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-0.17647058823529507</v>
      </c>
      <c r="Q184">
        <f t="shared" ref="Q184" si="896">F184*P184</f>
        <v>-12389737.058823597</v>
      </c>
      <c r="R184">
        <f t="shared" ref="R184" si="897">R185+Q184</f>
        <v>-10904196859.078625</v>
      </c>
      <c r="S184">
        <f t="shared" ref="S184" si="898">R184/100000</f>
        <v>-109041.96859078624</v>
      </c>
      <c r="T184">
        <f t="shared" ref="T184" si="899">S184/1000</f>
        <v>-109.04196859078624</v>
      </c>
    </row>
    <row r="185" spans="1:20" x14ac:dyDescent="0.25">
      <c r="A185" s="5">
        <v>44408</v>
      </c>
      <c r="B185">
        <v>1.2710000000000001E-2</v>
      </c>
      <c r="C185">
        <v>1.345E-2</v>
      </c>
      <c r="D185">
        <v>1.248E-2</v>
      </c>
      <c r="E185">
        <v>1.285E-2</v>
      </c>
      <c r="F185">
        <v>78692906.299999997</v>
      </c>
      <c r="G185">
        <v>1.285E-2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-0.23711340206185486</v>
      </c>
      <c r="Q185">
        <f t="shared" ref="Q185" si="901">F185*P185</f>
        <v>-18659142.730927769</v>
      </c>
      <c r="R185">
        <f t="shared" ref="R185" si="902">R186+Q185</f>
        <v>-10891807122.0198</v>
      </c>
      <c r="S185">
        <f t="shared" ref="S185" si="903">R185/100000</f>
        <v>-108918.07122019801</v>
      </c>
      <c r="T185">
        <f t="shared" ref="T185" si="904">S185/1000</f>
        <v>-108.918071220198</v>
      </c>
    </row>
    <row r="186" spans="1:20" x14ac:dyDescent="0.25">
      <c r="A186" s="5">
        <v>44407</v>
      </c>
      <c r="B186">
        <v>1.2319999999999999E-2</v>
      </c>
      <c r="C186">
        <v>1.282E-2</v>
      </c>
      <c r="D186">
        <v>1.1849999999999999E-2</v>
      </c>
      <c r="E186">
        <v>1.269E-2</v>
      </c>
      <c r="F186">
        <v>78128612.5</v>
      </c>
      <c r="G186">
        <v>1.269E-2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0.73195876288659822</v>
      </c>
      <c r="Q186">
        <f t="shared" ref="Q186" si="906">F186*P186</f>
        <v>57186922.551546417</v>
      </c>
      <c r="R186">
        <f t="shared" ref="R186" si="907">R187+Q186</f>
        <v>-10873147979.288872</v>
      </c>
      <c r="S186">
        <f t="shared" ref="S186" si="908">R186/100000</f>
        <v>-108731.47979288871</v>
      </c>
      <c r="T186">
        <f t="shared" ref="T186" si="909">S186/1000</f>
        <v>-108.73147979288871</v>
      </c>
    </row>
    <row r="187" spans="1:20" x14ac:dyDescent="0.25">
      <c r="A187" s="5">
        <v>44406</v>
      </c>
      <c r="B187">
        <v>1.261E-2</v>
      </c>
      <c r="C187">
        <v>1.2630000000000001E-2</v>
      </c>
      <c r="D187">
        <v>1.2E-2</v>
      </c>
      <c r="E187">
        <v>1.2319999999999999E-2</v>
      </c>
      <c r="F187">
        <v>67674469.5</v>
      </c>
      <c r="G187">
        <v>1.2319999999999999E-2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1.5873015873012465E-2</v>
      </c>
      <c r="Q187">
        <f t="shared" ref="Q187" si="911">F187*P187</f>
        <v>1074197.9285711979</v>
      </c>
      <c r="R187">
        <f t="shared" ref="R187" si="912">R188+Q187</f>
        <v>-10930334901.840418</v>
      </c>
      <c r="S187">
        <f t="shared" ref="S187" si="913">R187/100000</f>
        <v>-109303.34901840417</v>
      </c>
      <c r="T187">
        <f t="shared" ref="T187" si="914">S187/1000</f>
        <v>-109.30334901840418</v>
      </c>
    </row>
    <row r="188" spans="1:20" x14ac:dyDescent="0.25">
      <c r="A188" s="5">
        <v>44405</v>
      </c>
      <c r="B188">
        <v>1.2189999999999999E-2</v>
      </c>
      <c r="C188">
        <v>1.2970000000000001E-2</v>
      </c>
      <c r="D188">
        <v>1.192E-2</v>
      </c>
      <c r="E188">
        <v>1.261E-2</v>
      </c>
      <c r="F188">
        <v>97082852</v>
      </c>
      <c r="G188">
        <v>1.261E-2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0.31428571428571289</v>
      </c>
      <c r="Q188">
        <f t="shared" ref="Q188" si="916">F188*P188</f>
        <v>30511753.485714149</v>
      </c>
      <c r="R188">
        <f t="shared" ref="R188" si="917">R189+Q188</f>
        <v>-10931409099.76899</v>
      </c>
      <c r="S188">
        <f t="shared" ref="S188" si="918">R188/100000</f>
        <v>-109314.0909976899</v>
      </c>
      <c r="T188">
        <f t="shared" ref="T188" si="919">S188/1000</f>
        <v>-109.3140909976899</v>
      </c>
    </row>
    <row r="189" spans="1:20" x14ac:dyDescent="0.25">
      <c r="A189" s="5">
        <v>44404</v>
      </c>
      <c r="B189">
        <v>1.223E-2</v>
      </c>
      <c r="C189">
        <v>1.2999999999999999E-2</v>
      </c>
      <c r="D189">
        <v>1.1610000000000001E-2</v>
      </c>
      <c r="E189">
        <v>1.2189999999999999E-2</v>
      </c>
      <c r="F189">
        <v>132141808.8</v>
      </c>
      <c r="G189">
        <v>1.2189999999999999E-2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-0.16546762589928146</v>
      </c>
      <c r="Q189">
        <f t="shared" ref="Q189" si="921">F189*P189</f>
        <v>-21865191.384172779</v>
      </c>
      <c r="R189">
        <f t="shared" ref="R189" si="922">R190+Q189</f>
        <v>-10961920853.254704</v>
      </c>
      <c r="S189">
        <f t="shared" ref="S189" si="923">R189/100000</f>
        <v>-109619.20853254704</v>
      </c>
      <c r="T189">
        <f t="shared" ref="T189" si="924">S189/1000</f>
        <v>-109.61920853254703</v>
      </c>
    </row>
    <row r="190" spans="1:20" x14ac:dyDescent="0.25">
      <c r="A190" s="5">
        <v>44403</v>
      </c>
      <c r="B190">
        <v>1.1270000000000001E-2</v>
      </c>
      <c r="C190">
        <v>1.3610000000000001E-2</v>
      </c>
      <c r="D190">
        <v>1.1169999999999999E-2</v>
      </c>
      <c r="E190">
        <v>1.223E-2</v>
      </c>
      <c r="F190">
        <v>322791462.69999999</v>
      </c>
      <c r="G190">
        <v>1.223E-2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-0.13114754098360684</v>
      </c>
      <c r="Q190">
        <f t="shared" ref="Q190" si="926">F190*P190</f>
        <v>-42333306.583606645</v>
      </c>
      <c r="R190">
        <f t="shared" ref="R190" si="927">R191+Q190</f>
        <v>-10940055661.870531</v>
      </c>
      <c r="S190">
        <f t="shared" ref="S190" si="928">R190/100000</f>
        <v>-109400.5566187053</v>
      </c>
      <c r="T190">
        <f t="shared" ref="T190" si="929">S190/1000</f>
        <v>-109.40055661870531</v>
      </c>
    </row>
    <row r="191" spans="1:20" x14ac:dyDescent="0.25">
      <c r="A191" s="5">
        <v>44402</v>
      </c>
      <c r="B191">
        <v>1.061E-2</v>
      </c>
      <c r="C191">
        <v>1.1390000000000001E-2</v>
      </c>
      <c r="D191">
        <v>1.04E-2</v>
      </c>
      <c r="E191">
        <v>1.1270000000000001E-2</v>
      </c>
      <c r="F191">
        <v>89420433.299999997</v>
      </c>
      <c r="G191">
        <v>1.1270000000000001E-2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0.75757575757575724</v>
      </c>
      <c r="Q191">
        <f t="shared" ref="Q191" si="931">F191*P191</f>
        <v>67742752.49999997</v>
      </c>
      <c r="R191">
        <f t="shared" ref="R191" si="932">R192+Q191</f>
        <v>-10897722355.286924</v>
      </c>
      <c r="S191">
        <f t="shared" ref="S191" si="933">R191/100000</f>
        <v>-108977.22355286924</v>
      </c>
      <c r="T191">
        <f t="shared" ref="T191:T197" si="934">S191/1000</f>
        <v>-108.97722355286923</v>
      </c>
    </row>
    <row r="192" spans="1:20" x14ac:dyDescent="0.25">
      <c r="A192" s="5">
        <v>44401</v>
      </c>
      <c r="B192">
        <v>1.0330000000000001E-2</v>
      </c>
      <c r="C192">
        <v>1.09E-2</v>
      </c>
      <c r="D192">
        <v>1.0189999999999999E-2</v>
      </c>
      <c r="E192">
        <v>1.061E-2</v>
      </c>
      <c r="F192">
        <v>49004960.700000003</v>
      </c>
      <c r="G192">
        <v>1.061E-2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0.1830985915492955</v>
      </c>
      <c r="Q192">
        <f t="shared" ref="Q192" si="936">F192*P192</f>
        <v>8972739.2830985785</v>
      </c>
      <c r="R192">
        <f t="shared" ref="R192" si="937">R193+Q192</f>
        <v>-10965465107.786924</v>
      </c>
      <c r="S192">
        <f t="shared" ref="S192" si="938">R192/100000</f>
        <v>-109654.65107786925</v>
      </c>
      <c r="T192">
        <f t="shared" si="934"/>
        <v>-109.65465107786925</v>
      </c>
    </row>
    <row r="193" spans="1:20" x14ac:dyDescent="0.25">
      <c r="A193" s="5">
        <v>44400</v>
      </c>
      <c r="B193">
        <v>1.0059999999999999E-2</v>
      </c>
      <c r="C193">
        <v>1.0489999999999999E-2</v>
      </c>
      <c r="D193">
        <v>9.8700000000000003E-3</v>
      </c>
      <c r="E193">
        <v>1.0319999999999999E-2</v>
      </c>
      <c r="F193">
        <v>64944605.700000003</v>
      </c>
      <c r="G193">
        <v>1.0319999999999999E-2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0.45161290322580555</v>
      </c>
      <c r="Q193">
        <f t="shared" ref="Q193" si="940">F193*P193</f>
        <v>29329821.929032199</v>
      </c>
      <c r="R193">
        <f t="shared" ref="R193" si="941">R194+Q193</f>
        <v>-10974437847.070023</v>
      </c>
      <c r="S193">
        <f t="shared" ref="S193" si="942">R193/100000</f>
        <v>-109744.37847070022</v>
      </c>
      <c r="T193">
        <f t="shared" si="934"/>
        <v>-109.74437847070023</v>
      </c>
    </row>
    <row r="194" spans="1:20" x14ac:dyDescent="0.25">
      <c r="A194" s="5">
        <v>44399</v>
      </c>
      <c r="B194">
        <v>9.8600000000000007E-3</v>
      </c>
      <c r="C194">
        <v>1.04E-2</v>
      </c>
      <c r="D194">
        <v>9.7000000000000003E-3</v>
      </c>
      <c r="E194">
        <v>1.0030000000000001E-2</v>
      </c>
      <c r="F194">
        <v>31364390.800000001</v>
      </c>
      <c r="G194">
        <v>1.0030000000000001E-2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-5.7142857142854879E-2</v>
      </c>
      <c r="Q194">
        <f t="shared" ref="Q194" si="944">F194*P194</f>
        <v>-1792250.902857072</v>
      </c>
      <c r="R194">
        <f t="shared" ref="R194" si="945">R195+Q194</f>
        <v>-11003767668.999054</v>
      </c>
      <c r="S194">
        <f t="shared" ref="S194" si="946">R194/100000</f>
        <v>-110037.67668999053</v>
      </c>
      <c r="T194">
        <f t="shared" si="934"/>
        <v>-110.03767668999053</v>
      </c>
    </row>
    <row r="195" spans="1:20" x14ac:dyDescent="0.25">
      <c r="A195" s="5">
        <v>44398</v>
      </c>
      <c r="B195">
        <v>9.2300000000000004E-3</v>
      </c>
      <c r="C195">
        <v>1.014E-2</v>
      </c>
      <c r="D195">
        <v>8.9899999999999997E-3</v>
      </c>
      <c r="E195">
        <v>9.8499999999999994E-3</v>
      </c>
      <c r="F195">
        <v>66658787</v>
      </c>
      <c r="G195">
        <v>9.8499999999999994E-3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0.49565217391304289</v>
      </c>
      <c r="Q195">
        <f t="shared" ref="Q195" si="948">F195*P195</f>
        <v>33039572.686956484</v>
      </c>
      <c r="R195">
        <f t="shared" ref="R195" si="949">R196+Q195</f>
        <v>-11001975418.096197</v>
      </c>
      <c r="S195">
        <f t="shared" ref="S195" si="950">R195/100000</f>
        <v>-110019.75418096197</v>
      </c>
      <c r="T195">
        <f t="shared" si="934"/>
        <v>-110.01975418096197</v>
      </c>
    </row>
    <row r="196" spans="1:20" x14ac:dyDescent="0.25">
      <c r="A196" s="5">
        <v>44397</v>
      </c>
      <c r="B196">
        <v>1.031E-2</v>
      </c>
      <c r="C196">
        <v>1.051E-2</v>
      </c>
      <c r="D196">
        <v>9.0799999999999995E-3</v>
      </c>
      <c r="E196">
        <v>9.2499999999999995E-3</v>
      </c>
      <c r="F196">
        <v>109240148.09999999</v>
      </c>
      <c r="G196">
        <v>9.2499999999999995E-3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-0.7622377622377623</v>
      </c>
      <c r="Q196">
        <f t="shared" ref="Q196" si="952">F196*P196</f>
        <v>-83266966.034265742</v>
      </c>
      <c r="R196">
        <f t="shared" ref="R196" si="953">R197+Q196</f>
        <v>-11035014990.783154</v>
      </c>
      <c r="S196">
        <f t="shared" ref="S196" si="954">R196/100000</f>
        <v>-110350.14990783154</v>
      </c>
      <c r="T196">
        <f t="shared" si="934"/>
        <v>-110.35014990783154</v>
      </c>
    </row>
    <row r="197" spans="1:20" x14ac:dyDescent="0.25">
      <c r="A197" s="5">
        <v>44396</v>
      </c>
      <c r="B197">
        <v>1.142E-2</v>
      </c>
      <c r="C197">
        <v>1.154E-2</v>
      </c>
      <c r="D197">
        <v>1.013E-2</v>
      </c>
      <c r="E197">
        <v>1.031E-2</v>
      </c>
      <c r="F197">
        <v>101464614.7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-0.74468085106383031</v>
      </c>
      <c r="Q197">
        <f t="shared" ref="Q197" si="956">F197*P197</f>
        <v>-75558755.627659634</v>
      </c>
      <c r="R197">
        <f t="shared" ref="R197" si="957">R198+Q197</f>
        <v>-10951748024.748888</v>
      </c>
      <c r="S197">
        <f t="shared" ref="S197" si="958">R197/100000</f>
        <v>-109517.48024748889</v>
      </c>
      <c r="T197">
        <f t="shared" si="934"/>
        <v>-109.51748024748889</v>
      </c>
    </row>
    <row r="198" spans="1:20" x14ac:dyDescent="0.25">
      <c r="A198" s="5">
        <v>44395</v>
      </c>
      <c r="B198">
        <v>1.022E-2</v>
      </c>
      <c r="C198">
        <v>1.255E-2</v>
      </c>
      <c r="D198">
        <v>1.0200000000000001E-2</v>
      </c>
      <c r="E198">
        <v>1.142E-2</v>
      </c>
      <c r="F198">
        <v>333860377.39999998</v>
      </c>
      <c r="G198">
        <v>0</v>
      </c>
      <c r="L198" t="s">
        <v>8</v>
      </c>
      <c r="M198" t="s">
        <v>8</v>
      </c>
      <c r="N198" t="s">
        <v>8</v>
      </c>
      <c r="P198">
        <f t="shared" ref="P198:P261" si="959">IF(C198=D198,0,((E198-D198)-(C198-E198))/(C198-D198))</f>
        <v>3.8297872340424713E-2</v>
      </c>
      <c r="Q198">
        <f t="shared" ref="Q198:Q261" si="960">F198*P198</f>
        <v>12786142.113191215</v>
      </c>
      <c r="R198">
        <f t="shared" ref="R198:R261" si="961">R199+Q198</f>
        <v>-10876189269.121229</v>
      </c>
      <c r="S198">
        <f t="shared" ref="S198:S261" si="962">R198/100000</f>
        <v>-108761.8926912123</v>
      </c>
      <c r="T198">
        <f t="shared" ref="T198:T261" si="963">S198/1000</f>
        <v>-108.7618926912123</v>
      </c>
    </row>
    <row r="199" spans="1:20" x14ac:dyDescent="0.25">
      <c r="A199" s="5">
        <v>44394</v>
      </c>
      <c r="B199">
        <v>1.089E-2</v>
      </c>
      <c r="C199">
        <v>1.095E-2</v>
      </c>
      <c r="D199">
        <v>1.009E-2</v>
      </c>
      <c r="E199">
        <v>1.022E-2</v>
      </c>
      <c r="F199">
        <v>51729975.100000001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-0.69767441860465129</v>
      </c>
      <c r="Q199">
        <f t="shared" si="960"/>
        <v>-36090680.302325591</v>
      </c>
      <c r="R199">
        <f t="shared" si="961"/>
        <v>-10888975411.234421</v>
      </c>
      <c r="S199">
        <f t="shared" si="962"/>
        <v>-108889.75411234421</v>
      </c>
      <c r="T199">
        <f t="shared" si="963"/>
        <v>-108.88975411234421</v>
      </c>
    </row>
    <row r="200" spans="1:20" x14ac:dyDescent="0.25">
      <c r="A200" s="5">
        <v>44393</v>
      </c>
      <c r="B200">
        <v>1.098E-2</v>
      </c>
      <c r="C200">
        <v>1.14E-2</v>
      </c>
      <c r="D200">
        <v>1.0359999999999999E-2</v>
      </c>
      <c r="E200">
        <v>1.093E-2</v>
      </c>
      <c r="F200">
        <v>52991345.100000001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9.6153846153847145E-2</v>
      </c>
      <c r="Q200">
        <f t="shared" si="960"/>
        <v>5095321.6442308221</v>
      </c>
      <c r="R200">
        <f t="shared" si="961"/>
        <v>-10852884730.932095</v>
      </c>
      <c r="S200">
        <f t="shared" si="962"/>
        <v>-108528.84730932095</v>
      </c>
      <c r="T200">
        <f t="shared" si="963"/>
        <v>-108.52884730932095</v>
      </c>
    </row>
    <row r="201" spans="1:20" x14ac:dyDescent="0.25">
      <c r="A201" s="5">
        <v>44392</v>
      </c>
      <c r="B201">
        <v>1.1339999999999999E-2</v>
      </c>
      <c r="C201">
        <v>1.149E-2</v>
      </c>
      <c r="D201">
        <v>1.042E-2</v>
      </c>
      <c r="E201">
        <v>1.095E-2</v>
      </c>
      <c r="F201">
        <v>60507861.899999999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-9.3457943925246076E-3</v>
      </c>
      <c r="Q201">
        <f t="shared" si="960"/>
        <v>-565494.03644867335</v>
      </c>
      <c r="R201">
        <f t="shared" si="961"/>
        <v>-10857980052.576324</v>
      </c>
      <c r="S201">
        <f t="shared" si="962"/>
        <v>-108579.80052576325</v>
      </c>
      <c r="T201">
        <f t="shared" si="963"/>
        <v>-108.57980052576325</v>
      </c>
    </row>
    <row r="202" spans="1:20" x14ac:dyDescent="0.25">
      <c r="A202" s="5">
        <v>44391</v>
      </c>
      <c r="B202">
        <v>1.103E-2</v>
      </c>
      <c r="C202">
        <v>1.1480000000000001E-2</v>
      </c>
      <c r="D202">
        <v>1.043E-2</v>
      </c>
      <c r="E202">
        <v>1.1350000000000001E-2</v>
      </c>
      <c r="F202">
        <v>46875471.100000001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0.75238095238095271</v>
      </c>
      <c r="Q202">
        <f t="shared" si="960"/>
        <v>35268211.58952383</v>
      </c>
      <c r="R202">
        <f t="shared" si="961"/>
        <v>-10857414558.539875</v>
      </c>
      <c r="S202">
        <f t="shared" si="962"/>
        <v>-108574.14558539876</v>
      </c>
      <c r="T202">
        <f t="shared" si="963"/>
        <v>-108.57414558539875</v>
      </c>
    </row>
    <row r="203" spans="1:20" x14ac:dyDescent="0.25">
      <c r="A203" s="5">
        <v>44390</v>
      </c>
      <c r="B203">
        <v>1.1469999999999999E-2</v>
      </c>
      <c r="C203">
        <v>1.1509999999999999E-2</v>
      </c>
      <c r="D203">
        <v>1.081E-2</v>
      </c>
      <c r="E203">
        <v>1.1039999999999999E-2</v>
      </c>
      <c r="F203">
        <v>57761257.399999999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-0.34285714285714414</v>
      </c>
      <c r="Q203">
        <f t="shared" si="960"/>
        <v>-19803859.680000074</v>
      </c>
      <c r="R203">
        <f t="shared" si="961"/>
        <v>-10892682770.129398</v>
      </c>
      <c r="S203">
        <f t="shared" si="962"/>
        <v>-108926.82770129398</v>
      </c>
      <c r="T203">
        <f t="shared" si="963"/>
        <v>-108.92682770129397</v>
      </c>
    </row>
    <row r="204" spans="1:20" x14ac:dyDescent="0.25">
      <c r="A204" s="5">
        <v>44389</v>
      </c>
      <c r="B204">
        <v>1.1769999999999999E-2</v>
      </c>
      <c r="C204">
        <v>1.2E-2</v>
      </c>
      <c r="D204">
        <v>1.116E-2</v>
      </c>
      <c r="E204">
        <v>1.153E-2</v>
      </c>
      <c r="F204">
        <v>38263886.799999997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-0.11904761904761826</v>
      </c>
      <c r="Q204">
        <f t="shared" si="960"/>
        <v>-4555224.6190475887</v>
      </c>
      <c r="R204">
        <f t="shared" si="961"/>
        <v>-10872878910.449398</v>
      </c>
      <c r="S204">
        <f t="shared" si="962"/>
        <v>-108728.78910449398</v>
      </c>
      <c r="T204">
        <f t="shared" si="963"/>
        <v>-108.72878910449397</v>
      </c>
    </row>
    <row r="205" spans="1:20" x14ac:dyDescent="0.25">
      <c r="A205" s="5">
        <v>44388</v>
      </c>
      <c r="B205">
        <v>1.153E-2</v>
      </c>
      <c r="C205">
        <v>1.2189999999999999E-2</v>
      </c>
      <c r="D205">
        <v>1.1310000000000001E-2</v>
      </c>
      <c r="E205">
        <v>1.176E-2</v>
      </c>
      <c r="F205">
        <v>75955958.900000006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2.2727272727271833E-2</v>
      </c>
      <c r="Q205">
        <f t="shared" si="960"/>
        <v>1726271.7931817505</v>
      </c>
      <c r="R205">
        <f t="shared" si="961"/>
        <v>-10868323685.830351</v>
      </c>
      <c r="S205">
        <f t="shared" si="962"/>
        <v>-108683.23685830351</v>
      </c>
      <c r="T205">
        <f t="shared" si="963"/>
        <v>-108.68323685830352</v>
      </c>
    </row>
    <row r="206" spans="1:20" x14ac:dyDescent="0.25">
      <c r="A206" s="5">
        <v>44387</v>
      </c>
      <c r="B206">
        <v>1.197E-2</v>
      </c>
      <c r="C206">
        <v>1.205E-2</v>
      </c>
      <c r="D206">
        <v>1.1339999999999999E-2</v>
      </c>
      <c r="E206">
        <v>1.1520000000000001E-2</v>
      </c>
      <c r="F206">
        <v>59016158.299999997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-0.49295774647886986</v>
      </c>
      <c r="Q206">
        <f t="shared" si="960"/>
        <v>-29092472.401408251</v>
      </c>
      <c r="R206">
        <f t="shared" si="961"/>
        <v>-10870049957.623533</v>
      </c>
      <c r="S206">
        <f t="shared" si="962"/>
        <v>-108700.49957623534</v>
      </c>
      <c r="T206">
        <f t="shared" si="963"/>
        <v>-108.70049957623533</v>
      </c>
    </row>
    <row r="207" spans="1:20" x14ac:dyDescent="0.25">
      <c r="A207" s="5">
        <v>44386</v>
      </c>
      <c r="B207">
        <v>1.129E-2</v>
      </c>
      <c r="C207">
        <v>1.238E-2</v>
      </c>
      <c r="D207">
        <v>1.0829999999999999E-2</v>
      </c>
      <c r="E207">
        <v>1.197E-2</v>
      </c>
      <c r="F207">
        <v>149237328.09999999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0.47096774193548341</v>
      </c>
      <c r="Q207">
        <f t="shared" si="960"/>
        <v>70285967.42774187</v>
      </c>
      <c r="R207">
        <f t="shared" si="961"/>
        <v>-10840957485.222124</v>
      </c>
      <c r="S207">
        <f t="shared" si="962"/>
        <v>-108409.57485222124</v>
      </c>
      <c r="T207">
        <f t="shared" si="963"/>
        <v>-108.40957485222124</v>
      </c>
    </row>
    <row r="208" spans="1:20" x14ac:dyDescent="0.25">
      <c r="A208" s="5">
        <v>44385</v>
      </c>
      <c r="B208">
        <v>1.183E-2</v>
      </c>
      <c r="C208">
        <v>1.189E-2</v>
      </c>
      <c r="D208">
        <v>1.0970000000000001E-2</v>
      </c>
      <c r="E208">
        <v>1.128E-2</v>
      </c>
      <c r="F208">
        <v>82629037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-0.32608695652173941</v>
      </c>
      <c r="Q208">
        <f t="shared" si="960"/>
        <v>-26944251.195652198</v>
      </c>
      <c r="R208">
        <f t="shared" si="961"/>
        <v>-10911243452.649866</v>
      </c>
      <c r="S208">
        <f t="shared" si="962"/>
        <v>-109112.43452649866</v>
      </c>
      <c r="T208">
        <f t="shared" si="963"/>
        <v>-109.11243452649866</v>
      </c>
    </row>
    <row r="209" spans="1:20" x14ac:dyDescent="0.25">
      <c r="A209" s="5">
        <v>44384</v>
      </c>
      <c r="B209">
        <v>1.187E-2</v>
      </c>
      <c r="C209">
        <v>1.255E-2</v>
      </c>
      <c r="D209">
        <v>1.174E-2</v>
      </c>
      <c r="E209">
        <v>1.183E-2</v>
      </c>
      <c r="F209">
        <v>160332594.30000001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-0.77777777777777823</v>
      </c>
      <c r="Q209">
        <f t="shared" si="960"/>
        <v>-124703128.90000008</v>
      </c>
      <c r="R209">
        <f t="shared" si="961"/>
        <v>-10884299201.454214</v>
      </c>
      <c r="S209">
        <f t="shared" si="962"/>
        <v>-108842.99201454213</v>
      </c>
      <c r="T209">
        <f t="shared" si="963"/>
        <v>-108.84299201454213</v>
      </c>
    </row>
    <row r="210" spans="1:20" x14ac:dyDescent="0.25">
      <c r="A210" s="5">
        <v>44383</v>
      </c>
      <c r="B210">
        <v>1.136E-2</v>
      </c>
      <c r="C210">
        <v>1.259E-2</v>
      </c>
      <c r="D210">
        <v>1.1339999999999999E-2</v>
      </c>
      <c r="E210">
        <v>1.187E-2</v>
      </c>
      <c r="F210">
        <v>66258428.200000003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-0.15199999999999922</v>
      </c>
      <c r="Q210">
        <f t="shared" si="960"/>
        <v>-10071281.086399948</v>
      </c>
      <c r="R210">
        <f t="shared" si="961"/>
        <v>-10759596072.554214</v>
      </c>
      <c r="S210">
        <f t="shared" si="962"/>
        <v>-107595.96072554214</v>
      </c>
      <c r="T210">
        <f t="shared" si="963"/>
        <v>-107.59596072554214</v>
      </c>
    </row>
    <row r="211" spans="1:20" x14ac:dyDescent="0.25">
      <c r="A211" s="5">
        <v>44382</v>
      </c>
      <c r="B211">
        <v>1.2E-2</v>
      </c>
      <c r="C211">
        <v>1.206E-2</v>
      </c>
      <c r="D211">
        <v>1.1140000000000001E-2</v>
      </c>
      <c r="E211">
        <v>1.1350000000000001E-2</v>
      </c>
      <c r="F211">
        <v>51504370.899999999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-0.54347826086956441</v>
      </c>
      <c r="Q211">
        <f t="shared" si="960"/>
        <v>-27991505.923913002</v>
      </c>
      <c r="R211">
        <f t="shared" si="961"/>
        <v>-10749524791.467815</v>
      </c>
      <c r="S211">
        <f t="shared" si="962"/>
        <v>-107495.24791467816</v>
      </c>
      <c r="T211">
        <f t="shared" si="963"/>
        <v>-107.49524791467816</v>
      </c>
    </row>
    <row r="212" spans="1:20" x14ac:dyDescent="0.25">
      <c r="A212" s="5">
        <v>44381</v>
      </c>
      <c r="B212">
        <v>1.18E-2</v>
      </c>
      <c r="C212">
        <v>1.274E-2</v>
      </c>
      <c r="D212">
        <v>1.17E-2</v>
      </c>
      <c r="E212">
        <v>1.2E-2</v>
      </c>
      <c r="F212">
        <v>109629443.40000001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-0.4230769230769228</v>
      </c>
      <c r="Q212">
        <f t="shared" si="960"/>
        <v>-46381687.592307664</v>
      </c>
      <c r="R212">
        <f t="shared" si="961"/>
        <v>-10721533285.543903</v>
      </c>
      <c r="S212">
        <f t="shared" si="962"/>
        <v>-107215.33285543903</v>
      </c>
      <c r="T212">
        <f t="shared" si="963"/>
        <v>-107.21533285543903</v>
      </c>
    </row>
    <row r="213" spans="1:20" x14ac:dyDescent="0.25">
      <c r="A213" s="5">
        <v>44380</v>
      </c>
      <c r="B213">
        <v>1.166E-2</v>
      </c>
      <c r="C213">
        <v>1.208E-2</v>
      </c>
      <c r="D213">
        <v>1.1379999999999999E-2</v>
      </c>
      <c r="E213">
        <v>1.1820000000000001E-2</v>
      </c>
      <c r="F213">
        <v>57666959.399999999</v>
      </c>
      <c r="G213">
        <v>0</v>
      </c>
      <c r="L213" t="s">
        <v>7</v>
      </c>
      <c r="M213" t="s">
        <v>8</v>
      </c>
      <c r="N213" t="s">
        <v>8</v>
      </c>
      <c r="P213">
        <f t="shared" si="959"/>
        <v>0.25714285714285873</v>
      </c>
      <c r="Q213">
        <f t="shared" si="960"/>
        <v>14828646.702857234</v>
      </c>
      <c r="R213">
        <f t="shared" si="961"/>
        <v>-10675151597.951595</v>
      </c>
      <c r="S213">
        <f t="shared" si="962"/>
        <v>-106751.51597951596</v>
      </c>
      <c r="T213">
        <f t="shared" si="963"/>
        <v>-106.75151597951596</v>
      </c>
    </row>
    <row r="214" spans="1:20" x14ac:dyDescent="0.25">
      <c r="A214" s="5">
        <v>44379</v>
      </c>
      <c r="B214">
        <v>1.112E-2</v>
      </c>
      <c r="C214">
        <v>1.209E-2</v>
      </c>
      <c r="D214">
        <v>1.098E-2</v>
      </c>
      <c r="E214">
        <v>1.166E-2</v>
      </c>
      <c r="F214">
        <v>87872083.599999994</v>
      </c>
      <c r="G214">
        <v>0</v>
      </c>
      <c r="L214" t="s">
        <v>8</v>
      </c>
      <c r="M214" t="s">
        <v>8</v>
      </c>
      <c r="N214" t="s">
        <v>8</v>
      </c>
      <c r="P214">
        <f t="shared" si="959"/>
        <v>0.22522522522522545</v>
      </c>
      <c r="Q214">
        <f t="shared" si="960"/>
        <v>19791009.819819838</v>
      </c>
      <c r="R214">
        <f t="shared" si="961"/>
        <v>-10689980244.654453</v>
      </c>
      <c r="S214">
        <f t="shared" si="962"/>
        <v>-106899.80244654453</v>
      </c>
      <c r="T214">
        <f t="shared" si="963"/>
        <v>-106.89980244654454</v>
      </c>
    </row>
    <row r="215" spans="1:20" x14ac:dyDescent="0.25">
      <c r="A215" s="5">
        <v>44378</v>
      </c>
      <c r="B215">
        <v>1.1860000000000001E-2</v>
      </c>
      <c r="C215">
        <v>1.205E-2</v>
      </c>
      <c r="D215">
        <v>1.089E-2</v>
      </c>
      <c r="E215">
        <v>1.1140000000000001E-2</v>
      </c>
      <c r="F215">
        <v>64811703.299999997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-0.56896551724137878</v>
      </c>
      <c r="Q215">
        <f t="shared" si="960"/>
        <v>-36875624.291379273</v>
      </c>
      <c r="R215">
        <f t="shared" si="961"/>
        <v>-10709771254.474274</v>
      </c>
      <c r="S215">
        <f t="shared" si="962"/>
        <v>-107097.71254474274</v>
      </c>
      <c r="T215">
        <f t="shared" si="963"/>
        <v>-107.09771254474273</v>
      </c>
    </row>
    <row r="216" spans="1:20" x14ac:dyDescent="0.25">
      <c r="A216" s="5">
        <v>44377</v>
      </c>
      <c r="B216">
        <v>1.225E-2</v>
      </c>
      <c r="C216">
        <v>1.2330000000000001E-2</v>
      </c>
      <c r="D216">
        <v>1.128E-2</v>
      </c>
      <c r="E216">
        <v>1.1860000000000001E-2</v>
      </c>
      <c r="F216">
        <v>48234467.700000003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0.10476190476190539</v>
      </c>
      <c r="Q216">
        <f t="shared" si="960"/>
        <v>5053134.7114286022</v>
      </c>
      <c r="R216">
        <f t="shared" si="961"/>
        <v>-10672895630.182894</v>
      </c>
      <c r="S216">
        <f t="shared" si="962"/>
        <v>-106728.95630182893</v>
      </c>
      <c r="T216">
        <f t="shared" si="963"/>
        <v>-106.72895630182893</v>
      </c>
    </row>
    <row r="217" spans="1:20" x14ac:dyDescent="0.25">
      <c r="A217" s="5">
        <v>44376</v>
      </c>
      <c r="B217">
        <v>1.142E-2</v>
      </c>
      <c r="C217">
        <v>1.2710000000000001E-2</v>
      </c>
      <c r="D217">
        <v>1.1310000000000001E-2</v>
      </c>
      <c r="E217">
        <v>1.2189999999999999E-2</v>
      </c>
      <c r="F217">
        <v>79416766.599999994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0.25714285714285529</v>
      </c>
      <c r="Q217">
        <f t="shared" si="960"/>
        <v>20421454.26857128</v>
      </c>
      <c r="R217">
        <f t="shared" si="961"/>
        <v>-10677948764.894321</v>
      </c>
      <c r="S217">
        <f t="shared" si="962"/>
        <v>-106779.48764894322</v>
      </c>
      <c r="T217">
        <f t="shared" si="963"/>
        <v>-106.77948764894322</v>
      </c>
    </row>
    <row r="218" spans="1:20" x14ac:dyDescent="0.25">
      <c r="A218" s="5">
        <v>44375</v>
      </c>
      <c r="B218">
        <v>1.145E-2</v>
      </c>
      <c r="C218">
        <v>1.205E-2</v>
      </c>
      <c r="D218">
        <v>1.107E-2</v>
      </c>
      <c r="E218">
        <v>1.1390000000000001E-2</v>
      </c>
      <c r="F218">
        <v>102958050.2</v>
      </c>
      <c r="G218">
        <v>0</v>
      </c>
      <c r="L218" t="s">
        <v>7</v>
      </c>
      <c r="M218" t="s">
        <v>8</v>
      </c>
      <c r="N218" t="s">
        <v>8</v>
      </c>
      <c r="P218">
        <f t="shared" si="959"/>
        <v>-0.34693877551020236</v>
      </c>
      <c r="Q218">
        <f t="shared" si="960"/>
        <v>-35720139.865305945</v>
      </c>
      <c r="R218">
        <f t="shared" si="961"/>
        <v>-10698370219.162893</v>
      </c>
      <c r="S218">
        <f t="shared" si="962"/>
        <v>-106983.70219162894</v>
      </c>
      <c r="T218">
        <f t="shared" si="963"/>
        <v>-106.98370219162894</v>
      </c>
    </row>
    <row r="219" spans="1:20" x14ac:dyDescent="0.25">
      <c r="A219" s="5">
        <v>44374</v>
      </c>
      <c r="B219">
        <v>1.056E-2</v>
      </c>
      <c r="C219">
        <v>1.1860000000000001E-2</v>
      </c>
      <c r="D219">
        <v>1.034E-2</v>
      </c>
      <c r="E219">
        <v>1.145E-2</v>
      </c>
      <c r="F219">
        <v>98720210.599999994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0.46052631578947301</v>
      </c>
      <c r="Q219">
        <f t="shared" si="960"/>
        <v>45463254.881578878</v>
      </c>
      <c r="R219">
        <f t="shared" si="961"/>
        <v>-10662650079.297586</v>
      </c>
      <c r="S219">
        <f t="shared" si="962"/>
        <v>-106626.50079297586</v>
      </c>
      <c r="T219">
        <f t="shared" si="963"/>
        <v>-106.62650079297586</v>
      </c>
    </row>
    <row r="220" spans="1:20" x14ac:dyDescent="0.25">
      <c r="A220" s="5">
        <v>44373</v>
      </c>
      <c r="B220">
        <v>1.086E-2</v>
      </c>
      <c r="C220">
        <v>1.132E-2</v>
      </c>
      <c r="D220">
        <v>9.7099999999999999E-3</v>
      </c>
      <c r="E220">
        <v>1.056E-2</v>
      </c>
      <c r="F220">
        <v>97180066.900000006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5.5900621118012292E-2</v>
      </c>
      <c r="Q220">
        <f t="shared" si="960"/>
        <v>5432426.0999999875</v>
      </c>
      <c r="R220">
        <f t="shared" si="961"/>
        <v>-10708113334.179165</v>
      </c>
      <c r="S220">
        <f t="shared" si="962"/>
        <v>-107081.13334179165</v>
      </c>
      <c r="T220">
        <f t="shared" si="963"/>
        <v>-107.08113334179164</v>
      </c>
    </row>
    <row r="221" spans="1:20" x14ac:dyDescent="0.25">
      <c r="A221" s="5">
        <v>44372</v>
      </c>
      <c r="B221">
        <v>1.205E-2</v>
      </c>
      <c r="C221">
        <v>1.341E-2</v>
      </c>
      <c r="D221">
        <v>1.0789999999999999E-2</v>
      </c>
      <c r="E221">
        <v>1.0869999999999999E-2</v>
      </c>
      <c r="F221">
        <v>351511007.30000001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-0.93893129770992356</v>
      </c>
      <c r="Q221">
        <f t="shared" si="960"/>
        <v>-330044686.24351144</v>
      </c>
      <c r="R221">
        <f t="shared" si="961"/>
        <v>-10713545760.279165</v>
      </c>
      <c r="S221">
        <f t="shared" si="962"/>
        <v>-107135.45760279165</v>
      </c>
      <c r="T221">
        <f t="shared" si="963"/>
        <v>-107.13545760279165</v>
      </c>
    </row>
    <row r="222" spans="1:20" x14ac:dyDescent="0.25">
      <c r="A222" s="5">
        <v>44371</v>
      </c>
      <c r="B222">
        <v>1.2290000000000001E-2</v>
      </c>
      <c r="C222">
        <v>1.234E-2</v>
      </c>
      <c r="D222">
        <v>1.106E-2</v>
      </c>
      <c r="E222">
        <v>1.2019999999999999E-2</v>
      </c>
      <c r="F222">
        <v>90614670.799999997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0.49999999999999867</v>
      </c>
      <c r="Q222">
        <f t="shared" si="960"/>
        <v>45307335.399999879</v>
      </c>
      <c r="R222">
        <f t="shared" si="961"/>
        <v>-10383501074.035654</v>
      </c>
      <c r="S222">
        <f t="shared" si="962"/>
        <v>-103835.01074035653</v>
      </c>
      <c r="T222">
        <f t="shared" si="963"/>
        <v>-103.83501074035654</v>
      </c>
    </row>
    <row r="223" spans="1:20" x14ac:dyDescent="0.25">
      <c r="A223" s="5">
        <v>44370</v>
      </c>
      <c r="B223">
        <v>1.0749999999999999E-2</v>
      </c>
      <c r="C223">
        <v>1.2749999999999999E-2</v>
      </c>
      <c r="D223">
        <v>1.0160000000000001E-2</v>
      </c>
      <c r="E223">
        <v>1.2239999999999999E-2</v>
      </c>
      <c r="F223">
        <v>179363966.80000001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0.60617760617760597</v>
      </c>
      <c r="Q223">
        <f t="shared" si="960"/>
        <v>108726420.02934361</v>
      </c>
      <c r="R223">
        <f t="shared" si="961"/>
        <v>-10428808409.435654</v>
      </c>
      <c r="S223">
        <f t="shared" si="962"/>
        <v>-104288.08409435654</v>
      </c>
      <c r="T223">
        <f t="shared" si="963"/>
        <v>-104.28808409435655</v>
      </c>
    </row>
    <row r="224" spans="1:20" x14ac:dyDescent="0.25">
      <c r="A224" s="5">
        <v>44369</v>
      </c>
      <c r="B224">
        <v>1.11E-2</v>
      </c>
      <c r="C224">
        <v>1.222E-2</v>
      </c>
      <c r="D224">
        <v>9.1000000000000004E-3</v>
      </c>
      <c r="E224">
        <v>1.0789999999999999E-2</v>
      </c>
      <c r="F224">
        <v>253932215.59999999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8.3333333333332732E-2</v>
      </c>
      <c r="Q224">
        <f t="shared" si="960"/>
        <v>21161017.966666512</v>
      </c>
      <c r="R224">
        <f t="shared" si="961"/>
        <v>-10537534829.464998</v>
      </c>
      <c r="S224">
        <f t="shared" si="962"/>
        <v>-105375.34829464999</v>
      </c>
      <c r="T224">
        <f t="shared" si="963"/>
        <v>-105.37534829464998</v>
      </c>
    </row>
    <row r="225" spans="1:20" x14ac:dyDescent="0.25">
      <c r="A225" s="5">
        <v>44368</v>
      </c>
      <c r="B225">
        <v>1.3089999999999999E-2</v>
      </c>
      <c r="C225">
        <v>1.6480000000000002E-2</v>
      </c>
      <c r="D225">
        <v>1.09E-2</v>
      </c>
      <c r="E225">
        <v>1.1129999999999999E-2</v>
      </c>
      <c r="F225">
        <v>642639365.70000005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-0.91756272401433714</v>
      </c>
      <c r="Q225">
        <f t="shared" si="960"/>
        <v>-589661926.9505378</v>
      </c>
      <c r="R225">
        <f t="shared" si="961"/>
        <v>-10558695847.431665</v>
      </c>
      <c r="S225">
        <f t="shared" si="962"/>
        <v>-105586.95847431665</v>
      </c>
      <c r="T225">
        <f t="shared" si="963"/>
        <v>-105.58695847431665</v>
      </c>
    </row>
    <row r="226" spans="1:20" x14ac:dyDescent="0.25">
      <c r="A226" s="5">
        <v>44367</v>
      </c>
      <c r="B226">
        <v>1.324E-2</v>
      </c>
      <c r="C226">
        <v>1.3469999999999999E-2</v>
      </c>
      <c r="D226">
        <v>1.196E-2</v>
      </c>
      <c r="E226">
        <v>1.3129999999999999E-2</v>
      </c>
      <c r="F226">
        <v>101474435.3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0.54966887417218513</v>
      </c>
      <c r="Q226">
        <f t="shared" si="960"/>
        <v>55777338.608609237</v>
      </c>
      <c r="R226">
        <f t="shared" si="961"/>
        <v>-9969033920.4811268</v>
      </c>
      <c r="S226">
        <f t="shared" si="962"/>
        <v>-99690.339204811273</v>
      </c>
      <c r="T226">
        <f t="shared" si="963"/>
        <v>-99.690339204811266</v>
      </c>
    </row>
    <row r="227" spans="1:20" x14ac:dyDescent="0.25">
      <c r="A227" s="5">
        <v>44366</v>
      </c>
      <c r="B227">
        <v>1.413E-2</v>
      </c>
      <c r="C227">
        <v>1.43E-2</v>
      </c>
      <c r="D227">
        <v>1.32E-2</v>
      </c>
      <c r="E227">
        <v>1.321E-2</v>
      </c>
      <c r="F227">
        <v>119255069.3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-0.98181818181818259</v>
      </c>
      <c r="Q227">
        <f t="shared" si="960"/>
        <v>-117086795.31272736</v>
      </c>
      <c r="R227">
        <f t="shared" si="961"/>
        <v>-10024811259.089737</v>
      </c>
      <c r="S227">
        <f t="shared" si="962"/>
        <v>-100248.11259089736</v>
      </c>
      <c r="T227">
        <f t="shared" si="963"/>
        <v>-100.24811259089736</v>
      </c>
    </row>
    <row r="228" spans="1:20" x14ac:dyDescent="0.25">
      <c r="A228" s="5">
        <v>44365</v>
      </c>
      <c r="B228">
        <v>1.389E-2</v>
      </c>
      <c r="C228">
        <v>1.6500000000000001E-2</v>
      </c>
      <c r="D228">
        <v>1.2999999999999999E-2</v>
      </c>
      <c r="E228">
        <v>1.418E-2</v>
      </c>
      <c r="F228">
        <v>466137536.89999998</v>
      </c>
      <c r="G228">
        <v>0</v>
      </c>
      <c r="L228" t="s">
        <v>7</v>
      </c>
      <c r="M228" t="s">
        <v>8</v>
      </c>
      <c r="N228" t="s">
        <v>7</v>
      </c>
      <c r="P228">
        <f t="shared" si="959"/>
        <v>-0.32571428571428568</v>
      </c>
      <c r="Q228">
        <f t="shared" si="960"/>
        <v>-151827654.87599999</v>
      </c>
      <c r="R228">
        <f t="shared" si="961"/>
        <v>-9907724463.77701</v>
      </c>
      <c r="S228">
        <f t="shared" si="962"/>
        <v>-99077.244637770098</v>
      </c>
      <c r="T228">
        <f t="shared" si="963"/>
        <v>-99.077244637770093</v>
      </c>
    </row>
    <row r="229" spans="1:20" x14ac:dyDescent="0.25">
      <c r="A229" s="5">
        <v>44364</v>
      </c>
      <c r="B229">
        <v>1.417E-2</v>
      </c>
      <c r="C229">
        <v>1.473E-2</v>
      </c>
      <c r="D229">
        <v>1.372E-2</v>
      </c>
      <c r="E229">
        <v>1.391E-2</v>
      </c>
      <c r="F229">
        <v>93203881.099999994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-0.6237623762376221</v>
      </c>
      <c r="Q229">
        <f t="shared" si="960"/>
        <v>-58137074.349504791</v>
      </c>
      <c r="R229">
        <f t="shared" si="961"/>
        <v>-9755896808.9010105</v>
      </c>
      <c r="S229">
        <f t="shared" si="962"/>
        <v>-97558.968089010101</v>
      </c>
      <c r="T229">
        <f t="shared" si="963"/>
        <v>-97.558968089010108</v>
      </c>
    </row>
    <row r="230" spans="1:20" x14ac:dyDescent="0.25">
      <c r="A230" s="5">
        <v>44363</v>
      </c>
      <c r="B230">
        <v>1.54E-2</v>
      </c>
      <c r="C230">
        <v>1.5559999999999999E-2</v>
      </c>
      <c r="D230">
        <v>1.3950000000000001E-2</v>
      </c>
      <c r="E230">
        <v>1.4200000000000001E-2</v>
      </c>
      <c r="F230">
        <v>121133715.40000001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-0.68944099378881929</v>
      </c>
      <c r="Q230">
        <f t="shared" si="960"/>
        <v>-83514549.126708001</v>
      </c>
      <c r="R230">
        <f t="shared" si="961"/>
        <v>-9697759734.551506</v>
      </c>
      <c r="S230">
        <f t="shared" si="962"/>
        <v>-96977.597345515067</v>
      </c>
      <c r="T230">
        <f t="shared" si="963"/>
        <v>-96.977597345515065</v>
      </c>
    </row>
    <row r="231" spans="1:20" x14ac:dyDescent="0.25">
      <c r="A231" s="5">
        <v>44362</v>
      </c>
      <c r="B231">
        <v>1.669E-2</v>
      </c>
      <c r="C231">
        <v>1.7010000000000001E-2</v>
      </c>
      <c r="D231">
        <v>1.2500000000000001E-2</v>
      </c>
      <c r="E231">
        <v>1.54E-2</v>
      </c>
      <c r="F231">
        <v>630014186.29999995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0.28603104212860297</v>
      </c>
      <c r="Q231">
        <f t="shared" si="960"/>
        <v>180203614.2631928</v>
      </c>
      <c r="R231">
        <f t="shared" si="961"/>
        <v>-9614245185.424799</v>
      </c>
      <c r="S231">
        <f t="shared" si="962"/>
        <v>-96142.451854247993</v>
      </c>
      <c r="T231">
        <f t="shared" si="963"/>
        <v>-96.142451854247994</v>
      </c>
    </row>
    <row r="232" spans="1:20" x14ac:dyDescent="0.25">
      <c r="A232" s="5">
        <v>44361</v>
      </c>
      <c r="B232">
        <v>1.7260000000000001E-2</v>
      </c>
      <c r="C232">
        <v>1.745E-2</v>
      </c>
      <c r="D232">
        <v>1.619E-2</v>
      </c>
      <c r="E232">
        <v>1.669E-2</v>
      </c>
      <c r="F232">
        <v>155038324.69999999</v>
      </c>
      <c r="G232">
        <v>0</v>
      </c>
      <c r="L232" t="s">
        <v>7</v>
      </c>
      <c r="M232" t="s">
        <v>7</v>
      </c>
      <c r="N232" t="s">
        <v>8</v>
      </c>
      <c r="P232">
        <f t="shared" si="959"/>
        <v>-0.20634920634920609</v>
      </c>
      <c r="Q232">
        <f t="shared" si="960"/>
        <v>-31992035.255555514</v>
      </c>
      <c r="R232">
        <f t="shared" si="961"/>
        <v>-9794448799.6879921</v>
      </c>
      <c r="S232">
        <f t="shared" si="962"/>
        <v>-97944.487996879921</v>
      </c>
      <c r="T232">
        <f t="shared" si="963"/>
        <v>-97.944487996879928</v>
      </c>
    </row>
    <row r="233" spans="1:20" x14ac:dyDescent="0.25">
      <c r="A233" s="5">
        <v>44360</v>
      </c>
      <c r="B233">
        <v>1.5299999999999999E-2</v>
      </c>
      <c r="C233">
        <v>1.9400000000000001E-2</v>
      </c>
      <c r="D233">
        <v>1.5259999999999999E-2</v>
      </c>
      <c r="E233">
        <v>1.729E-2</v>
      </c>
      <c r="F233">
        <v>736842279.29999995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-1.9323671497584585E-2</v>
      </c>
      <c r="Q233">
        <f t="shared" si="960"/>
        <v>-14238498.15072467</v>
      </c>
      <c r="R233">
        <f t="shared" si="961"/>
        <v>-9762456764.432436</v>
      </c>
      <c r="S233">
        <f t="shared" si="962"/>
        <v>-97624.567644324357</v>
      </c>
      <c r="T233">
        <f t="shared" si="963"/>
        <v>-97.624567644324358</v>
      </c>
    </row>
    <row r="234" spans="1:20" x14ac:dyDescent="0.25">
      <c r="A234" s="5">
        <v>44359</v>
      </c>
      <c r="B234">
        <v>1.4840000000000001E-2</v>
      </c>
      <c r="C234">
        <v>1.5959999999999998E-2</v>
      </c>
      <c r="D234">
        <v>1.3129999999999999E-2</v>
      </c>
      <c r="E234">
        <v>1.529E-2</v>
      </c>
      <c r="F234">
        <v>128045073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0.52650176678445304</v>
      </c>
      <c r="Q234">
        <f t="shared" si="960"/>
        <v>67415957.162544265</v>
      </c>
      <c r="R234">
        <f t="shared" si="961"/>
        <v>-9748218266.2817116</v>
      </c>
      <c r="S234">
        <f t="shared" si="962"/>
        <v>-97482.182662817111</v>
      </c>
      <c r="T234">
        <f t="shared" si="963"/>
        <v>-97.48218266281711</v>
      </c>
    </row>
    <row r="235" spans="1:20" x14ac:dyDescent="0.25">
      <c r="A235" s="5">
        <v>44358</v>
      </c>
      <c r="B235">
        <v>1.7010000000000001E-2</v>
      </c>
      <c r="C235">
        <v>1.7739999999999999E-2</v>
      </c>
      <c r="D235">
        <v>1.4540000000000001E-2</v>
      </c>
      <c r="E235">
        <v>1.4840000000000001E-2</v>
      </c>
      <c r="F235">
        <v>216330692.59999999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-0.81249999999999989</v>
      </c>
      <c r="Q235">
        <f t="shared" si="960"/>
        <v>-175768687.73749998</v>
      </c>
      <c r="R235">
        <f t="shared" si="961"/>
        <v>-9815634223.4442558</v>
      </c>
      <c r="S235">
        <f t="shared" si="962"/>
        <v>-98156.342234442563</v>
      </c>
      <c r="T235">
        <f t="shared" si="963"/>
        <v>-98.156342234442562</v>
      </c>
    </row>
    <row r="236" spans="1:20" x14ac:dyDescent="0.25">
      <c r="A236" s="5">
        <v>44357</v>
      </c>
      <c r="B236">
        <v>1.8280000000000001E-2</v>
      </c>
      <c r="C236">
        <v>0.02</v>
      </c>
      <c r="D236">
        <v>1.618E-2</v>
      </c>
      <c r="E236">
        <v>1.7010000000000001E-2</v>
      </c>
      <c r="F236">
        <v>516213593</v>
      </c>
      <c r="G236">
        <v>0</v>
      </c>
      <c r="L236" t="s">
        <v>8</v>
      </c>
      <c r="M236" t="s">
        <v>7</v>
      </c>
      <c r="N236" t="s">
        <v>7</v>
      </c>
      <c r="P236">
        <f t="shared" si="959"/>
        <v>-0.56544502617801007</v>
      </c>
      <c r="Q236">
        <f t="shared" si="960"/>
        <v>-291890408.60732961</v>
      </c>
      <c r="R236">
        <f t="shared" si="961"/>
        <v>-9639865535.7067566</v>
      </c>
      <c r="S236">
        <f t="shared" si="962"/>
        <v>-96398.655357067561</v>
      </c>
      <c r="T236">
        <f t="shared" si="963"/>
        <v>-96.398655357067554</v>
      </c>
    </row>
    <row r="237" spans="1:20" x14ac:dyDescent="0.25">
      <c r="A237" s="5">
        <v>44356</v>
      </c>
      <c r="B237">
        <v>1.754E-2</v>
      </c>
      <c r="C237">
        <v>1.9259999999999999E-2</v>
      </c>
      <c r="D237">
        <v>1.6299999999999999E-2</v>
      </c>
      <c r="E237">
        <v>1.83E-2</v>
      </c>
      <c r="F237">
        <v>469343837.30000001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0.35135135135135215</v>
      </c>
      <c r="Q237">
        <f t="shared" si="960"/>
        <v>164904591.48378417</v>
      </c>
      <c r="R237">
        <f t="shared" si="961"/>
        <v>-9347975127.0994263</v>
      </c>
      <c r="S237">
        <f t="shared" si="962"/>
        <v>-93479.751270994268</v>
      </c>
      <c r="T237">
        <f t="shared" si="963"/>
        <v>-93.479751270994271</v>
      </c>
    </row>
    <row r="238" spans="1:20" x14ac:dyDescent="0.25">
      <c r="A238" s="5">
        <v>44355</v>
      </c>
      <c r="B238">
        <v>1.7139999999999999E-2</v>
      </c>
      <c r="C238">
        <v>2.1510000000000001E-2</v>
      </c>
      <c r="D238">
        <v>1.379E-2</v>
      </c>
      <c r="E238">
        <v>1.7520000000000001E-2</v>
      </c>
      <c r="F238">
        <v>1311637455.5999999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-3.3678756476683912E-2</v>
      </c>
      <c r="Q238">
        <f t="shared" si="960"/>
        <v>-44174318.452849701</v>
      </c>
      <c r="R238">
        <f t="shared" si="961"/>
        <v>-9512879718.58321</v>
      </c>
      <c r="S238">
        <f t="shared" si="962"/>
        <v>-95128.797185832096</v>
      </c>
      <c r="T238">
        <f t="shared" si="963"/>
        <v>-95.128797185832099</v>
      </c>
    </row>
    <row r="239" spans="1:20" x14ac:dyDescent="0.25">
      <c r="A239" s="5">
        <v>44354</v>
      </c>
      <c r="B239">
        <v>2.1760000000000002E-2</v>
      </c>
      <c r="C239">
        <v>2.4799999999999999E-2</v>
      </c>
      <c r="D239">
        <v>1.7010000000000001E-2</v>
      </c>
      <c r="E239">
        <v>1.7149999999999999E-2</v>
      </c>
      <c r="F239">
        <v>1097843275.2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-0.96405648267009048</v>
      </c>
      <c r="Q239">
        <f t="shared" si="960"/>
        <v>-1058382926.4123242</v>
      </c>
      <c r="R239">
        <f t="shared" si="961"/>
        <v>-9468705400.1303596</v>
      </c>
      <c r="S239">
        <f t="shared" si="962"/>
        <v>-94687.054001303593</v>
      </c>
      <c r="T239">
        <f t="shared" si="963"/>
        <v>-94.687054001303594</v>
      </c>
    </row>
    <row r="240" spans="1:20" x14ac:dyDescent="0.25">
      <c r="A240" s="5">
        <v>44353</v>
      </c>
      <c r="B240">
        <v>1.252E-2</v>
      </c>
      <c r="C240">
        <v>3.6299999999999999E-2</v>
      </c>
      <c r="D240">
        <v>1.243E-2</v>
      </c>
      <c r="E240">
        <v>2.1770000000000001E-2</v>
      </c>
      <c r="F240">
        <v>3246188998.8000002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-0.21742773355676567</v>
      </c>
      <c r="Q240">
        <f t="shared" si="960"/>
        <v>-705811516.70599031</v>
      </c>
      <c r="R240">
        <f t="shared" si="961"/>
        <v>-8410322473.7180347</v>
      </c>
      <c r="S240">
        <f t="shared" si="962"/>
        <v>-84103.224737180353</v>
      </c>
      <c r="T240">
        <f t="shared" si="963"/>
        <v>-84.103224737180355</v>
      </c>
    </row>
    <row r="241" spans="1:20" x14ac:dyDescent="0.25">
      <c r="A241" s="5">
        <v>44352</v>
      </c>
      <c r="B241">
        <v>1.286E-2</v>
      </c>
      <c r="C241">
        <v>1.3769999999999999E-2</v>
      </c>
      <c r="D241">
        <v>1.213E-2</v>
      </c>
      <c r="E241">
        <v>1.256E-2</v>
      </c>
      <c r="F241">
        <v>51010148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-0.4756097560975609</v>
      </c>
      <c r="Q241">
        <f t="shared" si="960"/>
        <v>-24260924.048780482</v>
      </c>
      <c r="R241">
        <f t="shared" si="961"/>
        <v>-7704510957.012044</v>
      </c>
      <c r="S241">
        <f t="shared" si="962"/>
        <v>-77045.109570120447</v>
      </c>
      <c r="T241">
        <f t="shared" si="963"/>
        <v>-77.045109570120445</v>
      </c>
    </row>
    <row r="242" spans="1:20" x14ac:dyDescent="0.25">
      <c r="A242" s="5">
        <v>44351</v>
      </c>
      <c r="B242">
        <v>1.404E-2</v>
      </c>
      <c r="C242">
        <v>1.435E-2</v>
      </c>
      <c r="D242">
        <v>1.2120000000000001E-2</v>
      </c>
      <c r="E242">
        <v>1.286E-2</v>
      </c>
      <c r="F242">
        <v>72818546.599999994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-0.33632286995515737</v>
      </c>
      <c r="Q242">
        <f t="shared" si="960"/>
        <v>-24490542.578475364</v>
      </c>
      <c r="R242">
        <f t="shared" si="961"/>
        <v>-7680250032.9632635</v>
      </c>
      <c r="S242">
        <f t="shared" si="962"/>
        <v>-76802.500329632632</v>
      </c>
      <c r="T242">
        <f t="shared" si="963"/>
        <v>-76.802500329632636</v>
      </c>
    </row>
    <row r="243" spans="1:20" x14ac:dyDescent="0.25">
      <c r="A243" s="5">
        <v>44350</v>
      </c>
      <c r="B243">
        <v>1.291E-2</v>
      </c>
      <c r="C243">
        <v>1.4500000000000001E-2</v>
      </c>
      <c r="D243">
        <v>1.281E-2</v>
      </c>
      <c r="E243">
        <v>1.3979999999999999E-2</v>
      </c>
      <c r="F243">
        <v>102396707.59999999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0.38461538461538319</v>
      </c>
      <c r="Q243">
        <f t="shared" si="960"/>
        <v>39383349.076922931</v>
      </c>
      <c r="R243">
        <f t="shared" si="961"/>
        <v>-7655759490.3847885</v>
      </c>
      <c r="S243">
        <f t="shared" si="962"/>
        <v>-76557.594903847887</v>
      </c>
      <c r="T243">
        <f t="shared" si="963"/>
        <v>-76.557594903847885</v>
      </c>
    </row>
    <row r="244" spans="1:20" x14ac:dyDescent="0.25">
      <c r="A244" s="5">
        <v>44349</v>
      </c>
      <c r="B244">
        <v>1.2869999999999999E-2</v>
      </c>
      <c r="C244">
        <v>1.333E-2</v>
      </c>
      <c r="D244">
        <v>1.24E-2</v>
      </c>
      <c r="E244">
        <v>1.294E-2</v>
      </c>
      <c r="F244">
        <v>119002369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0.16129032258064602</v>
      </c>
      <c r="Q244">
        <f t="shared" si="960"/>
        <v>19193930.483871069</v>
      </c>
      <c r="R244">
        <f t="shared" si="961"/>
        <v>-7695142839.4617119</v>
      </c>
      <c r="S244">
        <f t="shared" si="962"/>
        <v>-76951.42839461712</v>
      </c>
      <c r="T244">
        <f t="shared" si="963"/>
        <v>-76.951428394617125</v>
      </c>
    </row>
    <row r="245" spans="1:20" x14ac:dyDescent="0.25">
      <c r="A245" s="5">
        <v>44348</v>
      </c>
      <c r="B245">
        <v>1.393E-2</v>
      </c>
      <c r="C245">
        <v>1.465E-2</v>
      </c>
      <c r="D245">
        <v>1.244E-2</v>
      </c>
      <c r="E245">
        <v>1.2840000000000001E-2</v>
      </c>
      <c r="F245">
        <v>115094891.40000001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-0.63800904977375472</v>
      </c>
      <c r="Q245">
        <f t="shared" si="960"/>
        <v>-73431582.295927495</v>
      </c>
      <c r="R245">
        <f t="shared" si="961"/>
        <v>-7714336769.9455833</v>
      </c>
      <c r="S245">
        <f t="shared" si="962"/>
        <v>-77143.367699455834</v>
      </c>
      <c r="T245">
        <f t="shared" si="963"/>
        <v>-77.143367699455837</v>
      </c>
    </row>
    <row r="246" spans="1:20" x14ac:dyDescent="0.25">
      <c r="A246" s="5">
        <v>44347</v>
      </c>
      <c r="B246">
        <v>1.268E-2</v>
      </c>
      <c r="C246">
        <v>1.4500000000000001E-2</v>
      </c>
      <c r="D246">
        <v>1.204E-2</v>
      </c>
      <c r="E246">
        <v>1.396E-2</v>
      </c>
      <c r="F246">
        <v>66160167.799999997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0.56097560975609717</v>
      </c>
      <c r="Q246">
        <f t="shared" si="960"/>
        <v>37114240.473170705</v>
      </c>
      <c r="R246">
        <f t="shared" si="961"/>
        <v>-7640905187.6496563</v>
      </c>
      <c r="S246">
        <f t="shared" si="962"/>
        <v>-76409.051876496567</v>
      </c>
      <c r="T246">
        <f t="shared" si="963"/>
        <v>-76.409051876496562</v>
      </c>
    </row>
    <row r="247" spans="1:20" x14ac:dyDescent="0.25">
      <c r="A247" s="5">
        <v>44346</v>
      </c>
      <c r="B247">
        <v>1.1979999999999999E-2</v>
      </c>
      <c r="C247">
        <v>1.3390000000000001E-2</v>
      </c>
      <c r="D247">
        <v>1.133E-2</v>
      </c>
      <c r="E247">
        <v>1.2710000000000001E-2</v>
      </c>
      <c r="F247">
        <v>34432231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0.33980582524271874</v>
      </c>
      <c r="Q247">
        <f t="shared" si="960"/>
        <v>11700272.669902923</v>
      </c>
      <c r="R247">
        <f t="shared" si="961"/>
        <v>-7678019428.1228266</v>
      </c>
      <c r="S247">
        <f t="shared" si="962"/>
        <v>-76780.194281228265</v>
      </c>
      <c r="T247">
        <f t="shared" si="963"/>
        <v>-76.780194281228262</v>
      </c>
    </row>
    <row r="248" spans="1:20" x14ac:dyDescent="0.25">
      <c r="A248" s="5">
        <v>44345</v>
      </c>
      <c r="B248">
        <v>1.29E-2</v>
      </c>
      <c r="C248">
        <v>1.3769999999999999E-2</v>
      </c>
      <c r="D248">
        <v>1.133E-2</v>
      </c>
      <c r="E248">
        <v>1.209E-2</v>
      </c>
      <c r="F248">
        <v>38468002.700000003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-0.37704918032786849</v>
      </c>
      <c r="Q248">
        <f t="shared" si="960"/>
        <v>-14504328.886885233</v>
      </c>
      <c r="R248">
        <f t="shared" si="961"/>
        <v>-7689719700.7927294</v>
      </c>
      <c r="S248">
        <f t="shared" si="962"/>
        <v>-76897.197007927287</v>
      </c>
      <c r="T248">
        <f t="shared" si="963"/>
        <v>-76.897197007927289</v>
      </c>
    </row>
    <row r="249" spans="1:20" x14ac:dyDescent="0.25">
      <c r="A249" s="5">
        <v>44344</v>
      </c>
      <c r="B249">
        <v>1.495E-2</v>
      </c>
      <c r="C249">
        <v>1.553E-2</v>
      </c>
      <c r="D249">
        <v>1.2200000000000001E-2</v>
      </c>
      <c r="E249">
        <v>1.2840000000000001E-2</v>
      </c>
      <c r="F249">
        <v>50371922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-0.61561561561561562</v>
      </c>
      <c r="Q249">
        <f t="shared" si="960"/>
        <v>-31009741.771771774</v>
      </c>
      <c r="R249">
        <f t="shared" si="961"/>
        <v>-7675215371.9058437</v>
      </c>
      <c r="S249">
        <f t="shared" si="962"/>
        <v>-76752.153719058435</v>
      </c>
      <c r="T249">
        <f t="shared" si="963"/>
        <v>-76.752153719058441</v>
      </c>
    </row>
    <row r="250" spans="1:20" x14ac:dyDescent="0.25">
      <c r="A250" s="5">
        <v>44343</v>
      </c>
      <c r="B250">
        <v>1.495E-2</v>
      </c>
      <c r="C250">
        <v>1.668E-2</v>
      </c>
      <c r="D250">
        <v>1.3639999999999999E-2</v>
      </c>
      <c r="E250">
        <v>1.494E-2</v>
      </c>
      <c r="F250">
        <v>100270686.40000001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-0.14473684210526291</v>
      </c>
      <c r="Q250">
        <f t="shared" si="960"/>
        <v>-14512862.505263135</v>
      </c>
      <c r="R250">
        <f t="shared" si="961"/>
        <v>-7644205630.1340723</v>
      </c>
      <c r="S250">
        <f t="shared" si="962"/>
        <v>-76442.056301340723</v>
      </c>
      <c r="T250">
        <f t="shared" si="963"/>
        <v>-76.442056301340727</v>
      </c>
    </row>
    <row r="251" spans="1:20" x14ac:dyDescent="0.25">
      <c r="A251" s="5">
        <v>44342</v>
      </c>
      <c r="B251">
        <v>1.435E-2</v>
      </c>
      <c r="C251">
        <v>1.6500000000000001E-2</v>
      </c>
      <c r="D251">
        <v>1.341E-2</v>
      </c>
      <c r="E251">
        <v>1.502E-2</v>
      </c>
      <c r="F251">
        <v>120520895.5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4.2071197411003194E-2</v>
      </c>
      <c r="Q251">
        <f t="shared" si="960"/>
        <v>5070458.3867313862</v>
      </c>
      <c r="R251">
        <f t="shared" si="961"/>
        <v>-7629692767.628809</v>
      </c>
      <c r="S251">
        <f t="shared" si="962"/>
        <v>-76296.927676288091</v>
      </c>
      <c r="T251">
        <f t="shared" si="963"/>
        <v>-76.296927676288092</v>
      </c>
    </row>
    <row r="252" spans="1:20" x14ac:dyDescent="0.25">
      <c r="A252" s="5">
        <v>44341</v>
      </c>
      <c r="B252">
        <v>1.223E-2</v>
      </c>
      <c r="C252">
        <v>1.499E-2</v>
      </c>
      <c r="D252">
        <v>1.077E-2</v>
      </c>
      <c r="E252">
        <v>1.43E-2</v>
      </c>
      <c r="F252">
        <v>252108214.5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0.6729857819905215</v>
      </c>
      <c r="Q252">
        <f t="shared" si="960"/>
        <v>169665243.88151664</v>
      </c>
      <c r="R252">
        <f t="shared" si="961"/>
        <v>-7634763226.0155401</v>
      </c>
      <c r="S252">
        <f t="shared" si="962"/>
        <v>-76347.632260155398</v>
      </c>
      <c r="T252">
        <f t="shared" si="963"/>
        <v>-76.347632260155393</v>
      </c>
    </row>
    <row r="253" spans="1:20" x14ac:dyDescent="0.25">
      <c r="A253" s="5">
        <v>44340</v>
      </c>
      <c r="B253">
        <v>1.017E-2</v>
      </c>
      <c r="C253">
        <v>1.252E-2</v>
      </c>
      <c r="D253">
        <v>9.8300000000000002E-3</v>
      </c>
      <c r="E253">
        <v>1.223E-2</v>
      </c>
      <c r="F253">
        <v>170927568.09999999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0.7843866171003715</v>
      </c>
      <c r="Q253">
        <f t="shared" si="960"/>
        <v>134073296.91115236</v>
      </c>
      <c r="R253">
        <f t="shared" si="961"/>
        <v>-7804428469.8970566</v>
      </c>
      <c r="S253">
        <f t="shared" si="962"/>
        <v>-78044.284698970572</v>
      </c>
      <c r="T253">
        <f t="shared" si="963"/>
        <v>-78.044284698970571</v>
      </c>
    </row>
    <row r="254" spans="1:20" x14ac:dyDescent="0.25">
      <c r="A254" s="5">
        <v>44339</v>
      </c>
      <c r="B254">
        <v>1.1849999999999999E-2</v>
      </c>
      <c r="C254">
        <v>1.2279999999999999E-2</v>
      </c>
      <c r="D254">
        <v>8.2400000000000008E-3</v>
      </c>
      <c r="E254">
        <v>1.018E-2</v>
      </c>
      <c r="F254">
        <v>110185187.59999999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-3.9603960396039722E-2</v>
      </c>
      <c r="Q254">
        <f t="shared" si="960"/>
        <v>-4363769.8059406066</v>
      </c>
      <c r="R254">
        <f t="shared" si="961"/>
        <v>-7938501766.8082094</v>
      </c>
      <c r="S254">
        <f t="shared" si="962"/>
        <v>-79385.017668082088</v>
      </c>
      <c r="T254">
        <f t="shared" si="963"/>
        <v>-79.385017668082085</v>
      </c>
    </row>
    <row r="255" spans="1:20" x14ac:dyDescent="0.25">
      <c r="A255" s="5">
        <v>44338</v>
      </c>
      <c r="B255">
        <v>1.231E-2</v>
      </c>
      <c r="C255">
        <v>1.29E-2</v>
      </c>
      <c r="D255">
        <v>1.0840000000000001E-2</v>
      </c>
      <c r="E255">
        <v>1.189E-2</v>
      </c>
      <c r="F255">
        <v>50718070.899999999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1.9417475728154554E-2</v>
      </c>
      <c r="Q255">
        <f t="shared" si="960"/>
        <v>984816.9106795718</v>
      </c>
      <c r="R255">
        <f t="shared" si="961"/>
        <v>-7934137997.0022688</v>
      </c>
      <c r="S255">
        <f t="shared" si="962"/>
        <v>-79341.379970022681</v>
      </c>
      <c r="T255">
        <f t="shared" si="963"/>
        <v>-79.341379970022686</v>
      </c>
    </row>
    <row r="256" spans="1:20" x14ac:dyDescent="0.25">
      <c r="A256" s="5">
        <v>44337</v>
      </c>
      <c r="B256">
        <v>1.5219999999999999E-2</v>
      </c>
      <c r="C256">
        <v>1.6219999999999998E-2</v>
      </c>
      <c r="D256">
        <v>1.061E-2</v>
      </c>
      <c r="E256">
        <v>1.234E-2</v>
      </c>
      <c r="F256">
        <v>105270722.2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-0.38324420677361815</v>
      </c>
      <c r="Q256">
        <f t="shared" si="960"/>
        <v>-40344394.426024914</v>
      </c>
      <c r="R256">
        <f t="shared" si="961"/>
        <v>-7935122813.9129486</v>
      </c>
      <c r="S256">
        <f t="shared" si="962"/>
        <v>-79351.228139129482</v>
      </c>
      <c r="T256">
        <f t="shared" si="963"/>
        <v>-79.351228139129475</v>
      </c>
    </row>
    <row r="257" spans="1:20" x14ac:dyDescent="0.25">
      <c r="A257" s="5">
        <v>44336</v>
      </c>
      <c r="B257">
        <v>1.354E-2</v>
      </c>
      <c r="C257">
        <v>1.677E-2</v>
      </c>
      <c r="D257">
        <v>1.223E-2</v>
      </c>
      <c r="E257">
        <v>1.5219999999999999E-2</v>
      </c>
      <c r="F257">
        <v>87054535.599999994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0.31718061674008774</v>
      </c>
      <c r="Q257">
        <f t="shared" si="960"/>
        <v>27612011.291629922</v>
      </c>
      <c r="R257">
        <f t="shared" si="961"/>
        <v>-7894778419.4869242</v>
      </c>
      <c r="S257">
        <f t="shared" si="962"/>
        <v>-78947.784194869237</v>
      </c>
      <c r="T257">
        <f t="shared" si="963"/>
        <v>-78.947784194869243</v>
      </c>
    </row>
    <row r="258" spans="1:20" x14ac:dyDescent="0.25">
      <c r="A258" s="5">
        <v>44335</v>
      </c>
      <c r="B258">
        <v>2.129E-2</v>
      </c>
      <c r="C258">
        <v>2.1559999999999999E-2</v>
      </c>
      <c r="D258">
        <v>1.055E-2</v>
      </c>
      <c r="E258">
        <v>1.3520000000000001E-2</v>
      </c>
      <c r="F258">
        <v>152402374.30000001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-0.46049046321525872</v>
      </c>
      <c r="Q258">
        <f t="shared" si="960"/>
        <v>-70179839.936512247</v>
      </c>
      <c r="R258">
        <f t="shared" si="961"/>
        <v>-7922390430.778554</v>
      </c>
      <c r="S258">
        <f t="shared" si="962"/>
        <v>-79223.904307785546</v>
      </c>
      <c r="T258">
        <f t="shared" si="963"/>
        <v>-79.223904307785546</v>
      </c>
    </row>
    <row r="259" spans="1:20" x14ac:dyDescent="0.25">
      <c r="A259" s="5">
        <v>44334</v>
      </c>
      <c r="B259">
        <v>2.102E-2</v>
      </c>
      <c r="C259">
        <v>2.2669999999999999E-2</v>
      </c>
      <c r="D259">
        <v>2.0410000000000001E-2</v>
      </c>
      <c r="E259">
        <v>2.1190000000000001E-2</v>
      </c>
      <c r="F259">
        <v>49215822.299999997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-0.30973451327433621</v>
      </c>
      <c r="Q259">
        <f t="shared" si="960"/>
        <v>-15243838.765486721</v>
      </c>
      <c r="R259">
        <f t="shared" si="961"/>
        <v>-7852210590.842042</v>
      </c>
      <c r="S259">
        <f t="shared" si="962"/>
        <v>-78522.105908420417</v>
      </c>
      <c r="T259">
        <f t="shared" si="963"/>
        <v>-78.522105908420414</v>
      </c>
    </row>
    <row r="260" spans="1:20" x14ac:dyDescent="0.25">
      <c r="A260" s="5">
        <v>44333</v>
      </c>
      <c r="B260">
        <v>2.325E-2</v>
      </c>
      <c r="C260">
        <v>2.3449999999999999E-2</v>
      </c>
      <c r="D260">
        <v>0.02</v>
      </c>
      <c r="E260">
        <v>2.0979999999999999E-2</v>
      </c>
      <c r="F260">
        <v>72819771.700000003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-0.4318840579710152</v>
      </c>
      <c r="Q260">
        <f t="shared" si="960"/>
        <v>-31449698.502318893</v>
      </c>
      <c r="R260">
        <f t="shared" si="961"/>
        <v>-7836966752.0765553</v>
      </c>
      <c r="S260">
        <f t="shared" si="962"/>
        <v>-78369.66752076555</v>
      </c>
      <c r="T260">
        <f t="shared" si="963"/>
        <v>-78.369667520765546</v>
      </c>
    </row>
    <row r="261" spans="1:20" x14ac:dyDescent="0.25">
      <c r="A261" s="5">
        <v>44332</v>
      </c>
      <c r="B261">
        <v>2.3060000000000001E-2</v>
      </c>
      <c r="C261">
        <v>2.5690000000000001E-2</v>
      </c>
      <c r="D261">
        <v>2.137E-2</v>
      </c>
      <c r="E261">
        <v>2.324E-2</v>
      </c>
      <c r="F261">
        <v>79819350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-0.13425925925925938</v>
      </c>
      <c r="Q261">
        <f t="shared" si="960"/>
        <v>-10716486.805555565</v>
      </c>
      <c r="R261">
        <f t="shared" si="961"/>
        <v>-7805517053.5742359</v>
      </c>
      <c r="S261">
        <f t="shared" si="962"/>
        <v>-78055.170535742363</v>
      </c>
      <c r="T261">
        <f t="shared" si="963"/>
        <v>-78.055170535742363</v>
      </c>
    </row>
    <row r="262" spans="1:20" x14ac:dyDescent="0.25">
      <c r="A262" s="5">
        <v>44331</v>
      </c>
      <c r="B262">
        <v>2.571E-2</v>
      </c>
      <c r="C262">
        <v>2.6089999999999999E-2</v>
      </c>
      <c r="D262">
        <v>2.2780000000000002E-2</v>
      </c>
      <c r="E262">
        <v>2.3009999999999999E-2</v>
      </c>
      <c r="F262">
        <v>64784066.299999997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-0.86102719033232766</v>
      </c>
      <c r="Q262">
        <f t="shared" ref="Q262:Q325" si="965">F262*P262</f>
        <v>-55780842.584592231</v>
      </c>
      <c r="R262">
        <f t="shared" ref="R262:R325" si="966">R263+Q262</f>
        <v>-7794800566.7686806</v>
      </c>
      <c r="S262">
        <f t="shared" ref="S262:S325" si="967">R262/100000</f>
        <v>-77948.005667686812</v>
      </c>
      <c r="T262">
        <f t="shared" ref="T262:T325" si="968">S262/1000</f>
        <v>-77.948005667686814</v>
      </c>
    </row>
    <row r="263" spans="1:20" x14ac:dyDescent="0.25">
      <c r="A263" s="5">
        <v>44330</v>
      </c>
      <c r="B263">
        <v>2.4049999999999998E-2</v>
      </c>
      <c r="C263">
        <v>2.6919999999999999E-2</v>
      </c>
      <c r="D263">
        <v>2.3609999999999999E-2</v>
      </c>
      <c r="E263">
        <v>2.5739999999999999E-2</v>
      </c>
      <c r="F263">
        <v>51063835.5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0.28700906344410854</v>
      </c>
      <c r="Q263">
        <f t="shared" si="965"/>
        <v>14655783.602719022</v>
      </c>
      <c r="R263">
        <f t="shared" si="966"/>
        <v>-7739019724.1840887</v>
      </c>
      <c r="S263">
        <f t="shared" si="967"/>
        <v>-77390.197241840884</v>
      </c>
      <c r="T263">
        <f t="shared" si="968"/>
        <v>-77.39019724184088</v>
      </c>
    </row>
    <row r="264" spans="1:20" x14ac:dyDescent="0.25">
      <c r="A264" s="5">
        <v>44329</v>
      </c>
      <c r="B264">
        <v>2.461E-2</v>
      </c>
      <c r="C264">
        <v>2.6579999999999999E-2</v>
      </c>
      <c r="D264">
        <v>2.2450000000000001E-2</v>
      </c>
      <c r="E264">
        <v>2.4049999999999998E-2</v>
      </c>
      <c r="F264">
        <v>89193811.799999997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-0.22518159806295499</v>
      </c>
      <c r="Q264">
        <f t="shared" si="965"/>
        <v>-20084805.078450453</v>
      </c>
      <c r="R264">
        <f t="shared" si="966"/>
        <v>-7753675507.786808</v>
      </c>
      <c r="S264">
        <f t="shared" si="967"/>
        <v>-77536.755077868074</v>
      </c>
      <c r="T264">
        <f t="shared" si="968"/>
        <v>-77.536755077868079</v>
      </c>
    </row>
    <row r="265" spans="1:20" x14ac:dyDescent="0.25">
      <c r="A265" s="5">
        <v>44328</v>
      </c>
      <c r="B265">
        <v>2.997E-2</v>
      </c>
      <c r="C265">
        <v>3.0640000000000001E-2</v>
      </c>
      <c r="D265">
        <v>2.4199999999999999E-2</v>
      </c>
      <c r="E265">
        <v>2.461E-2</v>
      </c>
      <c r="F265">
        <v>68512684.200000003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-0.87267080745341596</v>
      </c>
      <c r="Q265">
        <f t="shared" si="965"/>
        <v>-59789019.441614896</v>
      </c>
      <c r="R265">
        <f t="shared" si="966"/>
        <v>-7733590702.7083578</v>
      </c>
      <c r="S265">
        <f t="shared" si="967"/>
        <v>-77335.90702708358</v>
      </c>
      <c r="T265">
        <f t="shared" si="968"/>
        <v>-77.335907027083579</v>
      </c>
    </row>
    <row r="266" spans="1:20" x14ac:dyDescent="0.25">
      <c r="A266" s="5">
        <v>44327</v>
      </c>
      <c r="B266">
        <v>2.8910000000000002E-2</v>
      </c>
      <c r="C266">
        <v>3.022E-2</v>
      </c>
      <c r="D266">
        <v>2.7859999999999999E-2</v>
      </c>
      <c r="E266">
        <v>2.989E-2</v>
      </c>
      <c r="F266">
        <v>58539905.100000001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0.7203389830508472</v>
      </c>
      <c r="Q266">
        <f t="shared" si="965"/>
        <v>42168575.707627103</v>
      </c>
      <c r="R266">
        <f t="shared" si="966"/>
        <v>-7673801683.2667427</v>
      </c>
      <c r="S266">
        <f t="shared" si="967"/>
        <v>-76738.016832667432</v>
      </c>
      <c r="T266">
        <f t="shared" si="968"/>
        <v>-76.738016832667427</v>
      </c>
    </row>
    <row r="267" spans="1:20" x14ac:dyDescent="0.25">
      <c r="A267" s="5">
        <v>44326</v>
      </c>
      <c r="B267">
        <v>3.1570000000000001E-2</v>
      </c>
      <c r="C267">
        <v>3.3099999999999997E-2</v>
      </c>
      <c r="D267">
        <v>2.5000000000000001E-2</v>
      </c>
      <c r="E267">
        <v>2.8910000000000002E-2</v>
      </c>
      <c r="F267">
        <v>87977524.599999994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-3.4567901234567364E-2</v>
      </c>
      <c r="Q267">
        <f t="shared" si="965"/>
        <v>-3041198.3812345206</v>
      </c>
      <c r="R267">
        <f t="shared" si="966"/>
        <v>-7715970258.97437</v>
      </c>
      <c r="S267">
        <f t="shared" si="967"/>
        <v>-77159.702589743698</v>
      </c>
      <c r="T267">
        <f t="shared" si="968"/>
        <v>-77.159702589743702</v>
      </c>
    </row>
    <row r="268" spans="1:20" x14ac:dyDescent="0.25">
      <c r="A268" s="5">
        <v>44325</v>
      </c>
      <c r="B268">
        <v>3.3029999999999997E-2</v>
      </c>
      <c r="C268">
        <v>3.3450000000000001E-2</v>
      </c>
      <c r="D268">
        <v>3.0540000000000001E-2</v>
      </c>
      <c r="E268">
        <v>3.1570000000000001E-2</v>
      </c>
      <c r="F268">
        <v>57759761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-0.29209621993127155</v>
      </c>
      <c r="Q268">
        <f t="shared" si="965"/>
        <v>-16871407.852233682</v>
      </c>
      <c r="R268">
        <f t="shared" si="966"/>
        <v>-7712929060.5931358</v>
      </c>
      <c r="S268">
        <f t="shared" si="967"/>
        <v>-77129.290605931354</v>
      </c>
      <c r="T268">
        <f t="shared" si="968"/>
        <v>-77.129290605931359</v>
      </c>
    </row>
    <row r="269" spans="1:20" x14ac:dyDescent="0.25">
      <c r="A269" s="5">
        <v>44324</v>
      </c>
      <c r="B269">
        <v>3.3300000000000003E-2</v>
      </c>
      <c r="C269">
        <v>3.5000000000000003E-2</v>
      </c>
      <c r="D269">
        <v>3.2329999999999998E-2</v>
      </c>
      <c r="E269">
        <v>3.3000000000000002E-2</v>
      </c>
      <c r="F269">
        <v>62111111.5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-0.49812734082396815</v>
      </c>
      <c r="Q269">
        <f t="shared" si="965"/>
        <v>-30939242.807115987</v>
      </c>
      <c r="R269">
        <f t="shared" si="966"/>
        <v>-7696057652.7409019</v>
      </c>
      <c r="S269">
        <f t="shared" si="967"/>
        <v>-76960.576527409023</v>
      </c>
      <c r="T269">
        <f t="shared" si="968"/>
        <v>-76.960576527409017</v>
      </c>
    </row>
    <row r="270" spans="1:20" x14ac:dyDescent="0.25">
      <c r="A270" s="5">
        <v>44323</v>
      </c>
      <c r="B270">
        <v>3.3369999999999997E-2</v>
      </c>
      <c r="C270">
        <v>3.5470000000000002E-2</v>
      </c>
      <c r="D270">
        <v>3.2129999999999999E-2</v>
      </c>
      <c r="E270">
        <v>3.3349999999999998E-2</v>
      </c>
      <c r="F270">
        <v>83532643.900000006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-0.26946107784431267</v>
      </c>
      <c r="Q270">
        <f t="shared" si="965"/>
        <v>-22508796.260479152</v>
      </c>
      <c r="R270">
        <f t="shared" si="966"/>
        <v>-7665118409.9337864</v>
      </c>
      <c r="S270">
        <f t="shared" si="967"/>
        <v>-76651.184099337857</v>
      </c>
      <c r="T270">
        <f t="shared" si="968"/>
        <v>-76.651184099337854</v>
      </c>
    </row>
    <row r="271" spans="1:20" x14ac:dyDescent="0.25">
      <c r="A271" s="5">
        <v>44322</v>
      </c>
      <c r="B271">
        <v>3.5450000000000002E-2</v>
      </c>
      <c r="C271">
        <v>3.6659999999999998E-2</v>
      </c>
      <c r="D271">
        <v>3.2960000000000003E-2</v>
      </c>
      <c r="E271">
        <v>3.3360000000000001E-2</v>
      </c>
      <c r="F271">
        <v>89101410.799999997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-0.78378378378378477</v>
      </c>
      <c r="Q271">
        <f t="shared" si="965"/>
        <v>-69836240.897297382</v>
      </c>
      <c r="R271">
        <f t="shared" si="966"/>
        <v>-7642609613.6733074</v>
      </c>
      <c r="S271">
        <f t="shared" si="967"/>
        <v>-76426.096136733075</v>
      </c>
      <c r="T271">
        <f t="shared" si="968"/>
        <v>-76.426096136733079</v>
      </c>
    </row>
    <row r="272" spans="1:20" x14ac:dyDescent="0.25">
      <c r="A272" s="5">
        <v>44321</v>
      </c>
      <c r="B272">
        <v>3.2500000000000001E-2</v>
      </c>
      <c r="C272">
        <v>3.7999999999999999E-2</v>
      </c>
      <c r="D272">
        <v>3.236E-2</v>
      </c>
      <c r="E272">
        <v>3.5450000000000002E-2</v>
      </c>
      <c r="F272">
        <v>110271574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9.574468085106487E-2</v>
      </c>
      <c r="Q272">
        <f t="shared" si="965"/>
        <v>10557916.659574583</v>
      </c>
      <c r="R272">
        <f t="shared" si="966"/>
        <v>-7572773372.7760105</v>
      </c>
      <c r="S272">
        <f t="shared" si="967"/>
        <v>-75727.733727760104</v>
      </c>
      <c r="T272">
        <f t="shared" si="968"/>
        <v>-75.727733727760111</v>
      </c>
    </row>
    <row r="273" spans="1:20" x14ac:dyDescent="0.25">
      <c r="A273" s="5">
        <v>44320</v>
      </c>
      <c r="B273">
        <v>3.721E-2</v>
      </c>
      <c r="C273">
        <v>3.7330000000000002E-2</v>
      </c>
      <c r="D273">
        <v>3.177E-2</v>
      </c>
      <c r="E273">
        <v>3.2500000000000001E-2</v>
      </c>
      <c r="F273">
        <v>120730756.5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-0.73741007194244568</v>
      </c>
      <c r="Q273">
        <f t="shared" si="965"/>
        <v>-89028075.836330891</v>
      </c>
      <c r="R273">
        <f t="shared" si="966"/>
        <v>-7583331289.435585</v>
      </c>
      <c r="S273">
        <f t="shared" si="967"/>
        <v>-75833.312894355855</v>
      </c>
      <c r="T273">
        <f t="shared" si="968"/>
        <v>-75.833312894355856</v>
      </c>
    </row>
    <row r="274" spans="1:20" x14ac:dyDescent="0.25">
      <c r="A274" s="5">
        <v>44319</v>
      </c>
      <c r="B274">
        <v>3.3770000000000001E-2</v>
      </c>
      <c r="C274">
        <v>3.9899999999999998E-2</v>
      </c>
      <c r="D274">
        <v>3.363E-2</v>
      </c>
      <c r="E274">
        <v>3.721E-2</v>
      </c>
      <c r="F274">
        <v>227787236.90000001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0.14194577352472124</v>
      </c>
      <c r="Q274">
        <f t="shared" si="965"/>
        <v>32333435.540829424</v>
      </c>
      <c r="R274">
        <f t="shared" si="966"/>
        <v>-7494303213.5992537</v>
      </c>
      <c r="S274">
        <f t="shared" si="967"/>
        <v>-74943.032135992544</v>
      </c>
      <c r="T274">
        <f t="shared" si="968"/>
        <v>-74.943032135992539</v>
      </c>
    </row>
    <row r="275" spans="1:20" x14ac:dyDescent="0.25">
      <c r="A275" s="5">
        <v>44318</v>
      </c>
      <c r="B275">
        <v>3.4880000000000001E-2</v>
      </c>
      <c r="C275">
        <v>3.5349999999999999E-2</v>
      </c>
      <c r="D275">
        <v>3.3050000000000003E-2</v>
      </c>
      <c r="E275">
        <v>3.3759999999999998E-2</v>
      </c>
      <c r="F275">
        <v>81854281.5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-0.38260869565217703</v>
      </c>
      <c r="Q275">
        <f t="shared" si="965"/>
        <v>-31318159.878261127</v>
      </c>
      <c r="R275">
        <f t="shared" si="966"/>
        <v>-7526636649.1400833</v>
      </c>
      <c r="S275">
        <f t="shared" si="967"/>
        <v>-75266.366491400826</v>
      </c>
      <c r="T275">
        <f t="shared" si="968"/>
        <v>-75.266366491400831</v>
      </c>
    </row>
    <row r="276" spans="1:20" x14ac:dyDescent="0.25">
      <c r="A276" s="5">
        <v>44317</v>
      </c>
      <c r="B276">
        <v>3.3599999999999998E-2</v>
      </c>
      <c r="C276">
        <v>3.6880000000000003E-2</v>
      </c>
      <c r="D276">
        <v>3.2030000000000003E-2</v>
      </c>
      <c r="E276">
        <v>3.4840000000000003E-2</v>
      </c>
      <c r="F276">
        <v>169574754.90000001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0.15876288659793811</v>
      </c>
      <c r="Q276">
        <f t="shared" si="965"/>
        <v>26922177.58206185</v>
      </c>
      <c r="R276">
        <f t="shared" si="966"/>
        <v>-7495318489.2618217</v>
      </c>
      <c r="S276">
        <f t="shared" si="967"/>
        <v>-74953.184892618214</v>
      </c>
      <c r="T276">
        <f t="shared" si="968"/>
        <v>-74.953184892618211</v>
      </c>
    </row>
    <row r="277" spans="1:20" x14ac:dyDescent="0.25">
      <c r="A277" s="5">
        <v>44316</v>
      </c>
      <c r="B277">
        <v>3.0020000000000002E-2</v>
      </c>
      <c r="C277">
        <v>3.4279999999999998E-2</v>
      </c>
      <c r="D277">
        <v>2.9649999999999999E-2</v>
      </c>
      <c r="E277">
        <v>3.3599999999999998E-2</v>
      </c>
      <c r="F277">
        <v>75983115.200000003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0.70626349892008633</v>
      </c>
      <c r="Q277">
        <f t="shared" si="965"/>
        <v>53664100.799999997</v>
      </c>
      <c r="R277">
        <f t="shared" si="966"/>
        <v>-7522240666.8438835</v>
      </c>
      <c r="S277">
        <f t="shared" si="967"/>
        <v>-75222.406668438838</v>
      </c>
      <c r="T277">
        <f t="shared" si="968"/>
        <v>-75.222406668438836</v>
      </c>
    </row>
    <row r="278" spans="1:20" x14ac:dyDescent="0.25">
      <c r="A278" s="5">
        <v>44315</v>
      </c>
      <c r="B278">
        <v>3.0800000000000001E-2</v>
      </c>
      <c r="C278">
        <v>3.1730000000000001E-2</v>
      </c>
      <c r="D278">
        <v>2.8809999999999999E-2</v>
      </c>
      <c r="E278">
        <v>3.0120000000000001E-2</v>
      </c>
      <c r="F278">
        <v>64906995.899999999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-0.10273972602739655</v>
      </c>
      <c r="Q278">
        <f t="shared" si="965"/>
        <v>-6668526.9760273509</v>
      </c>
      <c r="R278">
        <f t="shared" si="966"/>
        <v>-7575904767.6438837</v>
      </c>
      <c r="S278">
        <f t="shared" si="967"/>
        <v>-75759.047676438844</v>
      </c>
      <c r="T278">
        <f t="shared" si="968"/>
        <v>-75.75904767643884</v>
      </c>
    </row>
    <row r="279" spans="1:20" x14ac:dyDescent="0.25">
      <c r="A279" s="5">
        <v>44314</v>
      </c>
      <c r="B279">
        <v>3.2509999999999997E-2</v>
      </c>
      <c r="C279">
        <v>3.3500000000000002E-2</v>
      </c>
      <c r="D279">
        <v>2.8979999999999999E-2</v>
      </c>
      <c r="E279">
        <v>3.0779999999999998E-2</v>
      </c>
      <c r="F279">
        <v>89076550.099999994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-0.20353982300885035</v>
      </c>
      <c r="Q279">
        <f t="shared" si="965"/>
        <v>-18130625.241592988</v>
      </c>
      <c r="R279">
        <f t="shared" si="966"/>
        <v>-7569236240.6678562</v>
      </c>
      <c r="S279">
        <f t="shared" si="967"/>
        <v>-75692.362406678556</v>
      </c>
      <c r="T279">
        <f t="shared" si="968"/>
        <v>-75.692362406678555</v>
      </c>
    </row>
    <row r="280" spans="1:20" x14ac:dyDescent="0.25">
      <c r="A280" s="5">
        <v>44313</v>
      </c>
      <c r="B280">
        <v>2.9579999999999999E-2</v>
      </c>
      <c r="C280">
        <v>3.5000000000000003E-2</v>
      </c>
      <c r="D280">
        <v>2.9069999999999999E-2</v>
      </c>
      <c r="E280">
        <v>3.2480000000000002E-2</v>
      </c>
      <c r="F280">
        <v>206671789.40000001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0.15008431703204067</v>
      </c>
      <c r="Q280">
        <f t="shared" si="965"/>
        <v>31018194.361888744</v>
      </c>
      <c r="R280">
        <f t="shared" si="966"/>
        <v>-7551105615.4262629</v>
      </c>
      <c r="S280">
        <f t="shared" si="967"/>
        <v>-75511.056154262624</v>
      </c>
      <c r="T280">
        <f t="shared" si="968"/>
        <v>-75.511056154262619</v>
      </c>
    </row>
    <row r="281" spans="1:20" x14ac:dyDescent="0.25">
      <c r="A281" s="5">
        <v>44312</v>
      </c>
      <c r="B281">
        <v>2.53E-2</v>
      </c>
      <c r="C281">
        <v>3.15E-2</v>
      </c>
      <c r="D281">
        <v>2.5020000000000001E-2</v>
      </c>
      <c r="E281">
        <v>2.9559999999999999E-2</v>
      </c>
      <c r="F281">
        <v>148450278.19999999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0.4012345679012343</v>
      </c>
      <c r="Q281">
        <f t="shared" si="965"/>
        <v>59563383.228395015</v>
      </c>
      <c r="R281">
        <f t="shared" si="966"/>
        <v>-7582123809.7881517</v>
      </c>
      <c r="S281">
        <f t="shared" si="967"/>
        <v>-75821.23809788152</v>
      </c>
      <c r="T281">
        <f t="shared" si="968"/>
        <v>-75.821238097881519</v>
      </c>
    </row>
    <row r="282" spans="1:20" x14ac:dyDescent="0.25">
      <c r="A282" s="5">
        <v>44311</v>
      </c>
      <c r="B282">
        <v>2.819E-2</v>
      </c>
      <c r="C282">
        <v>2.9569999999999999E-2</v>
      </c>
      <c r="D282">
        <v>2.3179999999999999E-2</v>
      </c>
      <c r="E282">
        <v>2.529E-2</v>
      </c>
      <c r="F282">
        <v>127000106.09999999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-0.3395931142410013</v>
      </c>
      <c r="Q282">
        <f t="shared" si="965"/>
        <v>-43128361.539436586</v>
      </c>
      <c r="R282">
        <f t="shared" si="966"/>
        <v>-7641687193.0165472</v>
      </c>
      <c r="S282">
        <f t="shared" si="967"/>
        <v>-76416.871930165478</v>
      </c>
      <c r="T282">
        <f t="shared" si="968"/>
        <v>-76.416871930165485</v>
      </c>
    </row>
    <row r="283" spans="1:20" x14ac:dyDescent="0.25">
      <c r="A283" s="5">
        <v>44310</v>
      </c>
      <c r="B283">
        <v>2.7859999999999999E-2</v>
      </c>
      <c r="C283">
        <v>3.075E-2</v>
      </c>
      <c r="D283">
        <v>2.4840000000000001E-2</v>
      </c>
      <c r="E283">
        <v>2.8150000000000001E-2</v>
      </c>
      <c r="F283">
        <v>149539237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0.12013536379018654</v>
      </c>
      <c r="Q283">
        <f t="shared" si="965"/>
        <v>17964950.637901925</v>
      </c>
      <c r="R283">
        <f t="shared" si="966"/>
        <v>-7598558831.4771109</v>
      </c>
      <c r="S283">
        <f t="shared" si="967"/>
        <v>-75985.588314771114</v>
      </c>
      <c r="T283">
        <f t="shared" si="968"/>
        <v>-75.985588314771107</v>
      </c>
    </row>
    <row r="284" spans="1:20" x14ac:dyDescent="0.25">
      <c r="A284" s="5">
        <v>44309</v>
      </c>
      <c r="B284">
        <v>3.0540000000000001E-2</v>
      </c>
      <c r="C284">
        <v>3.0599999999999999E-2</v>
      </c>
      <c r="D284">
        <v>2.368E-2</v>
      </c>
      <c r="E284">
        <v>2.785E-2</v>
      </c>
      <c r="F284">
        <v>112641633.3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0.20520231213872853</v>
      </c>
      <c r="Q284">
        <f t="shared" si="965"/>
        <v>23114323.596242797</v>
      </c>
      <c r="R284">
        <f t="shared" si="966"/>
        <v>-7616523782.1150131</v>
      </c>
      <c r="S284">
        <f t="shared" si="967"/>
        <v>-76165.237821150135</v>
      </c>
      <c r="T284">
        <f t="shared" si="968"/>
        <v>-76.165237821150129</v>
      </c>
    </row>
    <row r="285" spans="1:20" x14ac:dyDescent="0.25">
      <c r="A285" s="5">
        <v>44308</v>
      </c>
      <c r="B285">
        <v>3.424E-2</v>
      </c>
      <c r="C285">
        <v>3.5000000000000003E-2</v>
      </c>
      <c r="D285">
        <v>2.87E-2</v>
      </c>
      <c r="E285">
        <v>3.0620000000000001E-2</v>
      </c>
      <c r="F285">
        <v>163175876.69999999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-0.39047619047619031</v>
      </c>
      <c r="Q285">
        <f t="shared" si="965"/>
        <v>-63716294.711428538</v>
      </c>
      <c r="R285">
        <f t="shared" si="966"/>
        <v>-7639638105.711256</v>
      </c>
      <c r="S285">
        <f t="shared" si="967"/>
        <v>-76396.381057112565</v>
      </c>
      <c r="T285">
        <f t="shared" si="968"/>
        <v>-76.396381057112563</v>
      </c>
    </row>
    <row r="286" spans="1:20" x14ac:dyDescent="0.25">
      <c r="A286" s="5">
        <v>44307</v>
      </c>
      <c r="B286">
        <v>3.7870000000000001E-2</v>
      </c>
      <c r="C286">
        <v>4.0739999999999998E-2</v>
      </c>
      <c r="D286">
        <v>3.3110000000000001E-2</v>
      </c>
      <c r="E286">
        <v>3.4290000000000001E-2</v>
      </c>
      <c r="F286">
        <v>702500645.89999998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-0.6906946264744428</v>
      </c>
      <c r="Q286">
        <f t="shared" si="965"/>
        <v>-485213421.21795529</v>
      </c>
      <c r="R286">
        <f t="shared" si="966"/>
        <v>-7575921810.9998274</v>
      </c>
      <c r="S286">
        <f t="shared" si="967"/>
        <v>-75759.21810999827</v>
      </c>
      <c r="T286">
        <f t="shared" si="968"/>
        <v>-75.759218109998272</v>
      </c>
    </row>
    <row r="287" spans="1:20" x14ac:dyDescent="0.25">
      <c r="A287" s="5">
        <v>44306</v>
      </c>
      <c r="B287">
        <v>2.879E-2</v>
      </c>
      <c r="C287">
        <v>3.8699999999999998E-2</v>
      </c>
      <c r="D287">
        <v>2.6110000000000001E-2</v>
      </c>
      <c r="E287">
        <v>3.7870000000000001E-2</v>
      </c>
      <c r="F287">
        <v>302802137.10000002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0.86814932486100116</v>
      </c>
      <c r="Q287">
        <f t="shared" si="965"/>
        <v>262877470.88983333</v>
      </c>
      <c r="R287">
        <f t="shared" si="966"/>
        <v>-7090708389.7818718</v>
      </c>
      <c r="S287">
        <f t="shared" si="967"/>
        <v>-70907.083897818724</v>
      </c>
      <c r="T287">
        <f t="shared" si="968"/>
        <v>-70.907083897818723</v>
      </c>
    </row>
    <row r="288" spans="1:20" x14ac:dyDescent="0.25">
      <c r="A288" s="5">
        <v>44305</v>
      </c>
      <c r="B288">
        <v>3.288E-2</v>
      </c>
      <c r="C288">
        <v>3.5979999999999998E-2</v>
      </c>
      <c r="D288">
        <v>2.8680000000000001E-2</v>
      </c>
      <c r="E288">
        <v>2.879E-2</v>
      </c>
      <c r="F288">
        <v>127972310.40000001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-0.96986301369863037</v>
      </c>
      <c r="Q288">
        <f t="shared" si="965"/>
        <v>-124115610.63452059</v>
      </c>
      <c r="R288">
        <f t="shared" si="966"/>
        <v>-7353585860.6717052</v>
      </c>
      <c r="S288">
        <f t="shared" si="967"/>
        <v>-73535.858606717054</v>
      </c>
      <c r="T288">
        <f t="shared" si="968"/>
        <v>-73.535858606717056</v>
      </c>
    </row>
    <row r="289" spans="1:20" x14ac:dyDescent="0.25">
      <c r="A289" s="5">
        <v>44304</v>
      </c>
      <c r="B289">
        <v>3.9940000000000003E-2</v>
      </c>
      <c r="C289">
        <v>4.0439999999999997E-2</v>
      </c>
      <c r="D289">
        <v>3.0849999999999999E-2</v>
      </c>
      <c r="E289">
        <v>3.288E-2</v>
      </c>
      <c r="F289">
        <v>208040718.69999999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-0.5766423357664231</v>
      </c>
      <c r="Q289">
        <f t="shared" si="965"/>
        <v>-119965085.96569337</v>
      </c>
      <c r="R289">
        <f t="shared" si="966"/>
        <v>-7229470250.0371847</v>
      </c>
      <c r="S289">
        <f t="shared" si="967"/>
        <v>-72294.702500371845</v>
      </c>
      <c r="T289">
        <f t="shared" si="968"/>
        <v>-72.294702500371841</v>
      </c>
    </row>
    <row r="290" spans="1:20" x14ac:dyDescent="0.25">
      <c r="A290" s="5">
        <v>44303</v>
      </c>
      <c r="B290">
        <v>3.9949999999999999E-2</v>
      </c>
      <c r="C290">
        <v>4.471E-2</v>
      </c>
      <c r="D290">
        <v>3.9010000000000003E-2</v>
      </c>
      <c r="E290">
        <v>3.9940000000000003E-2</v>
      </c>
      <c r="F290">
        <v>119419798.5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-0.67368421052631555</v>
      </c>
      <c r="Q290">
        <f t="shared" si="965"/>
        <v>-80451232.67368418</v>
      </c>
      <c r="R290">
        <f t="shared" si="966"/>
        <v>-7109505164.0714912</v>
      </c>
      <c r="S290">
        <f t="shared" si="967"/>
        <v>-71095.051640714912</v>
      </c>
      <c r="T290">
        <f t="shared" si="968"/>
        <v>-71.095051640714914</v>
      </c>
    </row>
    <row r="291" spans="1:20" x14ac:dyDescent="0.25">
      <c r="A291" s="5">
        <v>44302</v>
      </c>
      <c r="B291">
        <v>3.9440000000000003E-2</v>
      </c>
      <c r="C291">
        <v>4.4400000000000002E-2</v>
      </c>
      <c r="D291">
        <v>3.6400000000000002E-2</v>
      </c>
      <c r="E291">
        <v>3.9940000000000003E-2</v>
      </c>
      <c r="F291">
        <v>190794064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-0.11499999999999964</v>
      </c>
      <c r="Q291">
        <f t="shared" si="965"/>
        <v>-21941317.359999932</v>
      </c>
      <c r="R291">
        <f t="shared" si="966"/>
        <v>-7029053931.3978071</v>
      </c>
      <c r="S291">
        <f t="shared" si="967"/>
        <v>-70290.539313978064</v>
      </c>
      <c r="T291">
        <f t="shared" si="968"/>
        <v>-70.290539313978059</v>
      </c>
    </row>
    <row r="292" spans="1:20" x14ac:dyDescent="0.25">
      <c r="A292" s="5">
        <v>44301</v>
      </c>
      <c r="B292">
        <v>3.7830000000000003E-2</v>
      </c>
      <c r="C292">
        <v>4.1500000000000002E-2</v>
      </c>
      <c r="D292">
        <v>3.7830000000000003E-2</v>
      </c>
      <c r="E292">
        <v>3.9390000000000001E-2</v>
      </c>
      <c r="F292">
        <v>120146507.40000001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-0.14986376021798417</v>
      </c>
      <c r="Q292">
        <f t="shared" si="965"/>
        <v>-18005607.376021862</v>
      </c>
      <c r="R292">
        <f t="shared" si="966"/>
        <v>-7007112614.0378075</v>
      </c>
      <c r="S292">
        <f t="shared" si="967"/>
        <v>-70071.126140378081</v>
      </c>
      <c r="T292">
        <f t="shared" si="968"/>
        <v>-70.071126140378084</v>
      </c>
    </row>
    <row r="293" spans="1:20" x14ac:dyDescent="0.25">
      <c r="A293" s="5">
        <v>44300</v>
      </c>
      <c r="B293">
        <v>3.8289999999999998E-2</v>
      </c>
      <c r="C293">
        <v>3.9780000000000003E-2</v>
      </c>
      <c r="D293">
        <v>3.61E-2</v>
      </c>
      <c r="E293">
        <v>3.7830000000000003E-2</v>
      </c>
      <c r="F293">
        <v>88167672.700000003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-5.9782608695651579E-2</v>
      </c>
      <c r="Q293">
        <f t="shared" si="965"/>
        <v>-5270893.4766303822</v>
      </c>
      <c r="R293">
        <f t="shared" si="966"/>
        <v>-6989107006.6617851</v>
      </c>
      <c r="S293">
        <f t="shared" si="967"/>
        <v>-69891.070066617845</v>
      </c>
      <c r="T293">
        <f t="shared" si="968"/>
        <v>-69.891070066617843</v>
      </c>
    </row>
    <row r="294" spans="1:20" x14ac:dyDescent="0.25">
      <c r="A294" s="5">
        <v>44299</v>
      </c>
      <c r="B294">
        <v>3.9379999999999998E-2</v>
      </c>
      <c r="C294">
        <v>3.9739999999999998E-2</v>
      </c>
      <c r="D294">
        <v>3.6650000000000002E-2</v>
      </c>
      <c r="E294">
        <v>3.8429999999999999E-2</v>
      </c>
      <c r="F294">
        <v>93661546.099999994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0.1521035598705498</v>
      </c>
      <c r="Q294">
        <f t="shared" si="965"/>
        <v>14246254.58478961</v>
      </c>
      <c r="R294">
        <f t="shared" si="966"/>
        <v>-6983836113.1851549</v>
      </c>
      <c r="S294">
        <f t="shared" si="967"/>
        <v>-69838.361131851547</v>
      </c>
      <c r="T294">
        <f t="shared" si="968"/>
        <v>-69.838361131851542</v>
      </c>
    </row>
    <row r="295" spans="1:20" x14ac:dyDescent="0.25">
      <c r="A295" s="5">
        <v>44298</v>
      </c>
      <c r="B295">
        <v>4.1340000000000002E-2</v>
      </c>
      <c r="C295">
        <v>4.267E-2</v>
      </c>
      <c r="D295">
        <v>3.9019999999999999E-2</v>
      </c>
      <c r="E295">
        <v>3.9350000000000003E-2</v>
      </c>
      <c r="F295">
        <v>67115979.099999994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-0.81917808219177868</v>
      </c>
      <c r="Q295">
        <f t="shared" si="965"/>
        <v>-54979939.043561496</v>
      </c>
      <c r="R295">
        <f t="shared" si="966"/>
        <v>-6998082367.7699442</v>
      </c>
      <c r="S295">
        <f t="shared" si="967"/>
        <v>-69980.823677699445</v>
      </c>
      <c r="T295">
        <f t="shared" si="968"/>
        <v>-69.980823677699448</v>
      </c>
    </row>
    <row r="296" spans="1:20" x14ac:dyDescent="0.25">
      <c r="A296" s="5">
        <v>44297</v>
      </c>
      <c r="B296">
        <v>4.0770000000000001E-2</v>
      </c>
      <c r="C296">
        <v>4.163E-2</v>
      </c>
      <c r="D296">
        <v>3.8699999999999998E-2</v>
      </c>
      <c r="E296">
        <v>4.1279999999999997E-2</v>
      </c>
      <c r="F296">
        <v>71665537.299999997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0.76109215017064658</v>
      </c>
      <c r="Q296">
        <f t="shared" si="965"/>
        <v>54544077.876791671</v>
      </c>
      <c r="R296">
        <f t="shared" si="966"/>
        <v>-6943102428.7263823</v>
      </c>
      <c r="S296">
        <f t="shared" si="967"/>
        <v>-69431.024287263819</v>
      </c>
      <c r="T296">
        <f t="shared" si="968"/>
        <v>-69.431024287263824</v>
      </c>
    </row>
    <row r="297" spans="1:20" x14ac:dyDescent="0.25">
      <c r="A297" s="5">
        <v>44296</v>
      </c>
      <c r="B297">
        <v>4.428E-2</v>
      </c>
      <c r="C297">
        <v>4.5260000000000002E-2</v>
      </c>
      <c r="D297">
        <v>3.986E-2</v>
      </c>
      <c r="E297">
        <v>4.0730000000000002E-2</v>
      </c>
      <c r="F297">
        <v>87776837.799999997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-0.67777777777777692</v>
      </c>
      <c r="Q297">
        <f t="shared" si="965"/>
        <v>-59493190.064444371</v>
      </c>
      <c r="R297">
        <f t="shared" si="966"/>
        <v>-6997646506.6031742</v>
      </c>
      <c r="S297">
        <f t="shared" si="967"/>
        <v>-69976.465066031742</v>
      </c>
      <c r="T297">
        <f t="shared" si="968"/>
        <v>-69.976465066031736</v>
      </c>
    </row>
    <row r="298" spans="1:20" x14ac:dyDescent="0.25">
      <c r="A298" s="5">
        <v>44295</v>
      </c>
      <c r="B298">
        <v>4.1509999999999998E-2</v>
      </c>
      <c r="C298">
        <v>4.7E-2</v>
      </c>
      <c r="D298">
        <v>4.1079999999999998E-2</v>
      </c>
      <c r="E298">
        <v>4.4240000000000002E-2</v>
      </c>
      <c r="F298">
        <v>124365019.7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6.7567567567568307E-2</v>
      </c>
      <c r="Q298">
        <f t="shared" si="965"/>
        <v>8403041.871621713</v>
      </c>
      <c r="R298">
        <f t="shared" si="966"/>
        <v>-6938153316.5387297</v>
      </c>
      <c r="S298">
        <f t="shared" si="967"/>
        <v>-69381.5331653873</v>
      </c>
      <c r="T298">
        <f t="shared" si="968"/>
        <v>-69.381533165387296</v>
      </c>
    </row>
    <row r="299" spans="1:20" x14ac:dyDescent="0.25">
      <c r="A299" s="5">
        <v>44294</v>
      </c>
      <c r="B299">
        <v>3.8330000000000003E-2</v>
      </c>
      <c r="C299">
        <v>4.2840000000000003E-2</v>
      </c>
      <c r="D299">
        <v>3.8089999999999999E-2</v>
      </c>
      <c r="E299">
        <v>4.1500000000000002E-2</v>
      </c>
      <c r="F299">
        <v>72583022.400000006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0.43578947368421067</v>
      </c>
      <c r="Q299">
        <f t="shared" si="965"/>
        <v>31630917.130105276</v>
      </c>
      <c r="R299">
        <f t="shared" si="966"/>
        <v>-6946556358.4103518</v>
      </c>
      <c r="S299">
        <f t="shared" si="967"/>
        <v>-69465.563584103511</v>
      </c>
      <c r="T299">
        <f t="shared" si="968"/>
        <v>-69.465563584103506</v>
      </c>
    </row>
    <row r="300" spans="1:20" x14ac:dyDescent="0.25">
      <c r="A300" s="5">
        <v>44293</v>
      </c>
      <c r="B300">
        <v>4.4909999999999999E-2</v>
      </c>
      <c r="C300">
        <v>4.5339999999999998E-2</v>
      </c>
      <c r="D300">
        <v>3.6049999999999999E-2</v>
      </c>
      <c r="E300">
        <v>3.8339999999999999E-2</v>
      </c>
      <c r="F300">
        <v>136769951.59999999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-0.50699677072120553</v>
      </c>
      <c r="Q300">
        <f t="shared" si="965"/>
        <v>-69341923.79289557</v>
      </c>
      <c r="R300">
        <f t="shared" si="966"/>
        <v>-6978187275.5404568</v>
      </c>
      <c r="S300">
        <f t="shared" si="967"/>
        <v>-69781.872755404562</v>
      </c>
      <c r="T300">
        <f t="shared" si="968"/>
        <v>-69.781872755404564</v>
      </c>
    </row>
    <row r="301" spans="1:20" x14ac:dyDescent="0.25">
      <c r="A301" s="5">
        <v>44292</v>
      </c>
      <c r="B301">
        <v>4.8989999999999999E-2</v>
      </c>
      <c r="C301">
        <v>5.1450000000000003E-2</v>
      </c>
      <c r="D301">
        <v>4.3099999999999999E-2</v>
      </c>
      <c r="E301">
        <v>4.4990000000000002E-2</v>
      </c>
      <c r="F301">
        <v>138169980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-0.54730538922155636</v>
      </c>
      <c r="Q301">
        <f t="shared" si="965"/>
        <v>-75621174.682634652</v>
      </c>
      <c r="R301">
        <f t="shared" si="966"/>
        <v>-6908845351.7475615</v>
      </c>
      <c r="S301">
        <f t="shared" si="967"/>
        <v>-69088.453517475617</v>
      </c>
      <c r="T301">
        <f t="shared" si="968"/>
        <v>-69.088453517475614</v>
      </c>
    </row>
    <row r="302" spans="1:20" x14ac:dyDescent="0.25">
      <c r="A302" s="5">
        <v>44291</v>
      </c>
      <c r="B302">
        <v>4.6249999999999999E-2</v>
      </c>
      <c r="C302">
        <v>5.1999999999999998E-2</v>
      </c>
      <c r="D302">
        <v>4.2270000000000002E-2</v>
      </c>
      <c r="E302">
        <v>4.8980000000000003E-2</v>
      </c>
      <c r="F302">
        <v>246379082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0.37923946557040161</v>
      </c>
      <c r="Q302">
        <f t="shared" si="965"/>
        <v>93436671.385406151</v>
      </c>
      <c r="R302">
        <f t="shared" si="966"/>
        <v>-6833224177.0649271</v>
      </c>
      <c r="S302">
        <f t="shared" si="967"/>
        <v>-68332.241770649271</v>
      </c>
      <c r="T302">
        <f t="shared" si="968"/>
        <v>-68.332241770649276</v>
      </c>
    </row>
    <row r="303" spans="1:20" x14ac:dyDescent="0.25">
      <c r="A303" s="5">
        <v>44290</v>
      </c>
      <c r="B303">
        <v>3.9789999999999999E-2</v>
      </c>
      <c r="C303">
        <v>4.8989999999999999E-2</v>
      </c>
      <c r="D303">
        <v>3.8739999999999997E-2</v>
      </c>
      <c r="E303">
        <v>4.6260000000000003E-2</v>
      </c>
      <c r="F303">
        <v>291859216.69999999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0.46731707317073251</v>
      </c>
      <c r="Q303">
        <f t="shared" si="965"/>
        <v>136390794.92614657</v>
      </c>
      <c r="R303">
        <f t="shared" si="966"/>
        <v>-6926660848.4503336</v>
      </c>
      <c r="S303">
        <f t="shared" si="967"/>
        <v>-69266.608484503333</v>
      </c>
      <c r="T303">
        <f t="shared" si="968"/>
        <v>-69.266608484503337</v>
      </c>
    </row>
    <row r="304" spans="1:20" x14ac:dyDescent="0.25">
      <c r="A304" s="5">
        <v>44289</v>
      </c>
      <c r="B304">
        <v>4.0480000000000002E-2</v>
      </c>
      <c r="C304">
        <v>4.4999999999999998E-2</v>
      </c>
      <c r="D304">
        <v>3.6999999999999998E-2</v>
      </c>
      <c r="E304">
        <v>3.986E-2</v>
      </c>
      <c r="F304">
        <v>263485983.90000001</v>
      </c>
      <c r="G304">
        <v>0</v>
      </c>
      <c r="L304" t="s">
        <v>7</v>
      </c>
      <c r="M304" t="s">
        <v>8</v>
      </c>
      <c r="N304" t="s">
        <v>8</v>
      </c>
      <c r="P304">
        <f t="shared" si="964"/>
        <v>-0.28499999999999964</v>
      </c>
      <c r="Q304">
        <f t="shared" si="965"/>
        <v>-75093505.411499903</v>
      </c>
      <c r="R304">
        <f t="shared" si="966"/>
        <v>-7063051643.3764801</v>
      </c>
      <c r="S304">
        <f t="shared" si="967"/>
        <v>-70630.516433764802</v>
      </c>
      <c r="T304">
        <f t="shared" si="968"/>
        <v>-70.630516433764797</v>
      </c>
    </row>
    <row r="305" spans="1:20" x14ac:dyDescent="0.25">
      <c r="A305" s="5">
        <v>44288</v>
      </c>
      <c r="B305">
        <v>3.8330000000000003E-2</v>
      </c>
      <c r="C305">
        <v>4.199E-2</v>
      </c>
      <c r="D305">
        <v>3.7670000000000002E-2</v>
      </c>
      <c r="E305">
        <v>4.0480000000000002E-2</v>
      </c>
      <c r="F305">
        <v>105371195.3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0.30092592592592671</v>
      </c>
      <c r="Q305">
        <f t="shared" si="965"/>
        <v>31708924.511574157</v>
      </c>
      <c r="R305">
        <f t="shared" si="966"/>
        <v>-6987958137.9649801</v>
      </c>
      <c r="S305">
        <f t="shared" si="967"/>
        <v>-69879.581379649797</v>
      </c>
      <c r="T305">
        <f t="shared" si="968"/>
        <v>-69.879581379649792</v>
      </c>
    </row>
    <row r="306" spans="1:20" x14ac:dyDescent="0.25">
      <c r="A306" s="5">
        <v>44287</v>
      </c>
      <c r="B306">
        <v>3.9559999999999998E-2</v>
      </c>
      <c r="C306">
        <v>4.2999999999999997E-2</v>
      </c>
      <c r="D306">
        <v>3.739E-2</v>
      </c>
      <c r="E306">
        <v>3.8269999999999998E-2</v>
      </c>
      <c r="F306">
        <v>292262437.69999999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-0.6862745098039218</v>
      </c>
      <c r="Q306">
        <f t="shared" si="965"/>
        <v>-200572261.16666672</v>
      </c>
      <c r="R306">
        <f t="shared" si="966"/>
        <v>-7019667062.4765539</v>
      </c>
      <c r="S306">
        <f t="shared" si="967"/>
        <v>-70196.670624765538</v>
      </c>
      <c r="T306">
        <f t="shared" si="968"/>
        <v>-70.196670624765545</v>
      </c>
    </row>
    <row r="307" spans="1:20" x14ac:dyDescent="0.25">
      <c r="A307" s="5">
        <v>44286</v>
      </c>
      <c r="B307">
        <v>3.526E-2</v>
      </c>
      <c r="C307">
        <v>3.9899999999999998E-2</v>
      </c>
      <c r="D307">
        <v>3.1890000000000002E-2</v>
      </c>
      <c r="E307">
        <v>3.9480000000000001E-2</v>
      </c>
      <c r="F307">
        <v>236068506.90000001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0.89513108614232284</v>
      </c>
      <c r="Q307">
        <f t="shared" si="965"/>
        <v>211312258.98539343</v>
      </c>
      <c r="R307">
        <f t="shared" si="966"/>
        <v>-6819094801.3098869</v>
      </c>
      <c r="S307">
        <f t="shared" si="967"/>
        <v>-68190.948013098867</v>
      </c>
      <c r="T307">
        <f t="shared" si="968"/>
        <v>-68.190948013098861</v>
      </c>
    </row>
    <row r="308" spans="1:20" x14ac:dyDescent="0.25">
      <c r="A308" s="5">
        <v>44285</v>
      </c>
      <c r="B308">
        <v>3.3590000000000002E-2</v>
      </c>
      <c r="C308">
        <v>3.628E-2</v>
      </c>
      <c r="D308">
        <v>3.295E-2</v>
      </c>
      <c r="E308">
        <v>3.5270000000000003E-2</v>
      </c>
      <c r="F308">
        <v>105652121.40000001</v>
      </c>
      <c r="G308">
        <v>0</v>
      </c>
      <c r="L308" t="s">
        <v>8</v>
      </c>
      <c r="M308" t="s">
        <v>7</v>
      </c>
      <c r="N308" t="s">
        <v>8</v>
      </c>
      <c r="P308">
        <f t="shared" si="964"/>
        <v>0.39339339339339513</v>
      </c>
      <c r="Q308">
        <f t="shared" si="965"/>
        <v>41562846.556756943</v>
      </c>
      <c r="R308">
        <f t="shared" si="966"/>
        <v>-7030407060.2952805</v>
      </c>
      <c r="S308">
        <f t="shared" si="967"/>
        <v>-70304.070602952808</v>
      </c>
      <c r="T308">
        <f t="shared" si="968"/>
        <v>-70.304070602952805</v>
      </c>
    </row>
    <row r="309" spans="1:20" x14ac:dyDescent="0.25">
      <c r="A309" s="5">
        <v>44284</v>
      </c>
      <c r="B309">
        <v>3.363E-2</v>
      </c>
      <c r="C309">
        <v>3.4619999999999998E-2</v>
      </c>
      <c r="D309">
        <v>3.2489999999999998E-2</v>
      </c>
      <c r="E309">
        <v>3.3619999999999997E-2</v>
      </c>
      <c r="F309">
        <v>93248977.5</v>
      </c>
      <c r="G309">
        <v>0</v>
      </c>
      <c r="L309" t="s">
        <v>7</v>
      </c>
      <c r="M309" t="s">
        <v>7</v>
      </c>
      <c r="N309" t="s">
        <v>8</v>
      </c>
      <c r="P309">
        <f t="shared" si="964"/>
        <v>6.1032863849764404E-2</v>
      </c>
      <c r="Q309">
        <f t="shared" si="965"/>
        <v>5691252.1478872439</v>
      </c>
      <c r="R309">
        <f t="shared" si="966"/>
        <v>-7071969906.8520374</v>
      </c>
      <c r="S309">
        <f t="shared" si="967"/>
        <v>-70719.699068520378</v>
      </c>
      <c r="T309">
        <f t="shared" si="968"/>
        <v>-70.719699068520384</v>
      </c>
    </row>
    <row r="310" spans="1:20" x14ac:dyDescent="0.25">
      <c r="A310" s="5">
        <v>44283</v>
      </c>
      <c r="B310">
        <v>3.3110000000000001E-2</v>
      </c>
      <c r="C310">
        <v>3.5110000000000002E-2</v>
      </c>
      <c r="D310">
        <v>3.243E-2</v>
      </c>
      <c r="E310">
        <v>3.363E-2</v>
      </c>
      <c r="F310">
        <v>108731297.09999999</v>
      </c>
      <c r="G310">
        <v>0</v>
      </c>
      <c r="L310" t="s">
        <v>8</v>
      </c>
      <c r="M310" t="s">
        <v>7</v>
      </c>
      <c r="N310" t="s">
        <v>8</v>
      </c>
      <c r="P310">
        <f t="shared" si="964"/>
        <v>-0.10447761194029936</v>
      </c>
      <c r="Q310">
        <f t="shared" si="965"/>
        <v>-11359986.264179196</v>
      </c>
      <c r="R310">
        <f t="shared" si="966"/>
        <v>-7077661158.9999247</v>
      </c>
      <c r="S310">
        <f t="shared" si="967"/>
        <v>-70776.611589999244</v>
      </c>
      <c r="T310">
        <f t="shared" si="968"/>
        <v>-70.776611589999249</v>
      </c>
    </row>
    <row r="311" spans="1:20" x14ac:dyDescent="0.25">
      <c r="A311" s="5">
        <v>44282</v>
      </c>
      <c r="B311">
        <v>3.3640000000000003E-2</v>
      </c>
      <c r="C311">
        <v>3.3939999999999998E-2</v>
      </c>
      <c r="D311">
        <v>3.15E-2</v>
      </c>
      <c r="E311">
        <v>3.3079999999999998E-2</v>
      </c>
      <c r="F311">
        <v>96907497.400000006</v>
      </c>
      <c r="G311">
        <v>0</v>
      </c>
      <c r="L311" t="s">
        <v>8</v>
      </c>
      <c r="M311" t="s">
        <v>7</v>
      </c>
      <c r="N311" t="s">
        <v>8</v>
      </c>
      <c r="P311">
        <f t="shared" si="964"/>
        <v>0.29508196721311436</v>
      </c>
      <c r="Q311">
        <f t="shared" si="965"/>
        <v>28595654.970491767</v>
      </c>
      <c r="R311">
        <f t="shared" si="966"/>
        <v>-7066301172.7357454</v>
      </c>
      <c r="S311">
        <f t="shared" si="967"/>
        <v>-70663.011727357458</v>
      </c>
      <c r="T311">
        <f t="shared" si="968"/>
        <v>-70.663011727357457</v>
      </c>
    </row>
    <row r="312" spans="1:20" x14ac:dyDescent="0.25">
      <c r="A312" s="5">
        <v>44281</v>
      </c>
      <c r="B312">
        <v>3.1570000000000001E-2</v>
      </c>
      <c r="C312">
        <v>3.5999999999999997E-2</v>
      </c>
      <c r="D312">
        <v>3.1570000000000001E-2</v>
      </c>
      <c r="E312">
        <v>3.3730000000000003E-2</v>
      </c>
      <c r="F312">
        <v>236465697.69999999</v>
      </c>
      <c r="G312">
        <v>0</v>
      </c>
      <c r="L312" t="s">
        <v>7</v>
      </c>
      <c r="M312" t="s">
        <v>7</v>
      </c>
      <c r="N312" t="s">
        <v>8</v>
      </c>
      <c r="P312">
        <f t="shared" si="964"/>
        <v>-2.4830699774264591E-2</v>
      </c>
      <c r="Q312">
        <f t="shared" si="965"/>
        <v>-5871608.7465007091</v>
      </c>
      <c r="R312">
        <f t="shared" si="966"/>
        <v>-7094896827.7062368</v>
      </c>
      <c r="S312">
        <f t="shared" si="967"/>
        <v>-70948.968277062362</v>
      </c>
      <c r="T312">
        <f t="shared" si="968"/>
        <v>-70.948968277062363</v>
      </c>
    </row>
    <row r="313" spans="1:20" x14ac:dyDescent="0.25">
      <c r="A313" s="5">
        <v>44280</v>
      </c>
      <c r="B313">
        <v>2.895E-2</v>
      </c>
      <c r="C313">
        <v>3.8249999999999999E-2</v>
      </c>
      <c r="D313">
        <v>2.7619999999999999E-2</v>
      </c>
      <c r="E313">
        <v>3.1570000000000001E-2</v>
      </c>
      <c r="F313">
        <v>512012782.39999998</v>
      </c>
      <c r="G313">
        <v>0</v>
      </c>
      <c r="L313" t="s">
        <v>8</v>
      </c>
      <c r="M313" t="s">
        <v>8</v>
      </c>
      <c r="N313" t="s">
        <v>8</v>
      </c>
      <c r="P313">
        <f t="shared" si="964"/>
        <v>-0.25682031984948223</v>
      </c>
      <c r="Q313">
        <f t="shared" si="965"/>
        <v>-131495286.54299134</v>
      </c>
      <c r="R313">
        <f t="shared" si="966"/>
        <v>-7089025218.9597359</v>
      </c>
      <c r="S313">
        <f t="shared" si="967"/>
        <v>-70890.252189597362</v>
      </c>
      <c r="T313">
        <f t="shared" si="968"/>
        <v>-70.890252189597362</v>
      </c>
    </row>
    <row r="314" spans="1:20" x14ac:dyDescent="0.25">
      <c r="A314" s="5">
        <v>44279</v>
      </c>
      <c r="B314">
        <v>3.073E-2</v>
      </c>
      <c r="C314">
        <v>3.2980000000000002E-2</v>
      </c>
      <c r="D314">
        <v>2.8389999999999999E-2</v>
      </c>
      <c r="E314">
        <v>2.8989999999999998E-2</v>
      </c>
      <c r="F314">
        <v>104254567.90000001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-0.73856209150326824</v>
      </c>
      <c r="Q314">
        <f t="shared" si="965"/>
        <v>-76998471.716993496</v>
      </c>
      <c r="R314">
        <f t="shared" si="966"/>
        <v>-6957529932.4167442</v>
      </c>
      <c r="S314">
        <f t="shared" si="967"/>
        <v>-69575.299324167441</v>
      </c>
      <c r="T314">
        <f t="shared" si="968"/>
        <v>-69.575299324167446</v>
      </c>
    </row>
    <row r="315" spans="1:20" x14ac:dyDescent="0.25">
      <c r="A315" s="5">
        <v>44278</v>
      </c>
      <c r="B315">
        <v>3.0249999999999999E-2</v>
      </c>
      <c r="C315">
        <v>3.2599999999999997E-2</v>
      </c>
      <c r="D315">
        <v>2.8000000000000001E-2</v>
      </c>
      <c r="E315">
        <v>3.073E-2</v>
      </c>
      <c r="F315">
        <v>155968845.30000001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0.18695652173913127</v>
      </c>
      <c r="Q315">
        <f t="shared" si="965"/>
        <v>29159392.816956654</v>
      </c>
      <c r="R315">
        <f t="shared" si="966"/>
        <v>-6880531460.6997509</v>
      </c>
      <c r="S315">
        <f t="shared" si="967"/>
        <v>-68805.314606997505</v>
      </c>
      <c r="T315">
        <f t="shared" si="968"/>
        <v>-68.805314606997499</v>
      </c>
    </row>
    <row r="316" spans="1:20" x14ac:dyDescent="0.25">
      <c r="A316" s="5">
        <v>44277</v>
      </c>
      <c r="B316">
        <v>3.1550000000000002E-2</v>
      </c>
      <c r="C316">
        <v>3.4200000000000001E-2</v>
      </c>
      <c r="D316">
        <v>2.9219999999999999E-2</v>
      </c>
      <c r="E316">
        <v>3.0290000000000001E-2</v>
      </c>
      <c r="F316">
        <v>125532773.7</v>
      </c>
      <c r="G316">
        <v>0</v>
      </c>
      <c r="L316" t="s">
        <v>8</v>
      </c>
      <c r="M316" t="s">
        <v>7</v>
      </c>
      <c r="N316" t="s">
        <v>8</v>
      </c>
      <c r="P316">
        <f t="shared" si="964"/>
        <v>-0.57028112449799151</v>
      </c>
      <c r="Q316">
        <f t="shared" si="965"/>
        <v>-71588971.346987903</v>
      </c>
      <c r="R316">
        <f t="shared" si="966"/>
        <v>-6909690853.5167074</v>
      </c>
      <c r="S316">
        <f t="shared" si="967"/>
        <v>-69096.90853516708</v>
      </c>
      <c r="T316">
        <f t="shared" si="968"/>
        <v>-69.096908535167074</v>
      </c>
    </row>
    <row r="317" spans="1:20" x14ac:dyDescent="0.25">
      <c r="A317" s="5">
        <v>44276</v>
      </c>
      <c r="B317">
        <v>3.0640000000000001E-2</v>
      </c>
      <c r="C317">
        <v>3.3000000000000002E-2</v>
      </c>
      <c r="D317">
        <v>2.945E-2</v>
      </c>
      <c r="E317">
        <v>3.1600000000000003E-2</v>
      </c>
      <c r="F317">
        <v>124283325.8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0.21126760563380392</v>
      </c>
      <c r="Q317">
        <f t="shared" si="965"/>
        <v>26257040.661971968</v>
      </c>
      <c r="R317">
        <f t="shared" si="966"/>
        <v>-6838101882.1697197</v>
      </c>
      <c r="S317">
        <f t="shared" si="967"/>
        <v>-68381.018821697202</v>
      </c>
      <c r="T317">
        <f t="shared" si="968"/>
        <v>-68.381018821697197</v>
      </c>
    </row>
    <row r="318" spans="1:20" x14ac:dyDescent="0.25">
      <c r="A318" s="5">
        <v>44275</v>
      </c>
      <c r="B318">
        <v>3.0640000000000001E-2</v>
      </c>
      <c r="C318">
        <v>3.5999999999999997E-2</v>
      </c>
      <c r="D318">
        <v>3.031E-2</v>
      </c>
      <c r="E318">
        <v>3.065E-2</v>
      </c>
      <c r="F318">
        <v>310294785.39999998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-0.88049209138840068</v>
      </c>
      <c r="Q318">
        <f t="shared" si="965"/>
        <v>-273212104.54376096</v>
      </c>
      <c r="R318">
        <f t="shared" si="966"/>
        <v>-6864358922.8316917</v>
      </c>
      <c r="S318">
        <f t="shared" si="967"/>
        <v>-68643.589228316923</v>
      </c>
      <c r="T318">
        <f t="shared" si="968"/>
        <v>-68.643589228316927</v>
      </c>
    </row>
    <row r="319" spans="1:20" x14ac:dyDescent="0.25">
      <c r="A319" s="5">
        <v>44274</v>
      </c>
      <c r="B319">
        <v>2.9180000000000001E-2</v>
      </c>
      <c r="C319">
        <v>3.2500000000000001E-2</v>
      </c>
      <c r="D319">
        <v>2.8559999999999999E-2</v>
      </c>
      <c r="E319">
        <v>3.0630000000000001E-2</v>
      </c>
      <c r="F319">
        <v>125922172.7</v>
      </c>
      <c r="G319">
        <v>0</v>
      </c>
      <c r="L319" t="s">
        <v>8</v>
      </c>
      <c r="M319" t="s">
        <v>8</v>
      </c>
      <c r="N319" t="s">
        <v>7</v>
      </c>
      <c r="P319">
        <f t="shared" si="964"/>
        <v>5.0761421319797495E-2</v>
      </c>
      <c r="Q319">
        <f t="shared" si="965"/>
        <v>6391988.4619290018</v>
      </c>
      <c r="R319">
        <f t="shared" si="966"/>
        <v>-6591146818.2879305</v>
      </c>
      <c r="S319">
        <f t="shared" si="967"/>
        <v>-65911.468182879311</v>
      </c>
      <c r="T319">
        <f t="shared" si="968"/>
        <v>-65.911468182879304</v>
      </c>
    </row>
    <row r="320" spans="1:20" x14ac:dyDescent="0.25">
      <c r="A320" s="5">
        <v>44273</v>
      </c>
      <c r="B320">
        <v>0.03</v>
      </c>
      <c r="C320">
        <v>3.0519999999999999E-2</v>
      </c>
      <c r="D320">
        <v>2.8719999999999999E-2</v>
      </c>
      <c r="E320">
        <v>2.9170000000000001E-2</v>
      </c>
      <c r="F320">
        <v>85718493.599999994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-0.49999999999999711</v>
      </c>
      <c r="Q320">
        <f t="shared" si="965"/>
        <v>-42859246.799999751</v>
      </c>
      <c r="R320">
        <f t="shared" si="966"/>
        <v>-6597538806.7498598</v>
      </c>
      <c r="S320">
        <f t="shared" si="967"/>
        <v>-65975.388067498599</v>
      </c>
      <c r="T320">
        <f t="shared" si="968"/>
        <v>-65.975388067498599</v>
      </c>
    </row>
    <row r="321" spans="1:20" x14ac:dyDescent="0.25">
      <c r="A321" s="5">
        <v>44272</v>
      </c>
      <c r="B321">
        <v>3.1050000000000001E-2</v>
      </c>
      <c r="C321">
        <v>3.1379999999999998E-2</v>
      </c>
      <c r="D321">
        <v>2.7890000000000002E-2</v>
      </c>
      <c r="E321">
        <v>2.9950000000000001E-2</v>
      </c>
      <c r="F321">
        <v>92516475</v>
      </c>
      <c r="G321">
        <v>0</v>
      </c>
      <c r="L321" t="s">
        <v>7</v>
      </c>
      <c r="M321" t="s">
        <v>8</v>
      </c>
      <c r="N321" t="s">
        <v>7</v>
      </c>
      <c r="P321">
        <f t="shared" si="964"/>
        <v>0.18051575931232169</v>
      </c>
      <c r="Q321">
        <f t="shared" si="965"/>
        <v>16700681.733524427</v>
      </c>
      <c r="R321">
        <f t="shared" si="966"/>
        <v>-6554679559.9498596</v>
      </c>
      <c r="S321">
        <f t="shared" si="967"/>
        <v>-65546.795599498597</v>
      </c>
      <c r="T321">
        <f t="shared" si="968"/>
        <v>-65.546795599498594</v>
      </c>
    </row>
    <row r="322" spans="1:20" x14ac:dyDescent="0.25">
      <c r="A322" s="5">
        <v>44271</v>
      </c>
      <c r="B322">
        <v>2.8479999999999998E-2</v>
      </c>
      <c r="C322">
        <v>3.1800000000000002E-2</v>
      </c>
      <c r="D322">
        <v>2.734E-2</v>
      </c>
      <c r="E322">
        <v>3.107E-2</v>
      </c>
      <c r="F322">
        <v>197048101.19999999</v>
      </c>
      <c r="G322">
        <v>0</v>
      </c>
      <c r="L322" t="s">
        <v>8</v>
      </c>
      <c r="M322" t="s">
        <v>8</v>
      </c>
      <c r="N322" t="s">
        <v>7</v>
      </c>
      <c r="P322">
        <f t="shared" si="964"/>
        <v>0.6726457399103134</v>
      </c>
      <c r="Q322">
        <f t="shared" si="965"/>
        <v>132543565.82959631</v>
      </c>
      <c r="R322">
        <f t="shared" si="966"/>
        <v>-6571380241.6833839</v>
      </c>
      <c r="S322">
        <f t="shared" si="967"/>
        <v>-65713.802416833845</v>
      </c>
      <c r="T322">
        <f t="shared" si="968"/>
        <v>-65.713802416833843</v>
      </c>
    </row>
    <row r="323" spans="1:20" x14ac:dyDescent="0.25">
      <c r="A323" s="5">
        <v>44270</v>
      </c>
      <c r="B323">
        <v>2.8799999999999999E-2</v>
      </c>
      <c r="C323">
        <v>3.2500000000000001E-2</v>
      </c>
      <c r="D323">
        <v>2.7140000000000001E-2</v>
      </c>
      <c r="E323">
        <v>2.843E-2</v>
      </c>
      <c r="F323">
        <v>341376750.60000002</v>
      </c>
      <c r="G323">
        <v>0</v>
      </c>
      <c r="L323" t="s">
        <v>7</v>
      </c>
      <c r="M323" t="s">
        <v>8</v>
      </c>
      <c r="N323" t="s">
        <v>7</v>
      </c>
      <c r="P323">
        <f t="shared" si="964"/>
        <v>-0.51865671641791067</v>
      </c>
      <c r="Q323">
        <f t="shared" si="965"/>
        <v>-177057344.52761203</v>
      </c>
      <c r="R323">
        <f t="shared" si="966"/>
        <v>-6703923807.5129805</v>
      </c>
      <c r="S323">
        <f t="shared" si="967"/>
        <v>-67039.238075129804</v>
      </c>
      <c r="T323">
        <f t="shared" si="968"/>
        <v>-67.039238075129802</v>
      </c>
    </row>
    <row r="324" spans="1:20" x14ac:dyDescent="0.25">
      <c r="A324" s="5">
        <v>44269</v>
      </c>
      <c r="B324">
        <v>2.8899999999999999E-2</v>
      </c>
      <c r="C324">
        <v>3.2000000000000001E-2</v>
      </c>
      <c r="D324">
        <v>2.5999999999999999E-2</v>
      </c>
      <c r="E324">
        <v>2.8799999999999999E-2</v>
      </c>
      <c r="F324">
        <v>340373349.10000002</v>
      </c>
      <c r="G324">
        <v>0</v>
      </c>
      <c r="L324" t="s">
        <v>8</v>
      </c>
      <c r="M324" t="s">
        <v>8</v>
      </c>
      <c r="N324" t="s">
        <v>7</v>
      </c>
      <c r="P324">
        <f t="shared" si="964"/>
        <v>-6.6666666666666818E-2</v>
      </c>
      <c r="Q324">
        <f t="shared" si="965"/>
        <v>-22691556.606666721</v>
      </c>
      <c r="R324">
        <f t="shared" si="966"/>
        <v>-6526866462.9853687</v>
      </c>
      <c r="S324">
        <f t="shared" si="967"/>
        <v>-65268.664629853687</v>
      </c>
      <c r="T324">
        <f t="shared" si="968"/>
        <v>-65.268664629853689</v>
      </c>
    </row>
    <row r="325" spans="1:20" x14ac:dyDescent="0.25">
      <c r="A325" s="5">
        <v>44268</v>
      </c>
      <c r="B325">
        <v>2.8309999999999998E-2</v>
      </c>
      <c r="C325">
        <v>3.1269999999999999E-2</v>
      </c>
      <c r="D325">
        <v>2.5999999999999999E-2</v>
      </c>
      <c r="E325">
        <v>2.8899999999999999E-2</v>
      </c>
      <c r="F325">
        <v>274234062.30000001</v>
      </c>
      <c r="G325">
        <v>0</v>
      </c>
      <c r="L325" t="s">
        <v>7</v>
      </c>
      <c r="M325" t="s">
        <v>7</v>
      </c>
      <c r="N325" t="s">
        <v>7</v>
      </c>
      <c r="P325">
        <f t="shared" si="964"/>
        <v>0.10056925996204918</v>
      </c>
      <c r="Q325">
        <f t="shared" si="965"/>
        <v>27579516.701897494</v>
      </c>
      <c r="R325">
        <f t="shared" si="966"/>
        <v>-6504174906.3787022</v>
      </c>
      <c r="S325">
        <f t="shared" si="967"/>
        <v>-65041.749063787021</v>
      </c>
      <c r="T325">
        <f t="shared" si="968"/>
        <v>-65.041749063787023</v>
      </c>
    </row>
    <row r="326" spans="1:20" x14ac:dyDescent="0.25">
      <c r="A326" s="5">
        <v>44267</v>
      </c>
      <c r="B326">
        <v>3.5380000000000002E-2</v>
      </c>
      <c r="C326">
        <v>3.8399999999999997E-2</v>
      </c>
      <c r="D326">
        <v>2.581E-2</v>
      </c>
      <c r="E326">
        <v>2.8320000000000001E-2</v>
      </c>
      <c r="F326">
        <v>885056761.79999995</v>
      </c>
      <c r="G326">
        <v>0</v>
      </c>
      <c r="L326" t="s">
        <v>8</v>
      </c>
      <c r="M326" t="s">
        <v>8</v>
      </c>
      <c r="N326" t="s">
        <v>7</v>
      </c>
      <c r="P326">
        <f t="shared" ref="P326:P389" si="969">IF(C326=D326,0,((E326-D326)-(C326-E326))/(C326-D326))</f>
        <v>-0.60127084988085744</v>
      </c>
      <c r="Q326">
        <f t="shared" ref="Q326:Q389" si="970">F326*P326</f>
        <v>-532158831.36028558</v>
      </c>
      <c r="R326">
        <f t="shared" ref="R326:R389" si="971">R327+Q326</f>
        <v>-6531754423.0805998</v>
      </c>
      <c r="S326">
        <f t="shared" ref="S326:S389" si="972">R326/100000</f>
        <v>-65317.544230806001</v>
      </c>
      <c r="T326">
        <f t="shared" ref="T326:T389" si="973">S326/1000</f>
        <v>-65.317544230806007</v>
      </c>
    </row>
    <row r="327" spans="1:20" x14ac:dyDescent="0.25">
      <c r="A327" s="5">
        <v>44266</v>
      </c>
      <c r="B327">
        <v>2.282E-2</v>
      </c>
      <c r="C327">
        <v>3.5810000000000002E-2</v>
      </c>
      <c r="D327">
        <v>2.2419999999999999E-2</v>
      </c>
      <c r="E327">
        <v>3.5299999999999998E-2</v>
      </c>
      <c r="F327">
        <v>1046767173.7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0.92382374906646703</v>
      </c>
      <c r="Q327">
        <f t="shared" si="970"/>
        <v>967028374.8072437</v>
      </c>
      <c r="R327">
        <f t="shared" si="971"/>
        <v>-5999595591.720314</v>
      </c>
      <c r="S327">
        <f t="shared" si="972"/>
        <v>-59995.955917203137</v>
      </c>
      <c r="T327">
        <f t="shared" si="973"/>
        <v>-59.995955917203133</v>
      </c>
    </row>
    <row r="328" spans="1:20" x14ac:dyDescent="0.25">
      <c r="A328" s="5">
        <v>44265</v>
      </c>
      <c r="B328">
        <v>2.0459999999999999E-2</v>
      </c>
      <c r="C328">
        <v>2.699E-2</v>
      </c>
      <c r="D328">
        <v>1.9099999999999999E-2</v>
      </c>
      <c r="E328">
        <v>2.2800000000000001E-2</v>
      </c>
      <c r="F328">
        <v>518889607.19999999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-6.2103929024080774E-2</v>
      </c>
      <c r="Q328">
        <f t="shared" si="970"/>
        <v>-32225083.33688195</v>
      </c>
      <c r="R328">
        <f t="shared" si="971"/>
        <v>-6966623966.5275574</v>
      </c>
      <c r="S328">
        <f t="shared" si="972"/>
        <v>-69666.239665275571</v>
      </c>
      <c r="T328">
        <f t="shared" si="973"/>
        <v>-69.666239665275569</v>
      </c>
    </row>
    <row r="329" spans="1:20" x14ac:dyDescent="0.25">
      <c r="A329" s="5">
        <v>44264</v>
      </c>
      <c r="B329">
        <v>1.925E-2</v>
      </c>
      <c r="C329">
        <v>2.128E-2</v>
      </c>
      <c r="D329">
        <v>1.8880000000000001E-2</v>
      </c>
      <c r="E329">
        <v>2.0449999999999999E-2</v>
      </c>
      <c r="F329">
        <v>127766756.90000001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0.3083333333333324</v>
      </c>
      <c r="Q329">
        <f t="shared" si="970"/>
        <v>39394750.04416655</v>
      </c>
      <c r="R329">
        <f t="shared" si="971"/>
        <v>-6934398883.1906757</v>
      </c>
      <c r="S329">
        <f t="shared" si="972"/>
        <v>-69343.988831906754</v>
      </c>
      <c r="T329">
        <f t="shared" si="973"/>
        <v>-69.343988831906756</v>
      </c>
    </row>
    <row r="330" spans="1:20" x14ac:dyDescent="0.25">
      <c r="A330" s="5">
        <v>44263</v>
      </c>
      <c r="B330">
        <v>1.958E-2</v>
      </c>
      <c r="C330">
        <v>1.9709999999999998E-2</v>
      </c>
      <c r="D330">
        <v>1.8329999999999999E-2</v>
      </c>
      <c r="E330">
        <v>1.9179999999999999E-2</v>
      </c>
      <c r="F330">
        <v>52366967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0.23188405797101522</v>
      </c>
      <c r="Q330">
        <f t="shared" si="970"/>
        <v>12143064.81159424</v>
      </c>
      <c r="R330">
        <f t="shared" si="971"/>
        <v>-6973793633.2348423</v>
      </c>
      <c r="S330">
        <f t="shared" si="972"/>
        <v>-69737.936332348429</v>
      </c>
      <c r="T330">
        <f t="shared" si="973"/>
        <v>-69.737936332348426</v>
      </c>
    </row>
    <row r="331" spans="1:20" x14ac:dyDescent="0.25">
      <c r="A331" s="5">
        <v>44262</v>
      </c>
      <c r="B331">
        <v>1.908E-2</v>
      </c>
      <c r="C331">
        <v>1.966E-2</v>
      </c>
      <c r="D331">
        <v>1.8550000000000001E-2</v>
      </c>
      <c r="E331">
        <v>1.9570000000000001E-2</v>
      </c>
      <c r="F331">
        <v>82434239.400000006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0.83783783783783816</v>
      </c>
      <c r="Q331">
        <f t="shared" si="970"/>
        <v>69066524.902702734</v>
      </c>
      <c r="R331">
        <f t="shared" si="971"/>
        <v>-6985936698.0464363</v>
      </c>
      <c r="S331">
        <f t="shared" si="972"/>
        <v>-69859.366980464358</v>
      </c>
      <c r="T331">
        <f t="shared" si="973"/>
        <v>-69.859366980464358</v>
      </c>
    </row>
    <row r="332" spans="1:20" x14ac:dyDescent="0.25">
      <c r="A332" s="5">
        <v>44261</v>
      </c>
      <c r="B332">
        <v>1.822E-2</v>
      </c>
      <c r="C332">
        <v>2.0840000000000001E-2</v>
      </c>
      <c r="D332">
        <v>1.787E-2</v>
      </c>
      <c r="E332">
        <v>1.908E-2</v>
      </c>
      <c r="F332">
        <v>198931424.59999999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-0.18518518518518579</v>
      </c>
      <c r="Q332">
        <f t="shared" si="970"/>
        <v>-36839152.703703821</v>
      </c>
      <c r="R332">
        <f t="shared" si="971"/>
        <v>-7055003222.9491386</v>
      </c>
      <c r="S332">
        <f t="shared" si="972"/>
        <v>-70550.032229491393</v>
      </c>
      <c r="T332">
        <f t="shared" si="973"/>
        <v>-70.550032229491393</v>
      </c>
    </row>
    <row r="333" spans="1:20" x14ac:dyDescent="0.25">
      <c r="A333" s="5">
        <v>44260</v>
      </c>
      <c r="B333">
        <v>1.7819999999999999E-2</v>
      </c>
      <c r="C333">
        <v>1.9220000000000001E-2</v>
      </c>
      <c r="D333">
        <v>1.627E-2</v>
      </c>
      <c r="E333">
        <v>1.8200000000000001E-2</v>
      </c>
      <c r="F333">
        <v>70059746.299999997</v>
      </c>
      <c r="G333">
        <v>0</v>
      </c>
      <c r="L333" t="s">
        <v>8</v>
      </c>
      <c r="M333" t="s">
        <v>8</v>
      </c>
      <c r="N333" t="s">
        <v>7</v>
      </c>
      <c r="P333">
        <f t="shared" si="969"/>
        <v>0.30847457627118668</v>
      </c>
      <c r="Q333">
        <f t="shared" si="970"/>
        <v>21611650.553559337</v>
      </c>
      <c r="R333">
        <f t="shared" si="971"/>
        <v>-7018164070.2454348</v>
      </c>
      <c r="S333">
        <f t="shared" si="972"/>
        <v>-70181.640702454344</v>
      </c>
      <c r="T333">
        <f t="shared" si="973"/>
        <v>-70.181640702454345</v>
      </c>
    </row>
    <row r="334" spans="1:20" x14ac:dyDescent="0.25">
      <c r="A334" s="5">
        <v>44259</v>
      </c>
      <c r="B334">
        <v>1.9089999999999999E-2</v>
      </c>
      <c r="C334">
        <v>1.9120000000000002E-2</v>
      </c>
      <c r="D334">
        <v>1.653E-2</v>
      </c>
      <c r="E334">
        <v>1.7770000000000001E-2</v>
      </c>
      <c r="F334">
        <v>65142747.200000003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-4.2471042471042046E-2</v>
      </c>
      <c r="Q334">
        <f t="shared" si="970"/>
        <v>-2766680.3830115553</v>
      </c>
      <c r="R334">
        <f t="shared" si="971"/>
        <v>-7039775720.7989941</v>
      </c>
      <c r="S334">
        <f t="shared" si="972"/>
        <v>-70397.75720798994</v>
      </c>
      <c r="T334">
        <f t="shared" si="973"/>
        <v>-70.39775720798994</v>
      </c>
    </row>
    <row r="335" spans="1:20" x14ac:dyDescent="0.25">
      <c r="A335" s="5">
        <v>44258</v>
      </c>
      <c r="B335">
        <v>1.721E-2</v>
      </c>
      <c r="C335">
        <v>0.02</v>
      </c>
      <c r="D335">
        <v>1.7160000000000002E-2</v>
      </c>
      <c r="E335">
        <v>1.9199999999999998E-2</v>
      </c>
      <c r="F335">
        <v>144578840.59999999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0.43661971830985741</v>
      </c>
      <c r="Q335">
        <f t="shared" si="970"/>
        <v>63125972.656337775</v>
      </c>
      <c r="R335">
        <f t="shared" si="971"/>
        <v>-7037009040.4159822</v>
      </c>
      <c r="S335">
        <f t="shared" si="972"/>
        <v>-70370.090404159826</v>
      </c>
      <c r="T335">
        <f t="shared" si="973"/>
        <v>-70.370090404159825</v>
      </c>
    </row>
    <row r="336" spans="1:20" x14ac:dyDescent="0.25">
      <c r="A336" s="5">
        <v>44257</v>
      </c>
      <c r="B336">
        <v>1.8429999999999998E-2</v>
      </c>
      <c r="C336">
        <v>1.8689999999999998E-2</v>
      </c>
      <c r="D336">
        <v>1.6490000000000001E-2</v>
      </c>
      <c r="E336">
        <v>1.7219999999999999E-2</v>
      </c>
      <c r="F336">
        <v>53151201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-0.33636363636363731</v>
      </c>
      <c r="Q336">
        <f t="shared" si="970"/>
        <v>-17878131.245454594</v>
      </c>
      <c r="R336">
        <f t="shared" si="971"/>
        <v>-7100135013.07232</v>
      </c>
      <c r="S336">
        <f t="shared" si="972"/>
        <v>-71001.350130723193</v>
      </c>
      <c r="T336">
        <f t="shared" si="973"/>
        <v>-71.001350130723196</v>
      </c>
    </row>
    <row r="337" spans="1:20" x14ac:dyDescent="0.25">
      <c r="A337" s="5">
        <v>44256</v>
      </c>
      <c r="B337">
        <v>1.549E-2</v>
      </c>
      <c r="C337">
        <v>1.8890000000000001E-2</v>
      </c>
      <c r="D337">
        <v>1.546E-2</v>
      </c>
      <c r="E337">
        <v>1.8440000000000002E-2</v>
      </c>
      <c r="F337">
        <v>127923006.3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0.73760932944606472</v>
      </c>
      <c r="Q337">
        <f t="shared" si="970"/>
        <v>94357202.897667706</v>
      </c>
      <c r="R337">
        <f t="shared" si="971"/>
        <v>-7082256881.8268652</v>
      </c>
      <c r="S337">
        <f t="shared" si="972"/>
        <v>-70822.568818268657</v>
      </c>
      <c r="T337">
        <f t="shared" si="973"/>
        <v>-70.822568818268664</v>
      </c>
    </row>
    <row r="338" spans="1:20" x14ac:dyDescent="0.25">
      <c r="A338" s="5">
        <v>44255</v>
      </c>
      <c r="B338">
        <v>1.7000000000000001E-2</v>
      </c>
      <c r="C338">
        <v>1.7260000000000001E-2</v>
      </c>
      <c r="D338">
        <v>1.4540000000000001E-2</v>
      </c>
      <c r="E338">
        <v>1.541E-2</v>
      </c>
      <c r="F338">
        <v>50558703.5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-0.36029411764705943</v>
      </c>
      <c r="Q338">
        <f t="shared" si="970"/>
        <v>-18216003.466911796</v>
      </c>
      <c r="R338">
        <f t="shared" si="971"/>
        <v>-7176614084.7245331</v>
      </c>
      <c r="S338">
        <f t="shared" si="972"/>
        <v>-71766.140847245333</v>
      </c>
      <c r="T338">
        <f t="shared" si="973"/>
        <v>-71.766140847245339</v>
      </c>
    </row>
    <row r="339" spans="1:20" x14ac:dyDescent="0.25">
      <c r="A339" s="5">
        <v>44254</v>
      </c>
      <c r="B339">
        <v>1.627E-2</v>
      </c>
      <c r="C339">
        <v>1.8190000000000001E-2</v>
      </c>
      <c r="D339">
        <v>1.6250000000000001E-2</v>
      </c>
      <c r="E339">
        <v>1.7000000000000001E-2</v>
      </c>
      <c r="F339">
        <v>38768833.799999997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-0.22680412371133982</v>
      </c>
      <c r="Q339">
        <f t="shared" si="970"/>
        <v>-8792931.3773195725</v>
      </c>
      <c r="R339">
        <f t="shared" si="971"/>
        <v>-7158398081.2576208</v>
      </c>
      <c r="S339">
        <f t="shared" si="972"/>
        <v>-71583.980812576207</v>
      </c>
      <c r="T339">
        <f t="shared" si="973"/>
        <v>-71.5839808125762</v>
      </c>
    </row>
    <row r="340" spans="1:20" x14ac:dyDescent="0.25">
      <c r="A340" s="5">
        <v>44253</v>
      </c>
      <c r="B340">
        <v>1.6959999999999999E-2</v>
      </c>
      <c r="C340">
        <v>1.7680000000000001E-2</v>
      </c>
      <c r="D340">
        <v>1.5339999999999999E-2</v>
      </c>
      <c r="E340">
        <v>1.6199999999999999E-2</v>
      </c>
      <c r="F340">
        <v>53100405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-0.26495726495726579</v>
      </c>
      <c r="Q340">
        <f t="shared" si="970"/>
        <v>-14069338.076923121</v>
      </c>
      <c r="R340">
        <f t="shared" si="971"/>
        <v>-7149605149.8803015</v>
      </c>
      <c r="S340">
        <f t="shared" si="972"/>
        <v>-71496.051498803019</v>
      </c>
      <c r="T340">
        <f t="shared" si="973"/>
        <v>-71.496051498803013</v>
      </c>
    </row>
    <row r="341" spans="1:20" x14ac:dyDescent="0.25">
      <c r="A341" s="5">
        <v>44252</v>
      </c>
      <c r="B341">
        <v>1.84E-2</v>
      </c>
      <c r="C341">
        <v>1.9439999999999999E-2</v>
      </c>
      <c r="D341">
        <v>1.6930000000000001E-2</v>
      </c>
      <c r="E341">
        <v>1.6930000000000001E-2</v>
      </c>
      <c r="F341">
        <v>62151410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-1</v>
      </c>
      <c r="Q341">
        <f t="shared" si="970"/>
        <v>-62151410</v>
      </c>
      <c r="R341">
        <f t="shared" si="971"/>
        <v>-7135535811.8033781</v>
      </c>
      <c r="S341">
        <f t="shared" si="972"/>
        <v>-71355.358118033779</v>
      </c>
      <c r="T341">
        <f t="shared" si="973"/>
        <v>-71.355358118033777</v>
      </c>
    </row>
    <row r="342" spans="1:20" x14ac:dyDescent="0.25">
      <c r="A342" s="5">
        <v>44251</v>
      </c>
      <c r="B342">
        <v>1.7680000000000001E-2</v>
      </c>
      <c r="C342">
        <v>2.0799999999999999E-2</v>
      </c>
      <c r="D342">
        <v>1.6629999999999999E-2</v>
      </c>
      <c r="E342">
        <v>1.84E-2</v>
      </c>
      <c r="F342">
        <v>133171445.09999999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-0.15107913669064715</v>
      </c>
      <c r="Q342">
        <f t="shared" si="970"/>
        <v>-20119426.957553912</v>
      </c>
      <c r="R342">
        <f t="shared" si="971"/>
        <v>-7073384401.8033781</v>
      </c>
      <c r="S342">
        <f t="shared" si="972"/>
        <v>-70733.844018033778</v>
      </c>
      <c r="T342">
        <f t="shared" si="973"/>
        <v>-70.733844018033778</v>
      </c>
    </row>
    <row r="343" spans="1:20" x14ac:dyDescent="0.25">
      <c r="A343" s="5">
        <v>44250</v>
      </c>
      <c r="B343">
        <v>2.2259999999999999E-2</v>
      </c>
      <c r="C343">
        <v>2.2270000000000002E-2</v>
      </c>
      <c r="D343">
        <v>1.5779999999999999E-2</v>
      </c>
      <c r="E343">
        <v>1.7659999999999999E-2</v>
      </c>
      <c r="F343">
        <v>117924420.7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-0.42064714946070914</v>
      </c>
      <c r="Q343">
        <f t="shared" si="970"/>
        <v>-49604571.419260442</v>
      </c>
      <c r="R343">
        <f t="shared" si="971"/>
        <v>-7053264974.8458242</v>
      </c>
      <c r="S343">
        <f t="shared" si="972"/>
        <v>-70532.649748458236</v>
      </c>
      <c r="T343">
        <f t="shared" si="973"/>
        <v>-70.53264974845824</v>
      </c>
    </row>
    <row r="344" spans="1:20" x14ac:dyDescent="0.25">
      <c r="A344" s="5">
        <v>44249</v>
      </c>
      <c r="B344">
        <v>2.325E-2</v>
      </c>
      <c r="C344">
        <v>2.7990000000000001E-2</v>
      </c>
      <c r="D344">
        <v>1.9300000000000001E-2</v>
      </c>
      <c r="E344">
        <v>2.2370000000000001E-2</v>
      </c>
      <c r="F344">
        <v>319757600.5</v>
      </c>
      <c r="G344">
        <v>0</v>
      </c>
      <c r="L344" t="s">
        <v>8</v>
      </c>
      <c r="M344" t="s">
        <v>8</v>
      </c>
      <c r="N344" t="s">
        <v>8</v>
      </c>
      <c r="P344">
        <f t="shared" si="969"/>
        <v>-0.29344073647871122</v>
      </c>
      <c r="Q344">
        <f t="shared" si="970"/>
        <v>-93829905.785385519</v>
      </c>
      <c r="R344">
        <f t="shared" si="971"/>
        <v>-7003660403.4265642</v>
      </c>
      <c r="S344">
        <f t="shared" si="972"/>
        <v>-70036.604034265649</v>
      </c>
      <c r="T344">
        <f t="shared" si="973"/>
        <v>-70.03660403426565</v>
      </c>
    </row>
    <row r="345" spans="1:20" x14ac:dyDescent="0.25">
      <c r="A345" s="5">
        <v>44248</v>
      </c>
      <c r="B345">
        <v>2.196E-2</v>
      </c>
      <c r="C345">
        <v>2.4479999999999998E-2</v>
      </c>
      <c r="D345">
        <v>2.1700000000000001E-2</v>
      </c>
      <c r="E345">
        <v>2.3220000000000001E-2</v>
      </c>
      <c r="F345">
        <v>80872557.799999997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9.3525179856116358E-2</v>
      </c>
      <c r="Q345">
        <f t="shared" si="970"/>
        <v>7563620.5136691658</v>
      </c>
      <c r="R345">
        <f t="shared" si="971"/>
        <v>-6909830497.6411791</v>
      </c>
      <c r="S345">
        <f t="shared" si="972"/>
        <v>-69098.30497641179</v>
      </c>
      <c r="T345">
        <f t="shared" si="973"/>
        <v>-69.098304976411796</v>
      </c>
    </row>
    <row r="346" spans="1:20" x14ac:dyDescent="0.25">
      <c r="A346" s="5">
        <v>44247</v>
      </c>
      <c r="B346">
        <v>2.1940000000000001E-2</v>
      </c>
      <c r="C346">
        <v>2.4899999999999999E-2</v>
      </c>
      <c r="D346">
        <v>2.128E-2</v>
      </c>
      <c r="E346">
        <v>2.1950000000000001E-2</v>
      </c>
      <c r="F346">
        <v>121711369.40000001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-0.62983425414364602</v>
      </c>
      <c r="Q346">
        <f t="shared" si="970"/>
        <v>-76657989.566850781</v>
      </c>
      <c r="R346">
        <f t="shared" si="971"/>
        <v>-6917394118.1548481</v>
      </c>
      <c r="S346">
        <f t="shared" si="972"/>
        <v>-69173.941181548478</v>
      </c>
      <c r="T346">
        <f t="shared" si="973"/>
        <v>-69.173941181548471</v>
      </c>
    </row>
    <row r="347" spans="1:20" x14ac:dyDescent="0.25">
      <c r="A347" s="5">
        <v>44246</v>
      </c>
      <c r="B347">
        <v>2.265E-2</v>
      </c>
      <c r="C347">
        <v>2.349E-2</v>
      </c>
      <c r="D347">
        <v>2.1870000000000001E-2</v>
      </c>
      <c r="E347">
        <v>2.1930000000000002E-2</v>
      </c>
      <c r="F347">
        <v>62243508.100000001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-0.92592592592592471</v>
      </c>
      <c r="Q347">
        <f t="shared" si="970"/>
        <v>-57632877.870370299</v>
      </c>
      <c r="R347">
        <f t="shared" si="971"/>
        <v>-6840736128.5879974</v>
      </c>
      <c r="S347">
        <f t="shared" si="972"/>
        <v>-68407.361285879975</v>
      </c>
      <c r="T347">
        <f t="shared" si="973"/>
        <v>-68.407361285879972</v>
      </c>
    </row>
    <row r="348" spans="1:20" x14ac:dyDescent="0.25">
      <c r="A348" s="5">
        <v>44245</v>
      </c>
      <c r="B348">
        <v>2.1170000000000001E-2</v>
      </c>
      <c r="C348">
        <v>2.4E-2</v>
      </c>
      <c r="D348">
        <v>2.0889999999999999E-2</v>
      </c>
      <c r="E348">
        <v>2.265E-2</v>
      </c>
      <c r="F348">
        <v>72290723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0.13183279742765286</v>
      </c>
      <c r="Q348">
        <f t="shared" si="970"/>
        <v>9530288.2411575653</v>
      </c>
      <c r="R348">
        <f t="shared" si="971"/>
        <v>-6783103250.7176275</v>
      </c>
      <c r="S348">
        <f t="shared" si="972"/>
        <v>-67831.032507176278</v>
      </c>
      <c r="T348">
        <f t="shared" si="973"/>
        <v>-67.831032507176275</v>
      </c>
    </row>
    <row r="349" spans="1:20" x14ac:dyDescent="0.25">
      <c r="A349" s="5">
        <v>44244</v>
      </c>
      <c r="B349">
        <v>2.043E-2</v>
      </c>
      <c r="C349">
        <v>2.1649999999999999E-2</v>
      </c>
      <c r="D349">
        <v>1.9189999999999999E-2</v>
      </c>
      <c r="E349">
        <v>2.1180000000000001E-2</v>
      </c>
      <c r="F349">
        <v>39141454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0.61788617886179009</v>
      </c>
      <c r="Q349">
        <f t="shared" si="970"/>
        <v>24184963.447154529</v>
      </c>
      <c r="R349">
        <f t="shared" si="971"/>
        <v>-6792633538.9587851</v>
      </c>
      <c r="S349">
        <f t="shared" si="972"/>
        <v>-67926.335389587854</v>
      </c>
      <c r="T349">
        <f t="shared" si="973"/>
        <v>-67.926335389587848</v>
      </c>
    </row>
    <row r="350" spans="1:20" x14ac:dyDescent="0.25">
      <c r="A350" s="5">
        <v>44243</v>
      </c>
      <c r="B350">
        <v>2.0629999999999999E-2</v>
      </c>
      <c r="C350">
        <v>2.23E-2</v>
      </c>
      <c r="D350">
        <v>1.9900000000000001E-2</v>
      </c>
      <c r="E350">
        <v>2.0420000000000001E-2</v>
      </c>
      <c r="F350">
        <v>147226131.19999999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-0.56666666666666687</v>
      </c>
      <c r="Q350">
        <f t="shared" si="970"/>
        <v>-83428141.01333335</v>
      </c>
      <c r="R350">
        <f t="shared" si="971"/>
        <v>-6816818502.4059401</v>
      </c>
      <c r="S350">
        <f t="shared" si="972"/>
        <v>-68168.185024059407</v>
      </c>
      <c r="T350">
        <f t="shared" si="973"/>
        <v>-68.168185024059412</v>
      </c>
    </row>
    <row r="351" spans="1:20" x14ac:dyDescent="0.25">
      <c r="A351" s="5">
        <v>44242</v>
      </c>
      <c r="B351">
        <v>2.1919999999999999E-2</v>
      </c>
      <c r="C351">
        <v>2.24E-2</v>
      </c>
      <c r="D351">
        <v>1.8360000000000001E-2</v>
      </c>
      <c r="E351">
        <v>2.07E-2</v>
      </c>
      <c r="F351">
        <v>88361856.200000003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0.15841584158415803</v>
      </c>
      <c r="Q351">
        <f t="shared" si="970"/>
        <v>13997917.813861353</v>
      </c>
      <c r="R351">
        <f t="shared" si="971"/>
        <v>-6733390361.3926067</v>
      </c>
      <c r="S351">
        <f t="shared" si="972"/>
        <v>-67333.903613926072</v>
      </c>
      <c r="T351">
        <f t="shared" si="973"/>
        <v>-67.333903613926068</v>
      </c>
    </row>
    <row r="352" spans="1:20" x14ac:dyDescent="0.25">
      <c r="A352" s="5">
        <v>44241</v>
      </c>
      <c r="B352">
        <v>2.4809999999999999E-2</v>
      </c>
      <c r="C352">
        <v>2.649E-2</v>
      </c>
      <c r="D352">
        <v>2.0310000000000002E-2</v>
      </c>
      <c r="E352">
        <v>2.1909999999999999E-2</v>
      </c>
      <c r="F352">
        <v>120883261.5</v>
      </c>
      <c r="G352">
        <v>0</v>
      </c>
      <c r="L352" t="s">
        <v>8</v>
      </c>
      <c r="M352" t="s">
        <v>7</v>
      </c>
      <c r="N352" t="s">
        <v>8</v>
      </c>
      <c r="P352">
        <f t="shared" si="969"/>
        <v>-0.48220064724919165</v>
      </c>
      <c r="Q352">
        <f t="shared" si="970"/>
        <v>-58289986.936893292</v>
      </c>
      <c r="R352">
        <f t="shared" si="971"/>
        <v>-6747388279.2064676</v>
      </c>
      <c r="S352">
        <f t="shared" si="972"/>
        <v>-67473.882792064673</v>
      </c>
      <c r="T352">
        <f t="shared" si="973"/>
        <v>-67.473882792064671</v>
      </c>
    </row>
    <row r="353" spans="1:20" x14ac:dyDescent="0.25">
      <c r="A353" s="5">
        <v>44240</v>
      </c>
      <c r="B353">
        <v>2.3210000000000001E-2</v>
      </c>
      <c r="C353">
        <v>2.5999999999999999E-2</v>
      </c>
      <c r="D353">
        <v>2.2100000000000002E-2</v>
      </c>
      <c r="E353">
        <v>2.486E-2</v>
      </c>
      <c r="F353">
        <v>233394633.19999999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0.41538461538461569</v>
      </c>
      <c r="Q353">
        <f t="shared" si="970"/>
        <v>96948539.944615453</v>
      </c>
      <c r="R353">
        <f t="shared" si="971"/>
        <v>-6689098292.2695742</v>
      </c>
      <c r="S353">
        <f t="shared" si="972"/>
        <v>-66890.982922695737</v>
      </c>
      <c r="T353">
        <f t="shared" si="973"/>
        <v>-66.890982922695741</v>
      </c>
    </row>
    <row r="354" spans="1:20" x14ac:dyDescent="0.25">
      <c r="A354" s="5">
        <v>44239</v>
      </c>
      <c r="B354">
        <v>2.2960000000000001E-2</v>
      </c>
      <c r="C354">
        <v>2.469E-2</v>
      </c>
      <c r="D354">
        <v>2.0650000000000002E-2</v>
      </c>
      <c r="E354">
        <v>2.3220000000000001E-2</v>
      </c>
      <c r="F354">
        <v>197018275.59999999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0.27227722772277246</v>
      </c>
      <c r="Q354">
        <f t="shared" si="970"/>
        <v>53643589.891089141</v>
      </c>
      <c r="R354">
        <f t="shared" si="971"/>
        <v>-6786046832.2141895</v>
      </c>
      <c r="S354">
        <f t="shared" si="972"/>
        <v>-67860.468322141896</v>
      </c>
      <c r="T354">
        <f t="shared" si="973"/>
        <v>-67.860468322141898</v>
      </c>
    </row>
    <row r="355" spans="1:20" x14ac:dyDescent="0.25">
      <c r="A355" s="5">
        <v>44238</v>
      </c>
      <c r="B355">
        <v>1.9290000000000002E-2</v>
      </c>
      <c r="C355">
        <v>2.4279999999999999E-2</v>
      </c>
      <c r="D355">
        <v>1.8720000000000001E-2</v>
      </c>
      <c r="E355">
        <v>2.2960000000000001E-2</v>
      </c>
      <c r="F355">
        <v>209347822.59999999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0.52517985611510842</v>
      </c>
      <c r="Q355">
        <f t="shared" si="970"/>
        <v>109945259.35107924</v>
      </c>
      <c r="R355">
        <f t="shared" si="971"/>
        <v>-6839690422.105279</v>
      </c>
      <c r="S355">
        <f t="shared" si="972"/>
        <v>-68396.904221052784</v>
      </c>
      <c r="T355">
        <f t="shared" si="973"/>
        <v>-68.396904221052779</v>
      </c>
    </row>
    <row r="356" spans="1:20" x14ac:dyDescent="0.25">
      <c r="A356" s="5">
        <v>44237</v>
      </c>
      <c r="B356">
        <v>1.9609999999999999E-2</v>
      </c>
      <c r="C356">
        <v>1.984E-2</v>
      </c>
      <c r="D356">
        <v>1.669E-2</v>
      </c>
      <c r="E356">
        <v>1.9290000000000002E-2</v>
      </c>
      <c r="F356">
        <v>102552214.90000001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0.65079365079365181</v>
      </c>
      <c r="Q356">
        <f t="shared" si="970"/>
        <v>66740330.331746139</v>
      </c>
      <c r="R356">
        <f t="shared" si="971"/>
        <v>-6949635681.456358</v>
      </c>
      <c r="S356">
        <f t="shared" si="972"/>
        <v>-69496.35681456358</v>
      </c>
      <c r="T356">
        <f t="shared" si="973"/>
        <v>-69.496356814563583</v>
      </c>
    </row>
    <row r="357" spans="1:20" x14ac:dyDescent="0.25">
      <c r="A357" s="5">
        <v>44236</v>
      </c>
      <c r="B357">
        <v>1.7309999999999999E-2</v>
      </c>
      <c r="C357">
        <v>1.9900000000000001E-2</v>
      </c>
      <c r="D357">
        <v>1.7139999999999999E-2</v>
      </c>
      <c r="E357">
        <v>1.9630000000000002E-2</v>
      </c>
      <c r="F357">
        <v>106953213.59999999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0.8043478260869571</v>
      </c>
      <c r="Q357">
        <f t="shared" si="970"/>
        <v>86027584.852173969</v>
      </c>
      <c r="R357">
        <f t="shared" si="971"/>
        <v>-7016376011.7881041</v>
      </c>
      <c r="S357">
        <f t="shared" si="972"/>
        <v>-70163.760117881044</v>
      </c>
      <c r="T357">
        <f t="shared" si="973"/>
        <v>-70.16376011788104</v>
      </c>
    </row>
    <row r="358" spans="1:20" x14ac:dyDescent="0.25">
      <c r="A358" s="5">
        <v>44235</v>
      </c>
      <c r="B358">
        <v>1.6490000000000001E-2</v>
      </c>
      <c r="C358">
        <v>1.8100000000000002E-2</v>
      </c>
      <c r="D358">
        <v>1.6289999999999999E-2</v>
      </c>
      <c r="E358">
        <v>1.7319999999999999E-2</v>
      </c>
      <c r="F358">
        <v>90539027.599999994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0.13812154696132398</v>
      </c>
      <c r="Q358">
        <f t="shared" si="970"/>
        <v>12505390.552486006</v>
      </c>
      <c r="R358">
        <f t="shared" si="971"/>
        <v>-7102403596.6402779</v>
      </c>
      <c r="S358">
        <f t="shared" si="972"/>
        <v>-71024.035966402778</v>
      </c>
      <c r="T358">
        <f t="shared" si="973"/>
        <v>-71.024035966402778</v>
      </c>
    </row>
    <row r="359" spans="1:20" x14ac:dyDescent="0.25">
      <c r="A359" s="5">
        <v>44234</v>
      </c>
      <c r="B359">
        <v>1.694E-2</v>
      </c>
      <c r="C359">
        <v>1.814E-2</v>
      </c>
      <c r="D359">
        <v>1.584E-2</v>
      </c>
      <c r="E359">
        <v>1.6459999999999999E-2</v>
      </c>
      <c r="F359">
        <v>67122235.900000006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-0.46086956521739214</v>
      </c>
      <c r="Q359">
        <f t="shared" si="970"/>
        <v>-30934595.675652232</v>
      </c>
      <c r="R359">
        <f t="shared" si="971"/>
        <v>-7114908987.1927643</v>
      </c>
      <c r="S359">
        <f t="shared" si="972"/>
        <v>-71149.089871927645</v>
      </c>
      <c r="T359">
        <f t="shared" si="973"/>
        <v>-71.149089871927643</v>
      </c>
    </row>
    <row r="360" spans="1:20" x14ac:dyDescent="0.25">
      <c r="A360" s="5">
        <v>44233</v>
      </c>
      <c r="B360">
        <v>1.814E-2</v>
      </c>
      <c r="C360">
        <v>1.8190000000000001E-2</v>
      </c>
      <c r="D360">
        <v>1.6320000000000001E-2</v>
      </c>
      <c r="E360">
        <v>1.694E-2</v>
      </c>
      <c r="F360">
        <v>65828992.399999999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-0.3368983957219262</v>
      </c>
      <c r="Q360">
        <f t="shared" si="970"/>
        <v>-22177681.931550872</v>
      </c>
      <c r="R360">
        <f t="shared" si="971"/>
        <v>-7083974391.5171118</v>
      </c>
      <c r="S360">
        <f t="shared" si="972"/>
        <v>-70839.743915171115</v>
      </c>
      <c r="T360">
        <f t="shared" si="973"/>
        <v>-70.839743915171113</v>
      </c>
    </row>
    <row r="361" spans="1:20" x14ac:dyDescent="0.25">
      <c r="A361" s="5">
        <v>44232</v>
      </c>
      <c r="B361">
        <v>1.583E-2</v>
      </c>
      <c r="C361">
        <v>1.9E-2</v>
      </c>
      <c r="D361">
        <v>1.5720000000000001E-2</v>
      </c>
      <c r="E361">
        <v>1.8120000000000001E-2</v>
      </c>
      <c r="F361">
        <v>156049645.59999999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0.46341463414634188</v>
      </c>
      <c r="Q361">
        <f t="shared" si="970"/>
        <v>72315689.424390301</v>
      </c>
      <c r="R361">
        <f t="shared" si="971"/>
        <v>-7061796709.5855608</v>
      </c>
      <c r="S361">
        <f t="shared" si="972"/>
        <v>-70617.967095855609</v>
      </c>
      <c r="T361">
        <f t="shared" si="973"/>
        <v>-70.617967095855604</v>
      </c>
    </row>
    <row r="362" spans="1:20" x14ac:dyDescent="0.25">
      <c r="A362" s="5">
        <v>44231</v>
      </c>
      <c r="B362">
        <v>1.61E-2</v>
      </c>
      <c r="C362">
        <v>1.719E-2</v>
      </c>
      <c r="D362">
        <v>1.5129999999999999E-2</v>
      </c>
      <c r="E362">
        <v>1.583E-2</v>
      </c>
      <c r="F362">
        <v>100655924.2</v>
      </c>
      <c r="G362">
        <v>0</v>
      </c>
      <c r="L362" t="s">
        <v>7</v>
      </c>
      <c r="M362" t="s">
        <v>8</v>
      </c>
      <c r="N362" t="s">
        <v>7</v>
      </c>
      <c r="P362">
        <f t="shared" si="969"/>
        <v>-0.32038834951456252</v>
      </c>
      <c r="Q362">
        <f t="shared" si="970"/>
        <v>-32248985.423300914</v>
      </c>
      <c r="R362">
        <f t="shared" si="971"/>
        <v>-7134112399.0099506</v>
      </c>
      <c r="S362">
        <f t="shared" si="972"/>
        <v>-71341.123990099513</v>
      </c>
      <c r="T362">
        <f t="shared" si="973"/>
        <v>-71.341123990099518</v>
      </c>
    </row>
    <row r="363" spans="1:20" x14ac:dyDescent="0.25">
      <c r="A363" s="5">
        <v>44230</v>
      </c>
      <c r="B363">
        <v>1.4420000000000001E-2</v>
      </c>
      <c r="C363">
        <v>1.755E-2</v>
      </c>
      <c r="D363">
        <v>1.423E-2</v>
      </c>
      <c r="E363">
        <v>1.6140000000000002E-2</v>
      </c>
      <c r="F363">
        <v>199106939.30000001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0.1506024096385554</v>
      </c>
      <c r="Q363">
        <f t="shared" si="970"/>
        <v>29985984.834337585</v>
      </c>
      <c r="R363">
        <f t="shared" si="971"/>
        <v>-7101863413.5866499</v>
      </c>
      <c r="S363">
        <f t="shared" si="972"/>
        <v>-71018.634135866494</v>
      </c>
      <c r="T363">
        <f t="shared" si="973"/>
        <v>-71.018634135866492</v>
      </c>
    </row>
    <row r="364" spans="1:20" x14ac:dyDescent="0.25">
      <c r="A364" s="5">
        <v>44229</v>
      </c>
      <c r="B364">
        <v>1.4319999999999999E-2</v>
      </c>
      <c r="C364">
        <v>1.4540000000000001E-2</v>
      </c>
      <c r="D364">
        <v>1.41E-2</v>
      </c>
      <c r="E364">
        <v>1.4420000000000001E-2</v>
      </c>
      <c r="F364">
        <v>44889053.700000003</v>
      </c>
      <c r="G364">
        <v>0</v>
      </c>
      <c r="L364" t="s">
        <v>7</v>
      </c>
      <c r="M364" t="s">
        <v>8</v>
      </c>
      <c r="N364" t="s">
        <v>7</v>
      </c>
      <c r="P364">
        <f t="shared" si="969"/>
        <v>0.45454545454545453</v>
      </c>
      <c r="Q364">
        <f t="shared" si="970"/>
        <v>20404115.31818182</v>
      </c>
      <c r="R364">
        <f t="shared" si="971"/>
        <v>-7131849398.4209871</v>
      </c>
      <c r="S364">
        <f t="shared" si="972"/>
        <v>-71318.493984209868</v>
      </c>
      <c r="T364">
        <f t="shared" si="973"/>
        <v>-71.318493984209866</v>
      </c>
    </row>
    <row r="365" spans="1:20" x14ac:dyDescent="0.25">
      <c r="A365" s="5">
        <v>44228</v>
      </c>
      <c r="B365">
        <v>1.4880000000000001E-2</v>
      </c>
      <c r="C365">
        <v>1.575E-2</v>
      </c>
      <c r="D365">
        <v>1.4149999999999999E-2</v>
      </c>
      <c r="E365">
        <v>1.431E-2</v>
      </c>
      <c r="F365">
        <v>76483996</v>
      </c>
      <c r="G365">
        <v>0</v>
      </c>
      <c r="L365" t="s">
        <v>7</v>
      </c>
      <c r="M365" t="s">
        <v>8</v>
      </c>
      <c r="N365" t="s">
        <v>7</v>
      </c>
      <c r="P365">
        <f t="shared" si="969"/>
        <v>-0.7999999999999996</v>
      </c>
      <c r="Q365">
        <f t="shared" si="970"/>
        <v>-61187196.799999967</v>
      </c>
      <c r="R365">
        <f t="shared" si="971"/>
        <v>-7152253513.7391691</v>
      </c>
      <c r="S365">
        <f t="shared" si="972"/>
        <v>-71522.535137391693</v>
      </c>
      <c r="T365">
        <f t="shared" si="973"/>
        <v>-71.522535137391699</v>
      </c>
    </row>
    <row r="366" spans="1:20" x14ac:dyDescent="0.25">
      <c r="A366" s="5">
        <v>44227</v>
      </c>
      <c r="B366">
        <v>1.4279999999999999E-2</v>
      </c>
      <c r="C366">
        <v>1.5900000000000001E-2</v>
      </c>
      <c r="D366">
        <v>1.366E-2</v>
      </c>
      <c r="E366">
        <v>1.4880000000000001E-2</v>
      </c>
      <c r="F366">
        <v>128083602.40000001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8.9285714285714496E-2</v>
      </c>
      <c r="Q366">
        <f t="shared" si="970"/>
        <v>11436035.928571455</v>
      </c>
      <c r="R366">
        <f t="shared" si="971"/>
        <v>-7091066316.9391689</v>
      </c>
      <c r="S366">
        <f t="shared" si="972"/>
        <v>-70910.663169391686</v>
      </c>
      <c r="T366">
        <f t="shared" si="973"/>
        <v>-70.910663169391682</v>
      </c>
    </row>
    <row r="367" spans="1:20" x14ac:dyDescent="0.25">
      <c r="A367" s="5">
        <v>44226</v>
      </c>
      <c r="B367">
        <v>1.5140000000000001E-2</v>
      </c>
      <c r="C367">
        <v>1.5699999999999999E-2</v>
      </c>
      <c r="D367">
        <v>1.3220000000000001E-2</v>
      </c>
      <c r="E367">
        <v>1.4239999999999999E-2</v>
      </c>
      <c r="F367">
        <v>206983042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-0.1774193548387103</v>
      </c>
      <c r="Q367">
        <f t="shared" si="970"/>
        <v>-36722797.774193674</v>
      </c>
      <c r="R367">
        <f t="shared" si="971"/>
        <v>-7102502352.8677406</v>
      </c>
      <c r="S367">
        <f t="shared" si="972"/>
        <v>-71025.023528677411</v>
      </c>
      <c r="T367">
        <f t="shared" si="973"/>
        <v>-71.025023528677409</v>
      </c>
    </row>
    <row r="368" spans="1:20" x14ac:dyDescent="0.25">
      <c r="A368" s="5">
        <v>44225</v>
      </c>
      <c r="B368">
        <v>1.406E-2</v>
      </c>
      <c r="C368">
        <v>2.4369999999999999E-2</v>
      </c>
      <c r="D368">
        <v>1.367E-2</v>
      </c>
      <c r="E368">
        <v>1.5169999999999999E-2</v>
      </c>
      <c r="F368">
        <v>632005395.20000005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-0.71962616822429915</v>
      </c>
      <c r="Q368">
        <f t="shared" si="970"/>
        <v>-454807620.8448599</v>
      </c>
      <c r="R368">
        <f t="shared" si="971"/>
        <v>-7065779555.0935469</v>
      </c>
      <c r="S368">
        <f t="shared" si="972"/>
        <v>-70657.795550935465</v>
      </c>
      <c r="T368">
        <f t="shared" si="973"/>
        <v>-70.657795550935461</v>
      </c>
    </row>
    <row r="369" spans="1:20" x14ac:dyDescent="0.25">
      <c r="A369" s="5">
        <v>44224</v>
      </c>
      <c r="B369">
        <v>1.223E-2</v>
      </c>
      <c r="C369">
        <v>1.4630000000000001E-2</v>
      </c>
      <c r="D369">
        <v>1.205E-2</v>
      </c>
      <c r="E369">
        <v>1.409E-2</v>
      </c>
      <c r="F369">
        <v>70413976.299999997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0.581395348837209</v>
      </c>
      <c r="Q369">
        <f t="shared" si="970"/>
        <v>40938358.313953467</v>
      </c>
      <c r="R369">
        <f t="shared" si="971"/>
        <v>-6610971934.2486868</v>
      </c>
      <c r="S369">
        <f t="shared" si="972"/>
        <v>-66109.719342486875</v>
      </c>
      <c r="T369">
        <f t="shared" si="973"/>
        <v>-66.109719342486869</v>
      </c>
    </row>
    <row r="370" spans="1:20" x14ac:dyDescent="0.25">
      <c r="A370" s="5">
        <v>44223</v>
      </c>
      <c r="B370">
        <v>1.371E-2</v>
      </c>
      <c r="C370">
        <v>1.38E-2</v>
      </c>
      <c r="D370">
        <v>1.155E-2</v>
      </c>
      <c r="E370">
        <v>1.221E-2</v>
      </c>
      <c r="F370">
        <v>47717794.600000001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-0.41333333333333261</v>
      </c>
      <c r="Q370">
        <f t="shared" si="970"/>
        <v>-19723355.101333298</v>
      </c>
      <c r="R370">
        <f t="shared" si="971"/>
        <v>-6651910292.5626402</v>
      </c>
      <c r="S370">
        <f t="shared" si="972"/>
        <v>-66519.102925626401</v>
      </c>
      <c r="T370">
        <f t="shared" si="973"/>
        <v>-66.519102925626399</v>
      </c>
    </row>
    <row r="371" spans="1:20" x14ac:dyDescent="0.25">
      <c r="A371" s="5">
        <v>44222</v>
      </c>
      <c r="B371">
        <v>1.3089999999999999E-2</v>
      </c>
      <c r="C371">
        <v>1.3990000000000001E-2</v>
      </c>
      <c r="D371">
        <v>1.281E-2</v>
      </c>
      <c r="E371">
        <v>1.37E-2</v>
      </c>
      <c r="F371">
        <v>47069247.700000003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0.50847457627118609</v>
      </c>
      <c r="Q371">
        <f t="shared" si="970"/>
        <v>23933515.779661004</v>
      </c>
      <c r="R371">
        <f t="shared" si="971"/>
        <v>-6632186937.4613066</v>
      </c>
      <c r="S371">
        <f t="shared" si="972"/>
        <v>-66321.869374613059</v>
      </c>
      <c r="T371">
        <f t="shared" si="973"/>
        <v>-66.321869374613058</v>
      </c>
    </row>
    <row r="372" spans="1:20" x14ac:dyDescent="0.25">
      <c r="A372" s="5">
        <v>44221</v>
      </c>
      <c r="B372">
        <v>1.359E-2</v>
      </c>
      <c r="C372">
        <v>1.397E-2</v>
      </c>
      <c r="D372">
        <v>1.303E-2</v>
      </c>
      <c r="E372">
        <v>1.308E-2</v>
      </c>
      <c r="F372">
        <v>27141225.399999999</v>
      </c>
      <c r="G372">
        <v>0</v>
      </c>
      <c r="L372" t="s">
        <v>7</v>
      </c>
      <c r="M372" t="s">
        <v>7</v>
      </c>
      <c r="N372" t="s">
        <v>8</v>
      </c>
      <c r="P372">
        <f t="shared" si="969"/>
        <v>-0.89361702127659637</v>
      </c>
      <c r="Q372">
        <f t="shared" si="970"/>
        <v>-24253860.995744698</v>
      </c>
      <c r="R372">
        <f t="shared" si="971"/>
        <v>-6656120453.2409678</v>
      </c>
      <c r="S372">
        <f t="shared" si="972"/>
        <v>-66561.204532409683</v>
      </c>
      <c r="T372">
        <f t="shared" si="973"/>
        <v>-66.56120453240969</v>
      </c>
    </row>
    <row r="373" spans="1:20" x14ac:dyDescent="0.25">
      <c r="A373" s="5">
        <v>44220</v>
      </c>
      <c r="B373">
        <v>1.3650000000000001E-2</v>
      </c>
      <c r="C373">
        <v>1.444E-2</v>
      </c>
      <c r="D373">
        <v>1.3509999999999999E-2</v>
      </c>
      <c r="E373">
        <v>1.3599999999999999E-2</v>
      </c>
      <c r="F373">
        <v>28807080.5</v>
      </c>
      <c r="G373">
        <v>0</v>
      </c>
      <c r="L373" t="s">
        <v>8</v>
      </c>
      <c r="M373" t="s">
        <v>7</v>
      </c>
      <c r="N373" t="s">
        <v>8</v>
      </c>
      <c r="P373">
        <f t="shared" si="969"/>
        <v>-0.80645161290322631</v>
      </c>
      <c r="Q373">
        <f t="shared" si="970"/>
        <v>-23231516.532258078</v>
      </c>
      <c r="R373">
        <f t="shared" si="971"/>
        <v>-6631866592.245223</v>
      </c>
      <c r="S373">
        <f t="shared" si="972"/>
        <v>-66318.66592245223</v>
      </c>
      <c r="T373">
        <f t="shared" si="973"/>
        <v>-66.318665922452226</v>
      </c>
    </row>
    <row r="374" spans="1:20" x14ac:dyDescent="0.25">
      <c r="A374" s="5">
        <v>44219</v>
      </c>
      <c r="B374">
        <v>1.3950000000000001E-2</v>
      </c>
      <c r="C374">
        <v>1.4370000000000001E-2</v>
      </c>
      <c r="D374">
        <v>1.346E-2</v>
      </c>
      <c r="E374">
        <v>1.366E-2</v>
      </c>
      <c r="F374">
        <v>26829425.800000001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-0.56043956043955978</v>
      </c>
      <c r="Q374">
        <f t="shared" si="970"/>
        <v>-15036271.602197785</v>
      </c>
      <c r="R374">
        <f t="shared" si="971"/>
        <v>-6608635075.712965</v>
      </c>
      <c r="S374">
        <f t="shared" si="972"/>
        <v>-66086.35075712965</v>
      </c>
      <c r="T374">
        <f t="shared" si="973"/>
        <v>-66.086350757129651</v>
      </c>
    </row>
    <row r="375" spans="1:20" x14ac:dyDescent="0.25">
      <c r="A375" s="5">
        <v>44218</v>
      </c>
      <c r="B375">
        <v>1.4200000000000001E-2</v>
      </c>
      <c r="C375">
        <v>1.443E-2</v>
      </c>
      <c r="D375">
        <v>1.299E-2</v>
      </c>
      <c r="E375">
        <v>1.397E-2</v>
      </c>
      <c r="F375">
        <v>48087497.299999997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0.36111111111111077</v>
      </c>
      <c r="Q375">
        <f t="shared" si="970"/>
        <v>17364929.58055554</v>
      </c>
      <c r="R375">
        <f t="shared" si="971"/>
        <v>-6593598804.1107674</v>
      </c>
      <c r="S375">
        <f t="shared" si="972"/>
        <v>-65935.988041107674</v>
      </c>
      <c r="T375">
        <f t="shared" si="973"/>
        <v>-65.935988041107677</v>
      </c>
    </row>
    <row r="376" spans="1:20" x14ac:dyDescent="0.25">
      <c r="A376" s="5">
        <v>44217</v>
      </c>
      <c r="B376">
        <v>1.461E-2</v>
      </c>
      <c r="C376">
        <v>1.5509999999999999E-2</v>
      </c>
      <c r="D376">
        <v>1.3729999999999999E-2</v>
      </c>
      <c r="E376">
        <v>1.4200000000000001E-2</v>
      </c>
      <c r="F376">
        <v>91446604.700000003</v>
      </c>
      <c r="G376">
        <v>0</v>
      </c>
      <c r="L376" t="s">
        <v>8</v>
      </c>
      <c r="M376" t="s">
        <v>7</v>
      </c>
      <c r="N376" t="s">
        <v>8</v>
      </c>
      <c r="P376">
        <f t="shared" si="969"/>
        <v>-0.47191011235954877</v>
      </c>
      <c r="Q376">
        <f t="shared" si="970"/>
        <v>-43154577.498876244</v>
      </c>
      <c r="R376">
        <f t="shared" si="971"/>
        <v>-6610963733.6913233</v>
      </c>
      <c r="S376">
        <f t="shared" si="972"/>
        <v>-66109.637336913234</v>
      </c>
      <c r="T376">
        <f t="shared" si="973"/>
        <v>-66.109637336913238</v>
      </c>
    </row>
    <row r="377" spans="1:20" x14ac:dyDescent="0.25">
      <c r="A377" s="5">
        <v>44216</v>
      </c>
      <c r="B377">
        <v>1.448E-2</v>
      </c>
      <c r="C377">
        <v>1.472E-2</v>
      </c>
      <c r="D377">
        <v>1.375E-2</v>
      </c>
      <c r="E377">
        <v>1.461E-2</v>
      </c>
      <c r="F377">
        <v>38624885.299999997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0.77319587628865838</v>
      </c>
      <c r="Q377">
        <f t="shared" si="970"/>
        <v>29864602.036082417</v>
      </c>
      <c r="R377">
        <f t="shared" si="971"/>
        <v>-6567809156.1924467</v>
      </c>
      <c r="S377">
        <f t="shared" si="972"/>
        <v>-65678.091561924462</v>
      </c>
      <c r="T377">
        <f t="shared" si="973"/>
        <v>-65.678091561924461</v>
      </c>
    </row>
    <row r="378" spans="1:20" x14ac:dyDescent="0.25">
      <c r="A378" s="5">
        <v>44215</v>
      </c>
      <c r="B378">
        <v>1.499E-2</v>
      </c>
      <c r="C378">
        <v>1.55E-2</v>
      </c>
      <c r="D378">
        <v>1.4250000000000001E-2</v>
      </c>
      <c r="E378">
        <v>1.452E-2</v>
      </c>
      <c r="F378">
        <v>46301122.299999997</v>
      </c>
      <c r="G378">
        <v>0</v>
      </c>
      <c r="L378" t="s">
        <v>8</v>
      </c>
      <c r="M378" t="s">
        <v>7</v>
      </c>
      <c r="N378" t="s">
        <v>8</v>
      </c>
      <c r="P378">
        <f t="shared" si="969"/>
        <v>-0.56800000000000073</v>
      </c>
      <c r="Q378">
        <f t="shared" si="970"/>
        <v>-26299037.466400031</v>
      </c>
      <c r="R378">
        <f t="shared" si="971"/>
        <v>-6597673758.228529</v>
      </c>
      <c r="S378">
        <f t="shared" si="972"/>
        <v>-65976.737582285292</v>
      </c>
      <c r="T378">
        <f t="shared" si="973"/>
        <v>-65.976737582285296</v>
      </c>
    </row>
    <row r="379" spans="1:20" x14ac:dyDescent="0.25">
      <c r="A379" s="5">
        <v>44214</v>
      </c>
      <c r="B379">
        <v>1.4370000000000001E-2</v>
      </c>
      <c r="C379">
        <v>1.5129999999999999E-2</v>
      </c>
      <c r="D379">
        <v>1.3950000000000001E-2</v>
      </c>
      <c r="E379">
        <v>1.4970000000000001E-2</v>
      </c>
      <c r="F379">
        <v>30971429.699999999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0.72881355932203584</v>
      </c>
      <c r="Q379">
        <f t="shared" si="970"/>
        <v>22572397.916949213</v>
      </c>
      <c r="R379">
        <f t="shared" si="971"/>
        <v>-6571374720.7621288</v>
      </c>
      <c r="S379">
        <f t="shared" si="972"/>
        <v>-65713.747207621287</v>
      </c>
      <c r="T379">
        <f t="shared" si="973"/>
        <v>-65.713747207621282</v>
      </c>
    </row>
    <row r="380" spans="1:20" x14ac:dyDescent="0.25">
      <c r="A380" s="5">
        <v>44213</v>
      </c>
      <c r="B380">
        <v>1.494E-2</v>
      </c>
      <c r="C380">
        <v>1.506E-2</v>
      </c>
      <c r="D380">
        <v>1.4250000000000001E-2</v>
      </c>
      <c r="E380">
        <v>1.4370000000000001E-2</v>
      </c>
      <c r="F380">
        <v>35187839.899999999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-0.70370370370370294</v>
      </c>
      <c r="Q380">
        <f t="shared" si="970"/>
        <v>-24761813.262962934</v>
      </c>
      <c r="R380">
        <f t="shared" si="971"/>
        <v>-6593947118.6790781</v>
      </c>
      <c r="S380">
        <f t="shared" si="972"/>
        <v>-65939.471186790775</v>
      </c>
      <c r="T380">
        <f t="shared" si="973"/>
        <v>-65.939471186790769</v>
      </c>
    </row>
    <row r="381" spans="1:20" x14ac:dyDescent="0.25">
      <c r="A381" s="5">
        <v>44212</v>
      </c>
      <c r="B381">
        <v>1.5049999999999999E-2</v>
      </c>
      <c r="C381">
        <v>1.546E-2</v>
      </c>
      <c r="D381">
        <v>1.468E-2</v>
      </c>
      <c r="E381">
        <v>1.494E-2</v>
      </c>
      <c r="F381">
        <v>48873161.200000003</v>
      </c>
      <c r="G381">
        <v>0</v>
      </c>
      <c r="L381" t="s">
        <v>8</v>
      </c>
      <c r="M381" t="s">
        <v>7</v>
      </c>
      <c r="N381" t="s">
        <v>8</v>
      </c>
      <c r="P381">
        <f t="shared" si="969"/>
        <v>-0.33333333333333331</v>
      </c>
      <c r="Q381">
        <f t="shared" si="970"/>
        <v>-16291053.733333334</v>
      </c>
      <c r="R381">
        <f t="shared" si="971"/>
        <v>-6569185305.4161148</v>
      </c>
      <c r="S381">
        <f t="shared" si="972"/>
        <v>-65691.853054161154</v>
      </c>
      <c r="T381">
        <f t="shared" si="973"/>
        <v>-65.691853054161157</v>
      </c>
    </row>
    <row r="382" spans="1:20" x14ac:dyDescent="0.25">
      <c r="A382" s="5">
        <v>44211</v>
      </c>
      <c r="B382">
        <v>1.5169999999999999E-2</v>
      </c>
      <c r="C382">
        <v>1.5630000000000002E-2</v>
      </c>
      <c r="D382">
        <v>1.4E-2</v>
      </c>
      <c r="E382">
        <v>1.498E-2</v>
      </c>
      <c r="F382">
        <v>47996536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0.2024539877300604</v>
      </c>
      <c r="Q382">
        <f t="shared" si="970"/>
        <v>9717090.1104294024</v>
      </c>
      <c r="R382">
        <f t="shared" si="971"/>
        <v>-6552894251.6827812</v>
      </c>
      <c r="S382">
        <f t="shared" si="972"/>
        <v>-65528.94251682781</v>
      </c>
      <c r="T382">
        <f t="shared" si="973"/>
        <v>-65.528942516827811</v>
      </c>
    </row>
    <row r="383" spans="1:20" x14ac:dyDescent="0.25">
      <c r="A383" s="5">
        <v>44210</v>
      </c>
      <c r="B383">
        <v>1.512E-2</v>
      </c>
      <c r="C383">
        <v>1.576E-2</v>
      </c>
      <c r="D383">
        <v>1.4800000000000001E-2</v>
      </c>
      <c r="E383">
        <v>1.512E-2</v>
      </c>
      <c r="F383">
        <v>45255553.100000001</v>
      </c>
      <c r="G383">
        <v>0</v>
      </c>
      <c r="L383" t="s">
        <v>8</v>
      </c>
      <c r="M383" t="s">
        <v>7</v>
      </c>
      <c r="N383" t="s">
        <v>8</v>
      </c>
      <c r="P383">
        <f t="shared" si="969"/>
        <v>-0.33333333333333454</v>
      </c>
      <c r="Q383">
        <f t="shared" si="970"/>
        <v>-15085184.366666721</v>
      </c>
      <c r="R383">
        <f t="shared" si="971"/>
        <v>-6562611341.793211</v>
      </c>
      <c r="S383">
        <f t="shared" si="972"/>
        <v>-65626.113417932109</v>
      </c>
      <c r="T383">
        <f t="shared" si="973"/>
        <v>-65.626113417932103</v>
      </c>
    </row>
    <row r="384" spans="1:20" x14ac:dyDescent="0.25">
      <c r="A384" s="5">
        <v>44209</v>
      </c>
      <c r="B384">
        <v>1.47E-2</v>
      </c>
      <c r="C384">
        <v>1.538E-2</v>
      </c>
      <c r="D384">
        <v>1.4109999999999999E-2</v>
      </c>
      <c r="E384">
        <v>1.511E-2</v>
      </c>
      <c r="F384">
        <v>39306733.5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0.57480314960630019</v>
      </c>
      <c r="Q384">
        <f t="shared" si="970"/>
        <v>22593634.216535471</v>
      </c>
      <c r="R384">
        <f t="shared" si="971"/>
        <v>-6547526157.4265442</v>
      </c>
      <c r="S384">
        <f t="shared" si="972"/>
        <v>-65475.261574265445</v>
      </c>
      <c r="T384">
        <f t="shared" si="973"/>
        <v>-65.475261574265446</v>
      </c>
    </row>
    <row r="385" spans="1:20" x14ac:dyDescent="0.25">
      <c r="A385" s="5">
        <v>44208</v>
      </c>
      <c r="B385">
        <v>1.5699999999999999E-2</v>
      </c>
      <c r="C385">
        <v>1.66E-2</v>
      </c>
      <c r="D385">
        <v>1.4030000000000001E-2</v>
      </c>
      <c r="E385">
        <v>1.468E-2</v>
      </c>
      <c r="F385">
        <v>87100623.400000006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-0.49416342412451386</v>
      </c>
      <c r="Q385">
        <f t="shared" si="970"/>
        <v>-43041942.302723758</v>
      </c>
      <c r="R385">
        <f t="shared" si="971"/>
        <v>-6570119791.6430798</v>
      </c>
      <c r="S385">
        <f t="shared" si="972"/>
        <v>-65701.1979164308</v>
      </c>
      <c r="T385">
        <f t="shared" si="973"/>
        <v>-65.7011979164308</v>
      </c>
    </row>
    <row r="386" spans="1:20" x14ac:dyDescent="0.25">
      <c r="A386" s="5">
        <v>44207</v>
      </c>
      <c r="B386">
        <v>1.4370000000000001E-2</v>
      </c>
      <c r="C386">
        <v>1.7420000000000001E-2</v>
      </c>
      <c r="D386">
        <v>1.35E-2</v>
      </c>
      <c r="E386">
        <v>1.5689999999999999E-2</v>
      </c>
      <c r="F386">
        <v>275796330.19999999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0.11734693877550936</v>
      </c>
      <c r="Q386">
        <f t="shared" si="970"/>
        <v>32363855.074489564</v>
      </c>
      <c r="R386">
        <f t="shared" si="971"/>
        <v>-6527077849.3403559</v>
      </c>
      <c r="S386">
        <f t="shared" si="972"/>
        <v>-65270.778493403559</v>
      </c>
      <c r="T386">
        <f t="shared" si="973"/>
        <v>-65.270778493403554</v>
      </c>
    </row>
    <row r="387" spans="1:20" x14ac:dyDescent="0.25">
      <c r="A387" s="5">
        <v>44206</v>
      </c>
      <c r="B387">
        <v>1.558E-2</v>
      </c>
      <c r="C387">
        <v>1.562E-2</v>
      </c>
      <c r="D387">
        <v>1.3780000000000001E-2</v>
      </c>
      <c r="E387">
        <v>1.439E-2</v>
      </c>
      <c r="F387">
        <v>86127343.299999997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-0.33695652173913093</v>
      </c>
      <c r="Q387">
        <f t="shared" si="970"/>
        <v>-29021170.025000043</v>
      </c>
      <c r="R387">
        <f t="shared" si="971"/>
        <v>-6559441704.4148455</v>
      </c>
      <c r="S387">
        <f t="shared" si="972"/>
        <v>-65594.41704414846</v>
      </c>
      <c r="T387">
        <f t="shared" si="973"/>
        <v>-65.594417044148457</v>
      </c>
    </row>
    <row r="388" spans="1:20" x14ac:dyDescent="0.25">
      <c r="A388" s="5">
        <v>44205</v>
      </c>
      <c r="B388">
        <v>1.4030000000000001E-2</v>
      </c>
      <c r="C388">
        <v>1.7989999999999999E-2</v>
      </c>
      <c r="D388">
        <v>1.3559999999999999E-2</v>
      </c>
      <c r="E388">
        <v>1.5599999999999999E-2</v>
      </c>
      <c r="F388">
        <v>164371374.19999999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-7.9006772009029266E-2</v>
      </c>
      <c r="Q388">
        <f t="shared" si="970"/>
        <v>-12986451.686230235</v>
      </c>
      <c r="R388">
        <f t="shared" si="971"/>
        <v>-6530420534.3898458</v>
      </c>
      <c r="S388">
        <f t="shared" si="972"/>
        <v>-65304.205343898459</v>
      </c>
      <c r="T388">
        <f t="shared" si="973"/>
        <v>-65.30420534389846</v>
      </c>
    </row>
    <row r="389" spans="1:20" x14ac:dyDescent="0.25">
      <c r="A389" s="5">
        <v>44204</v>
      </c>
      <c r="B389">
        <v>1.487E-2</v>
      </c>
      <c r="C389">
        <v>1.5469999999999999E-2</v>
      </c>
      <c r="D389">
        <v>1.3010000000000001E-2</v>
      </c>
      <c r="E389">
        <v>1.4030000000000001E-2</v>
      </c>
      <c r="F389">
        <v>56067657.200000003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-0.17073170731707266</v>
      </c>
      <c r="Q389">
        <f t="shared" si="970"/>
        <v>-9572526.8390243612</v>
      </c>
      <c r="R389">
        <f t="shared" si="971"/>
        <v>-6517434082.7036152</v>
      </c>
      <c r="S389">
        <f t="shared" si="972"/>
        <v>-65174.340827036154</v>
      </c>
      <c r="T389">
        <f t="shared" si="973"/>
        <v>-65.174340827036161</v>
      </c>
    </row>
    <row r="390" spans="1:20" x14ac:dyDescent="0.25">
      <c r="A390" s="5">
        <v>44203</v>
      </c>
      <c r="B390">
        <v>1.396E-2</v>
      </c>
      <c r="C390">
        <v>1.755E-2</v>
      </c>
      <c r="D390">
        <v>1.3610000000000001E-2</v>
      </c>
      <c r="E390">
        <v>1.499E-2</v>
      </c>
      <c r="F390">
        <v>121954996.40000001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-0.29949238578680221</v>
      </c>
      <c r="Q390">
        <f t="shared" ref="Q390:Q453" si="975">F390*P390</f>
        <v>-36524592.830456875</v>
      </c>
      <c r="R390">
        <f t="shared" ref="R390:R453" si="976">R391+Q390</f>
        <v>-6507861555.8645906</v>
      </c>
      <c r="S390">
        <f t="shared" ref="S390:S453" si="977">R390/100000</f>
        <v>-65078.615558645906</v>
      </c>
      <c r="T390">
        <f t="shared" ref="T390:T453" si="978">S390/1000</f>
        <v>-65.078615558645907</v>
      </c>
    </row>
    <row r="391" spans="1:20" x14ac:dyDescent="0.25">
      <c r="A391" s="5">
        <v>44202</v>
      </c>
      <c r="B391">
        <v>1.3639999999999999E-2</v>
      </c>
      <c r="C391">
        <v>1.502E-2</v>
      </c>
      <c r="D391">
        <v>1.2999999999999999E-2</v>
      </c>
      <c r="E391">
        <v>1.3950000000000001E-2</v>
      </c>
      <c r="F391">
        <v>64998939.799999997</v>
      </c>
      <c r="G391">
        <v>0</v>
      </c>
      <c r="L391" t="s">
        <v>8</v>
      </c>
      <c r="M391" t="s">
        <v>7</v>
      </c>
      <c r="N391" t="s">
        <v>8</v>
      </c>
      <c r="P391">
        <f t="shared" si="974"/>
        <v>-5.9405940594058675E-2</v>
      </c>
      <c r="Q391">
        <f t="shared" si="975"/>
        <v>-3861323.1564355958</v>
      </c>
      <c r="R391">
        <f t="shared" si="976"/>
        <v>-6471336963.0341339</v>
      </c>
      <c r="S391">
        <f t="shared" si="977"/>
        <v>-64713.369630341338</v>
      </c>
      <c r="T391">
        <f t="shared" si="978"/>
        <v>-64.713369630341333</v>
      </c>
    </row>
    <row r="392" spans="1:20" x14ac:dyDescent="0.25">
      <c r="A392" s="5">
        <v>44201</v>
      </c>
      <c r="B392">
        <v>1.3690000000000001E-2</v>
      </c>
      <c r="C392">
        <v>1.43E-2</v>
      </c>
      <c r="D392">
        <v>1.295E-2</v>
      </c>
      <c r="E392">
        <v>1.3520000000000001E-2</v>
      </c>
      <c r="F392">
        <v>37464496.600000001</v>
      </c>
      <c r="G392">
        <v>0</v>
      </c>
      <c r="L392" t="s">
        <v>8</v>
      </c>
      <c r="M392" t="s">
        <v>7</v>
      </c>
      <c r="N392" t="s">
        <v>8</v>
      </c>
      <c r="P392">
        <f t="shared" si="974"/>
        <v>-0.15555555555555431</v>
      </c>
      <c r="Q392">
        <f t="shared" si="975"/>
        <v>-5827810.5822221758</v>
      </c>
      <c r="R392">
        <f t="shared" si="976"/>
        <v>-6467475639.8776979</v>
      </c>
      <c r="S392">
        <f t="shared" si="977"/>
        <v>-64674.756398776983</v>
      </c>
      <c r="T392">
        <f t="shared" si="978"/>
        <v>-64.674756398776978</v>
      </c>
    </row>
    <row r="393" spans="1:20" x14ac:dyDescent="0.25">
      <c r="A393" s="5">
        <v>44200</v>
      </c>
      <c r="B393">
        <v>1.418E-2</v>
      </c>
      <c r="C393">
        <v>1.451E-2</v>
      </c>
      <c r="D393">
        <v>1.277E-2</v>
      </c>
      <c r="E393">
        <v>1.367E-2</v>
      </c>
      <c r="F393">
        <v>59729406.799999997</v>
      </c>
      <c r="G393">
        <v>0</v>
      </c>
      <c r="L393" t="s">
        <v>7</v>
      </c>
      <c r="M393" t="s">
        <v>7</v>
      </c>
      <c r="N393" t="s">
        <v>8</v>
      </c>
      <c r="P393">
        <f t="shared" si="974"/>
        <v>3.4482758620689245E-2</v>
      </c>
      <c r="Q393">
        <f t="shared" si="975"/>
        <v>2059634.7172413548</v>
      </c>
      <c r="R393">
        <f t="shared" si="976"/>
        <v>-6461647829.295476</v>
      </c>
      <c r="S393">
        <f t="shared" si="977"/>
        <v>-64616.478292954758</v>
      </c>
      <c r="T393">
        <f t="shared" si="978"/>
        <v>-64.616478292954753</v>
      </c>
    </row>
    <row r="394" spans="1:20" x14ac:dyDescent="0.25">
      <c r="A394" s="5">
        <v>44199</v>
      </c>
      <c r="B394">
        <v>1.312E-2</v>
      </c>
      <c r="C394">
        <v>1.5800000000000002E-2</v>
      </c>
      <c r="D394">
        <v>1.294E-2</v>
      </c>
      <c r="E394">
        <v>1.4200000000000001E-2</v>
      </c>
      <c r="F394">
        <v>86992451.200000003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-0.11888111888111882</v>
      </c>
      <c r="Q394">
        <f t="shared" si="975"/>
        <v>-10341759.932867128</v>
      </c>
      <c r="R394">
        <f t="shared" si="976"/>
        <v>-6463707464.0127172</v>
      </c>
      <c r="S394">
        <f t="shared" si="977"/>
        <v>-64637.074640127175</v>
      </c>
      <c r="T394">
        <f t="shared" si="978"/>
        <v>-64.637074640127182</v>
      </c>
    </row>
    <row r="395" spans="1:20" x14ac:dyDescent="0.25">
      <c r="A395" s="5">
        <v>44198</v>
      </c>
      <c r="B395">
        <v>1.325E-2</v>
      </c>
      <c r="C395">
        <v>1.491E-2</v>
      </c>
      <c r="D395">
        <v>1.2500000000000001E-2</v>
      </c>
      <c r="E395">
        <v>1.315E-2</v>
      </c>
      <c r="F395">
        <v>82606366.900000006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-0.46058091286307068</v>
      </c>
      <c r="Q395">
        <f t="shared" si="975"/>
        <v>-38046915.875103749</v>
      </c>
      <c r="R395">
        <f t="shared" si="976"/>
        <v>-6453365704.0798502</v>
      </c>
      <c r="S395">
        <f t="shared" si="977"/>
        <v>-64533.657040798505</v>
      </c>
      <c r="T395">
        <f t="shared" si="978"/>
        <v>-64.533657040798502</v>
      </c>
    </row>
    <row r="396" spans="1:20" x14ac:dyDescent="0.25">
      <c r="A396" s="5">
        <v>44197</v>
      </c>
      <c r="B396">
        <v>1.3440000000000001E-2</v>
      </c>
      <c r="C396">
        <v>1.5959999999999998E-2</v>
      </c>
      <c r="D396">
        <v>1.2999999999999999E-2</v>
      </c>
      <c r="E396">
        <v>1.325E-2</v>
      </c>
      <c r="F396">
        <v>145474949.69999999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-0.83108108108108092</v>
      </c>
      <c r="Q396">
        <f t="shared" si="975"/>
        <v>-120901478.46689186</v>
      </c>
      <c r="R396">
        <f t="shared" si="976"/>
        <v>-6415318788.2047462</v>
      </c>
      <c r="S396">
        <f t="shared" si="977"/>
        <v>-64153.187882047459</v>
      </c>
      <c r="T396">
        <f t="shared" si="978"/>
        <v>-64.153187882047462</v>
      </c>
    </row>
    <row r="397" spans="1:20" x14ac:dyDescent="0.25">
      <c r="A397" s="5">
        <v>44196</v>
      </c>
      <c r="B397">
        <v>1.299E-2</v>
      </c>
      <c r="C397">
        <v>1.3729999999999999E-2</v>
      </c>
      <c r="D397">
        <v>1.205E-2</v>
      </c>
      <c r="E397">
        <v>1.349E-2</v>
      </c>
      <c r="F397">
        <v>79107531.299999997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0.71428571428571541</v>
      </c>
      <c r="Q397">
        <f t="shared" si="975"/>
        <v>56505379.500000089</v>
      </c>
      <c r="R397">
        <f t="shared" si="976"/>
        <v>-6294417309.737854</v>
      </c>
      <c r="S397">
        <f t="shared" si="977"/>
        <v>-62944.173097378538</v>
      </c>
      <c r="T397">
        <f t="shared" si="978"/>
        <v>-62.944173097378538</v>
      </c>
    </row>
    <row r="398" spans="1:20" x14ac:dyDescent="0.25">
      <c r="A398" s="5">
        <v>44195</v>
      </c>
      <c r="B398">
        <v>1.2659999999999999E-2</v>
      </c>
      <c r="C398">
        <v>1.435E-2</v>
      </c>
      <c r="D398">
        <v>1.1990000000000001E-2</v>
      </c>
      <c r="E398">
        <v>1.2999999999999999E-2</v>
      </c>
      <c r="F398">
        <v>84822508.5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-0.14406779661017027</v>
      </c>
      <c r="Q398">
        <f t="shared" si="975"/>
        <v>-12220191.902542438</v>
      </c>
      <c r="R398">
        <f t="shared" si="976"/>
        <v>-6350922689.237854</v>
      </c>
      <c r="S398">
        <f t="shared" si="977"/>
        <v>-63509.226892378538</v>
      </c>
      <c r="T398">
        <f t="shared" si="978"/>
        <v>-63.509226892378535</v>
      </c>
    </row>
    <row r="399" spans="1:20" x14ac:dyDescent="0.25">
      <c r="A399" s="5">
        <v>44194</v>
      </c>
      <c r="B399">
        <v>1.3820000000000001E-2</v>
      </c>
      <c r="C399">
        <v>1.406E-2</v>
      </c>
      <c r="D399">
        <v>1.072E-2</v>
      </c>
      <c r="E399">
        <v>1.265E-2</v>
      </c>
      <c r="F399">
        <v>87755004.299999997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0.15568862275449094</v>
      </c>
      <c r="Q399">
        <f t="shared" si="975"/>
        <v>13662455.75928143</v>
      </c>
      <c r="R399">
        <f t="shared" si="976"/>
        <v>-6338702497.3353119</v>
      </c>
      <c r="S399">
        <f t="shared" si="977"/>
        <v>-63387.024973353116</v>
      </c>
      <c r="T399">
        <f t="shared" si="978"/>
        <v>-63.387024973353114</v>
      </c>
    </row>
    <row r="400" spans="1:20" x14ac:dyDescent="0.25">
      <c r="A400" s="5">
        <v>44193</v>
      </c>
      <c r="B400">
        <v>1.473E-2</v>
      </c>
      <c r="C400">
        <v>1.525E-2</v>
      </c>
      <c r="D400">
        <v>1.38E-2</v>
      </c>
      <c r="E400">
        <v>1.3809999999999999E-2</v>
      </c>
      <c r="F400">
        <v>81469613.599999994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-0.98620689655172467</v>
      </c>
      <c r="Q400">
        <f t="shared" si="975"/>
        <v>-80345894.791724175</v>
      </c>
      <c r="R400">
        <f t="shared" si="976"/>
        <v>-6352364953.094593</v>
      </c>
      <c r="S400">
        <f t="shared" si="977"/>
        <v>-63523.649530945928</v>
      </c>
      <c r="T400">
        <f t="shared" si="978"/>
        <v>-63.523649530945924</v>
      </c>
    </row>
    <row r="401" spans="1:20" x14ac:dyDescent="0.25">
      <c r="A401" s="5">
        <v>44192</v>
      </c>
      <c r="B401">
        <v>1.4189999999999999E-2</v>
      </c>
      <c r="C401">
        <v>1.653E-2</v>
      </c>
      <c r="D401">
        <v>1.342E-2</v>
      </c>
      <c r="E401">
        <v>1.472E-2</v>
      </c>
      <c r="F401">
        <v>237640744.19999999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-0.16398713826366507</v>
      </c>
      <c r="Q401">
        <f t="shared" si="975"/>
        <v>-38970025.576205663</v>
      </c>
      <c r="R401">
        <f t="shared" si="976"/>
        <v>-6272019058.3028688</v>
      </c>
      <c r="S401">
        <f t="shared" si="977"/>
        <v>-62720.190583028685</v>
      </c>
      <c r="T401">
        <f t="shared" si="978"/>
        <v>-62.720190583028682</v>
      </c>
    </row>
    <row r="402" spans="1:20" x14ac:dyDescent="0.25">
      <c r="A402" s="5">
        <v>44191</v>
      </c>
      <c r="B402">
        <v>1.519E-2</v>
      </c>
      <c r="C402">
        <v>1.6240000000000001E-2</v>
      </c>
      <c r="D402">
        <v>1.3679999999999999E-2</v>
      </c>
      <c r="E402">
        <v>1.4120000000000001E-2</v>
      </c>
      <c r="F402">
        <v>188505637.59999999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-0.65624999999999933</v>
      </c>
      <c r="Q402">
        <f t="shared" si="975"/>
        <v>-123706824.67499988</v>
      </c>
      <c r="R402">
        <f t="shared" si="976"/>
        <v>-6233049032.7266636</v>
      </c>
      <c r="S402">
        <f t="shared" si="977"/>
        <v>-62330.490327266634</v>
      </c>
      <c r="T402">
        <f t="shared" si="978"/>
        <v>-62.330490327266631</v>
      </c>
    </row>
    <row r="403" spans="1:20" x14ac:dyDescent="0.25">
      <c r="A403" s="5">
        <v>44190</v>
      </c>
      <c r="B403">
        <v>1.4290000000000001E-2</v>
      </c>
      <c r="C403">
        <v>1.9390000000000001E-2</v>
      </c>
      <c r="D403">
        <v>1.4109999999999999E-2</v>
      </c>
      <c r="E403">
        <v>1.519E-2</v>
      </c>
      <c r="F403">
        <v>765678132.39999998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-0.59090909090909061</v>
      </c>
      <c r="Q403">
        <f t="shared" si="975"/>
        <v>-452446169.14545429</v>
      </c>
      <c r="R403">
        <f t="shared" si="976"/>
        <v>-6109342208.0516634</v>
      </c>
      <c r="S403">
        <f t="shared" si="977"/>
        <v>-61093.422080516633</v>
      </c>
      <c r="T403">
        <f t="shared" si="978"/>
        <v>-61.093422080516632</v>
      </c>
    </row>
    <row r="404" spans="1:20" x14ac:dyDescent="0.25">
      <c r="A404" s="5">
        <v>44189</v>
      </c>
      <c r="B404">
        <v>1.0410000000000001E-2</v>
      </c>
      <c r="C404">
        <v>1.966E-2</v>
      </c>
      <c r="D404">
        <v>9.4999999999999998E-3</v>
      </c>
      <c r="E404">
        <v>1.4200000000000001E-2</v>
      </c>
      <c r="F404">
        <v>863086900</v>
      </c>
      <c r="G404">
        <v>0</v>
      </c>
      <c r="L404" t="s">
        <v>7</v>
      </c>
      <c r="M404" t="s">
        <v>7</v>
      </c>
      <c r="N404" t="s">
        <v>8</v>
      </c>
      <c r="P404">
        <f t="shared" si="974"/>
        <v>-7.4803149606299066E-2</v>
      </c>
      <c r="Q404">
        <f t="shared" si="975"/>
        <v>-64561618.503936879</v>
      </c>
      <c r="R404">
        <f t="shared" si="976"/>
        <v>-5656896038.906209</v>
      </c>
      <c r="S404">
        <f t="shared" si="977"/>
        <v>-56568.960389062093</v>
      </c>
      <c r="T404">
        <f t="shared" si="978"/>
        <v>-56.568960389062092</v>
      </c>
    </row>
    <row r="405" spans="1:20" x14ac:dyDescent="0.25">
      <c r="A405" s="5">
        <v>44188</v>
      </c>
      <c r="B405">
        <v>1.4239999999999999E-2</v>
      </c>
      <c r="C405">
        <v>1.4290000000000001E-2</v>
      </c>
      <c r="D405">
        <v>9.7999999999999997E-3</v>
      </c>
      <c r="E405">
        <v>1.04E-2</v>
      </c>
      <c r="F405">
        <v>216560205.90000001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-0.73273942093541211</v>
      </c>
      <c r="Q405">
        <f t="shared" si="975"/>
        <v>-158682199.86881962</v>
      </c>
      <c r="R405">
        <f t="shared" si="976"/>
        <v>-5592334420.4022722</v>
      </c>
      <c r="S405">
        <f t="shared" si="977"/>
        <v>-55923.344204022724</v>
      </c>
      <c r="T405">
        <f t="shared" si="978"/>
        <v>-55.923344204022726</v>
      </c>
    </row>
    <row r="406" spans="1:20" x14ac:dyDescent="0.25">
      <c r="A406" s="5">
        <v>44187</v>
      </c>
      <c r="B406">
        <v>1.506E-2</v>
      </c>
      <c r="C406">
        <v>1.694E-2</v>
      </c>
      <c r="D406">
        <v>1.308E-2</v>
      </c>
      <c r="E406">
        <v>1.4200000000000001E-2</v>
      </c>
      <c r="F406">
        <v>432637663.10000002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-0.41968911917098389</v>
      </c>
      <c r="Q406">
        <f t="shared" si="975"/>
        <v>-181573319.74663189</v>
      </c>
      <c r="R406">
        <f t="shared" si="976"/>
        <v>-5433652220.533453</v>
      </c>
      <c r="S406">
        <f t="shared" si="977"/>
        <v>-54336.522205334528</v>
      </c>
      <c r="T406">
        <f t="shared" si="978"/>
        <v>-54.336522205334525</v>
      </c>
    </row>
    <row r="407" spans="1:20" x14ac:dyDescent="0.25">
      <c r="A407" s="5">
        <v>44186</v>
      </c>
      <c r="B407">
        <v>2.0389999999999998E-2</v>
      </c>
      <c r="C407">
        <v>2.4809999999999999E-2</v>
      </c>
      <c r="D407">
        <v>1.4449999999999999E-2</v>
      </c>
      <c r="E407">
        <v>1.506E-2</v>
      </c>
      <c r="F407">
        <v>1130697152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-0.88223938223938203</v>
      </c>
      <c r="Q407">
        <f t="shared" si="975"/>
        <v>-997545556.88030863</v>
      </c>
      <c r="R407">
        <f t="shared" si="976"/>
        <v>-5252078900.7868214</v>
      </c>
      <c r="S407">
        <f t="shared" si="977"/>
        <v>-52520.78900786821</v>
      </c>
      <c r="T407">
        <f t="shared" si="978"/>
        <v>-52.52078900786821</v>
      </c>
    </row>
    <row r="408" spans="1:20" x14ac:dyDescent="0.25">
      <c r="A408" s="5">
        <v>44185</v>
      </c>
      <c r="B408">
        <v>8.5000000000000006E-3</v>
      </c>
      <c r="C408">
        <v>0.05</v>
      </c>
      <c r="D408">
        <v>8.1300000000000001E-3</v>
      </c>
      <c r="E408">
        <v>2.0389999999999998E-2</v>
      </c>
      <c r="F408">
        <v>4526942607.6000004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-0.41437783615954149</v>
      </c>
      <c r="Q408">
        <f t="shared" si="975"/>
        <v>-1875864682.1557205</v>
      </c>
      <c r="R408">
        <f t="shared" si="976"/>
        <v>-4254533343.9065123</v>
      </c>
      <c r="S408">
        <f t="shared" si="977"/>
        <v>-42545.333439065122</v>
      </c>
      <c r="T408">
        <f t="shared" si="978"/>
        <v>-42.545333439065125</v>
      </c>
    </row>
    <row r="409" spans="1:20" x14ac:dyDescent="0.25">
      <c r="A409" s="5">
        <v>44184</v>
      </c>
      <c r="B409">
        <v>7.5799999999999999E-3</v>
      </c>
      <c r="C409">
        <v>1.021E-2</v>
      </c>
      <c r="D409">
        <v>7.26E-3</v>
      </c>
      <c r="E409">
        <v>8.5100000000000002E-3</v>
      </c>
      <c r="F409">
        <v>184532164.09999999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-0.15254237288135586</v>
      </c>
      <c r="Q409">
        <f t="shared" si="975"/>
        <v>-28148974.184745748</v>
      </c>
      <c r="R409">
        <f t="shared" si="976"/>
        <v>-2378668661.750792</v>
      </c>
      <c r="S409">
        <f t="shared" si="977"/>
        <v>-23786.686617507919</v>
      </c>
      <c r="T409">
        <f t="shared" si="978"/>
        <v>-23.786686617507918</v>
      </c>
    </row>
    <row r="410" spans="1:20" x14ac:dyDescent="0.25">
      <c r="A410" s="5">
        <v>44183</v>
      </c>
      <c r="B410">
        <v>7.1700000000000002E-3</v>
      </c>
      <c r="C410">
        <v>7.7600000000000004E-3</v>
      </c>
      <c r="D410">
        <v>7.1500000000000001E-3</v>
      </c>
      <c r="E410">
        <v>7.5799999999999999E-3</v>
      </c>
      <c r="F410">
        <v>35617305.200000003</v>
      </c>
      <c r="G410">
        <v>0</v>
      </c>
      <c r="L410" t="s">
        <v>8</v>
      </c>
      <c r="M410" t="s">
        <v>7</v>
      </c>
      <c r="N410" t="s">
        <v>7</v>
      </c>
      <c r="P410">
        <f t="shared" si="974"/>
        <v>0.40983606557376923</v>
      </c>
      <c r="Q410">
        <f t="shared" si="975"/>
        <v>14597256.229508152</v>
      </c>
      <c r="R410">
        <f t="shared" si="976"/>
        <v>-2350519687.5660462</v>
      </c>
      <c r="S410">
        <f t="shared" si="977"/>
        <v>-23505.196875660462</v>
      </c>
      <c r="T410">
        <f t="shared" si="978"/>
        <v>-23.505196875660463</v>
      </c>
    </row>
    <row r="411" spans="1:20" x14ac:dyDescent="0.25">
      <c r="A411" s="5">
        <v>44182</v>
      </c>
      <c r="B411">
        <v>7.2300000000000003E-3</v>
      </c>
      <c r="C411">
        <v>7.7799999999999996E-3</v>
      </c>
      <c r="D411">
        <v>6.9899999999999997E-3</v>
      </c>
      <c r="E411">
        <v>7.1799999999999998E-3</v>
      </c>
      <c r="F411">
        <v>35541942.700000003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-0.51898734177215167</v>
      </c>
      <c r="Q411">
        <f t="shared" si="975"/>
        <v>-18445818.363291133</v>
      </c>
      <c r="R411">
        <f t="shared" si="976"/>
        <v>-2365116943.7955542</v>
      </c>
      <c r="S411">
        <f t="shared" si="977"/>
        <v>-23651.169437955541</v>
      </c>
      <c r="T411">
        <f t="shared" si="978"/>
        <v>-23.651169437955541</v>
      </c>
    </row>
    <row r="412" spans="1:20" x14ac:dyDescent="0.25">
      <c r="A412" s="5">
        <v>44181</v>
      </c>
      <c r="B412">
        <v>7.0400000000000003E-3</v>
      </c>
      <c r="C412">
        <v>7.9000000000000008E-3</v>
      </c>
      <c r="D412">
        <v>6.8100000000000001E-3</v>
      </c>
      <c r="E412">
        <v>7.1799999999999998E-3</v>
      </c>
      <c r="F412">
        <v>79224350.799999997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-0.32110091743119368</v>
      </c>
      <c r="Q412">
        <f t="shared" si="975"/>
        <v>-25439011.724770721</v>
      </c>
      <c r="R412">
        <f t="shared" si="976"/>
        <v>-2346671125.4322629</v>
      </c>
      <c r="S412">
        <f t="shared" si="977"/>
        <v>-23466.711254322629</v>
      </c>
      <c r="T412">
        <f t="shared" si="978"/>
        <v>-23.466711254322629</v>
      </c>
    </row>
    <row r="413" spans="1:20" x14ac:dyDescent="0.25">
      <c r="A413" s="5">
        <v>44180</v>
      </c>
      <c r="B413">
        <v>7.1199999999999996E-3</v>
      </c>
      <c r="C413">
        <v>7.2899999999999996E-3</v>
      </c>
      <c r="D413">
        <v>6.9499999999999996E-3</v>
      </c>
      <c r="E413">
        <v>7.0000000000000001E-3</v>
      </c>
      <c r="F413">
        <v>30392425.600000001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-0.70588235294117319</v>
      </c>
      <c r="Q413">
        <f t="shared" si="975"/>
        <v>-21453476.894117549</v>
      </c>
      <c r="R413">
        <f t="shared" si="976"/>
        <v>-2321232113.7074924</v>
      </c>
      <c r="S413">
        <f t="shared" si="977"/>
        <v>-23212.321137074923</v>
      </c>
      <c r="T413">
        <f t="shared" si="978"/>
        <v>-23.212321137074923</v>
      </c>
    </row>
    <row r="414" spans="1:20" x14ac:dyDescent="0.25">
      <c r="A414" s="5">
        <v>44179</v>
      </c>
      <c r="B414">
        <v>7.4799999999999997E-3</v>
      </c>
      <c r="C414">
        <v>7.5100000000000002E-3</v>
      </c>
      <c r="D414">
        <v>6.9100000000000003E-3</v>
      </c>
      <c r="E414">
        <v>7.0699999999999999E-3</v>
      </c>
      <c r="F414">
        <v>66515566.5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-0.46666666666666801</v>
      </c>
      <c r="Q414">
        <f t="shared" si="975"/>
        <v>-31040597.700000089</v>
      </c>
      <c r="R414">
        <f t="shared" si="976"/>
        <v>-2299778636.813375</v>
      </c>
      <c r="S414">
        <f t="shared" si="977"/>
        <v>-22997.786368133751</v>
      </c>
      <c r="T414">
        <f t="shared" si="978"/>
        <v>-22.997786368133752</v>
      </c>
    </row>
    <row r="415" spans="1:20" x14ac:dyDescent="0.25">
      <c r="A415" s="5">
        <v>44178</v>
      </c>
      <c r="B415">
        <v>7.5900000000000004E-3</v>
      </c>
      <c r="C415">
        <v>8.1899999999999994E-3</v>
      </c>
      <c r="D415">
        <v>7.4099999999999999E-3</v>
      </c>
      <c r="E415">
        <v>7.5100000000000002E-3</v>
      </c>
      <c r="F415">
        <v>128204682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-0.74358974358974272</v>
      </c>
      <c r="Q415">
        <f t="shared" si="975"/>
        <v>-95331686.615384504</v>
      </c>
      <c r="R415">
        <f t="shared" si="976"/>
        <v>-2268738039.1133747</v>
      </c>
      <c r="S415">
        <f t="shared" si="977"/>
        <v>-22687.380391133745</v>
      </c>
      <c r="T415">
        <f t="shared" si="978"/>
        <v>-22.687380391133747</v>
      </c>
    </row>
    <row r="416" spans="1:20" x14ac:dyDescent="0.25">
      <c r="A416" s="5">
        <v>44177</v>
      </c>
      <c r="B416">
        <v>8.1300000000000001E-3</v>
      </c>
      <c r="C416">
        <v>1.0489999999999999E-2</v>
      </c>
      <c r="D416">
        <v>7.5100000000000002E-3</v>
      </c>
      <c r="E416">
        <v>7.5900000000000004E-3</v>
      </c>
      <c r="F416">
        <v>792977490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-0.94630872483221462</v>
      </c>
      <c r="Q416">
        <f t="shared" si="975"/>
        <v>-750401517.38255024</v>
      </c>
      <c r="R416">
        <f t="shared" si="976"/>
        <v>-2173406352.4979901</v>
      </c>
      <c r="S416">
        <f t="shared" si="977"/>
        <v>-21734.063524979902</v>
      </c>
      <c r="T416">
        <f t="shared" si="978"/>
        <v>-21.734063524979902</v>
      </c>
    </row>
    <row r="417" spans="1:20" x14ac:dyDescent="0.25">
      <c r="A417" s="5">
        <v>44176</v>
      </c>
      <c r="B417">
        <v>5.6899999999999997E-3</v>
      </c>
      <c r="C417">
        <v>1.1270000000000001E-2</v>
      </c>
      <c r="D417">
        <v>5.5300000000000002E-3</v>
      </c>
      <c r="E417">
        <v>8.1300000000000001E-3</v>
      </c>
      <c r="F417">
        <v>880601821.39999998</v>
      </c>
      <c r="G417">
        <v>0</v>
      </c>
      <c r="L417" t="s">
        <v>8</v>
      </c>
      <c r="M417" t="s">
        <v>8</v>
      </c>
      <c r="N417" t="s">
        <v>8</v>
      </c>
      <c r="P417">
        <f t="shared" si="974"/>
        <v>-9.4076655052264896E-2</v>
      </c>
      <c r="Q417">
        <f t="shared" si="975"/>
        <v>-82844073.790243983</v>
      </c>
      <c r="R417">
        <f t="shared" si="976"/>
        <v>-1423004835.1154399</v>
      </c>
      <c r="S417">
        <f t="shared" si="977"/>
        <v>-14230.048351154399</v>
      </c>
      <c r="T417">
        <f t="shared" si="978"/>
        <v>-14.230048351154398</v>
      </c>
    </row>
    <row r="418" spans="1:20" x14ac:dyDescent="0.25">
      <c r="A418" s="5">
        <v>44175</v>
      </c>
      <c r="B418">
        <v>5.6600000000000001E-3</v>
      </c>
      <c r="C418">
        <v>5.7800000000000004E-3</v>
      </c>
      <c r="D418">
        <v>5.4999999999999997E-3</v>
      </c>
      <c r="E418">
        <v>5.6899999999999997E-3</v>
      </c>
      <c r="F418">
        <v>8450088.8000000007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0.35714285714285404</v>
      </c>
      <c r="Q418">
        <f t="shared" si="975"/>
        <v>3017888.8571428312</v>
      </c>
      <c r="R418">
        <f t="shared" si="976"/>
        <v>-1340160761.325196</v>
      </c>
      <c r="S418">
        <f t="shared" si="977"/>
        <v>-13401.607613251961</v>
      </c>
      <c r="T418">
        <f t="shared" si="978"/>
        <v>-13.401607613251961</v>
      </c>
    </row>
    <row r="419" spans="1:20" x14ac:dyDescent="0.25">
      <c r="A419" s="5">
        <v>44174</v>
      </c>
      <c r="B419">
        <v>5.5100000000000001E-3</v>
      </c>
      <c r="C419">
        <v>5.7200000000000003E-3</v>
      </c>
      <c r="D419">
        <v>5.3400000000000001E-3</v>
      </c>
      <c r="E419">
        <v>5.64E-3</v>
      </c>
      <c r="F419">
        <v>15849841.699999999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0.57894736842105166</v>
      </c>
      <c r="Q419">
        <f t="shared" si="975"/>
        <v>9176224.1421052478</v>
      </c>
      <c r="R419">
        <f t="shared" si="976"/>
        <v>-1343178650.182339</v>
      </c>
      <c r="S419">
        <f t="shared" si="977"/>
        <v>-13431.78650182339</v>
      </c>
      <c r="T419">
        <f t="shared" si="978"/>
        <v>-13.431786501823389</v>
      </c>
    </row>
    <row r="420" spans="1:20" x14ac:dyDescent="0.25">
      <c r="A420" s="5">
        <v>44173</v>
      </c>
      <c r="B420">
        <v>5.5900000000000004E-3</v>
      </c>
      <c r="C420">
        <v>6.77E-3</v>
      </c>
      <c r="D420">
        <v>5.4999999999999997E-3</v>
      </c>
      <c r="E420">
        <v>5.5100000000000001E-3</v>
      </c>
      <c r="F420">
        <v>103449823.5</v>
      </c>
      <c r="G420">
        <v>0</v>
      </c>
      <c r="L420" t="s">
        <v>8</v>
      </c>
      <c r="M420" t="s">
        <v>8</v>
      </c>
      <c r="N420" t="s">
        <v>8</v>
      </c>
      <c r="P420">
        <f t="shared" si="974"/>
        <v>-0.98425196850393626</v>
      </c>
      <c r="Q420">
        <f t="shared" si="975"/>
        <v>-101820692.42125976</v>
      </c>
      <c r="R420">
        <f t="shared" si="976"/>
        <v>-1352354874.3244443</v>
      </c>
      <c r="S420">
        <f t="shared" si="977"/>
        <v>-13523.548743244442</v>
      </c>
      <c r="T420">
        <f t="shared" si="978"/>
        <v>-13.523548743244442</v>
      </c>
    </row>
    <row r="421" spans="1:20" x14ac:dyDescent="0.25">
      <c r="A421" s="5">
        <v>44172</v>
      </c>
      <c r="B421">
        <v>5.47E-3</v>
      </c>
      <c r="C421">
        <v>5.79E-3</v>
      </c>
      <c r="D421">
        <v>5.2700000000000004E-3</v>
      </c>
      <c r="E421">
        <v>5.5999999999999999E-3</v>
      </c>
      <c r="F421">
        <v>18613588.600000001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0.26923076923076844</v>
      </c>
      <c r="Q421">
        <f t="shared" si="975"/>
        <v>5011350.7769230623</v>
      </c>
      <c r="R421">
        <f t="shared" si="976"/>
        <v>-1250534181.9031847</v>
      </c>
      <c r="S421">
        <f t="shared" si="977"/>
        <v>-12505.341819031846</v>
      </c>
      <c r="T421">
        <f t="shared" si="978"/>
        <v>-12.505341819031846</v>
      </c>
    </row>
    <row r="422" spans="1:20" x14ac:dyDescent="0.25">
      <c r="A422" s="5">
        <v>44171</v>
      </c>
      <c r="B422">
        <v>5.4900000000000001E-3</v>
      </c>
      <c r="C422">
        <v>5.6600000000000001E-3</v>
      </c>
      <c r="D422">
        <v>5.2900000000000004E-3</v>
      </c>
      <c r="E422">
        <v>5.4200000000000003E-3</v>
      </c>
      <c r="F422">
        <v>7387711.7999999998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-0.29729729729729715</v>
      </c>
      <c r="Q422">
        <f t="shared" si="975"/>
        <v>-2196346.75135135</v>
      </c>
      <c r="R422">
        <f t="shared" si="976"/>
        <v>-1255545532.6801078</v>
      </c>
      <c r="S422">
        <f t="shared" si="977"/>
        <v>-12555.455326801079</v>
      </c>
      <c r="T422">
        <f t="shared" si="978"/>
        <v>-12.555455326801079</v>
      </c>
    </row>
    <row r="423" spans="1:20" x14ac:dyDescent="0.25">
      <c r="A423" s="5">
        <v>44170</v>
      </c>
      <c r="B423">
        <v>5.1599999999999997E-3</v>
      </c>
      <c r="C423">
        <v>5.7499999999999999E-3</v>
      </c>
      <c r="D423">
        <v>5.11E-3</v>
      </c>
      <c r="E423">
        <v>5.5100000000000001E-3</v>
      </c>
      <c r="F423">
        <v>10998760.9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0.25000000000000067</v>
      </c>
      <c r="Q423">
        <f t="shared" si="975"/>
        <v>2749690.2250000075</v>
      </c>
      <c r="R423">
        <f t="shared" si="976"/>
        <v>-1253349185.9287565</v>
      </c>
      <c r="S423">
        <f t="shared" si="977"/>
        <v>-12533.491859287566</v>
      </c>
      <c r="T423">
        <f t="shared" si="978"/>
        <v>-12.533491859287565</v>
      </c>
    </row>
    <row r="424" spans="1:20" x14ac:dyDescent="0.25">
      <c r="A424" s="5">
        <v>44169</v>
      </c>
      <c r="B424">
        <v>5.5500000000000002E-3</v>
      </c>
      <c r="C424">
        <v>5.6600000000000001E-3</v>
      </c>
      <c r="D424">
        <v>5.1799999999999997E-3</v>
      </c>
      <c r="E424">
        <v>5.2399999999999999E-3</v>
      </c>
      <c r="F424">
        <v>10646735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-0.74999999999999956</v>
      </c>
      <c r="Q424">
        <f t="shared" si="975"/>
        <v>-7985051.2499999953</v>
      </c>
      <c r="R424">
        <f t="shared" si="976"/>
        <v>-1256098876.1537564</v>
      </c>
      <c r="S424">
        <f t="shared" si="977"/>
        <v>-12560.988761537565</v>
      </c>
      <c r="T424">
        <f t="shared" si="978"/>
        <v>-12.560988761537565</v>
      </c>
    </row>
    <row r="425" spans="1:20" x14ac:dyDescent="0.25">
      <c r="A425" s="5">
        <v>44168</v>
      </c>
      <c r="B425">
        <v>5.5999999999999999E-3</v>
      </c>
      <c r="C425">
        <v>5.7800000000000004E-3</v>
      </c>
      <c r="D425">
        <v>5.3899999999999998E-3</v>
      </c>
      <c r="E425">
        <v>5.5399999999999998E-3</v>
      </c>
      <c r="F425">
        <v>26290644.300000001</v>
      </c>
      <c r="G425">
        <v>0</v>
      </c>
      <c r="L425" t="s">
        <v>7</v>
      </c>
      <c r="M425" t="s">
        <v>7</v>
      </c>
      <c r="N425" t="s">
        <v>7</v>
      </c>
      <c r="P425">
        <f t="shared" si="974"/>
        <v>-0.23076923076923214</v>
      </c>
      <c r="Q425">
        <f t="shared" si="975"/>
        <v>-6067071.7615384981</v>
      </c>
      <c r="R425">
        <f t="shared" si="976"/>
        <v>-1248113824.9037564</v>
      </c>
      <c r="S425">
        <f t="shared" si="977"/>
        <v>-12481.138249037564</v>
      </c>
      <c r="T425">
        <f t="shared" si="978"/>
        <v>-12.481138249037564</v>
      </c>
    </row>
    <row r="426" spans="1:20" x14ac:dyDescent="0.25">
      <c r="A426" s="5">
        <v>44167</v>
      </c>
      <c r="B426">
        <v>5.62E-3</v>
      </c>
      <c r="C426">
        <v>6.1000000000000004E-3</v>
      </c>
      <c r="D426">
        <v>5.4200000000000003E-3</v>
      </c>
      <c r="E426">
        <v>5.5999999999999999E-3</v>
      </c>
      <c r="F426">
        <v>40701057.100000001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-0.47058823529411886</v>
      </c>
      <c r="Q426">
        <f t="shared" si="975"/>
        <v>-19153438.635294169</v>
      </c>
      <c r="R426">
        <f t="shared" si="976"/>
        <v>-1242046753.1422179</v>
      </c>
      <c r="S426">
        <f t="shared" si="977"/>
        <v>-12420.467531422179</v>
      </c>
      <c r="T426">
        <f t="shared" si="978"/>
        <v>-12.420467531422178</v>
      </c>
    </row>
    <row r="427" spans="1:20" x14ac:dyDescent="0.25">
      <c r="A427" s="5">
        <v>44166</v>
      </c>
      <c r="B427">
        <v>5.94E-3</v>
      </c>
      <c r="C427">
        <v>5.94E-3</v>
      </c>
      <c r="D427">
        <v>5.4200000000000003E-3</v>
      </c>
      <c r="E427">
        <v>5.62E-3</v>
      </c>
      <c r="F427">
        <v>25953205.699999999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-0.23076923076923153</v>
      </c>
      <c r="Q427">
        <f t="shared" si="975"/>
        <v>-5989201.3153846348</v>
      </c>
      <c r="R427">
        <f t="shared" si="976"/>
        <v>-1222893314.5069237</v>
      </c>
      <c r="S427">
        <f t="shared" si="977"/>
        <v>-12228.933145069237</v>
      </c>
      <c r="T427">
        <f t="shared" si="978"/>
        <v>-12.228933145069236</v>
      </c>
    </row>
    <row r="428" spans="1:20" x14ac:dyDescent="0.25">
      <c r="A428" s="5">
        <v>44165</v>
      </c>
      <c r="B428">
        <v>6.0299999999999998E-3</v>
      </c>
      <c r="C428">
        <v>6.0600000000000003E-3</v>
      </c>
      <c r="D428">
        <v>5.7000000000000002E-3</v>
      </c>
      <c r="E428">
        <v>5.9500000000000004E-3</v>
      </c>
      <c r="F428">
        <v>15368668.1</v>
      </c>
      <c r="G428">
        <v>0</v>
      </c>
      <c r="L428" t="s">
        <v>7</v>
      </c>
      <c r="M428" t="s">
        <v>8</v>
      </c>
      <c r="N428" t="s">
        <v>7</v>
      </c>
      <c r="P428">
        <f t="shared" si="974"/>
        <v>0.38888888888888984</v>
      </c>
      <c r="Q428">
        <f t="shared" si="975"/>
        <v>5976704.2611111253</v>
      </c>
      <c r="R428">
        <f t="shared" si="976"/>
        <v>-1216904113.191539</v>
      </c>
      <c r="S428">
        <f t="shared" si="977"/>
        <v>-12169.04113191539</v>
      </c>
      <c r="T428">
        <f t="shared" si="978"/>
        <v>-12.169041131915391</v>
      </c>
    </row>
    <row r="429" spans="1:20" x14ac:dyDescent="0.25">
      <c r="A429" s="5">
        <v>44164</v>
      </c>
      <c r="B429">
        <v>6.0099999999999997E-3</v>
      </c>
      <c r="C429">
        <v>6.1599999999999997E-3</v>
      </c>
      <c r="D429">
        <v>5.8399999999999997E-3</v>
      </c>
      <c r="E429">
        <v>6.0000000000000001E-3</v>
      </c>
      <c r="F429">
        <v>10035890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2.7105054312137615E-15</v>
      </c>
      <c r="Q429">
        <f t="shared" si="975"/>
        <v>2.7202334352063876E-8</v>
      </c>
      <c r="R429">
        <f t="shared" si="976"/>
        <v>-1222880817.4526501</v>
      </c>
      <c r="S429">
        <f t="shared" si="977"/>
        <v>-12228.808174526501</v>
      </c>
      <c r="T429">
        <f t="shared" si="978"/>
        <v>-12.228808174526501</v>
      </c>
    </row>
    <row r="430" spans="1:20" x14ac:dyDescent="0.25">
      <c r="A430" s="5">
        <v>44163</v>
      </c>
      <c r="B430">
        <v>5.8100000000000001E-3</v>
      </c>
      <c r="C430">
        <v>6.3200000000000001E-3</v>
      </c>
      <c r="D430">
        <v>5.5900000000000004E-3</v>
      </c>
      <c r="E430">
        <v>6.0000000000000001E-3</v>
      </c>
      <c r="F430">
        <v>21879588.800000001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0.12328767123287648</v>
      </c>
      <c r="Q430">
        <f t="shared" si="975"/>
        <v>2697483.5506849266</v>
      </c>
      <c r="R430">
        <f t="shared" si="976"/>
        <v>-1222880817.4526501</v>
      </c>
      <c r="S430">
        <f t="shared" si="977"/>
        <v>-12228.808174526501</v>
      </c>
      <c r="T430">
        <f t="shared" si="978"/>
        <v>-12.228808174526501</v>
      </c>
    </row>
    <row r="431" spans="1:20" x14ac:dyDescent="0.25">
      <c r="A431" s="5">
        <v>44162</v>
      </c>
      <c r="B431">
        <v>5.3499999999999997E-3</v>
      </c>
      <c r="C431">
        <v>5.8900000000000003E-3</v>
      </c>
      <c r="D431">
        <v>5.3200000000000001E-3</v>
      </c>
      <c r="E431">
        <v>5.79E-3</v>
      </c>
      <c r="F431">
        <v>29870186.100000001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0.6491228070175431</v>
      </c>
      <c r="Q431">
        <f t="shared" si="975"/>
        <v>19389419.0473684</v>
      </c>
      <c r="R431">
        <f t="shared" si="976"/>
        <v>-1225578301.003335</v>
      </c>
      <c r="S431">
        <f t="shared" si="977"/>
        <v>-12255.78301003335</v>
      </c>
      <c r="T431">
        <f t="shared" si="978"/>
        <v>-12.255783010033351</v>
      </c>
    </row>
    <row r="432" spans="1:20" x14ac:dyDescent="0.25">
      <c r="A432" s="5">
        <v>44161</v>
      </c>
      <c r="B432">
        <v>6.2599999999999999E-3</v>
      </c>
      <c r="C432">
        <v>6.3899999999999998E-3</v>
      </c>
      <c r="D432">
        <v>4.6899999999999997E-3</v>
      </c>
      <c r="E432">
        <v>5.3899999999999998E-3</v>
      </c>
      <c r="F432">
        <v>34215398.399999999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-0.17647058823529405</v>
      </c>
      <c r="Q432">
        <f t="shared" si="975"/>
        <v>-6038011.4823529385</v>
      </c>
      <c r="R432">
        <f t="shared" si="976"/>
        <v>-1244967720.0507033</v>
      </c>
      <c r="S432">
        <f t="shared" si="977"/>
        <v>-12449.677200507032</v>
      </c>
      <c r="T432">
        <f t="shared" si="978"/>
        <v>-12.449677200507033</v>
      </c>
    </row>
    <row r="433" spans="1:20" x14ac:dyDescent="0.25">
      <c r="A433" s="5">
        <v>44160</v>
      </c>
      <c r="B433">
        <v>6.3800000000000003E-3</v>
      </c>
      <c r="C433">
        <v>6.6699999999999997E-3</v>
      </c>
      <c r="D433">
        <v>6.0699999999999999E-3</v>
      </c>
      <c r="E433">
        <v>6.2500000000000003E-3</v>
      </c>
      <c r="F433">
        <v>15816667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-0.39999999999999825</v>
      </c>
      <c r="Q433">
        <f t="shared" si="975"/>
        <v>-6326666.7999999719</v>
      </c>
      <c r="R433">
        <f t="shared" si="976"/>
        <v>-1238929708.5683503</v>
      </c>
      <c r="S433">
        <f t="shared" si="977"/>
        <v>-12389.297085683504</v>
      </c>
      <c r="T433">
        <f t="shared" si="978"/>
        <v>-12.389297085683504</v>
      </c>
    </row>
    <row r="434" spans="1:20" x14ac:dyDescent="0.25">
      <c r="A434" s="5">
        <v>44159</v>
      </c>
      <c r="B434">
        <v>6.4000000000000003E-3</v>
      </c>
      <c r="C434">
        <v>6.7799999999999996E-3</v>
      </c>
      <c r="D434">
        <v>6.2100000000000002E-3</v>
      </c>
      <c r="E434">
        <v>6.3699999999999998E-3</v>
      </c>
      <c r="F434">
        <v>49488870.799999997</v>
      </c>
      <c r="G434">
        <v>0</v>
      </c>
      <c r="L434" t="s">
        <v>7</v>
      </c>
      <c r="M434" t="s">
        <v>7</v>
      </c>
      <c r="N434" t="s">
        <v>7</v>
      </c>
      <c r="P434">
        <f t="shared" si="974"/>
        <v>-0.43859649122807109</v>
      </c>
      <c r="Q434">
        <f t="shared" si="975"/>
        <v>-21705645.087719344</v>
      </c>
      <c r="R434">
        <f t="shared" si="976"/>
        <v>-1232603041.7683504</v>
      </c>
      <c r="S434">
        <f t="shared" si="977"/>
        <v>-12326.030417683503</v>
      </c>
      <c r="T434">
        <f t="shared" si="978"/>
        <v>-12.326030417683503</v>
      </c>
    </row>
    <row r="435" spans="1:20" x14ac:dyDescent="0.25">
      <c r="A435" s="5">
        <v>44158</v>
      </c>
      <c r="B435">
        <v>6.4700000000000001E-3</v>
      </c>
      <c r="C435">
        <v>6.79E-3</v>
      </c>
      <c r="D435">
        <v>6.3299999999999997E-3</v>
      </c>
      <c r="E435">
        <v>6.4099999999999999E-3</v>
      </c>
      <c r="F435">
        <v>28044711.300000001</v>
      </c>
      <c r="G435">
        <v>0</v>
      </c>
      <c r="L435" t="s">
        <v>8</v>
      </c>
      <c r="M435" t="s">
        <v>7</v>
      </c>
      <c r="N435" t="s">
        <v>7</v>
      </c>
      <c r="P435">
        <f t="shared" si="974"/>
        <v>-0.6521739130434776</v>
      </c>
      <c r="Q435">
        <f t="shared" si="975"/>
        <v>-18290029.108695634</v>
      </c>
      <c r="R435">
        <f t="shared" si="976"/>
        <v>-1210897396.6806309</v>
      </c>
      <c r="S435">
        <f t="shared" si="977"/>
        <v>-12108.973966806308</v>
      </c>
      <c r="T435">
        <f t="shared" si="978"/>
        <v>-12.108973966806309</v>
      </c>
    </row>
    <row r="436" spans="1:20" x14ac:dyDescent="0.25">
      <c r="A436" s="5">
        <v>44157</v>
      </c>
      <c r="B436">
        <v>6.9300000000000004E-3</v>
      </c>
      <c r="C436">
        <v>6.9699999999999996E-3</v>
      </c>
      <c r="D436">
        <v>6.1700000000000001E-3</v>
      </c>
      <c r="E436">
        <v>6.45E-3</v>
      </c>
      <c r="F436">
        <v>27040722.300000001</v>
      </c>
      <c r="G436">
        <v>0</v>
      </c>
      <c r="L436" t="s">
        <v>7</v>
      </c>
      <c r="M436" t="s">
        <v>7</v>
      </c>
      <c r="N436" t="s">
        <v>7</v>
      </c>
      <c r="P436">
        <f t="shared" si="974"/>
        <v>-0.29999999999999988</v>
      </c>
      <c r="Q436">
        <f t="shared" si="975"/>
        <v>-8112216.6899999967</v>
      </c>
      <c r="R436">
        <f t="shared" si="976"/>
        <v>-1192607367.5719352</v>
      </c>
      <c r="S436">
        <f t="shared" si="977"/>
        <v>-11926.073675719352</v>
      </c>
      <c r="T436">
        <f t="shared" si="978"/>
        <v>-11.926073675719351</v>
      </c>
    </row>
    <row r="437" spans="1:20" x14ac:dyDescent="0.25">
      <c r="A437" s="5">
        <v>44156</v>
      </c>
      <c r="B437">
        <v>6.7400000000000003E-3</v>
      </c>
      <c r="C437">
        <v>7.4099999999999999E-3</v>
      </c>
      <c r="D437">
        <v>6.3E-3</v>
      </c>
      <c r="E437">
        <v>6.94E-3</v>
      </c>
      <c r="F437">
        <v>49566492.100000001</v>
      </c>
      <c r="G437">
        <v>0</v>
      </c>
      <c r="L437" t="s">
        <v>7</v>
      </c>
      <c r="M437" t="s">
        <v>8</v>
      </c>
      <c r="N437" t="s">
        <v>7</v>
      </c>
      <c r="P437">
        <f t="shared" si="974"/>
        <v>0.15315315315315317</v>
      </c>
      <c r="Q437">
        <f t="shared" si="975"/>
        <v>7591264.5558558572</v>
      </c>
      <c r="R437">
        <f t="shared" si="976"/>
        <v>-1184495150.8819351</v>
      </c>
      <c r="S437">
        <f t="shared" si="977"/>
        <v>-11844.951508819351</v>
      </c>
      <c r="T437">
        <f t="shared" si="978"/>
        <v>-11.844951508819351</v>
      </c>
    </row>
    <row r="438" spans="1:20" x14ac:dyDescent="0.25">
      <c r="A438" s="5">
        <v>44155</v>
      </c>
      <c r="B438">
        <v>6.6499999999999997E-3</v>
      </c>
      <c r="C438">
        <v>6.9300000000000004E-3</v>
      </c>
      <c r="D438">
        <v>6.4900000000000001E-3</v>
      </c>
      <c r="E438">
        <v>6.7200000000000003E-3</v>
      </c>
      <c r="F438">
        <v>9904666.6999999993</v>
      </c>
      <c r="G438">
        <v>0</v>
      </c>
      <c r="L438" t="s">
        <v>7</v>
      </c>
      <c r="M438" t="s">
        <v>8</v>
      </c>
      <c r="N438" t="s">
        <v>7</v>
      </c>
      <c r="P438">
        <f t="shared" si="974"/>
        <v>4.5454545454545546E-2</v>
      </c>
      <c r="Q438">
        <f t="shared" si="975"/>
        <v>450212.12272727361</v>
      </c>
      <c r="R438">
        <f t="shared" si="976"/>
        <v>-1192086415.4377909</v>
      </c>
      <c r="S438">
        <f t="shared" si="977"/>
        <v>-11920.864154377909</v>
      </c>
      <c r="T438">
        <f t="shared" si="978"/>
        <v>-11.920864154377908</v>
      </c>
    </row>
    <row r="439" spans="1:20" x14ac:dyDescent="0.25">
      <c r="A439" s="5">
        <v>44154</v>
      </c>
      <c r="B439">
        <v>6.6699999999999997E-3</v>
      </c>
      <c r="C439">
        <v>7.0099999999999997E-3</v>
      </c>
      <c r="D439">
        <v>6.45E-3</v>
      </c>
      <c r="E439">
        <v>6.6299999999999996E-3</v>
      </c>
      <c r="F439">
        <v>18205114.399999999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-0.35714285714285826</v>
      </c>
      <c r="Q439">
        <f t="shared" si="975"/>
        <v>-6501826.5714285914</v>
      </c>
      <c r="R439">
        <f t="shared" si="976"/>
        <v>-1192536627.560518</v>
      </c>
      <c r="S439">
        <f t="shared" si="977"/>
        <v>-11925.36627560518</v>
      </c>
      <c r="T439">
        <f t="shared" si="978"/>
        <v>-11.92536627560518</v>
      </c>
    </row>
    <row r="440" spans="1:20" x14ac:dyDescent="0.25">
      <c r="A440" s="5">
        <v>44153</v>
      </c>
      <c r="B440">
        <v>6.8799999999999998E-3</v>
      </c>
      <c r="C440">
        <v>7.0099999999999997E-3</v>
      </c>
      <c r="D440">
        <v>6.3099999999999996E-3</v>
      </c>
      <c r="E440">
        <v>6.6600000000000001E-3</v>
      </c>
      <c r="F440">
        <v>13946615.6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1.2390881971262907E-15</v>
      </c>
      <c r="Q440">
        <f t="shared" si="975"/>
        <v>1.7281086779817401E-8</v>
      </c>
      <c r="R440">
        <f t="shared" si="976"/>
        <v>-1186034800.9890895</v>
      </c>
      <c r="S440">
        <f t="shared" si="977"/>
        <v>-11860.348009890895</v>
      </c>
      <c r="T440">
        <f t="shared" si="978"/>
        <v>-11.860348009890895</v>
      </c>
    </row>
    <row r="441" spans="1:20" x14ac:dyDescent="0.25">
      <c r="A441" s="5">
        <v>44152</v>
      </c>
      <c r="B441">
        <v>6.11E-3</v>
      </c>
      <c r="C441">
        <v>7.2899999999999996E-3</v>
      </c>
      <c r="D441">
        <v>6.0200000000000002E-3</v>
      </c>
      <c r="E441">
        <v>6.8700000000000002E-3</v>
      </c>
      <c r="F441">
        <v>42658013.899999999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0.33858267716535501</v>
      </c>
      <c r="Q441">
        <f t="shared" si="975"/>
        <v>14443264.548818925</v>
      </c>
      <c r="R441">
        <f t="shared" si="976"/>
        <v>-1186034800.9890895</v>
      </c>
      <c r="S441">
        <f t="shared" si="977"/>
        <v>-11860.348009890895</v>
      </c>
      <c r="T441">
        <f t="shared" si="978"/>
        <v>-11.860348009890895</v>
      </c>
    </row>
    <row r="442" spans="1:20" x14ac:dyDescent="0.25">
      <c r="A442" s="5">
        <v>44151</v>
      </c>
      <c r="B442">
        <v>6.1399999999999996E-3</v>
      </c>
      <c r="C442">
        <v>6.2399999999999999E-3</v>
      </c>
      <c r="D442">
        <v>5.7600000000000004E-3</v>
      </c>
      <c r="E442">
        <v>6.1399999999999996E-3</v>
      </c>
      <c r="F442">
        <v>18546223.800000001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0.58333333333333182</v>
      </c>
      <c r="Q442">
        <f t="shared" si="975"/>
        <v>10818630.549999973</v>
      </c>
      <c r="R442">
        <f t="shared" si="976"/>
        <v>-1200478065.5379083</v>
      </c>
      <c r="S442">
        <f t="shared" si="977"/>
        <v>-12004.780655379083</v>
      </c>
      <c r="T442">
        <f t="shared" si="978"/>
        <v>-12.004780655379083</v>
      </c>
    </row>
    <row r="443" spans="1:20" x14ac:dyDescent="0.25">
      <c r="A443" s="5">
        <v>44150</v>
      </c>
      <c r="B443">
        <v>6.3899999999999998E-3</v>
      </c>
      <c r="C443">
        <v>6.5300000000000002E-3</v>
      </c>
      <c r="D443">
        <v>6.0499999999999998E-3</v>
      </c>
      <c r="E443">
        <v>6.1900000000000002E-3</v>
      </c>
      <c r="F443">
        <v>17689126.300000001</v>
      </c>
      <c r="G443">
        <v>0</v>
      </c>
      <c r="L443" t="s">
        <v>7</v>
      </c>
      <c r="M443" t="s">
        <v>7</v>
      </c>
      <c r="N443" t="s">
        <v>8</v>
      </c>
      <c r="P443">
        <f t="shared" si="974"/>
        <v>-0.41666666666666563</v>
      </c>
      <c r="Q443">
        <f t="shared" si="975"/>
        <v>-7370469.2916666484</v>
      </c>
      <c r="R443">
        <f t="shared" si="976"/>
        <v>-1211296696.0879083</v>
      </c>
      <c r="S443">
        <f t="shared" si="977"/>
        <v>-12112.966960879083</v>
      </c>
      <c r="T443">
        <f t="shared" si="978"/>
        <v>-12.112966960879083</v>
      </c>
    </row>
    <row r="444" spans="1:20" x14ac:dyDescent="0.25">
      <c r="A444" s="5">
        <v>44149</v>
      </c>
      <c r="B444">
        <v>6.7200000000000003E-3</v>
      </c>
      <c r="C444">
        <v>7.0000000000000001E-3</v>
      </c>
      <c r="D444">
        <v>6.3899999999999998E-3</v>
      </c>
      <c r="E444">
        <v>6.3899999999999998E-3</v>
      </c>
      <c r="F444">
        <v>16868926.600000001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-1</v>
      </c>
      <c r="Q444">
        <f t="shared" si="975"/>
        <v>-16868926.600000001</v>
      </c>
      <c r="R444">
        <f t="shared" si="976"/>
        <v>-1203926226.7962415</v>
      </c>
      <c r="S444">
        <f t="shared" si="977"/>
        <v>-12039.262267962415</v>
      </c>
      <c r="T444">
        <f t="shared" si="978"/>
        <v>-12.039262267962414</v>
      </c>
    </row>
    <row r="445" spans="1:20" x14ac:dyDescent="0.25">
      <c r="A445" s="5">
        <v>44148</v>
      </c>
      <c r="B445">
        <v>6.7600000000000004E-3</v>
      </c>
      <c r="C445">
        <v>7.3699999999999998E-3</v>
      </c>
      <c r="D445">
        <v>6.5100000000000002E-3</v>
      </c>
      <c r="E445">
        <v>6.7400000000000003E-3</v>
      </c>
      <c r="F445">
        <v>23088352.600000001</v>
      </c>
      <c r="G445">
        <v>0</v>
      </c>
      <c r="L445" t="s">
        <v>7</v>
      </c>
      <c r="M445" t="s">
        <v>7</v>
      </c>
      <c r="N445" t="s">
        <v>8</v>
      </c>
      <c r="P445">
        <f t="shared" si="974"/>
        <v>-0.46511627906976682</v>
      </c>
      <c r="Q445">
        <f t="shared" si="975"/>
        <v>-10738768.651162777</v>
      </c>
      <c r="R445">
        <f t="shared" si="976"/>
        <v>-1187057300.1962416</v>
      </c>
      <c r="S445">
        <f t="shared" si="977"/>
        <v>-11870.573001962417</v>
      </c>
      <c r="T445">
        <f t="shared" si="978"/>
        <v>-11.870573001962416</v>
      </c>
    </row>
    <row r="446" spans="1:20" x14ac:dyDescent="0.25">
      <c r="A446" s="5">
        <v>44147</v>
      </c>
      <c r="B446">
        <v>7.0600000000000003E-3</v>
      </c>
      <c r="C446">
        <v>8.2699999999999996E-3</v>
      </c>
      <c r="D446">
        <v>6.6100000000000004E-3</v>
      </c>
      <c r="E446">
        <v>6.7600000000000004E-3</v>
      </c>
      <c r="F446">
        <v>91710639.400000006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-0.81927710843373491</v>
      </c>
      <c r="Q446">
        <f t="shared" si="975"/>
        <v>-75136427.46024096</v>
      </c>
      <c r="R446">
        <f t="shared" si="976"/>
        <v>-1176318531.5450788</v>
      </c>
      <c r="S446">
        <f t="shared" si="977"/>
        <v>-11763.185315450788</v>
      </c>
      <c r="T446">
        <f t="shared" si="978"/>
        <v>-11.763185315450787</v>
      </c>
    </row>
    <row r="447" spans="1:20" x14ac:dyDescent="0.25">
      <c r="A447" s="5">
        <v>44146</v>
      </c>
      <c r="B447">
        <v>6.2700000000000004E-3</v>
      </c>
      <c r="C447">
        <v>8.5000000000000006E-3</v>
      </c>
      <c r="D447">
        <v>6.1399999999999996E-3</v>
      </c>
      <c r="E447">
        <v>7.0099999999999997E-3</v>
      </c>
      <c r="F447">
        <v>70422803.900000006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-0.26271186440677985</v>
      </c>
      <c r="Q447">
        <f t="shared" si="975"/>
        <v>-18500906.109322049</v>
      </c>
      <c r="R447">
        <f t="shared" si="976"/>
        <v>-1101182104.0848379</v>
      </c>
      <c r="S447">
        <f t="shared" si="977"/>
        <v>-11011.821040848379</v>
      </c>
      <c r="T447">
        <f t="shared" si="978"/>
        <v>-11.011821040848378</v>
      </c>
    </row>
    <row r="448" spans="1:20" x14ac:dyDescent="0.25">
      <c r="A448" s="5">
        <v>44145</v>
      </c>
      <c r="B448">
        <v>5.5999999999999999E-3</v>
      </c>
      <c r="C448">
        <v>6.3800000000000003E-3</v>
      </c>
      <c r="D448">
        <v>5.5700000000000003E-3</v>
      </c>
      <c r="E448">
        <v>6.2599999999999999E-3</v>
      </c>
      <c r="F448">
        <v>37963297.299999997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0.70370370370370294</v>
      </c>
      <c r="Q448">
        <f t="shared" si="975"/>
        <v>26714912.914814785</v>
      </c>
      <c r="R448">
        <f t="shared" si="976"/>
        <v>-1082681197.9755158</v>
      </c>
      <c r="S448">
        <f t="shared" si="977"/>
        <v>-10826.811979755159</v>
      </c>
      <c r="T448">
        <f t="shared" si="978"/>
        <v>-10.82681197975516</v>
      </c>
    </row>
    <row r="449" spans="1:20" x14ac:dyDescent="0.25">
      <c r="A449" s="5">
        <v>44144</v>
      </c>
      <c r="B449">
        <v>5.6899999999999997E-3</v>
      </c>
      <c r="C449">
        <v>5.8999999999999999E-3</v>
      </c>
      <c r="D449">
        <v>5.4999999999999997E-3</v>
      </c>
      <c r="E449">
        <v>5.5999999999999999E-3</v>
      </c>
      <c r="F449">
        <v>21386133.399999999</v>
      </c>
      <c r="G449">
        <v>0</v>
      </c>
      <c r="L449" t="s">
        <v>7</v>
      </c>
      <c r="M449" t="s">
        <v>8</v>
      </c>
      <c r="N449" t="s">
        <v>8</v>
      </c>
      <c r="P449">
        <f t="shared" si="974"/>
        <v>-0.49999999999999889</v>
      </c>
      <c r="Q449">
        <f t="shared" si="975"/>
        <v>-10693066.699999975</v>
      </c>
      <c r="R449">
        <f t="shared" si="976"/>
        <v>-1109396110.8903306</v>
      </c>
      <c r="S449">
        <f t="shared" si="977"/>
        <v>-11093.961108903306</v>
      </c>
      <c r="T449">
        <f t="shared" si="978"/>
        <v>-11.093961108903306</v>
      </c>
    </row>
    <row r="450" spans="1:20" x14ac:dyDescent="0.25">
      <c r="A450" s="5">
        <v>44143</v>
      </c>
      <c r="B450">
        <v>5.1799999999999997E-3</v>
      </c>
      <c r="C450">
        <v>6.1000000000000004E-3</v>
      </c>
      <c r="D450">
        <v>5.1700000000000001E-3</v>
      </c>
      <c r="E450">
        <v>5.64E-3</v>
      </c>
      <c r="F450">
        <v>53745769.200000003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1.0752688172042569E-2</v>
      </c>
      <c r="Q450">
        <f t="shared" si="975"/>
        <v>577911.49677416985</v>
      </c>
      <c r="R450">
        <f t="shared" si="976"/>
        <v>-1098703044.1903305</v>
      </c>
      <c r="S450">
        <f t="shared" si="977"/>
        <v>-10987.030441903305</v>
      </c>
      <c r="T450">
        <f t="shared" si="978"/>
        <v>-10.987030441903306</v>
      </c>
    </row>
    <row r="451" spans="1:20" x14ac:dyDescent="0.25">
      <c r="A451" s="5">
        <v>44142</v>
      </c>
      <c r="B451">
        <v>5.2399999999999999E-3</v>
      </c>
      <c r="C451">
        <v>5.8599999999999998E-3</v>
      </c>
      <c r="D451">
        <v>4.8900000000000002E-3</v>
      </c>
      <c r="E451">
        <v>5.1700000000000001E-3</v>
      </c>
      <c r="F451">
        <v>37501200.5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-0.42268041237113402</v>
      </c>
      <c r="Q451">
        <f t="shared" si="975"/>
        <v>-15851022.891752576</v>
      </c>
      <c r="R451">
        <f t="shared" si="976"/>
        <v>-1099280955.6871047</v>
      </c>
      <c r="S451">
        <f t="shared" si="977"/>
        <v>-10992.809556871047</v>
      </c>
      <c r="T451">
        <f t="shared" si="978"/>
        <v>-10.992809556871046</v>
      </c>
    </row>
    <row r="452" spans="1:20" x14ac:dyDescent="0.25">
      <c r="A452" s="5">
        <v>44141</v>
      </c>
      <c r="B452">
        <v>4.8300000000000001E-3</v>
      </c>
      <c r="C452">
        <v>5.4200000000000003E-3</v>
      </c>
      <c r="D452">
        <v>4.7800000000000004E-3</v>
      </c>
      <c r="E452">
        <v>5.28E-3</v>
      </c>
      <c r="F452">
        <v>27473939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0.56249999999999878</v>
      </c>
      <c r="Q452">
        <f t="shared" si="975"/>
        <v>15454090.687499966</v>
      </c>
      <c r="R452">
        <f t="shared" si="976"/>
        <v>-1083429932.7953522</v>
      </c>
      <c r="S452">
        <f t="shared" si="977"/>
        <v>-10834.299327953522</v>
      </c>
      <c r="T452">
        <f t="shared" si="978"/>
        <v>-10.834299327953522</v>
      </c>
    </row>
    <row r="453" spans="1:20" x14ac:dyDescent="0.25">
      <c r="A453" s="5">
        <v>44140</v>
      </c>
      <c r="B453">
        <v>4.5500000000000002E-3</v>
      </c>
      <c r="C453">
        <v>4.9699999999999996E-3</v>
      </c>
      <c r="D453">
        <v>4.47E-3</v>
      </c>
      <c r="E453">
        <v>4.8599999999999997E-3</v>
      </c>
      <c r="F453">
        <v>15195136.800000001</v>
      </c>
      <c r="G453">
        <v>0</v>
      </c>
      <c r="L453" t="s">
        <v>8</v>
      </c>
      <c r="M453" t="s">
        <v>7</v>
      </c>
      <c r="N453" t="s">
        <v>8</v>
      </c>
      <c r="P453">
        <f t="shared" si="974"/>
        <v>0.56000000000000016</v>
      </c>
      <c r="Q453">
        <f t="shared" si="975"/>
        <v>8509276.6080000028</v>
      </c>
      <c r="R453">
        <f t="shared" si="976"/>
        <v>-1098884023.4828522</v>
      </c>
      <c r="S453">
        <f t="shared" si="977"/>
        <v>-10988.840234828522</v>
      </c>
      <c r="T453">
        <f t="shared" si="978"/>
        <v>-10.988840234828523</v>
      </c>
    </row>
    <row r="454" spans="1:20" x14ac:dyDescent="0.25">
      <c r="A454" s="5">
        <v>44139</v>
      </c>
      <c r="B454">
        <v>4.5399999999999998E-3</v>
      </c>
      <c r="C454">
        <v>4.79E-3</v>
      </c>
      <c r="D454">
        <v>4.4400000000000004E-3</v>
      </c>
      <c r="E454">
        <v>4.5599999999999998E-3</v>
      </c>
      <c r="F454">
        <v>9728994</v>
      </c>
      <c r="G454">
        <v>0</v>
      </c>
      <c r="L454" t="s">
        <v>8</v>
      </c>
      <c r="M454" t="s">
        <v>7</v>
      </c>
      <c r="N454" t="s">
        <v>8</v>
      </c>
      <c r="P454">
        <f t="shared" ref="P454:P517" si="979">IF(C454=D454,0,((E454-D454)-(C454-E454))/(C454-D454))</f>
        <v>-0.31428571428571667</v>
      </c>
      <c r="Q454">
        <f t="shared" ref="Q454:Q517" si="980">F454*P454</f>
        <v>-3057683.8285714518</v>
      </c>
      <c r="R454">
        <f t="shared" ref="R454:R517" si="981">R455+Q454</f>
        <v>-1107393300.0908523</v>
      </c>
      <c r="S454">
        <f t="shared" ref="S454:S517" si="982">R454/100000</f>
        <v>-11073.933000908522</v>
      </c>
      <c r="T454">
        <f t="shared" ref="T454:T517" si="983">S454/1000</f>
        <v>-11.073933000908523</v>
      </c>
    </row>
    <row r="455" spans="1:20" x14ac:dyDescent="0.25">
      <c r="A455" s="5">
        <v>44138</v>
      </c>
      <c r="B455">
        <v>4.8599999999999997E-3</v>
      </c>
      <c r="C455">
        <v>4.9899999999999996E-3</v>
      </c>
      <c r="D455">
        <v>4.4099999999999999E-3</v>
      </c>
      <c r="E455">
        <v>4.5500000000000002E-3</v>
      </c>
      <c r="F455">
        <v>21585676</v>
      </c>
      <c r="G455">
        <v>0</v>
      </c>
      <c r="L455" t="s">
        <v>7</v>
      </c>
      <c r="M455" t="s">
        <v>7</v>
      </c>
      <c r="N455" t="s">
        <v>8</v>
      </c>
      <c r="P455">
        <f t="shared" si="979"/>
        <v>-0.51724137931034342</v>
      </c>
      <c r="Q455">
        <f t="shared" si="980"/>
        <v>-11165004.827586176</v>
      </c>
      <c r="R455">
        <f t="shared" si="981"/>
        <v>-1104335616.2622807</v>
      </c>
      <c r="S455">
        <f t="shared" si="982"/>
        <v>-11043.356162622807</v>
      </c>
      <c r="T455">
        <f t="shared" si="983"/>
        <v>-11.043356162622807</v>
      </c>
    </row>
    <row r="456" spans="1:20" x14ac:dyDescent="0.25">
      <c r="A456" s="5">
        <v>44137</v>
      </c>
      <c r="B456">
        <v>5.2300000000000003E-3</v>
      </c>
      <c r="C456">
        <v>5.3899999999999998E-3</v>
      </c>
      <c r="D456">
        <v>4.7299999999999998E-3</v>
      </c>
      <c r="E456">
        <v>4.8999999999999998E-3</v>
      </c>
      <c r="F456">
        <v>45356633.799999997</v>
      </c>
      <c r="G456">
        <v>0</v>
      </c>
      <c r="L456" t="s">
        <v>8</v>
      </c>
      <c r="M456" t="s">
        <v>7</v>
      </c>
      <c r="N456" t="s">
        <v>8</v>
      </c>
      <c r="P456">
        <f t="shared" si="979"/>
        <v>-0.48484848484848481</v>
      </c>
      <c r="Q456">
        <f t="shared" si="980"/>
        <v>-21991095.175757572</v>
      </c>
      <c r="R456">
        <f t="shared" si="981"/>
        <v>-1093170611.4346945</v>
      </c>
      <c r="S456">
        <f t="shared" si="982"/>
        <v>-10931.706114346945</v>
      </c>
      <c r="T456">
        <f t="shared" si="983"/>
        <v>-10.931706114346946</v>
      </c>
    </row>
    <row r="457" spans="1:20" x14ac:dyDescent="0.25">
      <c r="A457" s="5">
        <v>44136</v>
      </c>
      <c r="B457">
        <v>4.9699999999999996E-3</v>
      </c>
      <c r="C457">
        <v>5.5500000000000002E-3</v>
      </c>
      <c r="D457">
        <v>4.62E-3</v>
      </c>
      <c r="E457">
        <v>5.2100000000000002E-3</v>
      </c>
      <c r="F457">
        <v>62379513.299999997</v>
      </c>
      <c r="G457">
        <v>0</v>
      </c>
      <c r="L457" t="s">
        <v>7</v>
      </c>
      <c r="M457" t="s">
        <v>7</v>
      </c>
      <c r="N457" t="s">
        <v>8</v>
      </c>
      <c r="P457">
        <f t="shared" si="979"/>
        <v>0.26881720430107542</v>
      </c>
      <c r="Q457">
        <f t="shared" si="980"/>
        <v>16768686.370967751</v>
      </c>
      <c r="R457">
        <f t="shared" si="981"/>
        <v>-1071179516.258937</v>
      </c>
      <c r="S457">
        <f t="shared" si="982"/>
        <v>-10711.795162589369</v>
      </c>
      <c r="T457">
        <f t="shared" si="983"/>
        <v>-10.71179516258937</v>
      </c>
    </row>
    <row r="458" spans="1:20" x14ac:dyDescent="0.25">
      <c r="A458" s="5">
        <v>44135</v>
      </c>
      <c r="B458">
        <v>5.0200000000000002E-3</v>
      </c>
      <c r="C458">
        <v>5.9899999999999997E-3</v>
      </c>
      <c r="D458">
        <v>4.7000000000000002E-3</v>
      </c>
      <c r="E458">
        <v>4.96E-3</v>
      </c>
      <c r="F458">
        <v>150886418.59999999</v>
      </c>
      <c r="G458">
        <v>0</v>
      </c>
      <c r="L458" t="s">
        <v>8</v>
      </c>
      <c r="M458" t="s">
        <v>8</v>
      </c>
      <c r="N458" t="s">
        <v>8</v>
      </c>
      <c r="P458">
        <f t="shared" si="979"/>
        <v>-0.59689922480620172</v>
      </c>
      <c r="Q458">
        <f t="shared" si="980"/>
        <v>-90063986.296124056</v>
      </c>
      <c r="R458">
        <f t="shared" si="981"/>
        <v>-1087948202.6299047</v>
      </c>
      <c r="S458">
        <f t="shared" si="982"/>
        <v>-10879.482026299047</v>
      </c>
      <c r="T458">
        <f t="shared" si="983"/>
        <v>-10.879482026299048</v>
      </c>
    </row>
    <row r="459" spans="1:20" x14ac:dyDescent="0.25">
      <c r="A459" s="5">
        <v>44134</v>
      </c>
      <c r="B459">
        <v>4.0699999999999998E-3</v>
      </c>
      <c r="C459">
        <v>5.4000000000000003E-3</v>
      </c>
      <c r="D459">
        <v>3.7299999999999998E-3</v>
      </c>
      <c r="E459">
        <v>5.0400000000000002E-3</v>
      </c>
      <c r="F459">
        <v>103746219.40000001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0.56886227544910184</v>
      </c>
      <c r="Q459">
        <f t="shared" si="980"/>
        <v>59017310.437125757</v>
      </c>
      <c r="R459">
        <f t="shared" si="981"/>
        <v>-997884216.33378077</v>
      </c>
      <c r="S459">
        <f t="shared" si="982"/>
        <v>-9978.8421633378075</v>
      </c>
      <c r="T459">
        <f t="shared" si="983"/>
        <v>-9.9788421633378075</v>
      </c>
    </row>
    <row r="460" spans="1:20" x14ac:dyDescent="0.25">
      <c r="A460" s="5">
        <v>44133</v>
      </c>
      <c r="B460">
        <v>4.5700000000000003E-3</v>
      </c>
      <c r="C460">
        <v>4.6699999999999997E-3</v>
      </c>
      <c r="D460">
        <v>4.0400000000000002E-3</v>
      </c>
      <c r="E460">
        <v>4.0899999999999999E-3</v>
      </c>
      <c r="F460">
        <v>24791820.699999999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-0.84126984126984206</v>
      </c>
      <c r="Q460">
        <f t="shared" si="980"/>
        <v>-20856611.065079384</v>
      </c>
      <c r="R460">
        <f t="shared" si="981"/>
        <v>-1056901526.7709066</v>
      </c>
      <c r="S460">
        <f t="shared" si="982"/>
        <v>-10569.015267709066</v>
      </c>
      <c r="T460">
        <f t="shared" si="983"/>
        <v>-10.569015267709066</v>
      </c>
    </row>
    <row r="461" spans="1:20" x14ac:dyDescent="0.25">
      <c r="A461" s="5">
        <v>44132</v>
      </c>
      <c r="B461">
        <v>4.9699999999999996E-3</v>
      </c>
      <c r="C461">
        <v>5.0400000000000002E-3</v>
      </c>
      <c r="D461">
        <v>4.4999999999999997E-3</v>
      </c>
      <c r="E461">
        <v>4.5799999999999999E-3</v>
      </c>
      <c r="F461">
        <v>19069428.800000001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-0.70370370370370328</v>
      </c>
      <c r="Q461">
        <f t="shared" si="980"/>
        <v>-13419227.674074067</v>
      </c>
      <c r="R461">
        <f t="shared" si="981"/>
        <v>-1036044915.7058272</v>
      </c>
      <c r="S461">
        <f t="shared" si="982"/>
        <v>-10360.449157058272</v>
      </c>
      <c r="T461">
        <f t="shared" si="983"/>
        <v>-10.360449157058273</v>
      </c>
    </row>
    <row r="462" spans="1:20" x14ac:dyDescent="0.25">
      <c r="A462" s="5">
        <v>44131</v>
      </c>
      <c r="B462">
        <v>5.3299999999999997E-3</v>
      </c>
      <c r="C462">
        <v>5.3499999999999997E-3</v>
      </c>
      <c r="D462">
        <v>4.8399999999999997E-3</v>
      </c>
      <c r="E462">
        <v>5.0099999999999997E-3</v>
      </c>
      <c r="F462">
        <v>24886187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-0.33333333333333331</v>
      </c>
      <c r="Q462">
        <f t="shared" si="980"/>
        <v>-8295395.666666666</v>
      </c>
      <c r="R462">
        <f t="shared" si="981"/>
        <v>-1022625688.0317532</v>
      </c>
      <c r="S462">
        <f t="shared" si="982"/>
        <v>-10226.256880317533</v>
      </c>
      <c r="T462">
        <f t="shared" si="983"/>
        <v>-10.226256880317532</v>
      </c>
    </row>
    <row r="463" spans="1:20" x14ac:dyDescent="0.25">
      <c r="A463" s="5">
        <v>44130</v>
      </c>
      <c r="B463">
        <v>5.3299999999999997E-3</v>
      </c>
      <c r="C463">
        <v>5.6100000000000004E-3</v>
      </c>
      <c r="D463">
        <v>5.1599999999999997E-3</v>
      </c>
      <c r="E463">
        <v>5.3200000000000001E-3</v>
      </c>
      <c r="F463">
        <v>16198863.4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-0.2888888888888882</v>
      </c>
      <c r="Q463">
        <f t="shared" si="980"/>
        <v>-4679671.6488888776</v>
      </c>
      <c r="R463">
        <f t="shared" si="981"/>
        <v>-1014330292.3650866</v>
      </c>
      <c r="S463">
        <f t="shared" si="982"/>
        <v>-10143.302923650866</v>
      </c>
      <c r="T463">
        <f t="shared" si="983"/>
        <v>-10.143302923650866</v>
      </c>
    </row>
    <row r="464" spans="1:20" x14ac:dyDescent="0.25">
      <c r="A464" s="5">
        <v>44129</v>
      </c>
      <c r="B464">
        <v>5.6800000000000002E-3</v>
      </c>
      <c r="C464">
        <v>5.94E-3</v>
      </c>
      <c r="D464">
        <v>4.8799999999999998E-3</v>
      </c>
      <c r="E464">
        <v>5.3499999999999997E-3</v>
      </c>
      <c r="F464">
        <v>24674971.5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-0.1132075471698116</v>
      </c>
      <c r="Q464">
        <f t="shared" si="980"/>
        <v>-2793393.000000007</v>
      </c>
      <c r="R464">
        <f t="shared" si="981"/>
        <v>-1009650620.7161977</v>
      </c>
      <c r="S464">
        <f t="shared" si="982"/>
        <v>-10096.506207161978</v>
      </c>
      <c r="T464">
        <f t="shared" si="983"/>
        <v>-10.096506207161978</v>
      </c>
    </row>
    <row r="465" spans="1:20" x14ac:dyDescent="0.25">
      <c r="A465" s="5">
        <v>44128</v>
      </c>
      <c r="B465">
        <v>5.5700000000000003E-3</v>
      </c>
      <c r="C465">
        <v>5.8300000000000001E-3</v>
      </c>
      <c r="D465">
        <v>5.4299999999999999E-3</v>
      </c>
      <c r="E465">
        <v>5.6800000000000002E-3</v>
      </c>
      <c r="F465">
        <v>12214014.1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0.25000000000000056</v>
      </c>
      <c r="Q465">
        <f t="shared" si="980"/>
        <v>3053503.5250000069</v>
      </c>
      <c r="R465">
        <f t="shared" si="981"/>
        <v>-1006857227.7161977</v>
      </c>
      <c r="S465">
        <f t="shared" si="982"/>
        <v>-10068.572277161977</v>
      </c>
      <c r="T465">
        <f t="shared" si="983"/>
        <v>-10.068572277161977</v>
      </c>
    </row>
    <row r="466" spans="1:20" x14ac:dyDescent="0.25">
      <c r="A466" s="5">
        <v>44127</v>
      </c>
      <c r="B466">
        <v>5.7499999999999999E-3</v>
      </c>
      <c r="C466">
        <v>5.8300000000000001E-3</v>
      </c>
      <c r="D466">
        <v>5.4200000000000003E-3</v>
      </c>
      <c r="E466">
        <v>5.5799999999999999E-3</v>
      </c>
      <c r="F466">
        <v>20531209.300000001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-0.21951219512195297</v>
      </c>
      <c r="Q466">
        <f t="shared" si="980"/>
        <v>-4506850.8219512552</v>
      </c>
      <c r="R466">
        <f t="shared" si="981"/>
        <v>-1009910731.2411977</v>
      </c>
      <c r="S466">
        <f t="shared" si="982"/>
        <v>-10099.107312411978</v>
      </c>
      <c r="T466">
        <f t="shared" si="983"/>
        <v>-10.099107312411977</v>
      </c>
    </row>
    <row r="467" spans="1:20" x14ac:dyDescent="0.25">
      <c r="A467" s="5">
        <v>44126</v>
      </c>
      <c r="B467">
        <v>5.6699999999999997E-3</v>
      </c>
      <c r="C467">
        <v>7.0000000000000001E-3</v>
      </c>
      <c r="D467">
        <v>5.4900000000000001E-3</v>
      </c>
      <c r="E467">
        <v>5.7800000000000004E-3</v>
      </c>
      <c r="F467">
        <v>66324644.299999997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-0.61589403973509893</v>
      </c>
      <c r="Q467">
        <f t="shared" si="980"/>
        <v>-40848953.111920498</v>
      </c>
      <c r="R467">
        <f t="shared" si="981"/>
        <v>-1005403880.4192464</v>
      </c>
      <c r="S467">
        <f t="shared" si="982"/>
        <v>-10054.038804192465</v>
      </c>
      <c r="T467">
        <f t="shared" si="983"/>
        <v>-10.054038804192466</v>
      </c>
    </row>
    <row r="468" spans="1:20" x14ac:dyDescent="0.25">
      <c r="A468" s="5">
        <v>44125</v>
      </c>
      <c r="B468">
        <v>6.0600000000000003E-3</v>
      </c>
      <c r="C468">
        <v>6.11E-3</v>
      </c>
      <c r="D468">
        <v>5.5100000000000001E-3</v>
      </c>
      <c r="E468">
        <v>5.64E-3</v>
      </c>
      <c r="F468">
        <v>34676456.799999997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-0.56666666666666687</v>
      </c>
      <c r="Q468">
        <f t="shared" si="980"/>
        <v>-19649992.186666671</v>
      </c>
      <c r="R468">
        <f t="shared" si="981"/>
        <v>-964554927.30732596</v>
      </c>
      <c r="S468">
        <f t="shared" si="982"/>
        <v>-9645.5492730732603</v>
      </c>
      <c r="T468">
        <f t="shared" si="983"/>
        <v>-9.6455492730732608</v>
      </c>
    </row>
    <row r="469" spans="1:20" x14ac:dyDescent="0.25">
      <c r="A469" s="5">
        <v>44124</v>
      </c>
      <c r="B469">
        <v>6.3E-3</v>
      </c>
      <c r="C469">
        <v>6.6299999999999996E-3</v>
      </c>
      <c r="D469">
        <v>5.7400000000000003E-3</v>
      </c>
      <c r="E469">
        <v>6.0600000000000003E-3</v>
      </c>
      <c r="F469">
        <v>34753457.100000001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-0.2808988764044939</v>
      </c>
      <c r="Q469">
        <f t="shared" si="980"/>
        <v>-9762207.050561782</v>
      </c>
      <c r="R469">
        <f t="shared" si="981"/>
        <v>-944904935.12065923</v>
      </c>
      <c r="S469">
        <f t="shared" si="982"/>
        <v>-9449.0493512065932</v>
      </c>
      <c r="T469">
        <f t="shared" si="983"/>
        <v>-9.4490493512065932</v>
      </c>
    </row>
    <row r="470" spans="1:20" x14ac:dyDescent="0.25">
      <c r="A470" s="5">
        <v>44123</v>
      </c>
      <c r="B470">
        <v>6.3099999999999996E-3</v>
      </c>
      <c r="C470">
        <v>6.5300000000000002E-3</v>
      </c>
      <c r="D470">
        <v>6.1900000000000002E-3</v>
      </c>
      <c r="E470">
        <v>6.3099999999999996E-3</v>
      </c>
      <c r="F470">
        <v>12163200.4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-0.29411764705882681</v>
      </c>
      <c r="Q470">
        <f t="shared" si="980"/>
        <v>-3577411.8823529813</v>
      </c>
      <c r="R470">
        <f t="shared" si="981"/>
        <v>-935142728.07009745</v>
      </c>
      <c r="S470">
        <f t="shared" si="982"/>
        <v>-9351.4272807009747</v>
      </c>
      <c r="T470">
        <f t="shared" si="983"/>
        <v>-9.3514272807009746</v>
      </c>
    </row>
    <row r="471" spans="1:20" x14ac:dyDescent="0.25">
      <c r="A471" s="5">
        <v>44122</v>
      </c>
      <c r="B471">
        <v>6.43E-3</v>
      </c>
      <c r="C471">
        <v>6.7400000000000003E-3</v>
      </c>
      <c r="D471">
        <v>6.2599999999999999E-3</v>
      </c>
      <c r="E471">
        <v>6.3200000000000001E-3</v>
      </c>
      <c r="F471">
        <v>18841686.199999999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-0.74999999999999956</v>
      </c>
      <c r="Q471">
        <f t="shared" si="980"/>
        <v>-14131264.649999991</v>
      </c>
      <c r="R471">
        <f t="shared" si="981"/>
        <v>-931565316.1877445</v>
      </c>
      <c r="S471">
        <f t="shared" si="982"/>
        <v>-9315.6531618774443</v>
      </c>
      <c r="T471">
        <f t="shared" si="983"/>
        <v>-9.3156531618774441</v>
      </c>
    </row>
    <row r="472" spans="1:20" x14ac:dyDescent="0.25">
      <c r="A472" s="5">
        <v>44121</v>
      </c>
      <c r="B472">
        <v>6.2599999999999999E-3</v>
      </c>
      <c r="C472">
        <v>7.2700000000000004E-3</v>
      </c>
      <c r="D472">
        <v>6.1900000000000002E-3</v>
      </c>
      <c r="E472">
        <v>6.4400000000000004E-3</v>
      </c>
      <c r="F472">
        <v>39550728.5</v>
      </c>
      <c r="G472">
        <v>0</v>
      </c>
      <c r="L472" t="s">
        <v>8</v>
      </c>
      <c r="M472" t="s">
        <v>8</v>
      </c>
      <c r="N472" t="s">
        <v>7</v>
      </c>
      <c r="P472">
        <f t="shared" si="979"/>
        <v>-0.53703703703703676</v>
      </c>
      <c r="Q472">
        <f t="shared" si="980"/>
        <v>-21240206.046296284</v>
      </c>
      <c r="R472">
        <f t="shared" si="981"/>
        <v>-917434051.53774452</v>
      </c>
      <c r="S472">
        <f t="shared" si="982"/>
        <v>-9174.3405153774456</v>
      </c>
      <c r="T472">
        <f t="shared" si="983"/>
        <v>-9.1743405153774464</v>
      </c>
    </row>
    <row r="473" spans="1:20" x14ac:dyDescent="0.25">
      <c r="A473" s="5">
        <v>44120</v>
      </c>
      <c r="B473">
        <v>6.4400000000000004E-3</v>
      </c>
      <c r="C473">
        <v>6.7299999999999999E-3</v>
      </c>
      <c r="D473">
        <v>5.9699999999999996E-3</v>
      </c>
      <c r="E473">
        <v>6.2300000000000003E-3</v>
      </c>
      <c r="F473">
        <v>16644119.4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-0.31578947368420895</v>
      </c>
      <c r="Q473">
        <f t="shared" si="980"/>
        <v>-5256037.7052631322</v>
      </c>
      <c r="R473">
        <f t="shared" si="981"/>
        <v>-896193845.49144828</v>
      </c>
      <c r="S473">
        <f t="shared" si="982"/>
        <v>-8961.9384549144834</v>
      </c>
      <c r="T473">
        <f t="shared" si="983"/>
        <v>-8.9619384549144829</v>
      </c>
    </row>
    <row r="474" spans="1:20" x14ac:dyDescent="0.25">
      <c r="A474" s="5">
        <v>44119</v>
      </c>
      <c r="B474">
        <v>6.6400000000000001E-3</v>
      </c>
      <c r="C474">
        <v>6.6699999999999997E-3</v>
      </c>
      <c r="D474">
        <v>6.2899999999999996E-3</v>
      </c>
      <c r="E474">
        <v>6.43E-3</v>
      </c>
      <c r="F474">
        <v>14379439.9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-0.26315789473684043</v>
      </c>
      <c r="Q474">
        <f t="shared" si="980"/>
        <v>-3784063.1315789232</v>
      </c>
      <c r="R474">
        <f t="shared" si="981"/>
        <v>-890937807.78618515</v>
      </c>
      <c r="S474">
        <f t="shared" si="982"/>
        <v>-8909.3780778618511</v>
      </c>
      <c r="T474">
        <f t="shared" si="983"/>
        <v>-8.9093780778618505</v>
      </c>
    </row>
    <row r="475" spans="1:20" x14ac:dyDescent="0.25">
      <c r="A475" s="5">
        <v>44118</v>
      </c>
      <c r="B475">
        <v>6.9800000000000001E-3</v>
      </c>
      <c r="C475">
        <v>6.9899999999999997E-3</v>
      </c>
      <c r="D475">
        <v>6.5100000000000002E-3</v>
      </c>
      <c r="E475">
        <v>6.6400000000000001E-3</v>
      </c>
      <c r="F475">
        <v>8775022.8000000007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-0.4583333333333332</v>
      </c>
      <c r="Q475">
        <f t="shared" si="980"/>
        <v>-4021885.4499999993</v>
      </c>
      <c r="R475">
        <f t="shared" si="981"/>
        <v>-887153744.65460622</v>
      </c>
      <c r="S475">
        <f t="shared" si="982"/>
        <v>-8871.5374465460627</v>
      </c>
      <c r="T475">
        <f t="shared" si="983"/>
        <v>-8.8715374465460624</v>
      </c>
    </row>
    <row r="476" spans="1:20" x14ac:dyDescent="0.25">
      <c r="A476" s="5">
        <v>44117</v>
      </c>
      <c r="B476">
        <v>7.0099999999999997E-3</v>
      </c>
      <c r="C476">
        <v>7.1900000000000002E-3</v>
      </c>
      <c r="D476">
        <v>6.6E-3</v>
      </c>
      <c r="E476">
        <v>6.9800000000000001E-3</v>
      </c>
      <c r="F476">
        <v>36542734.600000001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0.28813559322033888</v>
      </c>
      <c r="Q476">
        <f t="shared" si="980"/>
        <v>10529262.511864403</v>
      </c>
      <c r="R476">
        <f t="shared" si="981"/>
        <v>-883131859.20460618</v>
      </c>
      <c r="S476">
        <f t="shared" si="982"/>
        <v>-8831.3185920460619</v>
      </c>
      <c r="T476">
        <f t="shared" si="983"/>
        <v>-8.8313185920460615</v>
      </c>
    </row>
    <row r="477" spans="1:20" x14ac:dyDescent="0.25">
      <c r="A477" s="5">
        <v>44116</v>
      </c>
      <c r="B477">
        <v>7.1700000000000002E-3</v>
      </c>
      <c r="C477">
        <v>8.1700000000000002E-3</v>
      </c>
      <c r="D477">
        <v>6.9100000000000003E-3</v>
      </c>
      <c r="E477">
        <v>6.9800000000000001E-3</v>
      </c>
      <c r="F477">
        <v>65052901.200000003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-0.88888888888888928</v>
      </c>
      <c r="Q477">
        <f t="shared" si="980"/>
        <v>-57824801.066666692</v>
      </c>
      <c r="R477">
        <f t="shared" si="981"/>
        <v>-893661121.7164706</v>
      </c>
      <c r="S477">
        <f t="shared" si="982"/>
        <v>-8936.6112171647055</v>
      </c>
      <c r="T477">
        <f t="shared" si="983"/>
        <v>-8.936611217164705</v>
      </c>
    </row>
    <row r="478" spans="1:20" x14ac:dyDescent="0.25">
      <c r="A478" s="5">
        <v>44115</v>
      </c>
      <c r="B478">
        <v>6.9800000000000001E-3</v>
      </c>
      <c r="C478">
        <v>7.5900000000000004E-3</v>
      </c>
      <c r="D478">
        <v>6.9300000000000004E-3</v>
      </c>
      <c r="E478">
        <v>7.2100000000000003E-3</v>
      </c>
      <c r="F478">
        <v>13001525.800000001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-0.15151515151515191</v>
      </c>
      <c r="Q478">
        <f t="shared" si="980"/>
        <v>-1969928.1515151567</v>
      </c>
      <c r="R478">
        <f t="shared" si="981"/>
        <v>-835836320.64980388</v>
      </c>
      <c r="S478">
        <f t="shared" si="982"/>
        <v>-8358.3632064980393</v>
      </c>
      <c r="T478">
        <f t="shared" si="983"/>
        <v>-8.3583632064980389</v>
      </c>
    </row>
    <row r="479" spans="1:20" x14ac:dyDescent="0.25">
      <c r="A479" s="5">
        <v>44114</v>
      </c>
      <c r="B479">
        <v>7.7600000000000004E-3</v>
      </c>
      <c r="C479">
        <v>7.8799999999999999E-3</v>
      </c>
      <c r="D479">
        <v>6.9300000000000004E-3</v>
      </c>
      <c r="E479">
        <v>6.9699999999999996E-3</v>
      </c>
      <c r="F479">
        <v>26787452.100000001</v>
      </c>
      <c r="G479">
        <v>0</v>
      </c>
      <c r="L479" t="s">
        <v>7</v>
      </c>
      <c r="M479" t="s">
        <v>7</v>
      </c>
      <c r="N479" t="s">
        <v>7</v>
      </c>
      <c r="P479">
        <f t="shared" si="979"/>
        <v>-0.91578947368421204</v>
      </c>
      <c r="Q479">
        <f t="shared" si="980"/>
        <v>-24531666.660000041</v>
      </c>
      <c r="R479">
        <f t="shared" si="981"/>
        <v>-833866392.49828875</v>
      </c>
      <c r="S479">
        <f t="shared" si="982"/>
        <v>-8338.6639249828877</v>
      </c>
      <c r="T479">
        <f t="shared" si="983"/>
        <v>-8.3386639249828871</v>
      </c>
    </row>
    <row r="480" spans="1:20" x14ac:dyDescent="0.25">
      <c r="A480" s="5">
        <v>44113</v>
      </c>
      <c r="B480">
        <v>7.9799999999999992E-3</v>
      </c>
      <c r="C480">
        <v>8.1799999999999998E-3</v>
      </c>
      <c r="D480">
        <v>7.4000000000000003E-3</v>
      </c>
      <c r="E480">
        <v>7.7499999999999999E-3</v>
      </c>
      <c r="F480">
        <v>66028385.899999999</v>
      </c>
      <c r="G480">
        <v>0</v>
      </c>
      <c r="L480" t="s">
        <v>7</v>
      </c>
      <c r="M480" t="s">
        <v>7</v>
      </c>
      <c r="N480" t="s">
        <v>7</v>
      </c>
      <c r="P480">
        <f t="shared" si="979"/>
        <v>-0.10256410256410291</v>
      </c>
      <c r="Q480">
        <f t="shared" si="980"/>
        <v>-6772142.1435897658</v>
      </c>
      <c r="R480">
        <f t="shared" si="981"/>
        <v>-809334725.83828866</v>
      </c>
      <c r="S480">
        <f t="shared" si="982"/>
        <v>-8093.347258382887</v>
      </c>
      <c r="T480">
        <f t="shared" si="983"/>
        <v>-8.0933472583828863</v>
      </c>
    </row>
    <row r="481" spans="1:20" x14ac:dyDescent="0.25">
      <c r="A481" s="5">
        <v>44112</v>
      </c>
      <c r="B481">
        <v>6.5500000000000003E-3</v>
      </c>
      <c r="C481">
        <v>1.0370000000000001E-2</v>
      </c>
      <c r="D481">
        <v>6.0800000000000003E-3</v>
      </c>
      <c r="E481">
        <v>7.9699999999999997E-3</v>
      </c>
      <c r="F481">
        <v>124611473.7</v>
      </c>
      <c r="G481">
        <v>0</v>
      </c>
      <c r="L481" t="s">
        <v>8</v>
      </c>
      <c r="M481" t="s">
        <v>8</v>
      </c>
      <c r="N481" t="s">
        <v>8</v>
      </c>
      <c r="P481">
        <f t="shared" si="979"/>
        <v>-0.11888111888111928</v>
      </c>
      <c r="Q481">
        <f t="shared" si="980"/>
        <v>-14813951.418881169</v>
      </c>
      <c r="R481">
        <f t="shared" si="981"/>
        <v>-802562583.69469893</v>
      </c>
      <c r="S481">
        <f t="shared" si="982"/>
        <v>-8025.6258369469897</v>
      </c>
      <c r="T481">
        <f t="shared" si="983"/>
        <v>-8.0256258369469897</v>
      </c>
    </row>
    <row r="482" spans="1:20" x14ac:dyDescent="0.25">
      <c r="A482" s="5">
        <v>44111</v>
      </c>
      <c r="B482">
        <v>6.45E-3</v>
      </c>
      <c r="C482">
        <v>6.6600000000000001E-3</v>
      </c>
      <c r="D482">
        <v>5.9100000000000003E-3</v>
      </c>
      <c r="E482">
        <v>6.5300000000000002E-3</v>
      </c>
      <c r="F482">
        <v>16500994.1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0.65333333333333343</v>
      </c>
      <c r="Q482">
        <f t="shared" si="980"/>
        <v>10780649.478666669</v>
      </c>
      <c r="R482">
        <f t="shared" si="981"/>
        <v>-787748632.27581775</v>
      </c>
      <c r="S482">
        <f t="shared" si="982"/>
        <v>-7877.4863227581773</v>
      </c>
      <c r="T482">
        <f t="shared" si="983"/>
        <v>-7.8774863227581768</v>
      </c>
    </row>
    <row r="483" spans="1:20" x14ac:dyDescent="0.25">
      <c r="A483" s="5">
        <v>44110</v>
      </c>
      <c r="B483">
        <v>7.26E-3</v>
      </c>
      <c r="C483">
        <v>7.3899999999999999E-3</v>
      </c>
      <c r="D483">
        <v>6.3699999999999998E-3</v>
      </c>
      <c r="E483">
        <v>6.4900000000000001E-3</v>
      </c>
      <c r="F483">
        <v>21798419.800000001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-0.76470588235294057</v>
      </c>
      <c r="Q483">
        <f t="shared" si="980"/>
        <v>-16669379.84705881</v>
      </c>
      <c r="R483">
        <f t="shared" si="981"/>
        <v>-798529281.75448442</v>
      </c>
      <c r="S483">
        <f t="shared" si="982"/>
        <v>-7985.2928175448442</v>
      </c>
      <c r="T483">
        <f t="shared" si="983"/>
        <v>-7.9852928175448445</v>
      </c>
    </row>
    <row r="484" spans="1:20" x14ac:dyDescent="0.25">
      <c r="A484" s="5">
        <v>44109</v>
      </c>
      <c r="B484">
        <v>7.77E-3</v>
      </c>
      <c r="C484">
        <v>7.9799999999999992E-3</v>
      </c>
      <c r="D484">
        <v>7.1599999999999997E-3</v>
      </c>
      <c r="E484">
        <v>7.2700000000000004E-3</v>
      </c>
      <c r="F484">
        <v>17043112.600000001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-0.73170731707316883</v>
      </c>
      <c r="Q484">
        <f t="shared" si="980"/>
        <v>-12470570.19512192</v>
      </c>
      <c r="R484">
        <f t="shared" si="981"/>
        <v>-781859901.90742564</v>
      </c>
      <c r="S484">
        <f t="shared" si="982"/>
        <v>-7818.5990190742568</v>
      </c>
      <c r="T484">
        <f t="shared" si="983"/>
        <v>-7.8185990190742567</v>
      </c>
    </row>
    <row r="485" spans="1:20" x14ac:dyDescent="0.25">
      <c r="A485" s="5">
        <v>44108</v>
      </c>
      <c r="B485">
        <v>7.6800000000000002E-3</v>
      </c>
      <c r="C485">
        <v>8.4499999999999992E-3</v>
      </c>
      <c r="D485">
        <v>7.4700000000000001E-3</v>
      </c>
      <c r="E485">
        <v>7.77E-3</v>
      </c>
      <c r="F485">
        <v>26381533.300000001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-0.38775510204081592</v>
      </c>
      <c r="Q485">
        <f t="shared" si="980"/>
        <v>-10229574.136734683</v>
      </c>
      <c r="R485">
        <f t="shared" si="981"/>
        <v>-769389331.71230376</v>
      </c>
      <c r="S485">
        <f t="shared" si="982"/>
        <v>-7693.8933171230374</v>
      </c>
      <c r="T485">
        <f t="shared" si="983"/>
        <v>-7.6938933171230373</v>
      </c>
    </row>
    <row r="486" spans="1:20" x14ac:dyDescent="0.25">
      <c r="A486" s="5">
        <v>44107</v>
      </c>
      <c r="B486">
        <v>8.7899999999999992E-3</v>
      </c>
      <c r="C486">
        <v>8.8400000000000006E-3</v>
      </c>
      <c r="D486">
        <v>7.5199999999999998E-3</v>
      </c>
      <c r="E486">
        <v>7.77E-3</v>
      </c>
      <c r="F486">
        <v>71965038.5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-0.6212121212121211</v>
      </c>
      <c r="Q486">
        <f t="shared" si="980"/>
        <v>-44705554.219696961</v>
      </c>
      <c r="R486">
        <f t="shared" si="981"/>
        <v>-759159757.57556903</v>
      </c>
      <c r="S486">
        <f t="shared" si="982"/>
        <v>-7591.5975757556907</v>
      </c>
      <c r="T486">
        <f t="shared" si="983"/>
        <v>-7.5915975757556904</v>
      </c>
    </row>
    <row r="487" spans="1:20" x14ac:dyDescent="0.25">
      <c r="A487" s="5">
        <v>44106</v>
      </c>
      <c r="B487">
        <v>7.5700000000000003E-3</v>
      </c>
      <c r="C487">
        <v>1.14E-2</v>
      </c>
      <c r="D487">
        <v>7.11E-3</v>
      </c>
      <c r="E487">
        <v>8.8400000000000006E-3</v>
      </c>
      <c r="F487">
        <v>512726779.10000002</v>
      </c>
      <c r="G487">
        <v>0</v>
      </c>
      <c r="L487" t="s">
        <v>8</v>
      </c>
      <c r="M487" t="s">
        <v>8</v>
      </c>
      <c r="N487" t="s">
        <v>8</v>
      </c>
      <c r="P487">
        <f t="shared" si="979"/>
        <v>-0.19347319347319325</v>
      </c>
      <c r="Q487">
        <f t="shared" si="980"/>
        <v>-99198887.331701517</v>
      </c>
      <c r="R487">
        <f t="shared" si="981"/>
        <v>-714454203.35587204</v>
      </c>
      <c r="S487">
        <f t="shared" si="982"/>
        <v>-7144.5420335587205</v>
      </c>
      <c r="T487">
        <f t="shared" si="983"/>
        <v>-7.1445420335587206</v>
      </c>
    </row>
    <row r="488" spans="1:20" x14ac:dyDescent="0.25">
      <c r="A488" s="5">
        <v>44105</v>
      </c>
      <c r="B488">
        <v>6.4799999999999996E-3</v>
      </c>
      <c r="C488">
        <v>8.0000000000000002E-3</v>
      </c>
      <c r="D488">
        <v>6.0600000000000003E-3</v>
      </c>
      <c r="E488">
        <v>7.5300000000000002E-3</v>
      </c>
      <c r="F488">
        <v>60339414.399999999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0.51546391752577325</v>
      </c>
      <c r="Q488">
        <f t="shared" si="980"/>
        <v>31102790.927835055</v>
      </c>
      <c r="R488">
        <f t="shared" si="981"/>
        <v>-615255316.02417052</v>
      </c>
      <c r="S488">
        <f t="shared" si="982"/>
        <v>-6152.553160241705</v>
      </c>
      <c r="T488">
        <f t="shared" si="983"/>
        <v>-6.1525531602417054</v>
      </c>
    </row>
    <row r="489" spans="1:20" x14ac:dyDescent="0.25">
      <c r="A489" s="5">
        <v>44104</v>
      </c>
      <c r="B489">
        <v>7.0000000000000001E-3</v>
      </c>
      <c r="C489">
        <v>7.0800000000000004E-3</v>
      </c>
      <c r="D489">
        <v>6.3600000000000002E-3</v>
      </c>
      <c r="E489">
        <v>6.4799999999999996E-3</v>
      </c>
      <c r="F489">
        <v>25796637.699999999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-0.66666666666666829</v>
      </c>
      <c r="Q489">
        <f t="shared" si="980"/>
        <v>-17197758.46666671</v>
      </c>
      <c r="R489">
        <f t="shared" si="981"/>
        <v>-646358106.95200562</v>
      </c>
      <c r="S489">
        <f t="shared" si="982"/>
        <v>-6463.5810695200562</v>
      </c>
      <c r="T489">
        <f t="shared" si="983"/>
        <v>-6.463581069520056</v>
      </c>
    </row>
    <row r="490" spans="1:20" x14ac:dyDescent="0.25">
      <c r="A490" s="5">
        <v>44103</v>
      </c>
      <c r="B490">
        <v>7.3899999999999999E-3</v>
      </c>
      <c r="C490">
        <v>7.5300000000000002E-3</v>
      </c>
      <c r="D490">
        <v>6.7000000000000002E-3</v>
      </c>
      <c r="E490">
        <v>7.0000000000000001E-3</v>
      </c>
      <c r="F490">
        <v>42510948.600000001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-0.27710843373493999</v>
      </c>
      <c r="Q490">
        <f t="shared" si="980"/>
        <v>-11780142.38313254</v>
      </c>
      <c r="R490">
        <f t="shared" si="981"/>
        <v>-629160348.48533893</v>
      </c>
      <c r="S490">
        <f t="shared" si="982"/>
        <v>-6291.6034848533891</v>
      </c>
      <c r="T490">
        <f t="shared" si="983"/>
        <v>-6.2916034848533888</v>
      </c>
    </row>
    <row r="491" spans="1:20" x14ac:dyDescent="0.25">
      <c r="A491" s="5">
        <v>44102</v>
      </c>
      <c r="B491">
        <v>7.7200000000000003E-3</v>
      </c>
      <c r="C491">
        <v>8.0999999999999996E-3</v>
      </c>
      <c r="D491">
        <v>7.3899999999999999E-3</v>
      </c>
      <c r="E491">
        <v>7.3899999999999999E-3</v>
      </c>
      <c r="F491">
        <v>31478403.600000001</v>
      </c>
      <c r="G491">
        <v>0</v>
      </c>
      <c r="L491" t="s">
        <v>7</v>
      </c>
      <c r="M491" t="s">
        <v>7</v>
      </c>
      <c r="N491" t="s">
        <v>7</v>
      </c>
      <c r="P491">
        <f t="shared" si="979"/>
        <v>-1</v>
      </c>
      <c r="Q491">
        <f t="shared" si="980"/>
        <v>-31478403.600000001</v>
      </c>
      <c r="R491">
        <f t="shared" si="981"/>
        <v>-617380206.10220635</v>
      </c>
      <c r="S491">
        <f t="shared" si="982"/>
        <v>-6173.8020610220638</v>
      </c>
      <c r="T491">
        <f t="shared" si="983"/>
        <v>-6.1738020610220641</v>
      </c>
    </row>
    <row r="492" spans="1:20" x14ac:dyDescent="0.25">
      <c r="A492" s="5">
        <v>44101</v>
      </c>
      <c r="B492">
        <v>8.26E-3</v>
      </c>
      <c r="C492">
        <v>8.3499999999999998E-3</v>
      </c>
      <c r="D492">
        <v>7.6499999999999997E-3</v>
      </c>
      <c r="E492">
        <v>7.6499999999999997E-3</v>
      </c>
      <c r="F492">
        <v>18952248.699999999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-1</v>
      </c>
      <c r="Q492">
        <f t="shared" si="980"/>
        <v>-18952248.699999999</v>
      </c>
      <c r="R492">
        <f t="shared" si="981"/>
        <v>-585901802.50220633</v>
      </c>
      <c r="S492">
        <f t="shared" si="982"/>
        <v>-5859.0180250220628</v>
      </c>
      <c r="T492">
        <f t="shared" si="983"/>
        <v>-5.8590180250220625</v>
      </c>
    </row>
    <row r="493" spans="1:20" x14ac:dyDescent="0.25">
      <c r="A493" s="5">
        <v>44100</v>
      </c>
      <c r="B493">
        <v>8.7100000000000007E-3</v>
      </c>
      <c r="C493">
        <v>9.2700000000000005E-3</v>
      </c>
      <c r="D493">
        <v>8.0499999999999999E-3</v>
      </c>
      <c r="E493">
        <v>8.3499999999999998E-3</v>
      </c>
      <c r="F493">
        <v>73625139.599999994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-0.50819672131147575</v>
      </c>
      <c r="Q493">
        <f t="shared" si="980"/>
        <v>-37416054.550819695</v>
      </c>
      <c r="R493">
        <f t="shared" si="981"/>
        <v>-566949553.80220628</v>
      </c>
      <c r="S493">
        <f t="shared" si="982"/>
        <v>-5669.4955380220626</v>
      </c>
      <c r="T493">
        <f t="shared" si="983"/>
        <v>-5.6694955380220629</v>
      </c>
    </row>
    <row r="494" spans="1:20" x14ac:dyDescent="0.25">
      <c r="A494" s="5">
        <v>44099</v>
      </c>
      <c r="B494">
        <v>8.3599999999999994E-3</v>
      </c>
      <c r="C494">
        <v>9.4299999999999991E-3</v>
      </c>
      <c r="D494">
        <v>7.9000000000000008E-3</v>
      </c>
      <c r="E494">
        <v>8.7100000000000007E-3</v>
      </c>
      <c r="F494">
        <v>108922641.7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5.8823529411765774E-2</v>
      </c>
      <c r="Q494">
        <f t="shared" si="980"/>
        <v>6407214.2176471753</v>
      </c>
      <c r="R494">
        <f t="shared" si="981"/>
        <v>-529533499.25138658</v>
      </c>
      <c r="S494">
        <f t="shared" si="982"/>
        <v>-5295.3349925138655</v>
      </c>
      <c r="T494">
        <f t="shared" si="983"/>
        <v>-5.2953349925138653</v>
      </c>
    </row>
    <row r="495" spans="1:20" x14ac:dyDescent="0.25">
      <c r="A495" s="5">
        <v>44098</v>
      </c>
      <c r="B495">
        <v>7.4999999999999997E-3</v>
      </c>
      <c r="C495">
        <v>8.6499999999999997E-3</v>
      </c>
      <c r="D495">
        <v>7.1999999999999998E-3</v>
      </c>
      <c r="E495">
        <v>8.3499999999999998E-3</v>
      </c>
      <c r="F495">
        <v>115104724</v>
      </c>
      <c r="G495">
        <v>0</v>
      </c>
      <c r="L495" t="s">
        <v>7</v>
      </c>
      <c r="M495" t="s">
        <v>8</v>
      </c>
      <c r="N495" t="s">
        <v>7</v>
      </c>
      <c r="P495">
        <f t="shared" si="979"/>
        <v>0.5862068965517242</v>
      </c>
      <c r="Q495">
        <f t="shared" si="980"/>
        <v>67475183.034482762</v>
      </c>
      <c r="R495">
        <f t="shared" si="981"/>
        <v>-535940713.46903378</v>
      </c>
      <c r="S495">
        <f t="shared" si="982"/>
        <v>-5359.4071346903374</v>
      </c>
      <c r="T495">
        <f t="shared" si="983"/>
        <v>-5.3594071346903371</v>
      </c>
    </row>
    <row r="496" spans="1:20" x14ac:dyDescent="0.25">
      <c r="A496" s="5">
        <v>44097</v>
      </c>
      <c r="B496">
        <v>1.052E-2</v>
      </c>
      <c r="C496">
        <v>1.055E-2</v>
      </c>
      <c r="D496">
        <v>7.2399999999999999E-3</v>
      </c>
      <c r="E496">
        <v>7.45E-3</v>
      </c>
      <c r="F496">
        <v>172344542.19999999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-0.87311178247734134</v>
      </c>
      <c r="Q496">
        <f t="shared" si="980"/>
        <v>-150476050.44048336</v>
      </c>
      <c r="R496">
        <f t="shared" si="981"/>
        <v>-603415896.50351655</v>
      </c>
      <c r="S496">
        <f t="shared" si="982"/>
        <v>-6034.1589650351652</v>
      </c>
      <c r="T496">
        <f t="shared" si="983"/>
        <v>-6.0341589650351652</v>
      </c>
    </row>
    <row r="497" spans="1:20" x14ac:dyDescent="0.25">
      <c r="A497" s="5">
        <v>44096</v>
      </c>
      <c r="B497">
        <v>1.235E-2</v>
      </c>
      <c r="C497">
        <v>1.438E-2</v>
      </c>
      <c r="D497">
        <v>0.01</v>
      </c>
      <c r="E497">
        <v>1.056E-2</v>
      </c>
      <c r="F497">
        <v>205524385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-0.7442922374429225</v>
      </c>
      <c r="Q497">
        <f t="shared" si="980"/>
        <v>-152970204.36073062</v>
      </c>
      <c r="R497">
        <f t="shared" si="981"/>
        <v>-452939846.06303322</v>
      </c>
      <c r="S497">
        <f t="shared" si="982"/>
        <v>-4529.398460630332</v>
      </c>
      <c r="T497">
        <f t="shared" si="983"/>
        <v>-4.5293984606303317</v>
      </c>
    </row>
    <row r="498" spans="1:20" x14ac:dyDescent="0.25">
      <c r="A498" s="5">
        <v>44095</v>
      </c>
      <c r="B498">
        <v>1.66E-2</v>
      </c>
      <c r="C498">
        <v>2.3599999999999999E-2</v>
      </c>
      <c r="D498">
        <v>1.1440000000000001E-2</v>
      </c>
      <c r="E498">
        <v>1.23E-2</v>
      </c>
      <c r="F498">
        <v>349389927.5</v>
      </c>
      <c r="G498">
        <v>0</v>
      </c>
      <c r="P498">
        <f t="shared" si="979"/>
        <v>-0.85855263157894746</v>
      </c>
      <c r="Q498">
        <f t="shared" si="980"/>
        <v>-299969641.70230263</v>
      </c>
      <c r="R498">
        <f t="shared" si="981"/>
        <v>-299969641.70230263</v>
      </c>
      <c r="S498">
        <f t="shared" si="982"/>
        <v>-2999.6964170230262</v>
      </c>
      <c r="T498">
        <f t="shared" si="983"/>
        <v>-2.999696417023026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R814" sqref="JR81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$A$813</v>
      </c>
      <c r="D111" s="1" t="str">
        <f>ADDRESS(C121-1,D121,1,1)</f>
        <v>$JR$813</v>
      </c>
      <c r="E111"/>
    </row>
    <row r="112" spans="1:5" x14ac:dyDescent="0.25">
      <c r="A112" s="7">
        <v>12164.144957890772</v>
      </c>
      <c r="C112" s="1" t="str">
        <f>ADDRESS(C121,1,1,1)</f>
        <v>$A$814</v>
      </c>
      <c r="D112" s="1" t="str">
        <f>ADDRESS(C121,D121-1,1,1)</f>
        <v>$JQ$814</v>
      </c>
      <c r="E112"/>
    </row>
    <row r="113" spans="1:5" x14ac:dyDescent="0.25">
      <c r="A113" s="7">
        <v>11925.63231165762</v>
      </c>
      <c r="C113" s="1" t="str">
        <f>ADDRESS(C121+1,1,1,1)</f>
        <v>$A$815</v>
      </c>
      <c r="D113" s="1" t="str">
        <f>ADDRESS(C121-1,D121+1,1,1)</f>
        <v>$JS$813</v>
      </c>
    </row>
    <row r="114" spans="1:5" x14ac:dyDescent="0.25">
      <c r="A114" s="7">
        <v>11691.796383978059</v>
      </c>
      <c r="C114" s="1" t="str">
        <f>ADDRESS(C121,D121,1,1)</f>
        <v>$JR$814</v>
      </c>
      <c r="D114" s="1" t="str">
        <f>ADDRESS(C121+1,D121+1,1,1)</f>
        <v>$JS$815</v>
      </c>
    </row>
    <row r="115" spans="1:5" x14ac:dyDescent="0.25">
      <c r="A115" s="7">
        <v>11462.545474488292</v>
      </c>
      <c r="C115" s="1" t="str">
        <f>ADDRESS(C121+1,D121,1,1)</f>
        <v>$JR$815</v>
      </c>
    </row>
    <row r="116" spans="1:5" x14ac:dyDescent="0.25">
      <c r="A116" s="7">
        <v>11237.789680870874</v>
      </c>
      <c r="C116" s="1">
        <f>C117-1</f>
        <v>813</v>
      </c>
    </row>
    <row r="117" spans="1:5" x14ac:dyDescent="0.25">
      <c r="A117" s="7">
        <v>11017.440863598895</v>
      </c>
      <c r="C117" s="1">
        <f>C121</f>
        <v>814</v>
      </c>
      <c r="D117" s="1">
        <f>D121</f>
        <v>278</v>
      </c>
    </row>
    <row r="118" spans="1:5" x14ac:dyDescent="0.25">
      <c r="A118" s="7">
        <v>10801.412611371465</v>
      </c>
      <c r="C118" s="1">
        <f>C117+1</f>
        <v>815</v>
      </c>
      <c r="D118" s="1">
        <f>D117+1</f>
        <v>279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814</v>
      </c>
      <c r="D121" s="19">
        <v>278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R814</v>
      </c>
      <c r="D123" s="1" t="str">
        <f>"C"&amp;D121</f>
        <v>C278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1.1162488129209149E-2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6" x14ac:dyDescent="0.25">
      <c r="A689" s="7">
        <v>0.13267297885212009</v>
      </c>
      <c r="B689"/>
      <c r="C689"/>
      <c r="D689"/>
      <c r="E689"/>
      <c r="F689" s="27" t="s">
        <v>7</v>
      </c>
    </row>
    <row r="690" spans="1:6" x14ac:dyDescent="0.25">
      <c r="A690" s="7">
        <v>0.13007154789423539</v>
      </c>
      <c r="B690"/>
      <c r="C690"/>
      <c r="D690"/>
      <c r="E690"/>
      <c r="F690" s="27" t="s">
        <v>7</v>
      </c>
    </row>
    <row r="691" spans="1:6" x14ac:dyDescent="0.25">
      <c r="A691" s="7">
        <v>0.12752112538650529</v>
      </c>
      <c r="B691"/>
      <c r="C691"/>
      <c r="D691"/>
      <c r="E691"/>
      <c r="F691" s="27" t="s">
        <v>7</v>
      </c>
    </row>
    <row r="692" spans="1:6" x14ac:dyDescent="0.25">
      <c r="A692" s="7">
        <v>0.12502071116324048</v>
      </c>
      <c r="B692"/>
      <c r="C692"/>
      <c r="D692"/>
      <c r="E692"/>
      <c r="F692" s="27" t="s">
        <v>7</v>
      </c>
    </row>
    <row r="693" spans="1:6" x14ac:dyDescent="0.25">
      <c r="A693" s="7">
        <v>0.1225693246698436</v>
      </c>
      <c r="B693"/>
      <c r="C693"/>
      <c r="D693"/>
      <c r="E693"/>
      <c r="F693" s="27" t="s">
        <v>7</v>
      </c>
    </row>
    <row r="694" spans="1:6" x14ac:dyDescent="0.25">
      <c r="A694" s="7">
        <v>0.12016600457827803</v>
      </c>
      <c r="B694"/>
      <c r="C694"/>
      <c r="D694"/>
      <c r="E694"/>
      <c r="F694" s="27" t="s">
        <v>7</v>
      </c>
    </row>
    <row r="695" spans="1:6" x14ac:dyDescent="0.25">
      <c r="A695" s="7">
        <v>0.1178098084100765</v>
      </c>
      <c r="B695"/>
      <c r="C695"/>
      <c r="D695"/>
      <c r="E695"/>
      <c r="F695" s="27" t="s">
        <v>7</v>
      </c>
    </row>
    <row r="696" spans="1:6" x14ac:dyDescent="0.25">
      <c r="A696" s="7">
        <v>0.11549981216674166</v>
      </c>
      <c r="B696"/>
      <c r="C696"/>
      <c r="D696"/>
      <c r="E696"/>
      <c r="F696" s="27" t="s">
        <v>7</v>
      </c>
    </row>
    <row r="697" spans="1:6" x14ac:dyDescent="0.25">
      <c r="A697" s="7">
        <v>0.11323510996739378</v>
      </c>
      <c r="B697"/>
      <c r="C697"/>
      <c r="D697"/>
      <c r="E697"/>
      <c r="F697" s="27" t="s">
        <v>7</v>
      </c>
    </row>
    <row r="698" spans="1:6" x14ac:dyDescent="0.25">
      <c r="A698" s="7">
        <v>0.11101481369352331</v>
      </c>
      <c r="B698"/>
      <c r="C698"/>
      <c r="D698"/>
      <c r="E698"/>
      <c r="F698" s="27" t="s">
        <v>7</v>
      </c>
    </row>
    <row r="699" spans="1:6" x14ac:dyDescent="0.25">
      <c r="A699" s="7">
        <v>0.10883805264070913</v>
      </c>
      <c r="B699"/>
      <c r="C699"/>
      <c r="D699"/>
      <c r="E699"/>
      <c r="F699" s="27" t="s">
        <v>7</v>
      </c>
    </row>
    <row r="700" spans="1:6" x14ac:dyDescent="0.25">
      <c r="A700" s="7">
        <v>0.10670397317716582</v>
      </c>
      <c r="B700"/>
      <c r="C700"/>
      <c r="D700"/>
      <c r="E700"/>
      <c r="F700" s="27" t="s">
        <v>7</v>
      </c>
    </row>
    <row r="701" spans="1:6" x14ac:dyDescent="0.25">
      <c r="A701" s="7">
        <v>0.1046117384089861</v>
      </c>
      <c r="B701"/>
      <c r="C701"/>
      <c r="D701"/>
      <c r="E701"/>
      <c r="F701" s="27" t="s">
        <v>7</v>
      </c>
    </row>
    <row r="702" spans="1:6" x14ac:dyDescent="0.25">
      <c r="A702" s="7">
        <v>0.10256052785194716</v>
      </c>
      <c r="B702"/>
      <c r="C702"/>
      <c r="D702"/>
      <c r="E702"/>
      <c r="F702" s="27" t="s">
        <v>7</v>
      </c>
    </row>
    <row r="703" spans="1:6" x14ac:dyDescent="0.25">
      <c r="A703" s="7">
        <v>0.10054953710975212</v>
      </c>
      <c r="B703"/>
      <c r="C703"/>
      <c r="D703"/>
      <c r="E703"/>
      <c r="F703" s="27" t="s">
        <v>7</v>
      </c>
    </row>
    <row r="704" spans="1:6" x14ac:dyDescent="0.25">
      <c r="A704" s="7">
        <v>9.8577977558580512E-2</v>
      </c>
      <c r="B704"/>
      <c r="C704"/>
      <c r="D704"/>
      <c r="E704"/>
      <c r="F704" s="27" t="s">
        <v>7</v>
      </c>
    </row>
    <row r="705" spans="1:6" x14ac:dyDescent="0.25">
      <c r="A705" s="7">
        <v>9.6645076037824032E-2</v>
      </c>
      <c r="B705"/>
      <c r="C705"/>
      <c r="D705"/>
      <c r="E705"/>
      <c r="F705" s="27" t="s">
        <v>7</v>
      </c>
    </row>
    <row r="706" spans="1:6" x14ac:dyDescent="0.25">
      <c r="A706" s="7">
        <v>9.4750074546886304E-2</v>
      </c>
      <c r="B706"/>
      <c r="C706"/>
      <c r="D706"/>
      <c r="E706"/>
      <c r="F706" s="27" t="s">
        <v>7</v>
      </c>
    </row>
    <row r="707" spans="1:6" x14ac:dyDescent="0.25">
      <c r="A707" s="7">
        <v>9.2892229947927743E-2</v>
      </c>
      <c r="B707"/>
      <c r="C707"/>
      <c r="D707"/>
      <c r="E707"/>
      <c r="F707" s="27" t="s">
        <v>7</v>
      </c>
    </row>
    <row r="708" spans="1:6" x14ac:dyDescent="0.25">
      <c r="A708" s="7">
        <v>9.1070813674438963E-2</v>
      </c>
      <c r="B708"/>
      <c r="C708"/>
      <c r="D708"/>
      <c r="E708"/>
      <c r="F708" s="27" t="s">
        <v>7</v>
      </c>
    </row>
    <row r="709" spans="1:6" x14ac:dyDescent="0.25">
      <c r="A709" s="7">
        <v>8.9285111445528392E-2</v>
      </c>
      <c r="B709"/>
      <c r="C709"/>
      <c r="D709"/>
      <c r="E709"/>
      <c r="F709" s="27" t="s">
        <v>7</v>
      </c>
    </row>
    <row r="710" spans="1:6" x14ac:dyDescent="0.25">
      <c r="A710" s="7">
        <v>8.7534422985812155E-2</v>
      </c>
      <c r="B710"/>
      <c r="C710"/>
      <c r="D710"/>
      <c r="E710"/>
      <c r="F710" s="27" t="s">
        <v>7</v>
      </c>
    </row>
    <row r="711" spans="1:6" x14ac:dyDescent="0.25">
      <c r="A711" s="7">
        <v>8.5818061750796232E-2</v>
      </c>
      <c r="B711"/>
      <c r="C711"/>
      <c r="D711"/>
      <c r="E711"/>
      <c r="F711" s="27" t="s">
        <v>7</v>
      </c>
    </row>
    <row r="712" spans="1:6" x14ac:dyDescent="0.25">
      <c r="A712" s="7">
        <v>8.4135354657643366E-2</v>
      </c>
      <c r="B712"/>
      <c r="C712"/>
      <c r="D712"/>
      <c r="E712"/>
      <c r="F712" s="27" t="s">
        <v>7</v>
      </c>
    </row>
    <row r="713" spans="1:6" x14ac:dyDescent="0.25">
      <c r="A713" s="7">
        <v>8.248564182121898E-2</v>
      </c>
      <c r="B713"/>
      <c r="C713"/>
      <c r="D713"/>
      <c r="E713"/>
      <c r="F713" s="27" t="s">
        <v>7</v>
      </c>
    </row>
    <row r="714" spans="1:6" x14ac:dyDescent="0.25">
      <c r="A714" s="7">
        <v>8.0868276295312735E-2</v>
      </c>
      <c r="B714"/>
      <c r="C714"/>
      <c r="D714"/>
      <c r="E714"/>
      <c r="F714" s="27" t="s">
        <v>7</v>
      </c>
    </row>
    <row r="715" spans="1:6" x14ac:dyDescent="0.25">
      <c r="A715" s="7">
        <v>7.9282623818934056E-2</v>
      </c>
      <c r="B715"/>
      <c r="C715"/>
      <c r="D715"/>
      <c r="E715"/>
      <c r="F715" s="27" t="s">
        <v>7</v>
      </c>
    </row>
    <row r="716" spans="1:6" x14ac:dyDescent="0.25">
      <c r="A716" s="7">
        <v>7.7728062567582412E-2</v>
      </c>
      <c r="B716"/>
      <c r="C716"/>
      <c r="D716"/>
      <c r="E716"/>
      <c r="F716" s="27" t="s">
        <v>7</v>
      </c>
    </row>
    <row r="717" spans="1:6" x14ac:dyDescent="0.25">
      <c r="A717" s="7">
        <v>7.6203982909394521E-2</v>
      </c>
      <c r="B717"/>
      <c r="C717"/>
      <c r="D717"/>
      <c r="E717"/>
      <c r="F717" s="27" t="s">
        <v>7</v>
      </c>
    </row>
    <row r="718" spans="1:6" x14ac:dyDescent="0.25">
      <c r="A718" s="7">
        <v>7.4709787166073058E-2</v>
      </c>
      <c r="B718"/>
      <c r="C718"/>
      <c r="D718"/>
      <c r="E718"/>
      <c r="F718" s="27" t="s">
        <v>7</v>
      </c>
    </row>
    <row r="719" spans="1:6" x14ac:dyDescent="0.25">
      <c r="A719" s="7">
        <v>7.3244889378503E-2</v>
      </c>
      <c r="B719"/>
      <c r="C719"/>
      <c r="D719"/>
      <c r="E719"/>
      <c r="F719" s="27" t="s">
        <v>7</v>
      </c>
    </row>
    <row r="720" spans="1:6" x14ac:dyDescent="0.25">
      <c r="A720" s="7">
        <v>7.1808715076963722E-2</v>
      </c>
      <c r="B720"/>
      <c r="C720"/>
      <c r="D720"/>
      <c r="E720"/>
      <c r="F720" s="27" t="s">
        <v>7</v>
      </c>
    </row>
    <row r="721" spans="1:6" x14ac:dyDescent="0.25">
      <c r="A721" s="7">
        <v>7.0400701055846782E-2</v>
      </c>
      <c r="B721"/>
      <c r="C721"/>
      <c r="D721"/>
      <c r="E721"/>
      <c r="F721" s="27" t="s">
        <v>7</v>
      </c>
    </row>
    <row r="722" spans="1:6" x14ac:dyDescent="0.25">
      <c r="A722" s="7">
        <v>6.9020295152790956E-2</v>
      </c>
      <c r="B722"/>
      <c r="C722"/>
      <c r="D722"/>
      <c r="E722"/>
      <c r="F722" s="27" t="s">
        <v>7</v>
      </c>
    </row>
    <row r="723" spans="1:6" x14ac:dyDescent="0.25">
      <c r="A723" s="7">
        <v>6.7666956032147993E-2</v>
      </c>
      <c r="B723"/>
      <c r="C723"/>
      <c r="D723"/>
      <c r="E723"/>
      <c r="F723" s="27" t="s">
        <v>7</v>
      </c>
    </row>
    <row r="724" spans="1:6" x14ac:dyDescent="0.25">
      <c r="A724" s="7">
        <v>6.6340152972694105E-2</v>
      </c>
      <c r="B724"/>
      <c r="C724"/>
      <c r="D724"/>
      <c r="E724"/>
      <c r="F724" s="27" t="s">
        <v>7</v>
      </c>
    </row>
    <row r="725" spans="1:6" x14ac:dyDescent="0.25">
      <c r="A725" s="7">
        <v>6.5039365659504023E-2</v>
      </c>
      <c r="B725"/>
      <c r="C725"/>
      <c r="D725"/>
      <c r="E725"/>
      <c r="F725" s="27" t="s">
        <v>7</v>
      </c>
    </row>
    <row r="726" spans="1:6" x14ac:dyDescent="0.25">
      <c r="A726" s="7">
        <v>6.3764083979905906E-2</v>
      </c>
      <c r="B726"/>
      <c r="C726"/>
      <c r="D726"/>
      <c r="E726"/>
      <c r="F726" s="27" t="s">
        <v>7</v>
      </c>
    </row>
    <row r="727" spans="1:6" x14ac:dyDescent="0.25">
      <c r="A727" s="7">
        <v>6.251380782343717E-2</v>
      </c>
      <c r="B727"/>
      <c r="C727"/>
      <c r="D727"/>
      <c r="E727"/>
      <c r="F727" s="27" t="s">
        <v>7</v>
      </c>
    </row>
    <row r="728" spans="1:6" x14ac:dyDescent="0.25">
      <c r="A728" s="7">
        <v>6.1288046885722716E-2</v>
      </c>
      <c r="B728"/>
      <c r="C728"/>
      <c r="D728"/>
      <c r="E728"/>
      <c r="F728" s="27" t="s">
        <v>7</v>
      </c>
    </row>
    <row r="729" spans="1:6" x14ac:dyDescent="0.25">
      <c r="A729" s="7">
        <v>6.0086320476198739E-2</v>
      </c>
      <c r="B729"/>
      <c r="C729"/>
      <c r="D729"/>
      <c r="E729"/>
      <c r="F729" s="27" t="s">
        <v>7</v>
      </c>
    </row>
    <row r="730" spans="1:6" x14ac:dyDescent="0.25">
      <c r="A730" s="7">
        <v>5.8908157329606609E-2</v>
      </c>
      <c r="B730"/>
      <c r="C730"/>
      <c r="D730"/>
      <c r="E730"/>
      <c r="F730" s="27" t="s">
        <v>7</v>
      </c>
    </row>
    <row r="731" spans="1:6" x14ac:dyDescent="0.25">
      <c r="A731" s="7">
        <v>5.7753095421182947E-2</v>
      </c>
      <c r="B731"/>
      <c r="C731"/>
      <c r="D731"/>
      <c r="E731"/>
      <c r="F731" s="27" t="s">
        <v>7</v>
      </c>
    </row>
    <row r="732" spans="1:6" x14ac:dyDescent="0.25">
      <c r="A732" s="7">
        <v>5.6620681785473484E-2</v>
      </c>
      <c r="B732"/>
      <c r="C732"/>
      <c r="D732"/>
      <c r="E732"/>
      <c r="F732" s="27" t="s">
        <v>7</v>
      </c>
    </row>
    <row r="733" spans="1:6" x14ac:dyDescent="0.25">
      <c r="A733" s="7">
        <v>5.5510472338699497E-2</v>
      </c>
      <c r="B733"/>
      <c r="C733"/>
      <c r="D733"/>
      <c r="E733"/>
      <c r="F733" s="27" t="s">
        <v>7</v>
      </c>
    </row>
    <row r="734" spans="1:6" x14ac:dyDescent="0.25">
      <c r="A734" s="7">
        <v>5.4422031704607354E-2</v>
      </c>
      <c r="B734"/>
      <c r="C734"/>
      <c r="D734"/>
      <c r="E734"/>
      <c r="F734" s="27" t="s">
        <v>7</v>
      </c>
    </row>
    <row r="735" spans="1:6" x14ac:dyDescent="0.25">
      <c r="A735" s="7">
        <v>5.3354933043732705E-2</v>
      </c>
      <c r="B735"/>
      <c r="C735"/>
      <c r="D735"/>
      <c r="E735"/>
      <c r="F735" s="27" t="s">
        <v>7</v>
      </c>
    </row>
    <row r="736" spans="1:6" x14ac:dyDescent="0.25">
      <c r="A736" s="7">
        <v>5.2308757886012455E-2</v>
      </c>
      <c r="B736"/>
      <c r="C736"/>
      <c r="D736"/>
      <c r="E736"/>
      <c r="F736" s="27" t="s">
        <v>7</v>
      </c>
    </row>
    <row r="737" spans="1:136" x14ac:dyDescent="0.25">
      <c r="A737" s="7">
        <v>5.1283095966678877E-2</v>
      </c>
      <c r="B737"/>
      <c r="C737"/>
      <c r="D737"/>
      <c r="E737"/>
      <c r="F737" s="27" t="s">
        <v>7</v>
      </c>
      <c r="DO737" s="27" t="s">
        <v>8</v>
      </c>
    </row>
    <row r="738" spans="1:136" x14ac:dyDescent="0.25">
      <c r="A738" s="7">
        <v>5.0277545065371444E-2</v>
      </c>
      <c r="B738"/>
      <c r="C738"/>
      <c r="D738"/>
      <c r="E738"/>
      <c r="F738" s="27" t="s">
        <v>7</v>
      </c>
      <c r="DO738" s="27" t="s">
        <v>8</v>
      </c>
      <c r="DP738" s="27" t="s">
        <v>7</v>
      </c>
    </row>
    <row r="739" spans="1:136" x14ac:dyDescent="0.25">
      <c r="A739" s="7">
        <v>4.9291710848403378E-2</v>
      </c>
      <c r="B739"/>
      <c r="C739"/>
      <c r="D739"/>
      <c r="E739"/>
      <c r="F739" s="27" t="s">
        <v>7</v>
      </c>
      <c r="AU739" s="27" t="s">
        <v>8</v>
      </c>
      <c r="DO739" s="27" t="s">
        <v>8</v>
      </c>
      <c r="DP739" s="27" t="s">
        <v>7</v>
      </c>
    </row>
    <row r="740" spans="1:136" x14ac:dyDescent="0.25">
      <c r="A740" s="7">
        <v>4.8325206714120959E-2</v>
      </c>
      <c r="B740"/>
      <c r="C740"/>
      <c r="D740"/>
      <c r="E740"/>
      <c r="F740" s="27" t="s">
        <v>7</v>
      </c>
      <c r="AU740" s="27" t="s">
        <v>8</v>
      </c>
      <c r="AV740" s="27" t="s">
        <v>7</v>
      </c>
      <c r="DO740" s="27" t="s">
        <v>8</v>
      </c>
      <c r="DP740" s="27" t="s">
        <v>7</v>
      </c>
    </row>
    <row r="741" spans="1:136" x14ac:dyDescent="0.25">
      <c r="A741" s="7">
        <v>4.7377653641295057E-2</v>
      </c>
      <c r="B741"/>
      <c r="C741"/>
      <c r="D741"/>
      <c r="E741"/>
      <c r="F741" s="27" t="s">
        <v>7</v>
      </c>
      <c r="AU741" s="27" t="s">
        <v>8</v>
      </c>
      <c r="AV741" s="27" t="s">
        <v>7</v>
      </c>
      <c r="DO741" s="27" t="s">
        <v>8</v>
      </c>
      <c r="DP741" s="27" t="s">
        <v>7</v>
      </c>
    </row>
    <row r="742" spans="1:136" x14ac:dyDescent="0.25">
      <c r="A742" s="7">
        <v>4.644868004048535E-2</v>
      </c>
      <c r="B742"/>
      <c r="C742"/>
      <c r="D742"/>
      <c r="E742"/>
      <c r="F742" s="27" t="s">
        <v>7</v>
      </c>
      <c r="AU742" s="27" t="s">
        <v>8</v>
      </c>
      <c r="AV742" s="27" t="s">
        <v>7</v>
      </c>
      <c r="DO742" s="27" t="s">
        <v>8</v>
      </c>
      <c r="DP742" s="27" t="s">
        <v>7</v>
      </c>
      <c r="DQ742" s="27" t="s">
        <v>8</v>
      </c>
    </row>
    <row r="743" spans="1:136" x14ac:dyDescent="0.25">
      <c r="A743" s="7">
        <v>4.5537921608318974E-2</v>
      </c>
      <c r="B743"/>
      <c r="C743"/>
      <c r="D743"/>
      <c r="E743"/>
      <c r="F743" s="27" t="s">
        <v>7</v>
      </c>
      <c r="AU743" s="27" t="s">
        <v>8</v>
      </c>
      <c r="AV743" s="27" t="s">
        <v>7</v>
      </c>
      <c r="DO743" s="27" t="s">
        <v>8</v>
      </c>
      <c r="DP743" s="27" t="s">
        <v>7</v>
      </c>
      <c r="DQ743" s="27" t="s">
        <v>8</v>
      </c>
      <c r="DR743" s="27" t="s">
        <v>7</v>
      </c>
    </row>
    <row r="744" spans="1:136" x14ac:dyDescent="0.25">
      <c r="A744" s="7">
        <v>4.4645021184626446E-2</v>
      </c>
      <c r="B744"/>
      <c r="C744"/>
      <c r="D744"/>
      <c r="E744"/>
      <c r="F744" s="27" t="s">
        <v>7</v>
      </c>
      <c r="AU744" s="27" t="s">
        <v>8</v>
      </c>
      <c r="AV744" s="27" t="s">
        <v>7</v>
      </c>
      <c r="DO744" s="27" t="s">
        <v>8</v>
      </c>
      <c r="DP744" s="27" t="s">
        <v>7</v>
      </c>
      <c r="DQ744" s="27" t="s">
        <v>8</v>
      </c>
      <c r="DR744" s="27" t="s">
        <v>7</v>
      </c>
      <c r="DU744" s="27" t="s">
        <v>8</v>
      </c>
    </row>
    <row r="745" spans="1:136" x14ac:dyDescent="0.25">
      <c r="A745" s="7">
        <v>4.3769628612378868E-2</v>
      </c>
      <c r="B745"/>
      <c r="C745"/>
      <c r="D745"/>
      <c r="E745"/>
      <c r="F745" s="27" t="s">
        <v>7</v>
      </c>
      <c r="AU745" s="27" t="s">
        <v>8</v>
      </c>
      <c r="AV745" s="27" t="s">
        <v>7</v>
      </c>
      <c r="DO745" s="27" t="s">
        <v>8</v>
      </c>
      <c r="DP745" s="27" t="s">
        <v>7</v>
      </c>
      <c r="DQ745" s="27" t="s">
        <v>8</v>
      </c>
      <c r="DR745" s="27" t="s">
        <v>7</v>
      </c>
      <c r="DU745" s="27" t="s">
        <v>8</v>
      </c>
      <c r="DV745" s="27" t="s">
        <v>7</v>
      </c>
    </row>
    <row r="746" spans="1:136" x14ac:dyDescent="0.25">
      <c r="A746" s="7">
        <v>4.2911400600371442E-2</v>
      </c>
      <c r="B746"/>
      <c r="C746"/>
      <c r="D746"/>
      <c r="E746"/>
      <c r="F746" s="27" t="s">
        <v>7</v>
      </c>
      <c r="AU746" s="27" t="s">
        <v>8</v>
      </c>
      <c r="AV746" s="27" t="s">
        <v>7</v>
      </c>
      <c r="DM746" s="27" t="s">
        <v>8</v>
      </c>
      <c r="DO746" s="27" t="s">
        <v>8</v>
      </c>
      <c r="DP746" s="27" t="s">
        <v>7</v>
      </c>
      <c r="DQ746" s="27" t="s">
        <v>8</v>
      </c>
      <c r="DR746" s="27" t="s">
        <v>7</v>
      </c>
      <c r="DU746" s="27" t="s">
        <v>8</v>
      </c>
      <c r="DV746" s="27" t="s">
        <v>7</v>
      </c>
    </row>
    <row r="747" spans="1:136" x14ac:dyDescent="0.25">
      <c r="A747" s="7">
        <v>4.2070000588599457E-2</v>
      </c>
      <c r="B747"/>
      <c r="C747"/>
      <c r="D747"/>
      <c r="E747"/>
      <c r="F747" s="27" t="s">
        <v>7</v>
      </c>
      <c r="AU747" s="27" t="s">
        <v>8</v>
      </c>
      <c r="AV747" s="27" t="s">
        <v>7</v>
      </c>
      <c r="DM747" s="27" t="s">
        <v>8</v>
      </c>
      <c r="DN747" s="27" t="s">
        <v>7</v>
      </c>
      <c r="DO747" s="27" t="s">
        <v>8</v>
      </c>
      <c r="DP747" s="27" t="s">
        <v>7</v>
      </c>
      <c r="DQ747" s="27" t="s">
        <v>8</v>
      </c>
      <c r="DR747" s="27" t="s">
        <v>7</v>
      </c>
      <c r="DS747" s="27" t="s">
        <v>8</v>
      </c>
      <c r="DU747" s="27" t="s">
        <v>8</v>
      </c>
      <c r="DV747" s="27" t="s">
        <v>7</v>
      </c>
    </row>
    <row r="748" spans="1:136" x14ac:dyDescent="0.25">
      <c r="A748" s="7">
        <v>4.1245098616273977E-2</v>
      </c>
      <c r="B748"/>
      <c r="C748"/>
      <c r="D748"/>
      <c r="E748"/>
      <c r="F748" s="27" t="s">
        <v>7</v>
      </c>
      <c r="AU748" s="27" t="s">
        <v>8</v>
      </c>
      <c r="AV748" s="27" t="s">
        <v>7</v>
      </c>
      <c r="DM748" s="27" t="s">
        <v>8</v>
      </c>
      <c r="DN748" s="27" t="s">
        <v>7</v>
      </c>
      <c r="DO748" s="27" t="s">
        <v>8</v>
      </c>
      <c r="DP748" s="27" t="s">
        <v>7</v>
      </c>
      <c r="DQ748" s="27" t="s">
        <v>8</v>
      </c>
      <c r="DR748" s="27" t="s">
        <v>7</v>
      </c>
      <c r="DS748" s="27" t="s">
        <v>8</v>
      </c>
      <c r="DT748" s="27" t="s">
        <v>7</v>
      </c>
      <c r="DU748" s="27" t="s">
        <v>8</v>
      </c>
      <c r="DV748" s="27" t="s">
        <v>7</v>
      </c>
    </row>
    <row r="749" spans="1:136" x14ac:dyDescent="0.25">
      <c r="A749" s="7">
        <v>4.043637119242547E-2</v>
      </c>
      <c r="B749"/>
      <c r="C749"/>
      <c r="D749"/>
      <c r="E749"/>
      <c r="F749" s="27" t="s">
        <v>7</v>
      </c>
      <c r="AU749" s="27" t="s">
        <v>8</v>
      </c>
      <c r="AV749" s="27" t="s">
        <v>7</v>
      </c>
      <c r="DM749" s="27" t="s">
        <v>8</v>
      </c>
      <c r="DN749" s="27" t="s">
        <v>7</v>
      </c>
      <c r="DO749" s="27" t="s">
        <v>8</v>
      </c>
      <c r="DP749" s="27" t="s">
        <v>7</v>
      </c>
      <c r="DQ749" s="27" t="s">
        <v>8</v>
      </c>
      <c r="DR749" s="27" t="s">
        <v>7</v>
      </c>
      <c r="DS749" s="27" t="s">
        <v>8</v>
      </c>
      <c r="DT749" s="27" t="s">
        <v>7</v>
      </c>
      <c r="DU749" s="27" t="s">
        <v>8</v>
      </c>
      <c r="DV749" s="27" t="s">
        <v>7</v>
      </c>
      <c r="DW749" s="27" t="s">
        <v>8</v>
      </c>
    </row>
    <row r="750" spans="1:136" x14ac:dyDescent="0.25">
      <c r="A750" s="7">
        <v>3.9643501169044582E-2</v>
      </c>
      <c r="B750"/>
      <c r="C750"/>
      <c r="D750"/>
      <c r="E750"/>
      <c r="F750" s="27" t="s">
        <v>7</v>
      </c>
      <c r="AU750" s="27" t="s">
        <v>8</v>
      </c>
      <c r="AV750" s="27" t="s">
        <v>7</v>
      </c>
      <c r="DM750" s="27" t="s">
        <v>8</v>
      </c>
      <c r="DN750" s="27" t="s">
        <v>7</v>
      </c>
      <c r="DO750" s="27" t="s">
        <v>8</v>
      </c>
      <c r="DP750" s="27" t="s">
        <v>7</v>
      </c>
      <c r="DQ750" s="27" t="s">
        <v>8</v>
      </c>
      <c r="DR750" s="27" t="s">
        <v>7</v>
      </c>
      <c r="DS750" s="27" t="s">
        <v>8</v>
      </c>
      <c r="DT750" s="27" t="s">
        <v>7</v>
      </c>
      <c r="DU750" s="27" t="s">
        <v>8</v>
      </c>
      <c r="DV750" s="27" t="s">
        <v>7</v>
      </c>
      <c r="DW750" s="27" t="s">
        <v>8</v>
      </c>
      <c r="DX750" s="27" t="s">
        <v>7</v>
      </c>
      <c r="EE750" s="27" t="s">
        <v>8</v>
      </c>
    </row>
    <row r="751" spans="1:136" x14ac:dyDescent="0.25">
      <c r="A751" s="7">
        <v>3.8866177616710372E-2</v>
      </c>
      <c r="B751"/>
      <c r="C751"/>
      <c r="D751"/>
      <c r="E751"/>
      <c r="F751" s="27" t="s">
        <v>7</v>
      </c>
      <c r="AU751" s="27" t="s">
        <v>8</v>
      </c>
      <c r="AV751" s="27" t="s">
        <v>7</v>
      </c>
      <c r="DM751" s="27" t="s">
        <v>8</v>
      </c>
      <c r="DN751" s="27" t="s">
        <v>7</v>
      </c>
      <c r="DO751" s="27" t="s">
        <v>8</v>
      </c>
      <c r="DP751" s="27" t="s">
        <v>7</v>
      </c>
      <c r="DQ751" s="27" t="s">
        <v>8</v>
      </c>
      <c r="DR751" s="27" t="s">
        <v>7</v>
      </c>
      <c r="DT751" s="27" t="s">
        <v>7</v>
      </c>
      <c r="DU751" s="27" t="s">
        <v>8</v>
      </c>
      <c r="DV751" s="27" t="s">
        <v>7</v>
      </c>
      <c r="DW751" s="27" t="s">
        <v>8</v>
      </c>
      <c r="DX751" s="27" t="s">
        <v>7</v>
      </c>
      <c r="EE751" s="27" t="s">
        <v>8</v>
      </c>
      <c r="EF751" s="27" t="s">
        <v>7</v>
      </c>
    </row>
    <row r="752" spans="1:136" x14ac:dyDescent="0.25">
      <c r="A752" s="7">
        <v>3.8104095702657229E-2</v>
      </c>
      <c r="B752"/>
      <c r="C752"/>
      <c r="D752"/>
      <c r="E752"/>
      <c r="F752" s="27" t="s">
        <v>7</v>
      </c>
      <c r="AU752" s="27" t="s">
        <v>8</v>
      </c>
      <c r="AV752" s="27" t="s">
        <v>7</v>
      </c>
      <c r="CY752" s="27" t="s">
        <v>8</v>
      </c>
      <c r="DI752" s="27" t="s">
        <v>8</v>
      </c>
      <c r="DM752" s="27" t="s">
        <v>8</v>
      </c>
      <c r="DN752" s="27" t="s">
        <v>7</v>
      </c>
      <c r="DO752" s="27" t="s">
        <v>8</v>
      </c>
      <c r="DP752" s="27" t="s">
        <v>7</v>
      </c>
      <c r="DQ752" s="27" t="s">
        <v>8</v>
      </c>
      <c r="DT752" s="27" t="s">
        <v>7</v>
      </c>
      <c r="DU752" s="27" t="s">
        <v>8</v>
      </c>
      <c r="DV752" s="27" t="s">
        <v>7</v>
      </c>
      <c r="DW752" s="27" t="s">
        <v>8</v>
      </c>
      <c r="DX752" s="27" t="s">
        <v>7</v>
      </c>
      <c r="EE752" s="27" t="s">
        <v>8</v>
      </c>
      <c r="EF752" s="27" t="s">
        <v>7</v>
      </c>
    </row>
    <row r="753" spans="1:252" x14ac:dyDescent="0.25">
      <c r="A753" s="7">
        <v>3.7356956571232579E-2</v>
      </c>
      <c r="B753"/>
      <c r="C753"/>
      <c r="D753"/>
      <c r="E753"/>
      <c r="F753" s="27" t="s">
        <v>7</v>
      </c>
      <c r="AU753" s="27" t="s">
        <v>8</v>
      </c>
      <c r="AV753" s="27" t="s">
        <v>7</v>
      </c>
      <c r="CY753" s="27" t="s">
        <v>8</v>
      </c>
      <c r="CZ753" s="27" t="s">
        <v>7</v>
      </c>
      <c r="DI753" s="27" t="s">
        <v>8</v>
      </c>
      <c r="DJ753" s="27" t="s">
        <v>7</v>
      </c>
      <c r="DM753" s="27" t="s">
        <v>8</v>
      </c>
      <c r="DN753" s="27" t="s">
        <v>7</v>
      </c>
      <c r="DP753" s="27" t="s">
        <v>7</v>
      </c>
      <c r="DQ753" s="27" t="s">
        <v>8</v>
      </c>
      <c r="DT753" s="27" t="s">
        <v>7</v>
      </c>
      <c r="DU753" s="27" t="s">
        <v>8</v>
      </c>
      <c r="DV753" s="27" t="s">
        <v>7</v>
      </c>
      <c r="DW753" s="27" t="s">
        <v>8</v>
      </c>
      <c r="DX753" s="27" t="s">
        <v>7</v>
      </c>
      <c r="EE753" s="27" t="s">
        <v>8</v>
      </c>
      <c r="EF753" s="27" t="s">
        <v>7</v>
      </c>
      <c r="EG753" s="27" t="s">
        <v>8</v>
      </c>
    </row>
    <row r="754" spans="1:252" x14ac:dyDescent="0.25">
      <c r="A754" s="7">
        <v>3.6624467226698605E-2</v>
      </c>
      <c r="B754"/>
      <c r="C754"/>
      <c r="D754"/>
      <c r="E754"/>
      <c r="F754" s="27" t="s">
        <v>7</v>
      </c>
      <c r="AU754" s="27" t="s">
        <v>8</v>
      </c>
      <c r="AV754" s="27" t="s">
        <v>7</v>
      </c>
      <c r="CY754" s="27" t="s">
        <v>8</v>
      </c>
      <c r="CZ754" s="27" t="s">
        <v>7</v>
      </c>
      <c r="DI754" s="27" t="s">
        <v>8</v>
      </c>
      <c r="DJ754" s="27" t="s">
        <v>7</v>
      </c>
      <c r="DM754" s="27" t="s">
        <v>8</v>
      </c>
      <c r="DP754" s="27" t="s">
        <v>7</v>
      </c>
      <c r="DT754" s="27" t="s">
        <v>7</v>
      </c>
      <c r="DV754" s="27" t="s">
        <v>7</v>
      </c>
      <c r="DW754" s="27" t="s">
        <v>8</v>
      </c>
      <c r="DX754" s="27" t="s">
        <v>7</v>
      </c>
      <c r="EC754" s="27" t="s">
        <v>8</v>
      </c>
      <c r="EE754" s="27" t="s">
        <v>8</v>
      </c>
      <c r="EF754" s="27" t="s">
        <v>7</v>
      </c>
      <c r="EG754" s="27" t="s">
        <v>8</v>
      </c>
      <c r="EH754" s="27" t="s">
        <v>7</v>
      </c>
      <c r="II754" s="27" t="s">
        <v>8</v>
      </c>
    </row>
    <row r="755" spans="1:252" x14ac:dyDescent="0.25">
      <c r="A755" s="7">
        <v>3.5906340418331961E-2</v>
      </c>
      <c r="B755"/>
      <c r="C755"/>
      <c r="D755"/>
      <c r="E755"/>
      <c r="F755" s="27" t="s">
        <v>7</v>
      </c>
      <c r="AU755" s="27" t="s">
        <v>8</v>
      </c>
      <c r="AV755" s="27" t="s">
        <v>7</v>
      </c>
      <c r="CY755" s="27" t="s">
        <v>8</v>
      </c>
      <c r="CZ755" s="27" t="s">
        <v>7</v>
      </c>
      <c r="DE755" s="27" t="s">
        <v>8</v>
      </c>
      <c r="DI755" s="27" t="s">
        <v>8</v>
      </c>
      <c r="DJ755" s="27" t="s">
        <v>7</v>
      </c>
      <c r="DM755" s="27" t="s">
        <v>8</v>
      </c>
      <c r="DV755" s="27" t="s">
        <v>7</v>
      </c>
      <c r="DW755" s="27" t="s">
        <v>8</v>
      </c>
      <c r="DX755" s="27" t="s">
        <v>7</v>
      </c>
      <c r="EC755" s="27" t="s">
        <v>8</v>
      </c>
      <c r="ED755" s="27" t="s">
        <v>7</v>
      </c>
      <c r="EE755" s="27" t="s">
        <v>8</v>
      </c>
      <c r="EF755" s="27" t="s">
        <v>7</v>
      </c>
      <c r="EG755" s="27" t="s">
        <v>8</v>
      </c>
      <c r="EH755" s="27" t="s">
        <v>7</v>
      </c>
      <c r="FA755" s="27" t="s">
        <v>8</v>
      </c>
      <c r="II755" s="27" t="s">
        <v>8</v>
      </c>
      <c r="IJ755" s="27" t="s">
        <v>7</v>
      </c>
    </row>
    <row r="756" spans="1:252" x14ac:dyDescent="0.25">
      <c r="A756" s="7">
        <v>3.5202294527776436E-2</v>
      </c>
      <c r="B756"/>
      <c r="C756"/>
      <c r="D756"/>
      <c r="E756"/>
      <c r="F756" s="27" t="s">
        <v>7</v>
      </c>
      <c r="AU756" s="27" t="s">
        <v>8</v>
      </c>
      <c r="AV756" s="27" t="s">
        <v>7</v>
      </c>
      <c r="CY756" s="27" t="s">
        <v>8</v>
      </c>
      <c r="CZ756" s="27" t="s">
        <v>7</v>
      </c>
      <c r="DE756" s="27" t="s">
        <v>8</v>
      </c>
      <c r="DF756" s="27" t="s">
        <v>7</v>
      </c>
      <c r="DI756" s="27" t="s">
        <v>8</v>
      </c>
      <c r="DJ756" s="27" t="s">
        <v>7</v>
      </c>
      <c r="DM756" s="27" t="s">
        <v>8</v>
      </c>
      <c r="DV756" s="27" t="s">
        <v>7</v>
      </c>
      <c r="DW756" s="27" t="s">
        <v>8</v>
      </c>
      <c r="DX756" s="27" t="s">
        <v>7</v>
      </c>
      <c r="EC756" s="27" t="s">
        <v>8</v>
      </c>
      <c r="ED756" s="27" t="s">
        <v>7</v>
      </c>
      <c r="EE756" s="27" t="s">
        <v>8</v>
      </c>
      <c r="EF756" s="27" t="s">
        <v>7</v>
      </c>
      <c r="EG756" s="27" t="s">
        <v>8</v>
      </c>
      <c r="EH756" s="27" t="s">
        <v>7</v>
      </c>
      <c r="FA756" s="27" t="s">
        <v>8</v>
      </c>
      <c r="FB756" s="27" t="s">
        <v>7</v>
      </c>
      <c r="II756" s="27" t="s">
        <v>8</v>
      </c>
      <c r="IJ756" s="27" t="s">
        <v>7</v>
      </c>
    </row>
    <row r="757" spans="1:252" x14ac:dyDescent="0.25">
      <c r="A757" s="7">
        <v>3.451205345860435E-2</v>
      </c>
      <c r="B757"/>
      <c r="C757"/>
      <c r="D757"/>
      <c r="E757"/>
      <c r="F757" s="27" t="s">
        <v>7</v>
      </c>
      <c r="AU757" s="27" t="s">
        <v>8</v>
      </c>
      <c r="AV757" s="27" t="s">
        <v>7</v>
      </c>
      <c r="CY757" s="27" t="s">
        <v>8</v>
      </c>
      <c r="CZ757" s="27" t="s">
        <v>7</v>
      </c>
      <c r="DE757" s="27" t="s">
        <v>8</v>
      </c>
      <c r="DF757" s="27" t="s">
        <v>7</v>
      </c>
      <c r="DI757" s="27" t="s">
        <v>8</v>
      </c>
      <c r="DJ757" s="27" t="s">
        <v>7</v>
      </c>
      <c r="DK757" s="27" t="s">
        <v>8</v>
      </c>
      <c r="DM757" s="27" t="s">
        <v>8</v>
      </c>
      <c r="DV757" s="27" t="s">
        <v>7</v>
      </c>
      <c r="DW757" s="27" t="s">
        <v>8</v>
      </c>
      <c r="DX757" s="27" t="s">
        <v>7</v>
      </c>
      <c r="EA757" s="27" t="s">
        <v>8</v>
      </c>
      <c r="EC757" s="27" t="s">
        <v>8</v>
      </c>
      <c r="ED757" s="27" t="s">
        <v>7</v>
      </c>
      <c r="EE757" s="27" t="s">
        <v>8</v>
      </c>
      <c r="EF757" s="27" t="s">
        <v>7</v>
      </c>
      <c r="EG757" s="27" t="s">
        <v>8</v>
      </c>
      <c r="EH757" s="27" t="s">
        <v>7</v>
      </c>
      <c r="EI757" s="27" t="s">
        <v>8</v>
      </c>
      <c r="FA757" s="27" t="s">
        <v>8</v>
      </c>
      <c r="FB757" s="27" t="s">
        <v>7</v>
      </c>
      <c r="II757" s="27" t="s">
        <v>8</v>
      </c>
      <c r="IJ757" s="27" t="s">
        <v>7</v>
      </c>
    </row>
    <row r="758" spans="1:252" x14ac:dyDescent="0.25">
      <c r="A758" s="7">
        <v>3.3835346528043479E-2</v>
      </c>
      <c r="B758"/>
      <c r="C758"/>
      <c r="D758"/>
      <c r="E758"/>
      <c r="F758" s="27" t="s">
        <v>7</v>
      </c>
      <c r="AU758" s="27" t="s">
        <v>8</v>
      </c>
      <c r="AV758" s="27" t="s">
        <v>7</v>
      </c>
      <c r="CY758" s="27" t="s">
        <v>8</v>
      </c>
      <c r="CZ758" s="27" t="s">
        <v>7</v>
      </c>
      <c r="DE758" s="27" t="s">
        <v>8</v>
      </c>
      <c r="DF758" s="27" t="s">
        <v>7</v>
      </c>
      <c r="DG758" s="27" t="s">
        <v>8</v>
      </c>
      <c r="DI758" s="27" t="s">
        <v>8</v>
      </c>
      <c r="DJ758" s="27" t="s">
        <v>7</v>
      </c>
      <c r="DK758" s="27" t="s">
        <v>8</v>
      </c>
      <c r="DL758" s="27" t="s">
        <v>7</v>
      </c>
      <c r="DM758" s="27" t="s">
        <v>8</v>
      </c>
      <c r="DV758" s="27" t="s">
        <v>7</v>
      </c>
      <c r="DW758" s="27" t="s">
        <v>8</v>
      </c>
      <c r="DX758" s="27" t="s">
        <v>7</v>
      </c>
      <c r="EA758" s="27" t="s">
        <v>8</v>
      </c>
      <c r="EB758" s="27" t="s">
        <v>7</v>
      </c>
      <c r="EC758" s="27" t="s">
        <v>8</v>
      </c>
      <c r="ED758" s="27" t="s">
        <v>7</v>
      </c>
      <c r="EE758" s="27" t="s">
        <v>8</v>
      </c>
      <c r="EF758" s="27" t="s">
        <v>7</v>
      </c>
      <c r="EG758" s="27" t="s">
        <v>8</v>
      </c>
      <c r="EH758" s="27" t="s">
        <v>7</v>
      </c>
      <c r="EI758" s="27" t="s">
        <v>8</v>
      </c>
      <c r="EJ758" s="27" t="s">
        <v>7</v>
      </c>
      <c r="FA758" s="27" t="s">
        <v>8</v>
      </c>
      <c r="FB758" s="27" t="s">
        <v>7</v>
      </c>
      <c r="II758" s="27" t="s">
        <v>8</v>
      </c>
      <c r="IJ758" s="27" t="s">
        <v>7</v>
      </c>
    </row>
    <row r="759" spans="1:252" x14ac:dyDescent="0.25">
      <c r="A759" s="7">
        <v>3.3171908360826938E-2</v>
      </c>
      <c r="B759"/>
      <c r="C759"/>
      <c r="D759"/>
      <c r="E759"/>
      <c r="F759" s="27" t="s">
        <v>7</v>
      </c>
      <c r="AU759" s="27" t="s">
        <v>8</v>
      </c>
      <c r="AV759" s="27" t="s">
        <v>7</v>
      </c>
      <c r="CY759" s="27" t="s">
        <v>8</v>
      </c>
      <c r="CZ759" s="27" t="s">
        <v>7</v>
      </c>
      <c r="DE759" s="27" t="s">
        <v>8</v>
      </c>
      <c r="DF759" s="27" t="s">
        <v>7</v>
      </c>
      <c r="DG759" s="27" t="s">
        <v>8</v>
      </c>
      <c r="DH759" s="27" t="s">
        <v>7</v>
      </c>
      <c r="DI759" s="27" t="s">
        <v>8</v>
      </c>
      <c r="DJ759" s="27" t="s">
        <v>7</v>
      </c>
      <c r="DK759" s="27" t="s">
        <v>8</v>
      </c>
      <c r="DL759" s="27" t="s">
        <v>7</v>
      </c>
      <c r="DM759" s="27" t="s">
        <v>8</v>
      </c>
      <c r="DV759" s="27" t="s">
        <v>7</v>
      </c>
      <c r="DW759" s="27" t="s">
        <v>8</v>
      </c>
      <c r="DX759" s="27" t="s">
        <v>7</v>
      </c>
      <c r="EA759" s="27" t="s">
        <v>8</v>
      </c>
      <c r="EB759" s="27" t="s">
        <v>7</v>
      </c>
      <c r="EC759" s="27" t="s">
        <v>8</v>
      </c>
      <c r="ED759" s="27" t="s">
        <v>7</v>
      </c>
      <c r="EF759" s="27" t="s">
        <v>7</v>
      </c>
      <c r="EG759" s="27" t="s">
        <v>8</v>
      </c>
      <c r="EH759" s="27" t="s">
        <v>7</v>
      </c>
      <c r="EI759" s="27" t="s">
        <v>8</v>
      </c>
      <c r="EJ759" s="27" t="s">
        <v>7</v>
      </c>
      <c r="FA759" s="27" t="s">
        <v>8</v>
      </c>
      <c r="FB759" s="27" t="s">
        <v>7</v>
      </c>
      <c r="HU759" s="27" t="s">
        <v>8</v>
      </c>
      <c r="II759" s="27" t="s">
        <v>8</v>
      </c>
      <c r="IJ759" s="27" t="s">
        <v>7</v>
      </c>
    </row>
    <row r="760" spans="1:252" x14ac:dyDescent="0.25">
      <c r="A760" s="7">
        <v>3.2521478785124451E-2</v>
      </c>
      <c r="B760"/>
      <c r="C760"/>
      <c r="D760"/>
      <c r="E760"/>
      <c r="F760" s="27" t="s">
        <v>7</v>
      </c>
      <c r="AU760" s="27" t="s">
        <v>8</v>
      </c>
      <c r="AV760" s="27" t="s">
        <v>7</v>
      </c>
      <c r="CY760" s="27" t="s">
        <v>8</v>
      </c>
      <c r="CZ760" s="27" t="s">
        <v>7</v>
      </c>
      <c r="DE760" s="27" t="s">
        <v>8</v>
      </c>
      <c r="DF760" s="27" t="s">
        <v>7</v>
      </c>
      <c r="DG760" s="27" t="s">
        <v>8</v>
      </c>
      <c r="DH760" s="27" t="s">
        <v>7</v>
      </c>
      <c r="DI760" s="27" t="s">
        <v>8</v>
      </c>
      <c r="DJ760" s="27" t="s">
        <v>7</v>
      </c>
      <c r="DK760" s="27" t="s">
        <v>8</v>
      </c>
      <c r="DL760" s="27" t="s">
        <v>7</v>
      </c>
      <c r="DV760" s="27" t="s">
        <v>7</v>
      </c>
      <c r="DW760" s="27" t="s">
        <v>8</v>
      </c>
      <c r="DX760" s="27" t="s">
        <v>7</v>
      </c>
      <c r="EA760" s="27" t="s">
        <v>8</v>
      </c>
      <c r="EB760" s="27" t="s">
        <v>7</v>
      </c>
      <c r="EC760" s="27" t="s">
        <v>8</v>
      </c>
      <c r="EF760" s="27" t="s">
        <v>7</v>
      </c>
      <c r="EG760" s="27" t="s">
        <v>8</v>
      </c>
      <c r="EH760" s="27" t="s">
        <v>7</v>
      </c>
      <c r="EJ760" s="27" t="s">
        <v>7</v>
      </c>
      <c r="FA760" s="27" t="s">
        <v>8</v>
      </c>
      <c r="FB760" s="27" t="s">
        <v>7</v>
      </c>
      <c r="HU760" s="27" t="s">
        <v>8</v>
      </c>
      <c r="HV760" s="27" t="s">
        <v>7</v>
      </c>
      <c r="II760" s="27" t="s">
        <v>8</v>
      </c>
      <c r="IJ760" s="27" t="s">
        <v>7</v>
      </c>
    </row>
    <row r="761" spans="1:252" x14ac:dyDescent="0.25">
      <c r="A761" s="7">
        <v>3.1883802730514173E-2</v>
      </c>
      <c r="B761"/>
      <c r="C761"/>
      <c r="D761"/>
      <c r="E761"/>
      <c r="F761" s="27" t="s">
        <v>7</v>
      </c>
      <c r="AU761" s="27" t="s">
        <v>8</v>
      </c>
      <c r="AV761" s="27" t="s">
        <v>7</v>
      </c>
      <c r="CY761" s="27" t="s">
        <v>8</v>
      </c>
      <c r="CZ761" s="27" t="s">
        <v>7</v>
      </c>
      <c r="DA761" s="27" t="s">
        <v>8</v>
      </c>
      <c r="DE761" s="27" t="s">
        <v>8</v>
      </c>
      <c r="DF761" s="27" t="s">
        <v>7</v>
      </c>
      <c r="DG761" s="27" t="s">
        <v>8</v>
      </c>
      <c r="DH761" s="27" t="s">
        <v>7</v>
      </c>
      <c r="DI761" s="27" t="s">
        <v>8</v>
      </c>
      <c r="DJ761" s="27" t="s">
        <v>7</v>
      </c>
      <c r="DV761" s="27" t="s">
        <v>7</v>
      </c>
      <c r="DW761" s="27" t="s">
        <v>8</v>
      </c>
      <c r="DX761" s="27" t="s">
        <v>7</v>
      </c>
      <c r="EA761" s="27" t="s">
        <v>8</v>
      </c>
      <c r="EB761" s="27" t="s">
        <v>7</v>
      </c>
      <c r="EC761" s="27" t="s">
        <v>8</v>
      </c>
      <c r="EF761" s="27" t="s">
        <v>7</v>
      </c>
      <c r="EJ761" s="27" t="s">
        <v>7</v>
      </c>
      <c r="FA761" s="27" t="s">
        <v>8</v>
      </c>
      <c r="FB761" s="27" t="s">
        <v>7</v>
      </c>
      <c r="HU761" s="27" t="s">
        <v>8</v>
      </c>
      <c r="HV761" s="27" t="s">
        <v>7</v>
      </c>
      <c r="II761" s="27" t="s">
        <v>8</v>
      </c>
      <c r="IJ761" s="27" t="s">
        <v>7</v>
      </c>
    </row>
    <row r="762" spans="1:252" x14ac:dyDescent="0.25">
      <c r="A762" s="7">
        <v>3.1258630127955073E-2</v>
      </c>
      <c r="B762"/>
      <c r="C762"/>
      <c r="D762"/>
      <c r="E762"/>
      <c r="F762" s="27" t="s">
        <v>7</v>
      </c>
      <c r="AU762" s="27" t="s">
        <v>8</v>
      </c>
      <c r="AV762" s="27" t="s">
        <v>7</v>
      </c>
      <c r="CY762" s="27" t="s">
        <v>8</v>
      </c>
      <c r="CZ762" s="27" t="s">
        <v>7</v>
      </c>
      <c r="DA762" s="27" t="s">
        <v>8</v>
      </c>
      <c r="DB762" s="27" t="s">
        <v>7</v>
      </c>
      <c r="DC762" s="27" t="s">
        <v>8</v>
      </c>
      <c r="DE762" s="27" t="s">
        <v>8</v>
      </c>
      <c r="DF762" s="27" t="s">
        <v>7</v>
      </c>
      <c r="DG762" s="27" t="s">
        <v>8</v>
      </c>
      <c r="DH762" s="27" t="s">
        <v>7</v>
      </c>
      <c r="DI762" s="27" t="s">
        <v>8</v>
      </c>
      <c r="DV762" s="27" t="s">
        <v>7</v>
      </c>
      <c r="DW762" s="27" t="s">
        <v>8</v>
      </c>
      <c r="DX762" s="27" t="s">
        <v>7</v>
      </c>
      <c r="EA762" s="27" t="s">
        <v>8</v>
      </c>
      <c r="EB762" s="27" t="s">
        <v>7</v>
      </c>
      <c r="EC762" s="27" t="s">
        <v>8</v>
      </c>
      <c r="EJ762" s="27" t="s">
        <v>7</v>
      </c>
      <c r="FA762" s="27" t="s">
        <v>8</v>
      </c>
      <c r="FB762" s="27" t="s">
        <v>7</v>
      </c>
      <c r="HU762" s="27" t="s">
        <v>8</v>
      </c>
      <c r="HV762" s="27" t="s">
        <v>7</v>
      </c>
      <c r="II762" s="27" t="s">
        <v>8</v>
      </c>
      <c r="IJ762" s="27" t="s">
        <v>7</v>
      </c>
    </row>
    <row r="763" spans="1:252" x14ac:dyDescent="0.25">
      <c r="A763" s="7">
        <v>3.064571581172066E-2</v>
      </c>
      <c r="B763"/>
      <c r="C763"/>
      <c r="D763"/>
      <c r="E763"/>
      <c r="F763" s="27" t="s">
        <v>7</v>
      </c>
      <c r="AU763" s="27" t="s">
        <v>8</v>
      </c>
      <c r="AV763" s="27" t="s">
        <v>7</v>
      </c>
      <c r="CY763" s="27" t="s">
        <v>8</v>
      </c>
      <c r="CZ763" s="27" t="s">
        <v>7</v>
      </c>
      <c r="DA763" s="27" t="s">
        <v>8</v>
      </c>
      <c r="DB763" s="27" t="s">
        <v>7</v>
      </c>
      <c r="DC763" s="27" t="s">
        <v>8</v>
      </c>
      <c r="DD763" s="27" t="s">
        <v>7</v>
      </c>
      <c r="DE763" s="27" t="s">
        <v>8</v>
      </c>
      <c r="DF763" s="27" t="s">
        <v>7</v>
      </c>
      <c r="DG763" s="27" t="s">
        <v>8</v>
      </c>
      <c r="DH763" s="27" t="s">
        <v>7</v>
      </c>
      <c r="DI763" s="27" t="s">
        <v>8</v>
      </c>
      <c r="DV763" s="27" t="s">
        <v>7</v>
      </c>
      <c r="DW763" s="27" t="s">
        <v>8</v>
      </c>
      <c r="DX763" s="27" t="s">
        <v>7</v>
      </c>
      <c r="DY763" s="27" t="s">
        <v>8</v>
      </c>
      <c r="EA763" s="27" t="s">
        <v>8</v>
      </c>
      <c r="EB763" s="27" t="s">
        <v>7</v>
      </c>
      <c r="EC763" s="27" t="s">
        <v>8</v>
      </c>
      <c r="EJ763" s="27" t="s">
        <v>7</v>
      </c>
      <c r="FA763" s="27" t="s">
        <v>8</v>
      </c>
      <c r="FB763" s="27" t="s">
        <v>7</v>
      </c>
      <c r="HU763" s="27" t="s">
        <v>8</v>
      </c>
      <c r="HV763" s="27" t="s">
        <v>7</v>
      </c>
      <c r="II763" s="27" t="s">
        <v>8</v>
      </c>
      <c r="IJ763" s="27" t="s">
        <v>7</v>
      </c>
    </row>
    <row r="764" spans="1:252" x14ac:dyDescent="0.25">
      <c r="A764" s="7">
        <v>3.0044819423255549E-2</v>
      </c>
      <c r="B764"/>
      <c r="C764"/>
      <c r="D764"/>
      <c r="E764"/>
      <c r="F764" s="27" t="s">
        <v>7</v>
      </c>
      <c r="AU764" s="27" t="s">
        <v>8</v>
      </c>
      <c r="AV764" s="27" t="s">
        <v>7</v>
      </c>
      <c r="CY764" s="27" t="s">
        <v>8</v>
      </c>
      <c r="CZ764" s="27" t="s">
        <v>7</v>
      </c>
      <c r="DA764" s="27" t="s">
        <v>8</v>
      </c>
      <c r="DB764" s="27" t="s">
        <v>7</v>
      </c>
      <c r="DC764" s="27" t="s">
        <v>8</v>
      </c>
      <c r="DD764" s="27" t="s">
        <v>7</v>
      </c>
      <c r="DE764" s="27" t="s">
        <v>8</v>
      </c>
      <c r="DF764" s="27" t="s">
        <v>7</v>
      </c>
      <c r="DG764" s="27" t="s">
        <v>8</v>
      </c>
      <c r="DH764" s="27" t="s">
        <v>7</v>
      </c>
      <c r="DI764" s="27" t="s">
        <v>8</v>
      </c>
      <c r="DV764" s="27" t="s">
        <v>7</v>
      </c>
      <c r="DW764" s="27" t="s">
        <v>8</v>
      </c>
      <c r="DX764" s="27" t="s">
        <v>7</v>
      </c>
      <c r="DY764" s="27" t="s">
        <v>8</v>
      </c>
      <c r="DZ764" s="27" t="s">
        <v>7</v>
      </c>
      <c r="EA764" s="27" t="s">
        <v>8</v>
      </c>
      <c r="EB764" s="27" t="s">
        <v>7</v>
      </c>
      <c r="EC764" s="27" t="s">
        <v>8</v>
      </c>
      <c r="EJ764" s="27" t="s">
        <v>7</v>
      </c>
      <c r="EK764" s="27" t="s">
        <v>8</v>
      </c>
      <c r="FA764" s="27" t="s">
        <v>8</v>
      </c>
      <c r="FB764" s="27" t="s">
        <v>7</v>
      </c>
      <c r="HU764" s="27" t="s">
        <v>8</v>
      </c>
      <c r="HV764" s="27" t="s">
        <v>7</v>
      </c>
      <c r="II764" s="27" t="s">
        <v>8</v>
      </c>
      <c r="IJ764" s="27" t="s">
        <v>7</v>
      </c>
    </row>
    <row r="765" spans="1:252" x14ac:dyDescent="0.25">
      <c r="A765" s="7">
        <v>2.9455705316917203E-2</v>
      </c>
      <c r="B765"/>
      <c r="C765"/>
      <c r="D765"/>
      <c r="E765"/>
      <c r="F765" s="27" t="s">
        <v>7</v>
      </c>
      <c r="AU765" s="27" t="s">
        <v>8</v>
      </c>
      <c r="AV765" s="27" t="s">
        <v>7</v>
      </c>
      <c r="CY765" s="27" t="s">
        <v>8</v>
      </c>
      <c r="CZ765" s="27" t="s">
        <v>7</v>
      </c>
      <c r="DA765" s="27" t="s">
        <v>8</v>
      </c>
      <c r="DB765" s="27" t="s">
        <v>7</v>
      </c>
      <c r="DC765" s="27" t="s">
        <v>8</v>
      </c>
      <c r="DD765" s="27" t="s">
        <v>7</v>
      </c>
      <c r="DE765" s="27" t="s">
        <v>8</v>
      </c>
      <c r="DF765" s="27" t="s">
        <v>7</v>
      </c>
      <c r="DH765" s="27" t="s">
        <v>7</v>
      </c>
      <c r="DI765" s="27" t="s">
        <v>8</v>
      </c>
      <c r="DV765" s="27" t="s">
        <v>7</v>
      </c>
      <c r="DW765" s="27" t="s">
        <v>8</v>
      </c>
      <c r="DX765" s="27" t="s">
        <v>7</v>
      </c>
      <c r="DY765" s="27" t="s">
        <v>8</v>
      </c>
      <c r="DZ765" s="27" t="s">
        <v>7</v>
      </c>
      <c r="EA765" s="27" t="s">
        <v>8</v>
      </c>
      <c r="EB765" s="27" t="s">
        <v>7</v>
      </c>
      <c r="EC765" s="27" t="s">
        <v>8</v>
      </c>
      <c r="EJ765" s="27" t="s">
        <v>7</v>
      </c>
      <c r="EK765" s="27" t="s">
        <v>8</v>
      </c>
      <c r="EL765" s="27" t="s">
        <v>7</v>
      </c>
      <c r="FA765" s="27" t="s">
        <v>8</v>
      </c>
      <c r="FB765" s="27" t="s">
        <v>7</v>
      </c>
      <c r="HU765" s="27" t="s">
        <v>8</v>
      </c>
      <c r="HV765" s="27" t="s">
        <v>7</v>
      </c>
      <c r="HY765" s="27" t="s">
        <v>8</v>
      </c>
      <c r="II765" s="27" t="s">
        <v>8</v>
      </c>
      <c r="IJ765" s="27" t="s">
        <v>7</v>
      </c>
    </row>
    <row r="766" spans="1:252" x14ac:dyDescent="0.25">
      <c r="A766" s="7">
        <v>2.8878142467565884E-2</v>
      </c>
      <c r="B766"/>
      <c r="C766"/>
      <c r="D766"/>
      <c r="E766"/>
      <c r="F766" s="27" t="s">
        <v>7</v>
      </c>
      <c r="AU766" s="27" t="s">
        <v>8</v>
      </c>
      <c r="AV766" s="27" t="s">
        <v>7</v>
      </c>
      <c r="CY766" s="27" t="s">
        <v>8</v>
      </c>
      <c r="CZ766" s="27" t="s">
        <v>7</v>
      </c>
      <c r="DA766" s="27" t="s">
        <v>8</v>
      </c>
      <c r="DB766" s="27" t="s">
        <v>7</v>
      </c>
      <c r="DC766" s="27" t="s">
        <v>8</v>
      </c>
      <c r="DD766" s="27" t="s">
        <v>7</v>
      </c>
      <c r="DE766" s="27" t="s">
        <v>8</v>
      </c>
      <c r="DH766" s="27" t="s">
        <v>7</v>
      </c>
      <c r="DI766" s="27" t="s">
        <v>8</v>
      </c>
      <c r="DV766" s="27" t="s">
        <v>7</v>
      </c>
      <c r="DW766" s="27" t="s">
        <v>8</v>
      </c>
      <c r="DX766" s="27" t="s">
        <v>7</v>
      </c>
      <c r="DY766" s="27" t="s">
        <v>8</v>
      </c>
      <c r="DZ766" s="27" t="s">
        <v>7</v>
      </c>
      <c r="EA766" s="27" t="s">
        <v>8</v>
      </c>
      <c r="EB766" s="27" t="s">
        <v>7</v>
      </c>
      <c r="EJ766" s="27" t="s">
        <v>7</v>
      </c>
      <c r="EK766" s="27" t="s">
        <v>8</v>
      </c>
      <c r="EL766" s="27" t="s">
        <v>7</v>
      </c>
      <c r="FA766" s="27" t="s">
        <v>8</v>
      </c>
      <c r="FB766" s="27" t="s">
        <v>7</v>
      </c>
      <c r="HU766" s="27" t="s">
        <v>8</v>
      </c>
      <c r="HV766" s="27" t="s">
        <v>7</v>
      </c>
      <c r="HY766" s="27" t="s">
        <v>8</v>
      </c>
      <c r="HZ766" s="27" t="s">
        <v>7</v>
      </c>
      <c r="II766" s="27" t="s">
        <v>8</v>
      </c>
      <c r="IJ766" s="27" t="s">
        <v>7</v>
      </c>
    </row>
    <row r="767" spans="1:252" x14ac:dyDescent="0.25">
      <c r="A767" s="7">
        <v>2.8311904379966554E-2</v>
      </c>
      <c r="B767"/>
      <c r="C767"/>
      <c r="D767"/>
      <c r="E767"/>
      <c r="F767" s="27" t="s">
        <v>7</v>
      </c>
      <c r="AU767" s="27" t="s">
        <v>8</v>
      </c>
      <c r="AV767" s="27" t="s">
        <v>7</v>
      </c>
      <c r="CY767" s="27" t="s">
        <v>8</v>
      </c>
      <c r="CZ767" s="27" t="s">
        <v>7</v>
      </c>
      <c r="DA767" s="27" t="s">
        <v>8</v>
      </c>
      <c r="DB767" s="27" t="s">
        <v>7</v>
      </c>
      <c r="DC767" s="27" t="s">
        <v>8</v>
      </c>
      <c r="DD767" s="27" t="s">
        <v>7</v>
      </c>
      <c r="DH767" s="27" t="s">
        <v>7</v>
      </c>
      <c r="DV767" s="27" t="s">
        <v>7</v>
      </c>
      <c r="DW767" s="27" t="s">
        <v>8</v>
      </c>
      <c r="DX767" s="27" t="s">
        <v>7</v>
      </c>
      <c r="DY767" s="27" t="s">
        <v>8</v>
      </c>
      <c r="DZ767" s="27" t="s">
        <v>7</v>
      </c>
      <c r="EA767" s="27" t="s">
        <v>8</v>
      </c>
      <c r="EJ767" s="27" t="s">
        <v>7</v>
      </c>
      <c r="EK767" s="27" t="s">
        <v>8</v>
      </c>
      <c r="EL767" s="27" t="s">
        <v>7</v>
      </c>
      <c r="FA767" s="27" t="s">
        <v>8</v>
      </c>
      <c r="FB767" s="27" t="s">
        <v>7</v>
      </c>
      <c r="HU767" s="27" t="s">
        <v>8</v>
      </c>
      <c r="HV767" s="27" t="s">
        <v>7</v>
      </c>
      <c r="HY767" s="27" t="s">
        <v>8</v>
      </c>
      <c r="HZ767" s="27" t="s">
        <v>7</v>
      </c>
      <c r="II767" s="27" t="s">
        <v>8</v>
      </c>
      <c r="IJ767" s="27" t="s">
        <v>7</v>
      </c>
      <c r="IO767" s="27" t="s">
        <v>8</v>
      </c>
      <c r="IQ767" s="27" t="s">
        <v>8</v>
      </c>
    </row>
    <row r="768" spans="1:252" x14ac:dyDescent="0.25">
      <c r="A768" s="7">
        <v>2.7756768999967207E-2</v>
      </c>
      <c r="B768"/>
      <c r="C768"/>
      <c r="D768"/>
      <c r="E768"/>
      <c r="F768" s="27" t="s">
        <v>7</v>
      </c>
      <c r="AU768" s="27" t="s">
        <v>8</v>
      </c>
      <c r="AV768" s="27" t="s">
        <v>7</v>
      </c>
      <c r="CM768" s="27" t="s">
        <v>8</v>
      </c>
      <c r="CY768" s="27" t="s">
        <v>8</v>
      </c>
      <c r="CZ768" s="27" t="s">
        <v>7</v>
      </c>
      <c r="DA768" s="27" t="s">
        <v>8</v>
      </c>
      <c r="DB768" s="27" t="s">
        <v>7</v>
      </c>
      <c r="DC768" s="27" t="s">
        <v>8</v>
      </c>
      <c r="DV768" s="27" t="s">
        <v>7</v>
      </c>
      <c r="DW768" s="27" t="s">
        <v>8</v>
      </c>
      <c r="DX768" s="27" t="s">
        <v>7</v>
      </c>
      <c r="DY768" s="27" t="s">
        <v>8</v>
      </c>
      <c r="DZ768" s="27" t="s">
        <v>7</v>
      </c>
      <c r="EA768" s="27" t="s">
        <v>8</v>
      </c>
      <c r="EJ768" s="27" t="s">
        <v>7</v>
      </c>
      <c r="EK768" s="27" t="s">
        <v>8</v>
      </c>
      <c r="EL768" s="27" t="s">
        <v>7</v>
      </c>
      <c r="FA768" s="27" t="s">
        <v>8</v>
      </c>
      <c r="FB768" s="27" t="s">
        <v>7</v>
      </c>
      <c r="HU768" s="27" t="s">
        <v>8</v>
      </c>
      <c r="HV768" s="27" t="s">
        <v>7</v>
      </c>
      <c r="HY768" s="27" t="s">
        <v>8</v>
      </c>
      <c r="HZ768" s="27" t="s">
        <v>7</v>
      </c>
      <c r="II768" s="27" t="s">
        <v>8</v>
      </c>
      <c r="IJ768" s="27" t="s">
        <v>7</v>
      </c>
      <c r="IO768" s="27" t="s">
        <v>8</v>
      </c>
      <c r="IP768" s="27" t="s">
        <v>7</v>
      </c>
      <c r="IQ768" s="27" t="s">
        <v>8</v>
      </c>
      <c r="IR768" s="27" t="s">
        <v>7</v>
      </c>
    </row>
    <row r="769" spans="1:254" x14ac:dyDescent="0.25">
      <c r="A769" s="7">
        <v>2.7212518627418834E-2</v>
      </c>
      <c r="B769"/>
      <c r="C769"/>
      <c r="D769"/>
      <c r="E769"/>
      <c r="F769" s="27" t="s">
        <v>7</v>
      </c>
      <c r="AU769" s="27" t="s">
        <v>8</v>
      </c>
      <c r="AV769" s="27" t="s">
        <v>7</v>
      </c>
      <c r="CM769" s="27" t="s">
        <v>8</v>
      </c>
      <c r="CN769" s="27" t="s">
        <v>7</v>
      </c>
      <c r="CY769" s="27" t="s">
        <v>8</v>
      </c>
      <c r="CZ769" s="27" t="s">
        <v>7</v>
      </c>
      <c r="DA769" s="27" t="s">
        <v>8</v>
      </c>
      <c r="DB769" s="27" t="s">
        <v>7</v>
      </c>
      <c r="DV769" s="27" t="s">
        <v>7</v>
      </c>
      <c r="DW769" s="27" t="s">
        <v>8</v>
      </c>
      <c r="DX769" s="27" t="s">
        <v>7</v>
      </c>
      <c r="DY769" s="27" t="s">
        <v>8</v>
      </c>
      <c r="DZ769" s="27" t="s">
        <v>7</v>
      </c>
      <c r="EA769" s="27" t="s">
        <v>8</v>
      </c>
      <c r="EJ769" s="27" t="s">
        <v>7</v>
      </c>
      <c r="EK769" s="27" t="s">
        <v>8</v>
      </c>
      <c r="EL769" s="27" t="s">
        <v>7</v>
      </c>
      <c r="FA769" s="27" t="s">
        <v>8</v>
      </c>
      <c r="FB769" s="27" t="s">
        <v>7</v>
      </c>
      <c r="HU769" s="27" t="s">
        <v>8</v>
      </c>
      <c r="HV769" s="27" t="s">
        <v>7</v>
      </c>
      <c r="HY769" s="27" t="s">
        <v>8</v>
      </c>
      <c r="HZ769" s="27" t="s">
        <v>7</v>
      </c>
      <c r="II769" s="27" t="s">
        <v>8</v>
      </c>
      <c r="IJ769" s="27" t="s">
        <v>7</v>
      </c>
      <c r="IO769" s="27" t="s">
        <v>8</v>
      </c>
      <c r="IP769" s="27" t="s">
        <v>7</v>
      </c>
      <c r="IQ769" s="27" t="s">
        <v>8</v>
      </c>
      <c r="IR769" s="27" t="s">
        <v>7</v>
      </c>
    </row>
    <row r="770" spans="1:254" x14ac:dyDescent="0.25">
      <c r="A770" s="7">
        <v>2.6678939830802779E-2</v>
      </c>
      <c r="B770"/>
      <c r="C770"/>
      <c r="D770"/>
      <c r="E770"/>
      <c r="F770" s="27" t="s">
        <v>7</v>
      </c>
      <c r="AU770" s="27" t="s">
        <v>8</v>
      </c>
      <c r="AV770" s="27" t="s">
        <v>7</v>
      </c>
      <c r="CM770" s="27" t="s">
        <v>8</v>
      </c>
      <c r="CN770" s="27" t="s">
        <v>7</v>
      </c>
      <c r="CY770" s="27" t="s">
        <v>8</v>
      </c>
      <c r="CZ770" s="27" t="s">
        <v>7</v>
      </c>
      <c r="DA770" s="27" t="s">
        <v>8</v>
      </c>
      <c r="DV770" s="27" t="s">
        <v>7</v>
      </c>
      <c r="DW770" s="27" t="s">
        <v>8</v>
      </c>
      <c r="DX770" s="27" t="s">
        <v>7</v>
      </c>
      <c r="DY770" s="27" t="s">
        <v>8</v>
      </c>
      <c r="DZ770" s="27" t="s">
        <v>7</v>
      </c>
      <c r="EA770" s="27" t="s">
        <v>8</v>
      </c>
      <c r="EJ770" s="27" t="s">
        <v>7</v>
      </c>
      <c r="EK770" s="27" t="s">
        <v>8</v>
      </c>
      <c r="EL770" s="27" t="s">
        <v>7</v>
      </c>
      <c r="EM770" s="27" t="s">
        <v>8</v>
      </c>
      <c r="FA770" s="27" t="s">
        <v>8</v>
      </c>
      <c r="FB770" s="27" t="s">
        <v>7</v>
      </c>
      <c r="HU770" s="27" t="s">
        <v>8</v>
      </c>
      <c r="HV770" s="27" t="s">
        <v>7</v>
      </c>
      <c r="HY770" s="27" t="s">
        <v>8</v>
      </c>
      <c r="HZ770" s="27" t="s">
        <v>7</v>
      </c>
      <c r="II770" s="27" t="s">
        <v>8</v>
      </c>
      <c r="IJ770" s="27" t="s">
        <v>7</v>
      </c>
      <c r="IM770" s="27" t="s">
        <v>8</v>
      </c>
      <c r="IO770" s="27" t="s">
        <v>8</v>
      </c>
      <c r="IP770" s="27" t="s">
        <v>7</v>
      </c>
      <c r="IQ770" s="27" t="s">
        <v>8</v>
      </c>
      <c r="IR770" s="27" t="s">
        <v>7</v>
      </c>
    </row>
    <row r="771" spans="1:254" x14ac:dyDescent="0.25">
      <c r="A771" s="7">
        <v>2.615582336353214E-2</v>
      </c>
      <c r="B771"/>
      <c r="C771"/>
      <c r="D771"/>
      <c r="E771"/>
      <c r="F771" s="27" t="s">
        <v>7</v>
      </c>
      <c r="AU771" s="27" t="s">
        <v>8</v>
      </c>
      <c r="AV771" s="27" t="s">
        <v>7</v>
      </c>
      <c r="CG771" s="27" t="s">
        <v>8</v>
      </c>
      <c r="CM771" s="27" t="s">
        <v>8</v>
      </c>
      <c r="CN771" s="27" t="s">
        <v>7</v>
      </c>
      <c r="CY771" s="27" t="s">
        <v>8</v>
      </c>
      <c r="CZ771" s="27" t="s">
        <v>7</v>
      </c>
      <c r="DV771" s="27" t="s">
        <v>7</v>
      </c>
      <c r="DX771" s="27" t="s">
        <v>7</v>
      </c>
      <c r="DY771" s="27" t="s">
        <v>8</v>
      </c>
      <c r="DZ771" s="27" t="s">
        <v>7</v>
      </c>
      <c r="EA771" s="27" t="s">
        <v>8</v>
      </c>
      <c r="EJ771" s="27" t="s">
        <v>7</v>
      </c>
      <c r="EK771" s="27" t="s">
        <v>8</v>
      </c>
      <c r="EL771" s="27" t="s">
        <v>7</v>
      </c>
      <c r="EM771" s="27" t="s">
        <v>8</v>
      </c>
      <c r="EN771" s="27" t="s">
        <v>7</v>
      </c>
      <c r="FA771" s="27" t="s">
        <v>8</v>
      </c>
      <c r="FB771" s="27" t="s">
        <v>7</v>
      </c>
      <c r="HU771" s="27" t="s">
        <v>8</v>
      </c>
      <c r="HV771" s="27" t="s">
        <v>7</v>
      </c>
      <c r="HY771" s="27" t="s">
        <v>8</v>
      </c>
      <c r="HZ771" s="27" t="s">
        <v>7</v>
      </c>
      <c r="II771" s="27" t="s">
        <v>8</v>
      </c>
      <c r="IJ771" s="27" t="s">
        <v>7</v>
      </c>
      <c r="IM771" s="27" t="s">
        <v>8</v>
      </c>
      <c r="IN771" s="27" t="s">
        <v>7</v>
      </c>
      <c r="IO771" s="27" t="s">
        <v>8</v>
      </c>
      <c r="IP771" s="27" t="s">
        <v>7</v>
      </c>
      <c r="IQ771" s="27" t="s">
        <v>8</v>
      </c>
      <c r="IR771" s="27" t="s">
        <v>7</v>
      </c>
    </row>
    <row r="772" spans="1:254" x14ac:dyDescent="0.25">
      <c r="A772" s="7">
        <v>2.5642964081894253E-2</v>
      </c>
      <c r="B772"/>
      <c r="C772"/>
      <c r="D772"/>
      <c r="E772"/>
      <c r="F772" s="27" t="s">
        <v>7</v>
      </c>
      <c r="AU772" s="27" t="s">
        <v>8</v>
      </c>
      <c r="AV772" s="27" t="s">
        <v>7</v>
      </c>
      <c r="CG772" s="27" t="s">
        <v>8</v>
      </c>
      <c r="CH772" s="27" t="s">
        <v>7</v>
      </c>
      <c r="CM772" s="27" t="s">
        <v>8</v>
      </c>
      <c r="CN772" s="27" t="s">
        <v>7</v>
      </c>
      <c r="CY772" s="27" t="s">
        <v>8</v>
      </c>
      <c r="DX772" s="27" t="s">
        <v>7</v>
      </c>
      <c r="DY772" s="27" t="s">
        <v>8</v>
      </c>
      <c r="DZ772" s="27" t="s">
        <v>7</v>
      </c>
      <c r="EA772" s="27" t="s">
        <v>8</v>
      </c>
      <c r="EJ772" s="27" t="s">
        <v>7</v>
      </c>
      <c r="EK772" s="27" t="s">
        <v>8</v>
      </c>
      <c r="EL772" s="27" t="s">
        <v>7</v>
      </c>
      <c r="EM772" s="27" t="s">
        <v>8</v>
      </c>
      <c r="EN772" s="27" t="s">
        <v>7</v>
      </c>
      <c r="FA772" s="27" t="s">
        <v>8</v>
      </c>
      <c r="FB772" s="27" t="s">
        <v>7</v>
      </c>
      <c r="HU772" s="27" t="s">
        <v>8</v>
      </c>
      <c r="HV772" s="27" t="s">
        <v>7</v>
      </c>
      <c r="HY772" s="27" t="s">
        <v>8</v>
      </c>
      <c r="HZ772" s="27" t="s">
        <v>7</v>
      </c>
      <c r="II772" s="27" t="s">
        <v>8</v>
      </c>
      <c r="IJ772" s="27" t="s">
        <v>7</v>
      </c>
      <c r="IM772" s="27" t="s">
        <v>8</v>
      </c>
      <c r="IN772" s="27" t="s">
        <v>7</v>
      </c>
      <c r="IO772" s="27" t="s">
        <v>8</v>
      </c>
      <c r="IP772" s="27" t="s">
        <v>7</v>
      </c>
      <c r="IQ772" s="27" t="s">
        <v>8</v>
      </c>
      <c r="IR772" s="27" t="s">
        <v>7</v>
      </c>
      <c r="IS772" s="27" t="s">
        <v>8</v>
      </c>
    </row>
    <row r="773" spans="1:254" x14ac:dyDescent="0.25">
      <c r="A773" s="7">
        <v>2.5140160864602207E-2</v>
      </c>
      <c r="B773"/>
      <c r="C773"/>
      <c r="D773"/>
      <c r="E773"/>
      <c r="F773" s="27" t="s">
        <v>7</v>
      </c>
      <c r="AU773" s="27" t="s">
        <v>8</v>
      </c>
      <c r="AV773" s="27" t="s">
        <v>7</v>
      </c>
      <c r="CG773" s="27" t="s">
        <v>8</v>
      </c>
      <c r="CH773" s="27" t="s">
        <v>7</v>
      </c>
      <c r="CM773" s="27" t="s">
        <v>8</v>
      </c>
      <c r="CN773" s="27" t="s">
        <v>7</v>
      </c>
      <c r="CY773" s="27" t="s">
        <v>8</v>
      </c>
      <c r="DX773" s="27" t="s">
        <v>7</v>
      </c>
      <c r="DY773" s="27" t="s">
        <v>8</v>
      </c>
      <c r="DZ773" s="27" t="s">
        <v>7</v>
      </c>
      <c r="EA773" s="27" t="s">
        <v>8</v>
      </c>
      <c r="EJ773" s="27" t="s">
        <v>7</v>
      </c>
      <c r="EL773" s="27" t="s">
        <v>7</v>
      </c>
      <c r="EM773" s="27" t="s">
        <v>8</v>
      </c>
      <c r="EN773" s="27" t="s">
        <v>7</v>
      </c>
      <c r="FA773" s="27" t="s">
        <v>8</v>
      </c>
      <c r="FB773" s="27" t="s">
        <v>7</v>
      </c>
      <c r="HU773" s="27" t="s">
        <v>8</v>
      </c>
      <c r="HV773" s="27" t="s">
        <v>7</v>
      </c>
      <c r="HY773" s="27" t="s">
        <v>8</v>
      </c>
      <c r="HZ773" s="27" t="s">
        <v>7</v>
      </c>
      <c r="II773" s="27" t="s">
        <v>8</v>
      </c>
      <c r="IJ773" s="27" t="s">
        <v>7</v>
      </c>
      <c r="IM773" s="27" t="s">
        <v>8</v>
      </c>
      <c r="IN773" s="27" t="s">
        <v>7</v>
      </c>
      <c r="IO773" s="27" t="s">
        <v>8</v>
      </c>
      <c r="IP773" s="27" t="s">
        <v>7</v>
      </c>
      <c r="IQ773" s="27" t="s">
        <v>8</v>
      </c>
      <c r="IR773" s="27" t="s">
        <v>7</v>
      </c>
      <c r="IS773" s="27" t="s">
        <v>8</v>
      </c>
      <c r="IT773" s="27" t="s">
        <v>7</v>
      </c>
    </row>
    <row r="774" spans="1:254" x14ac:dyDescent="0.25">
      <c r="A774" s="7">
        <v>2.4647216533923735E-2</v>
      </c>
      <c r="B774"/>
      <c r="C774"/>
      <c r="D774"/>
      <c r="E774"/>
      <c r="F774" s="27" t="s">
        <v>7</v>
      </c>
      <c r="AU774" s="27" t="s">
        <v>8</v>
      </c>
      <c r="AV774" s="27" t="s">
        <v>7</v>
      </c>
      <c r="CG774" s="27" t="s">
        <v>8</v>
      </c>
      <c r="CH774" s="27" t="s">
        <v>7</v>
      </c>
      <c r="CM774" s="27" t="s">
        <v>8</v>
      </c>
      <c r="CN774" s="27" t="s">
        <v>7</v>
      </c>
      <c r="CY774" s="27" t="s">
        <v>8</v>
      </c>
      <c r="DX774" s="27" t="s">
        <v>7</v>
      </c>
      <c r="DY774" s="27" t="s">
        <v>8</v>
      </c>
      <c r="DZ774" s="27" t="s">
        <v>7</v>
      </c>
      <c r="EA774" s="27" t="s">
        <v>8</v>
      </c>
      <c r="EL774" s="27" t="s">
        <v>7</v>
      </c>
      <c r="EM774" s="27" t="s">
        <v>8</v>
      </c>
      <c r="EN774" s="27" t="s">
        <v>7</v>
      </c>
      <c r="FA774" s="27" t="s">
        <v>8</v>
      </c>
      <c r="FB774" s="27" t="s">
        <v>7</v>
      </c>
      <c r="HU774" s="27" t="s">
        <v>8</v>
      </c>
      <c r="HV774" s="27" t="s">
        <v>7</v>
      </c>
      <c r="HY774" s="27" t="s">
        <v>8</v>
      </c>
      <c r="HZ774" s="27" t="s">
        <v>7</v>
      </c>
      <c r="II774" s="27" t="s">
        <v>8</v>
      </c>
      <c r="IJ774" s="27" t="s">
        <v>7</v>
      </c>
      <c r="IM774" s="27" t="s">
        <v>8</v>
      </c>
      <c r="IN774" s="27" t="s">
        <v>7</v>
      </c>
      <c r="IO774" s="27" t="s">
        <v>8</v>
      </c>
      <c r="IP774" s="27" t="s">
        <v>7</v>
      </c>
      <c r="IQ774" s="27" t="s">
        <v>8</v>
      </c>
      <c r="IR774" s="27" t="s">
        <v>7</v>
      </c>
      <c r="IS774" s="27" t="s">
        <v>8</v>
      </c>
      <c r="IT774" s="27" t="s">
        <v>7</v>
      </c>
    </row>
    <row r="775" spans="1:254" x14ac:dyDescent="0.25">
      <c r="A775" s="7">
        <v>2.4163937778356601E-2</v>
      </c>
      <c r="B775"/>
      <c r="C775"/>
      <c r="D775"/>
      <c r="E775"/>
      <c r="F775" s="27" t="s">
        <v>7</v>
      </c>
      <c r="AU775" s="27" t="s">
        <v>8</v>
      </c>
      <c r="AV775" s="27" t="s">
        <v>7</v>
      </c>
      <c r="BW775" s="27" t="s">
        <v>8</v>
      </c>
      <c r="CG775" s="27" t="s">
        <v>8</v>
      </c>
      <c r="CH775" s="27" t="s">
        <v>7</v>
      </c>
      <c r="CM775" s="27" t="s">
        <v>8</v>
      </c>
      <c r="CN775" s="27" t="s">
        <v>7</v>
      </c>
      <c r="CY775" s="27" t="s">
        <v>8</v>
      </c>
      <c r="DX775" s="27" t="s">
        <v>7</v>
      </c>
      <c r="DY775" s="27" t="s">
        <v>8</v>
      </c>
      <c r="DZ775" s="27" t="s">
        <v>7</v>
      </c>
      <c r="EA775" s="27" t="s">
        <v>8</v>
      </c>
      <c r="EL775" s="27" t="s">
        <v>7</v>
      </c>
      <c r="EM775" s="27" t="s">
        <v>8</v>
      </c>
      <c r="EN775" s="27" t="s">
        <v>7</v>
      </c>
      <c r="FA775" s="27" t="s">
        <v>8</v>
      </c>
      <c r="FB775" s="27" t="s">
        <v>7</v>
      </c>
      <c r="HU775" s="27" t="s">
        <v>8</v>
      </c>
      <c r="HV775" s="27" t="s">
        <v>7</v>
      </c>
      <c r="HY775" s="27" t="s">
        <v>8</v>
      </c>
      <c r="HZ775" s="27" t="s">
        <v>7</v>
      </c>
      <c r="II775" s="27" t="s">
        <v>8</v>
      </c>
      <c r="IJ775" s="27" t="s">
        <v>7</v>
      </c>
      <c r="IM775" s="27" t="s">
        <v>8</v>
      </c>
      <c r="IN775" s="27" t="s">
        <v>7</v>
      </c>
      <c r="IO775" s="27" t="s">
        <v>8</v>
      </c>
      <c r="IP775" s="27" t="s">
        <v>7</v>
      </c>
      <c r="IQ775" s="27" t="s">
        <v>8</v>
      </c>
      <c r="IR775" s="27" t="s">
        <v>7</v>
      </c>
      <c r="IS775" s="27" t="s">
        <v>8</v>
      </c>
      <c r="IT775" s="27" t="s">
        <v>7</v>
      </c>
    </row>
    <row r="776" spans="1:254" x14ac:dyDescent="0.25">
      <c r="A776" s="7">
        <v>2.3690135076820197E-2</v>
      </c>
      <c r="B776"/>
      <c r="C776"/>
      <c r="D776"/>
      <c r="E776"/>
      <c r="F776" s="27" t="s">
        <v>7</v>
      </c>
      <c r="AU776" s="27" t="s">
        <v>8</v>
      </c>
      <c r="AV776" s="27" t="s">
        <v>7</v>
      </c>
      <c r="BW776" s="27" t="s">
        <v>8</v>
      </c>
      <c r="BX776" s="27" t="s">
        <v>7</v>
      </c>
      <c r="CG776" s="27" t="s">
        <v>8</v>
      </c>
      <c r="CH776" s="27" t="s">
        <v>7</v>
      </c>
      <c r="CK776" s="27" t="s">
        <v>8</v>
      </c>
      <c r="CM776" s="27" t="s">
        <v>8</v>
      </c>
      <c r="CN776" s="27" t="s">
        <v>7</v>
      </c>
      <c r="CY776" s="27" t="s">
        <v>8</v>
      </c>
      <c r="DX776" s="27" t="s">
        <v>7</v>
      </c>
      <c r="DZ776" s="27" t="s">
        <v>7</v>
      </c>
      <c r="EA776" s="27" t="s">
        <v>8</v>
      </c>
      <c r="EL776" s="27" t="s">
        <v>7</v>
      </c>
      <c r="EM776" s="27" t="s">
        <v>8</v>
      </c>
      <c r="EN776" s="27" t="s">
        <v>7</v>
      </c>
      <c r="FA776" s="27" t="s">
        <v>8</v>
      </c>
      <c r="FB776" s="27" t="s">
        <v>7</v>
      </c>
      <c r="HU776" s="27" t="s">
        <v>8</v>
      </c>
      <c r="HV776" s="27" t="s">
        <v>7</v>
      </c>
      <c r="HY776" s="27" t="s">
        <v>8</v>
      </c>
      <c r="HZ776" s="27" t="s">
        <v>7</v>
      </c>
      <c r="II776" s="27" t="s">
        <v>8</v>
      </c>
      <c r="IJ776" s="27" t="s">
        <v>7</v>
      </c>
      <c r="IK776" s="27" t="s">
        <v>8</v>
      </c>
      <c r="IM776" s="27" t="s">
        <v>8</v>
      </c>
      <c r="IN776" s="27" t="s">
        <v>7</v>
      </c>
      <c r="IO776" s="27" t="s">
        <v>8</v>
      </c>
      <c r="IP776" s="27" t="s">
        <v>7</v>
      </c>
      <c r="IQ776" s="27" t="s">
        <v>8</v>
      </c>
      <c r="IR776" s="27" t="s">
        <v>7</v>
      </c>
      <c r="IS776" s="27" t="s">
        <v>8</v>
      </c>
      <c r="IT776" s="27" t="s">
        <v>7</v>
      </c>
    </row>
    <row r="777" spans="1:254" x14ac:dyDescent="0.25">
      <c r="A777" s="7">
        <v>2.3225622624333527E-2</v>
      </c>
      <c r="B777"/>
      <c r="C777"/>
      <c r="D777"/>
      <c r="E777"/>
      <c r="F777" s="27" t="s">
        <v>7</v>
      </c>
      <c r="AU777" s="27" t="s">
        <v>8</v>
      </c>
      <c r="AV777" s="27" t="s">
        <v>7</v>
      </c>
      <c r="BW777" s="27" t="s">
        <v>8</v>
      </c>
      <c r="BX777" s="27" t="s">
        <v>7</v>
      </c>
      <c r="CG777" s="27" t="s">
        <v>8</v>
      </c>
      <c r="CH777" s="27" t="s">
        <v>7</v>
      </c>
      <c r="CK777" s="27" t="s">
        <v>8</v>
      </c>
      <c r="CL777" s="27" t="s">
        <v>7</v>
      </c>
      <c r="CM777" s="27" t="s">
        <v>8</v>
      </c>
      <c r="CN777" s="27" t="s">
        <v>7</v>
      </c>
      <c r="CY777" s="27" t="s">
        <v>8</v>
      </c>
      <c r="DZ777" s="27" t="s">
        <v>7</v>
      </c>
      <c r="EL777" s="27" t="s">
        <v>7</v>
      </c>
      <c r="EM777" s="27" t="s">
        <v>8</v>
      </c>
      <c r="EN777" s="27" t="s">
        <v>7</v>
      </c>
      <c r="FA777" s="27" t="s">
        <v>8</v>
      </c>
      <c r="FB777" s="27" t="s">
        <v>7</v>
      </c>
      <c r="HU777" s="27" t="s">
        <v>8</v>
      </c>
      <c r="HV777" s="27" t="s">
        <v>7</v>
      </c>
      <c r="HY777" s="27" t="s">
        <v>8</v>
      </c>
      <c r="HZ777" s="27" t="s">
        <v>7</v>
      </c>
      <c r="II777" s="27" t="s">
        <v>8</v>
      </c>
      <c r="IJ777" s="27" t="s">
        <v>7</v>
      </c>
      <c r="IK777" s="27" t="s">
        <v>8</v>
      </c>
      <c r="IL777" s="27" t="s">
        <v>7</v>
      </c>
      <c r="IM777" s="27" t="s">
        <v>8</v>
      </c>
      <c r="IN777" s="27" t="s">
        <v>7</v>
      </c>
      <c r="IO777" s="27" t="s">
        <v>8</v>
      </c>
      <c r="IP777" s="27" t="s">
        <v>7</v>
      </c>
      <c r="IQ777" s="27" t="s">
        <v>8</v>
      </c>
      <c r="IR777" s="27" t="s">
        <v>7</v>
      </c>
      <c r="IS777" s="27" t="s">
        <v>8</v>
      </c>
      <c r="IT777" s="27" t="s">
        <v>7</v>
      </c>
    </row>
    <row r="778" spans="1:254" x14ac:dyDescent="0.25">
      <c r="A778" s="7">
        <v>2.2770218259150519E-2</v>
      </c>
      <c r="B778"/>
      <c r="C778"/>
      <c r="D778"/>
      <c r="E778"/>
      <c r="F778" s="27" t="s">
        <v>7</v>
      </c>
      <c r="AU778" s="27" t="s">
        <v>8</v>
      </c>
      <c r="AV778" s="27" t="s">
        <v>7</v>
      </c>
      <c r="BW778" s="27" t="s">
        <v>8</v>
      </c>
      <c r="BX778" s="27" t="s">
        <v>7</v>
      </c>
      <c r="CG778" s="27" t="s">
        <v>8</v>
      </c>
      <c r="CH778" s="27" t="s">
        <v>7</v>
      </c>
      <c r="CK778" s="27" t="s">
        <v>8</v>
      </c>
      <c r="CL778" s="27" t="s">
        <v>7</v>
      </c>
      <c r="CM778" s="27" t="s">
        <v>8</v>
      </c>
      <c r="CN778" s="27" t="s">
        <v>7</v>
      </c>
      <c r="CY778" s="27" t="s">
        <v>8</v>
      </c>
      <c r="EL778" s="27" t="s">
        <v>7</v>
      </c>
      <c r="EN778" s="27" t="s">
        <v>7</v>
      </c>
      <c r="FA778" s="27" t="s">
        <v>8</v>
      </c>
      <c r="FB778" s="27" t="s">
        <v>7</v>
      </c>
      <c r="HU778" s="27" t="s">
        <v>8</v>
      </c>
      <c r="HV778" s="27" t="s">
        <v>7</v>
      </c>
      <c r="HY778" s="27" t="s">
        <v>8</v>
      </c>
      <c r="HZ778" s="27" t="s">
        <v>7</v>
      </c>
      <c r="IC778" s="27" t="s">
        <v>8</v>
      </c>
      <c r="II778" s="27" t="s">
        <v>8</v>
      </c>
      <c r="IJ778" s="27" t="s">
        <v>7</v>
      </c>
      <c r="IK778" s="27" t="s">
        <v>8</v>
      </c>
      <c r="IL778" s="27" t="s">
        <v>7</v>
      </c>
      <c r="IM778" s="27" t="s">
        <v>8</v>
      </c>
      <c r="IN778" s="27" t="s">
        <v>7</v>
      </c>
      <c r="IP778" s="27" t="s">
        <v>7</v>
      </c>
      <c r="IQ778" s="27" t="s">
        <v>8</v>
      </c>
      <c r="IR778" s="27" t="s">
        <v>7</v>
      </c>
      <c r="IS778" s="27" t="s">
        <v>8</v>
      </c>
      <c r="IT778" s="27" t="s">
        <v>7</v>
      </c>
    </row>
    <row r="779" spans="1:254" x14ac:dyDescent="0.25">
      <c r="A779" s="7">
        <v>2.2323743391324039E-2</v>
      </c>
      <c r="B779"/>
      <c r="C779"/>
      <c r="D779"/>
      <c r="E779"/>
      <c r="F779" s="27" t="s">
        <v>7</v>
      </c>
      <c r="AU779" s="27" t="s">
        <v>8</v>
      </c>
      <c r="AV779" s="27" t="s">
        <v>7</v>
      </c>
      <c r="BW779" s="27" t="s">
        <v>8</v>
      </c>
      <c r="BX779" s="27" t="s">
        <v>7</v>
      </c>
      <c r="CG779" s="27" t="s">
        <v>8</v>
      </c>
      <c r="CH779" s="27" t="s">
        <v>7</v>
      </c>
      <c r="CK779" s="27" t="s">
        <v>8</v>
      </c>
      <c r="CL779" s="27" t="s">
        <v>7</v>
      </c>
      <c r="CM779" s="27" t="s">
        <v>8</v>
      </c>
      <c r="CN779" s="27" t="s">
        <v>7</v>
      </c>
      <c r="CY779" s="27" t="s">
        <v>8</v>
      </c>
      <c r="EN779" s="27" t="s">
        <v>7</v>
      </c>
      <c r="EO779" s="27" t="s">
        <v>8</v>
      </c>
      <c r="FA779" s="27" t="s">
        <v>8</v>
      </c>
      <c r="FB779" s="27" t="s">
        <v>7</v>
      </c>
      <c r="HU779" s="27" t="s">
        <v>8</v>
      </c>
      <c r="HV779" s="27" t="s">
        <v>7</v>
      </c>
      <c r="HY779" s="27" t="s">
        <v>8</v>
      </c>
      <c r="HZ779" s="27" t="s">
        <v>7</v>
      </c>
      <c r="IC779" s="27" t="s">
        <v>8</v>
      </c>
      <c r="ID779" s="27" t="s">
        <v>7</v>
      </c>
      <c r="II779" s="27" t="s">
        <v>8</v>
      </c>
      <c r="IJ779" s="27" t="s">
        <v>7</v>
      </c>
      <c r="IK779" s="27" t="s">
        <v>8</v>
      </c>
      <c r="IL779" s="27" t="s">
        <v>7</v>
      </c>
      <c r="IM779" s="27" t="s">
        <v>8</v>
      </c>
      <c r="IP779" s="27" t="s">
        <v>7</v>
      </c>
      <c r="IR779" s="27" t="s">
        <v>7</v>
      </c>
      <c r="IS779" s="27" t="s">
        <v>8</v>
      </c>
      <c r="IT779" s="27" t="s">
        <v>7</v>
      </c>
    </row>
    <row r="780" spans="1:254" x14ac:dyDescent="0.25">
      <c r="A780" s="7">
        <v>2.188602293267063E-2</v>
      </c>
      <c r="B780"/>
      <c r="C780"/>
      <c r="D780"/>
      <c r="E780"/>
      <c r="F780" s="27" t="s">
        <v>7</v>
      </c>
      <c r="AU780" s="27" t="s">
        <v>8</v>
      </c>
      <c r="AV780" s="27" t="s">
        <v>7</v>
      </c>
      <c r="BW780" s="27" t="s">
        <v>8</v>
      </c>
      <c r="BX780" s="27" t="s">
        <v>7</v>
      </c>
      <c r="CG780" s="27" t="s">
        <v>8</v>
      </c>
      <c r="CH780" s="27" t="s">
        <v>7</v>
      </c>
      <c r="CI780" s="27" t="s">
        <v>8</v>
      </c>
      <c r="CK780" s="27" t="s">
        <v>8</v>
      </c>
      <c r="CL780" s="27" t="s">
        <v>7</v>
      </c>
      <c r="CM780" s="27" t="s">
        <v>8</v>
      </c>
      <c r="CN780" s="27" t="s">
        <v>7</v>
      </c>
      <c r="CY780" s="27" t="s">
        <v>8</v>
      </c>
      <c r="EN780" s="27" t="s">
        <v>7</v>
      </c>
      <c r="EO780" s="27" t="s">
        <v>8</v>
      </c>
      <c r="EP780" s="27" t="s">
        <v>7</v>
      </c>
      <c r="FA780" s="27" t="s">
        <v>8</v>
      </c>
      <c r="FB780" s="27" t="s">
        <v>7</v>
      </c>
      <c r="HU780" s="27" t="s">
        <v>8</v>
      </c>
      <c r="HV780" s="27" t="s">
        <v>7</v>
      </c>
      <c r="HY780" s="27" t="s">
        <v>8</v>
      </c>
      <c r="HZ780" s="27" t="s">
        <v>7</v>
      </c>
      <c r="IC780" s="27" t="s">
        <v>8</v>
      </c>
      <c r="ID780" s="27" t="s">
        <v>7</v>
      </c>
      <c r="IE780" s="27" t="s">
        <v>8</v>
      </c>
      <c r="II780" s="27" t="s">
        <v>8</v>
      </c>
      <c r="IJ780" s="27" t="s">
        <v>7</v>
      </c>
      <c r="IK780" s="27" t="s">
        <v>8</v>
      </c>
      <c r="IL780" s="27" t="s">
        <v>7</v>
      </c>
      <c r="IM780" s="27" t="s">
        <v>8</v>
      </c>
      <c r="IR780" s="27" t="s">
        <v>7</v>
      </c>
      <c r="IS780" s="27" t="s">
        <v>8</v>
      </c>
      <c r="IT780" s="27" t="s">
        <v>7</v>
      </c>
    </row>
    <row r="781" spans="1:254" x14ac:dyDescent="0.25">
      <c r="A781" s="7">
        <v>2.1456885228108461E-2</v>
      </c>
      <c r="B781"/>
      <c r="C781"/>
      <c r="D781"/>
      <c r="E781"/>
      <c r="F781" s="27" t="s">
        <v>7</v>
      </c>
      <c r="AU781" s="27" t="s">
        <v>8</v>
      </c>
      <c r="AV781" s="27" t="s">
        <v>7</v>
      </c>
      <c r="BW781" s="27" t="s">
        <v>8</v>
      </c>
      <c r="BX781" s="27" t="s">
        <v>7</v>
      </c>
      <c r="CG781" s="27" t="s">
        <v>8</v>
      </c>
      <c r="CH781" s="27" t="s">
        <v>7</v>
      </c>
      <c r="CI781" s="27" t="s">
        <v>8</v>
      </c>
      <c r="CJ781" s="27" t="s">
        <v>7</v>
      </c>
      <c r="CK781" s="27" t="s">
        <v>8</v>
      </c>
      <c r="CL781" s="27" t="s">
        <v>7</v>
      </c>
      <c r="CN781" s="27" t="s">
        <v>7</v>
      </c>
      <c r="CY781" s="27" t="s">
        <v>8</v>
      </c>
      <c r="EN781" s="27" t="s">
        <v>7</v>
      </c>
      <c r="EO781" s="27" t="s">
        <v>8</v>
      </c>
      <c r="EP781" s="27" t="s">
        <v>7</v>
      </c>
      <c r="FA781" s="27" t="s">
        <v>8</v>
      </c>
      <c r="FB781" s="27" t="s">
        <v>7</v>
      </c>
      <c r="HU781" s="27" t="s">
        <v>8</v>
      </c>
      <c r="HV781" s="27" t="s">
        <v>7</v>
      </c>
      <c r="HY781" s="27" t="s">
        <v>8</v>
      </c>
      <c r="HZ781" s="27" t="s">
        <v>7</v>
      </c>
      <c r="IC781" s="27" t="s">
        <v>8</v>
      </c>
      <c r="ID781" s="27" t="s">
        <v>7</v>
      </c>
      <c r="IE781" s="27" t="s">
        <v>8</v>
      </c>
      <c r="IF781" s="27" t="s">
        <v>7</v>
      </c>
      <c r="II781" s="27" t="s">
        <v>8</v>
      </c>
      <c r="IJ781" s="27" t="s">
        <v>7</v>
      </c>
      <c r="IK781" s="27" t="s">
        <v>8</v>
      </c>
      <c r="IL781" s="27" t="s">
        <v>7</v>
      </c>
      <c r="IM781" s="27" t="s">
        <v>8</v>
      </c>
      <c r="IR781" s="27" t="s">
        <v>7</v>
      </c>
      <c r="IS781" s="27" t="s">
        <v>8</v>
      </c>
      <c r="IT781" s="27" t="s">
        <v>7</v>
      </c>
    </row>
    <row r="782" spans="1:254" x14ac:dyDescent="0.25">
      <c r="A782" s="7">
        <v>2.1036161988341632E-2</v>
      </c>
      <c r="B782"/>
      <c r="C782"/>
      <c r="D782"/>
      <c r="E782"/>
      <c r="F782" s="27" t="s">
        <v>7</v>
      </c>
      <c r="AU782" s="27" t="s">
        <v>8</v>
      </c>
      <c r="AV782" s="27" t="s">
        <v>7</v>
      </c>
      <c r="BW782" s="27" t="s">
        <v>8</v>
      </c>
      <c r="BX782" s="27" t="s">
        <v>7</v>
      </c>
      <c r="CG782" s="27" t="s">
        <v>8</v>
      </c>
      <c r="CH782" s="27" t="s">
        <v>7</v>
      </c>
      <c r="CI782" s="27" t="s">
        <v>8</v>
      </c>
      <c r="CJ782" s="27" t="s">
        <v>7</v>
      </c>
      <c r="CK782" s="27" t="s">
        <v>8</v>
      </c>
      <c r="CN782" s="27" t="s">
        <v>7</v>
      </c>
      <c r="CY782" s="27" t="s">
        <v>8</v>
      </c>
      <c r="EN782" s="27" t="s">
        <v>7</v>
      </c>
      <c r="EO782" s="27" t="s">
        <v>8</v>
      </c>
      <c r="EP782" s="27" t="s">
        <v>7</v>
      </c>
      <c r="FA782" s="27" t="s">
        <v>8</v>
      </c>
      <c r="FB782" s="27" t="s">
        <v>7</v>
      </c>
      <c r="GK782" s="27" t="s">
        <v>8</v>
      </c>
      <c r="HU782" s="27" t="s">
        <v>8</v>
      </c>
      <c r="HV782" s="27" t="s">
        <v>7</v>
      </c>
      <c r="HY782" s="27" t="s">
        <v>8</v>
      </c>
      <c r="HZ782" s="27" t="s">
        <v>7</v>
      </c>
      <c r="IC782" s="27" t="s">
        <v>8</v>
      </c>
      <c r="ID782" s="27" t="s">
        <v>7</v>
      </c>
      <c r="IE782" s="27" t="s">
        <v>8</v>
      </c>
      <c r="IF782" s="27" t="s">
        <v>7</v>
      </c>
      <c r="II782" s="27" t="s">
        <v>8</v>
      </c>
      <c r="IJ782" s="27" t="s">
        <v>7</v>
      </c>
      <c r="IK782" s="27" t="s">
        <v>8</v>
      </c>
      <c r="IL782" s="27" t="s">
        <v>7</v>
      </c>
      <c r="IR782" s="27" t="s">
        <v>7</v>
      </c>
      <c r="IS782" s="27" t="s">
        <v>8</v>
      </c>
      <c r="IT782" s="27" t="s">
        <v>7</v>
      </c>
    </row>
    <row r="783" spans="1:254" x14ac:dyDescent="0.25">
      <c r="A783" s="7">
        <v>2.0623688223864345E-2</v>
      </c>
      <c r="B783"/>
      <c r="C783"/>
      <c r="D783"/>
      <c r="E783"/>
      <c r="F783" s="27" t="s">
        <v>7</v>
      </c>
      <c r="AU783" s="27" t="s">
        <v>8</v>
      </c>
      <c r="AV783" s="27" t="s">
        <v>7</v>
      </c>
      <c r="BW783" s="27" t="s">
        <v>8</v>
      </c>
      <c r="BX783" s="27" t="s">
        <v>7</v>
      </c>
      <c r="CG783" s="27" t="s">
        <v>8</v>
      </c>
      <c r="CH783" s="27" t="s">
        <v>7</v>
      </c>
      <c r="CI783" s="27" t="s">
        <v>8</v>
      </c>
      <c r="CJ783" s="27" t="s">
        <v>7</v>
      </c>
      <c r="CK783" s="27" t="s">
        <v>8</v>
      </c>
      <c r="CN783" s="27" t="s">
        <v>7</v>
      </c>
      <c r="CO783" s="27" t="s">
        <v>8</v>
      </c>
      <c r="CW783" s="27" t="s">
        <v>8</v>
      </c>
      <c r="CY783" s="27" t="s">
        <v>8</v>
      </c>
      <c r="EN783" s="27" t="s">
        <v>7</v>
      </c>
      <c r="EO783" s="27" t="s">
        <v>8</v>
      </c>
      <c r="EP783" s="27" t="s">
        <v>7</v>
      </c>
      <c r="FA783" s="27" t="s">
        <v>8</v>
      </c>
      <c r="FB783" s="27" t="s">
        <v>7</v>
      </c>
      <c r="GK783" s="27" t="s">
        <v>8</v>
      </c>
      <c r="GL783" s="27" t="s">
        <v>7</v>
      </c>
      <c r="HU783" s="27" t="s">
        <v>8</v>
      </c>
      <c r="HV783" s="27" t="s">
        <v>7</v>
      </c>
      <c r="HY783" s="27" t="s">
        <v>8</v>
      </c>
      <c r="HZ783" s="27" t="s">
        <v>7</v>
      </c>
      <c r="IC783" s="27" t="s">
        <v>8</v>
      </c>
      <c r="ID783" s="27" t="s">
        <v>7</v>
      </c>
      <c r="IE783" s="27" t="s">
        <v>8</v>
      </c>
      <c r="IF783" s="27" t="s">
        <v>7</v>
      </c>
      <c r="IG783" s="27" t="s">
        <v>8</v>
      </c>
      <c r="II783" s="27" t="s">
        <v>8</v>
      </c>
      <c r="IJ783" s="27" t="s">
        <v>7</v>
      </c>
      <c r="IK783" s="27" t="s">
        <v>8</v>
      </c>
      <c r="IR783" s="27" t="s">
        <v>7</v>
      </c>
      <c r="IS783" s="27" t="s">
        <v>8</v>
      </c>
      <c r="IT783" s="27" t="s">
        <v>7</v>
      </c>
    </row>
    <row r="784" spans="1:254" x14ac:dyDescent="0.25">
      <c r="A784" s="7">
        <v>2.021930218025916E-2</v>
      </c>
      <c r="B784"/>
      <c r="C784"/>
      <c r="D784"/>
      <c r="E784"/>
      <c r="F784" s="27" t="s">
        <v>7</v>
      </c>
      <c r="AU784" s="27" t="s">
        <v>8</v>
      </c>
      <c r="AV784" s="27" t="s">
        <v>7</v>
      </c>
      <c r="BW784" s="27" t="s">
        <v>8</v>
      </c>
      <c r="BX784" s="27" t="s">
        <v>7</v>
      </c>
      <c r="CG784" s="27" t="s">
        <v>8</v>
      </c>
      <c r="CH784" s="27" t="s">
        <v>7</v>
      </c>
      <c r="CI784" s="27" t="s">
        <v>8</v>
      </c>
      <c r="CJ784" s="27" t="s">
        <v>7</v>
      </c>
      <c r="CK784" s="27" t="s">
        <v>8</v>
      </c>
      <c r="CN784" s="27" t="s">
        <v>7</v>
      </c>
      <c r="CO784" s="27" t="s">
        <v>8</v>
      </c>
      <c r="CP784" s="27" t="s">
        <v>7</v>
      </c>
      <c r="CW784" s="27" t="s">
        <v>8</v>
      </c>
      <c r="CX784" s="27" t="s">
        <v>7</v>
      </c>
      <c r="CY784" s="27" t="s">
        <v>8</v>
      </c>
      <c r="EN784" s="27" t="s">
        <v>7</v>
      </c>
      <c r="EP784" s="27" t="s">
        <v>7</v>
      </c>
      <c r="FA784" s="27" t="s">
        <v>8</v>
      </c>
      <c r="FB784" s="27" t="s">
        <v>7</v>
      </c>
      <c r="GK784" s="27" t="s">
        <v>8</v>
      </c>
      <c r="GL784" s="27" t="s">
        <v>7</v>
      </c>
      <c r="HU784" s="27" t="s">
        <v>8</v>
      </c>
      <c r="HV784" s="27" t="s">
        <v>7</v>
      </c>
      <c r="HY784" s="27" t="s">
        <v>8</v>
      </c>
      <c r="HZ784" s="27" t="s">
        <v>7</v>
      </c>
      <c r="IC784" s="27" t="s">
        <v>8</v>
      </c>
      <c r="ID784" s="27" t="s">
        <v>7</v>
      </c>
      <c r="IE784" s="27" t="s">
        <v>8</v>
      </c>
      <c r="IF784" s="27" t="s">
        <v>7</v>
      </c>
      <c r="IG784" s="27" t="s">
        <v>8</v>
      </c>
      <c r="IH784" s="27" t="s">
        <v>7</v>
      </c>
      <c r="II784" s="27" t="s">
        <v>8</v>
      </c>
      <c r="IJ784" s="27" t="s">
        <v>7</v>
      </c>
      <c r="IR784" s="27" t="s">
        <v>7</v>
      </c>
      <c r="IS784" s="27" t="s">
        <v>8</v>
      </c>
      <c r="IT784" s="27" t="s">
        <v>7</v>
      </c>
    </row>
    <row r="785" spans="1:274" x14ac:dyDescent="0.25">
      <c r="A785" s="7">
        <v>1.9822845274763884E-2</v>
      </c>
      <c r="B785"/>
      <c r="C785"/>
      <c r="D785"/>
      <c r="E785"/>
      <c r="F785" s="27" t="s">
        <v>7</v>
      </c>
      <c r="AU785" s="27" t="s">
        <v>8</v>
      </c>
      <c r="AV785" s="27" t="s">
        <v>7</v>
      </c>
      <c r="BW785" s="27" t="s">
        <v>8</v>
      </c>
      <c r="BX785" s="27" t="s">
        <v>7</v>
      </c>
      <c r="CE785" s="27" t="s">
        <v>8</v>
      </c>
      <c r="CG785" s="27" t="s">
        <v>8</v>
      </c>
      <c r="CH785" s="27" t="s">
        <v>7</v>
      </c>
      <c r="CI785" s="27" t="s">
        <v>8</v>
      </c>
      <c r="CJ785" s="27" t="s">
        <v>7</v>
      </c>
      <c r="CK785" s="27" t="s">
        <v>8</v>
      </c>
      <c r="CN785" s="27" t="s">
        <v>7</v>
      </c>
      <c r="CO785" s="27" t="s">
        <v>8</v>
      </c>
      <c r="CP785" s="27" t="s">
        <v>7</v>
      </c>
      <c r="CU785" s="27" t="s">
        <v>8</v>
      </c>
      <c r="CW785" s="27" t="s">
        <v>8</v>
      </c>
      <c r="CX785" s="27" t="s">
        <v>7</v>
      </c>
      <c r="CY785" s="27" t="s">
        <v>8</v>
      </c>
      <c r="EP785" s="27" t="s">
        <v>7</v>
      </c>
      <c r="FA785" s="27" t="s">
        <v>8</v>
      </c>
      <c r="FB785" s="27" t="s">
        <v>7</v>
      </c>
      <c r="FC785" s="27" t="s">
        <v>8</v>
      </c>
      <c r="GK785" s="27" t="s">
        <v>8</v>
      </c>
      <c r="GL785" s="27" t="s">
        <v>7</v>
      </c>
      <c r="HU785" s="27" t="s">
        <v>8</v>
      </c>
      <c r="HV785" s="27" t="s">
        <v>7</v>
      </c>
      <c r="HY785" s="27" t="s">
        <v>8</v>
      </c>
      <c r="HZ785" s="27" t="s">
        <v>7</v>
      </c>
      <c r="IA785" s="27" t="s">
        <v>8</v>
      </c>
      <c r="IC785" s="27" t="s">
        <v>8</v>
      </c>
      <c r="ID785" s="27" t="s">
        <v>7</v>
      </c>
      <c r="IE785" s="27" t="s">
        <v>8</v>
      </c>
      <c r="IF785" s="27" t="s">
        <v>7</v>
      </c>
      <c r="IG785" s="27" t="s">
        <v>8</v>
      </c>
      <c r="IH785" s="27" t="s">
        <v>7</v>
      </c>
      <c r="II785" s="27" t="s">
        <v>8</v>
      </c>
      <c r="IR785" s="27" t="s">
        <v>7</v>
      </c>
      <c r="IS785" s="27" t="s">
        <v>8</v>
      </c>
      <c r="IT785" s="27" t="s">
        <v>7</v>
      </c>
      <c r="JA785" s="27" t="s">
        <v>8</v>
      </c>
    </row>
    <row r="786" spans="1:274" x14ac:dyDescent="0.25">
      <c r="A786" s="7">
        <v>1.9434162034082238E-2</v>
      </c>
      <c r="B786"/>
      <c r="C786"/>
      <c r="D786"/>
      <c r="E786"/>
      <c r="F786" s="27" t="s">
        <v>7</v>
      </c>
      <c r="AU786" s="27" t="s">
        <v>8</v>
      </c>
      <c r="AV786" s="27" t="s">
        <v>7</v>
      </c>
      <c r="BW786" s="27" t="s">
        <v>8</v>
      </c>
      <c r="BX786" s="27" t="s">
        <v>7</v>
      </c>
      <c r="CE786" s="27" t="s">
        <v>8</v>
      </c>
      <c r="CF786" s="27" t="s">
        <v>7</v>
      </c>
      <c r="CG786" s="27" t="s">
        <v>8</v>
      </c>
      <c r="CH786" s="27" t="s">
        <v>7</v>
      </c>
      <c r="CI786" s="27" t="s">
        <v>8</v>
      </c>
      <c r="CJ786" s="27" t="s">
        <v>7</v>
      </c>
      <c r="CN786" s="27" t="s">
        <v>7</v>
      </c>
      <c r="CO786" s="27" t="s">
        <v>8</v>
      </c>
      <c r="CP786" s="27" t="s">
        <v>7</v>
      </c>
      <c r="CU786" s="27" t="s">
        <v>8</v>
      </c>
      <c r="CV786" s="27" t="s">
        <v>7</v>
      </c>
      <c r="CW786" s="27" t="s">
        <v>8</v>
      </c>
      <c r="CX786" s="27" t="s">
        <v>7</v>
      </c>
      <c r="CY786" s="27" t="s">
        <v>8</v>
      </c>
      <c r="EP786" s="27" t="s">
        <v>7</v>
      </c>
      <c r="FA786" s="27" t="s">
        <v>8</v>
      </c>
      <c r="FB786" s="27" t="s">
        <v>7</v>
      </c>
      <c r="FC786" s="27" t="s">
        <v>8</v>
      </c>
      <c r="FD786" s="27" t="s">
        <v>7</v>
      </c>
      <c r="GK786" s="27" t="s">
        <v>8</v>
      </c>
      <c r="GL786" s="27" t="s">
        <v>7</v>
      </c>
      <c r="HU786" s="27" t="s">
        <v>8</v>
      </c>
      <c r="HV786" s="27" t="s">
        <v>7</v>
      </c>
      <c r="HY786" s="27" t="s">
        <v>8</v>
      </c>
      <c r="HZ786" s="27" t="s">
        <v>7</v>
      </c>
      <c r="IA786" s="27" t="s">
        <v>8</v>
      </c>
      <c r="IB786" s="27" t="s">
        <v>7</v>
      </c>
      <c r="IC786" s="27" t="s">
        <v>8</v>
      </c>
      <c r="ID786" s="27" t="s">
        <v>7</v>
      </c>
      <c r="IE786" s="27" t="s">
        <v>8</v>
      </c>
      <c r="IF786" s="27" t="s">
        <v>7</v>
      </c>
      <c r="IG786" s="27" t="s">
        <v>8</v>
      </c>
      <c r="IH786" s="27" t="s">
        <v>7</v>
      </c>
      <c r="II786" s="27" t="s">
        <v>8</v>
      </c>
      <c r="IR786" s="27" t="s">
        <v>7</v>
      </c>
      <c r="IS786" s="27" t="s">
        <v>8</v>
      </c>
      <c r="IT786" s="27" t="s">
        <v>7</v>
      </c>
      <c r="JA786" s="27" t="s">
        <v>8</v>
      </c>
      <c r="JB786" s="27" t="s">
        <v>7</v>
      </c>
    </row>
    <row r="787" spans="1:274" x14ac:dyDescent="0.25">
      <c r="A787" s="7">
        <v>1.9053100033413959E-2</v>
      </c>
      <c r="B787"/>
      <c r="C787"/>
      <c r="D787"/>
      <c r="E787"/>
      <c r="F787" s="27" t="s">
        <v>7</v>
      </c>
      <c r="AU787" s="27" t="s">
        <v>8</v>
      </c>
      <c r="AV787" s="27" t="s">
        <v>7</v>
      </c>
      <c r="AW787" s="27" t="s">
        <v>8</v>
      </c>
      <c r="BW787" s="27" t="s">
        <v>8</v>
      </c>
      <c r="BX787" s="27" t="s">
        <v>7</v>
      </c>
      <c r="CE787" s="27" t="s">
        <v>8</v>
      </c>
      <c r="CF787" s="27" t="s">
        <v>7</v>
      </c>
      <c r="CG787" s="27" t="s">
        <v>8</v>
      </c>
      <c r="CH787" s="27" t="s">
        <v>7</v>
      </c>
      <c r="CI787" s="27" t="s">
        <v>8</v>
      </c>
      <c r="CN787" s="27" t="s">
        <v>7</v>
      </c>
      <c r="CO787" s="27" t="s">
        <v>8</v>
      </c>
      <c r="CP787" s="27" t="s">
        <v>7</v>
      </c>
      <c r="CU787" s="27" t="s">
        <v>8</v>
      </c>
      <c r="CV787" s="27" t="s">
        <v>7</v>
      </c>
      <c r="CW787" s="27" t="s">
        <v>8</v>
      </c>
      <c r="CX787" s="27" t="s">
        <v>7</v>
      </c>
      <c r="CY787" s="27" t="s">
        <v>8</v>
      </c>
      <c r="EP787" s="27" t="s">
        <v>7</v>
      </c>
      <c r="FA787" s="27" t="s">
        <v>8</v>
      </c>
      <c r="FB787" s="27" t="s">
        <v>7</v>
      </c>
      <c r="FC787" s="27" t="s">
        <v>8</v>
      </c>
      <c r="FD787" s="27" t="s">
        <v>7</v>
      </c>
      <c r="FE787" s="27" t="s">
        <v>8</v>
      </c>
      <c r="GK787" s="27" t="s">
        <v>8</v>
      </c>
      <c r="GL787" s="27" t="s">
        <v>7</v>
      </c>
      <c r="GQ787" s="27" t="s">
        <v>8</v>
      </c>
      <c r="HU787" s="27" t="s">
        <v>8</v>
      </c>
      <c r="HV787" s="27" t="s">
        <v>7</v>
      </c>
      <c r="HW787" s="27" t="s">
        <v>8</v>
      </c>
      <c r="HY787" s="27" t="s">
        <v>8</v>
      </c>
      <c r="HZ787" s="27" t="s">
        <v>7</v>
      </c>
      <c r="IA787" s="27" t="s">
        <v>8</v>
      </c>
      <c r="IB787" s="27" t="s">
        <v>7</v>
      </c>
      <c r="IC787" s="27" t="s">
        <v>8</v>
      </c>
      <c r="ID787" s="27" t="s">
        <v>7</v>
      </c>
      <c r="IF787" s="27" t="s">
        <v>7</v>
      </c>
      <c r="IG787" s="27" t="s">
        <v>8</v>
      </c>
      <c r="IH787" s="27" t="s">
        <v>7</v>
      </c>
      <c r="II787" s="27" t="s">
        <v>8</v>
      </c>
      <c r="IR787" s="27" t="s">
        <v>7</v>
      </c>
      <c r="IS787" s="27" t="s">
        <v>8</v>
      </c>
      <c r="IT787" s="27" t="s">
        <v>7</v>
      </c>
      <c r="IY787" s="27" t="s">
        <v>8</v>
      </c>
      <c r="JA787" s="27" t="s">
        <v>8</v>
      </c>
      <c r="JB787" s="27" t="s">
        <v>7</v>
      </c>
      <c r="JC787" s="27" t="s">
        <v>8</v>
      </c>
    </row>
    <row r="788" spans="1:274" x14ac:dyDescent="0.25">
      <c r="A788" s="7">
        <v>1.867950983668035E-2</v>
      </c>
      <c r="B788"/>
      <c r="C788"/>
      <c r="D788"/>
      <c r="E788"/>
      <c r="F788" s="27" t="s">
        <v>7</v>
      </c>
      <c r="AU788" s="27" t="s">
        <v>8</v>
      </c>
      <c r="AV788" s="27" t="s">
        <v>7</v>
      </c>
      <c r="AW788" s="27" t="s">
        <v>8</v>
      </c>
      <c r="AX788" s="27" t="s">
        <v>7</v>
      </c>
      <c r="BW788" s="27" t="s">
        <v>8</v>
      </c>
      <c r="BX788" s="27" t="s">
        <v>7</v>
      </c>
      <c r="CC788" s="27" t="s">
        <v>8</v>
      </c>
      <c r="CE788" s="27" t="s">
        <v>8</v>
      </c>
      <c r="CF788" s="27" t="s">
        <v>7</v>
      </c>
      <c r="CG788" s="27" t="s">
        <v>8</v>
      </c>
      <c r="CH788" s="27" t="s">
        <v>7</v>
      </c>
      <c r="CN788" s="27" t="s">
        <v>7</v>
      </c>
      <c r="CO788" s="27" t="s">
        <v>8</v>
      </c>
      <c r="CP788" s="27" t="s">
        <v>7</v>
      </c>
      <c r="CS788" s="27" t="s">
        <v>8</v>
      </c>
      <c r="CU788" s="27" t="s">
        <v>8</v>
      </c>
      <c r="CV788" s="27" t="s">
        <v>7</v>
      </c>
      <c r="CW788" s="27" t="s">
        <v>8</v>
      </c>
      <c r="CX788" s="27" t="s">
        <v>7</v>
      </c>
      <c r="EP788" s="27" t="s">
        <v>7</v>
      </c>
      <c r="FA788" s="27" t="s">
        <v>8</v>
      </c>
      <c r="FB788" s="27" t="s">
        <v>7</v>
      </c>
      <c r="FC788" s="27" t="s">
        <v>8</v>
      </c>
      <c r="FD788" s="27" t="s">
        <v>7</v>
      </c>
      <c r="FE788" s="27" t="s">
        <v>8</v>
      </c>
      <c r="FF788" s="27" t="s">
        <v>7</v>
      </c>
      <c r="GK788" s="27" t="s">
        <v>8</v>
      </c>
      <c r="GL788" s="27" t="s">
        <v>7</v>
      </c>
      <c r="GQ788" s="27" t="s">
        <v>8</v>
      </c>
      <c r="GR788" s="27" t="s">
        <v>7</v>
      </c>
      <c r="HU788" s="27" t="s">
        <v>8</v>
      </c>
      <c r="HV788" s="27" t="s">
        <v>7</v>
      </c>
      <c r="HW788" s="27" t="s">
        <v>8</v>
      </c>
      <c r="HX788" s="27" t="s">
        <v>7</v>
      </c>
      <c r="HY788" s="27" t="s">
        <v>8</v>
      </c>
      <c r="HZ788" s="27" t="s">
        <v>7</v>
      </c>
      <c r="IA788" s="27" t="s">
        <v>8</v>
      </c>
      <c r="IB788" s="27" t="s">
        <v>7</v>
      </c>
      <c r="IC788" s="27" t="s">
        <v>8</v>
      </c>
      <c r="IF788" s="27" t="s">
        <v>7</v>
      </c>
      <c r="IG788" s="27" t="s">
        <v>8</v>
      </c>
      <c r="IH788" s="27" t="s">
        <v>7</v>
      </c>
      <c r="IR788" s="27" t="s">
        <v>7</v>
      </c>
      <c r="IS788" s="27" t="s">
        <v>8</v>
      </c>
      <c r="IT788" s="27" t="s">
        <v>7</v>
      </c>
      <c r="IU788" s="27" t="s">
        <v>8</v>
      </c>
      <c r="IY788" s="27" t="s">
        <v>8</v>
      </c>
      <c r="IZ788" s="27" t="s">
        <v>7</v>
      </c>
      <c r="JA788" s="27" t="s">
        <v>8</v>
      </c>
      <c r="JB788" s="27" t="s">
        <v>7</v>
      </c>
      <c r="JC788" s="27" t="s">
        <v>8</v>
      </c>
      <c r="JD788" s="27" t="s">
        <v>7</v>
      </c>
      <c r="JM788" s="27" t="s">
        <v>8</v>
      </c>
    </row>
    <row r="789" spans="1:274" x14ac:dyDescent="0.25">
      <c r="A789" s="7">
        <v>1.8313244937921913E-2</v>
      </c>
      <c r="B789"/>
      <c r="C789"/>
      <c r="D789"/>
      <c r="E789"/>
      <c r="F789" s="27" t="s">
        <v>7</v>
      </c>
      <c r="AU789" s="27" t="s">
        <v>8</v>
      </c>
      <c r="AV789" s="27" t="s">
        <v>7</v>
      </c>
      <c r="AW789" s="27" t="s">
        <v>8</v>
      </c>
      <c r="AX789" s="27" t="s">
        <v>7</v>
      </c>
      <c r="BW789" s="27" t="s">
        <v>8</v>
      </c>
      <c r="BX789" s="27" t="s">
        <v>7</v>
      </c>
      <c r="CC789" s="27" t="s">
        <v>8</v>
      </c>
      <c r="CD789" s="27" t="s">
        <v>7</v>
      </c>
      <c r="CE789" s="27" t="s">
        <v>8</v>
      </c>
      <c r="CF789" s="27" t="s">
        <v>7</v>
      </c>
      <c r="CG789" s="27" t="s">
        <v>8</v>
      </c>
      <c r="CN789" s="27" t="s">
        <v>7</v>
      </c>
      <c r="CO789" s="27" t="s">
        <v>8</v>
      </c>
      <c r="CP789" s="27" t="s">
        <v>7</v>
      </c>
      <c r="CS789" s="27" t="s">
        <v>8</v>
      </c>
      <c r="CT789" s="27" t="s">
        <v>7</v>
      </c>
      <c r="CU789" s="27" t="s">
        <v>8</v>
      </c>
      <c r="CV789" s="27" t="s">
        <v>7</v>
      </c>
      <c r="CW789" s="27" t="s">
        <v>8</v>
      </c>
      <c r="EP789" s="27" t="s">
        <v>7</v>
      </c>
      <c r="FA789" s="27" t="s">
        <v>8</v>
      </c>
      <c r="FB789" s="27" t="s">
        <v>7</v>
      </c>
      <c r="FC789" s="27" t="s">
        <v>8</v>
      </c>
      <c r="FD789" s="27" t="s">
        <v>7</v>
      </c>
      <c r="FE789" s="27" t="s">
        <v>8</v>
      </c>
      <c r="FF789" s="27" t="s">
        <v>7</v>
      </c>
      <c r="GK789" s="27" t="s">
        <v>8</v>
      </c>
      <c r="GL789" s="27" t="s">
        <v>7</v>
      </c>
      <c r="GQ789" s="27" t="s">
        <v>8</v>
      </c>
      <c r="GR789" s="27" t="s">
        <v>7</v>
      </c>
      <c r="HU789" s="27" t="s">
        <v>8</v>
      </c>
      <c r="HV789" s="27" t="s">
        <v>7</v>
      </c>
      <c r="HW789" s="27" t="s">
        <v>8</v>
      </c>
      <c r="HX789" s="27" t="s">
        <v>7</v>
      </c>
      <c r="HY789" s="27" t="s">
        <v>8</v>
      </c>
      <c r="HZ789" s="27" t="s">
        <v>7</v>
      </c>
      <c r="IA789" s="27" t="s">
        <v>8</v>
      </c>
      <c r="IB789" s="27" t="s">
        <v>7</v>
      </c>
      <c r="IF789" s="27" t="s">
        <v>7</v>
      </c>
      <c r="IG789" s="27" t="s">
        <v>8</v>
      </c>
      <c r="IR789" s="27" t="s">
        <v>7</v>
      </c>
      <c r="IS789" s="27" t="s">
        <v>8</v>
      </c>
      <c r="IT789" s="27" t="s">
        <v>7</v>
      </c>
      <c r="IU789" s="27" t="s">
        <v>8</v>
      </c>
      <c r="IV789" s="27" t="s">
        <v>7</v>
      </c>
      <c r="IY789" s="27" t="s">
        <v>8</v>
      </c>
      <c r="IZ789" s="27" t="s">
        <v>7</v>
      </c>
      <c r="JA789" s="27" t="s">
        <v>8</v>
      </c>
      <c r="JB789" s="27" t="s">
        <v>7</v>
      </c>
      <c r="JC789" s="27" t="s">
        <v>8</v>
      </c>
      <c r="JD789" s="27" t="s">
        <v>7</v>
      </c>
      <c r="JM789" s="27" t="s">
        <v>8</v>
      </c>
      <c r="JN789" s="27" t="s">
        <v>7</v>
      </c>
    </row>
    <row r="790" spans="1:274" x14ac:dyDescent="0.25">
      <c r="A790" s="7">
        <v>1.7954161703845013E-2</v>
      </c>
      <c r="B790"/>
      <c r="C790"/>
      <c r="D790"/>
      <c r="E790"/>
      <c r="F790" s="27" t="s">
        <v>7</v>
      </c>
      <c r="AU790" s="27" t="s">
        <v>8</v>
      </c>
      <c r="AV790" s="27" t="s">
        <v>7</v>
      </c>
      <c r="AW790" s="27" t="s">
        <v>8</v>
      </c>
      <c r="AX790" s="27" t="s">
        <v>7</v>
      </c>
      <c r="BI790" s="27" t="s">
        <v>8</v>
      </c>
      <c r="BW790" s="27" t="s">
        <v>8</v>
      </c>
      <c r="BX790" s="27" t="s">
        <v>7</v>
      </c>
      <c r="CC790" s="27" t="s">
        <v>8</v>
      </c>
      <c r="CD790" s="27" t="s">
        <v>7</v>
      </c>
      <c r="CE790" s="27" t="s">
        <v>8</v>
      </c>
      <c r="CF790" s="27" t="s">
        <v>7</v>
      </c>
      <c r="CG790" s="27" t="s">
        <v>8</v>
      </c>
      <c r="CN790" s="27" t="s">
        <v>7</v>
      </c>
      <c r="CO790" s="27" t="s">
        <v>8</v>
      </c>
      <c r="CP790" s="27" t="s">
        <v>7</v>
      </c>
      <c r="CQ790" s="27" t="s">
        <v>8</v>
      </c>
      <c r="CS790" s="27" t="s">
        <v>8</v>
      </c>
      <c r="CT790" s="27" t="s">
        <v>7</v>
      </c>
      <c r="CU790" s="27" t="s">
        <v>8</v>
      </c>
      <c r="CV790" s="27" t="s">
        <v>7</v>
      </c>
      <c r="CW790" s="27" t="s">
        <v>8</v>
      </c>
      <c r="EP790" s="27" t="s">
        <v>7</v>
      </c>
      <c r="FA790" s="27" t="s">
        <v>8</v>
      </c>
      <c r="FB790" s="27" t="s">
        <v>7</v>
      </c>
      <c r="FC790" s="27" t="s">
        <v>8</v>
      </c>
      <c r="FD790" s="27" t="s">
        <v>7</v>
      </c>
      <c r="FE790" s="27" t="s">
        <v>8</v>
      </c>
      <c r="FF790" s="27" t="s">
        <v>7</v>
      </c>
      <c r="GK790" s="27" t="s">
        <v>8</v>
      </c>
      <c r="GL790" s="27" t="s">
        <v>7</v>
      </c>
      <c r="GQ790" s="27" t="s">
        <v>8</v>
      </c>
      <c r="GR790" s="27" t="s">
        <v>7</v>
      </c>
      <c r="HU790" s="27" t="s">
        <v>8</v>
      </c>
      <c r="HV790" s="27" t="s">
        <v>7</v>
      </c>
      <c r="HW790" s="27" t="s">
        <v>8</v>
      </c>
      <c r="HX790" s="27" t="s">
        <v>7</v>
      </c>
      <c r="HY790" s="27" t="s">
        <v>8</v>
      </c>
      <c r="HZ790" s="27" t="s">
        <v>7</v>
      </c>
      <c r="IF790" s="27" t="s">
        <v>7</v>
      </c>
      <c r="IR790" s="27" t="s">
        <v>7</v>
      </c>
      <c r="IS790" s="27" t="s">
        <v>8</v>
      </c>
      <c r="IT790" s="27" t="s">
        <v>7</v>
      </c>
      <c r="IU790" s="27" t="s">
        <v>8</v>
      </c>
      <c r="IV790" s="27" t="s">
        <v>7</v>
      </c>
      <c r="IY790" s="27" t="s">
        <v>8</v>
      </c>
      <c r="IZ790" s="27" t="s">
        <v>7</v>
      </c>
      <c r="JA790" s="27" t="s">
        <v>8</v>
      </c>
      <c r="JB790" s="27" t="s">
        <v>7</v>
      </c>
      <c r="JC790" s="27" t="s">
        <v>8</v>
      </c>
      <c r="JD790" s="27" t="s">
        <v>7</v>
      </c>
      <c r="JM790" s="27" t="s">
        <v>8</v>
      </c>
      <c r="JN790" s="27" t="s">
        <v>7</v>
      </c>
    </row>
    <row r="791" spans="1:274" x14ac:dyDescent="0.25">
      <c r="A791" s="7">
        <v>1.7602119317495109E-2</v>
      </c>
      <c r="B791"/>
      <c r="C791"/>
      <c r="D791"/>
      <c r="E791"/>
      <c r="F791" s="27" t="s">
        <v>7</v>
      </c>
      <c r="AU791" s="27" t="s">
        <v>8</v>
      </c>
      <c r="AV791" s="27" t="s">
        <v>7</v>
      </c>
      <c r="AW791" s="27" t="s">
        <v>8</v>
      </c>
      <c r="AX791" s="27" t="s">
        <v>7</v>
      </c>
      <c r="BI791" s="27" t="s">
        <v>8</v>
      </c>
      <c r="BJ791" s="27" t="s">
        <v>7</v>
      </c>
      <c r="BW791" s="27" t="s">
        <v>8</v>
      </c>
      <c r="BX791" s="27" t="s">
        <v>7</v>
      </c>
      <c r="CC791" s="27" t="s">
        <v>8</v>
      </c>
      <c r="CD791" s="27" t="s">
        <v>7</v>
      </c>
      <c r="CE791" s="27" t="s">
        <v>8</v>
      </c>
      <c r="CF791" s="27" t="s">
        <v>7</v>
      </c>
      <c r="CG791" s="27" t="s">
        <v>8</v>
      </c>
      <c r="CN791" s="27" t="s">
        <v>7</v>
      </c>
      <c r="CO791" s="27" t="s">
        <v>8</v>
      </c>
      <c r="CP791" s="27" t="s">
        <v>7</v>
      </c>
      <c r="CQ791" s="27" t="s">
        <v>8</v>
      </c>
      <c r="CR791" s="27" t="s">
        <v>7</v>
      </c>
      <c r="CS791" s="27" t="s">
        <v>8</v>
      </c>
      <c r="CT791" s="27" t="s">
        <v>7</v>
      </c>
      <c r="CU791" s="27" t="s">
        <v>8</v>
      </c>
      <c r="CV791" s="27" t="s">
        <v>7</v>
      </c>
      <c r="CW791" s="27" t="s">
        <v>8</v>
      </c>
      <c r="EP791" s="27" t="s">
        <v>7</v>
      </c>
      <c r="FA791" s="27" t="s">
        <v>8</v>
      </c>
      <c r="FB791" s="27" t="s">
        <v>7</v>
      </c>
      <c r="FC791" s="27" t="s">
        <v>8</v>
      </c>
      <c r="FD791" s="27" t="s">
        <v>7</v>
      </c>
      <c r="FE791" s="27" t="s">
        <v>8</v>
      </c>
      <c r="FF791" s="27" t="s">
        <v>7</v>
      </c>
      <c r="GK791" s="27" t="s">
        <v>8</v>
      </c>
      <c r="GL791" s="27" t="s">
        <v>7</v>
      </c>
      <c r="GQ791" s="27" t="s">
        <v>8</v>
      </c>
      <c r="GR791" s="27" t="s">
        <v>7</v>
      </c>
      <c r="HC791" s="27" t="s">
        <v>8</v>
      </c>
      <c r="HU791" s="27" t="s">
        <v>8</v>
      </c>
      <c r="HV791" s="27" t="s">
        <v>7</v>
      </c>
      <c r="HX791" s="27" t="s">
        <v>7</v>
      </c>
      <c r="HY791" s="27" t="s">
        <v>8</v>
      </c>
      <c r="IR791" s="27" t="s">
        <v>7</v>
      </c>
      <c r="IS791" s="27" t="s">
        <v>8</v>
      </c>
      <c r="IT791" s="27" t="s">
        <v>7</v>
      </c>
      <c r="IU791" s="27" t="s">
        <v>8</v>
      </c>
      <c r="IV791" s="27" t="s">
        <v>7</v>
      </c>
      <c r="IY791" s="27" t="s">
        <v>8</v>
      </c>
      <c r="IZ791" s="27" t="s">
        <v>7</v>
      </c>
      <c r="JA791" s="27" t="s">
        <v>8</v>
      </c>
      <c r="JB791" s="27" t="s">
        <v>7</v>
      </c>
      <c r="JD791" s="27" t="s">
        <v>7</v>
      </c>
      <c r="JE791" s="27" t="s">
        <v>8</v>
      </c>
      <c r="JM791" s="27" t="s">
        <v>8</v>
      </c>
      <c r="JN791" s="27" t="s">
        <v>7</v>
      </c>
    </row>
    <row r="792" spans="1:274" x14ac:dyDescent="0.25">
      <c r="A792" s="7">
        <v>1.7256979723034419E-2</v>
      </c>
      <c r="B792"/>
      <c r="C792"/>
      <c r="D792"/>
      <c r="E792"/>
      <c r="F792" s="27" t="s">
        <v>7</v>
      </c>
      <c r="AU792" s="27" t="s">
        <v>8</v>
      </c>
      <c r="AV792" s="27" t="s">
        <v>7</v>
      </c>
      <c r="AW792" s="27" t="s">
        <v>8</v>
      </c>
      <c r="AX792" s="27" t="s">
        <v>7</v>
      </c>
      <c r="BG792" s="27" t="s">
        <v>8</v>
      </c>
      <c r="BI792" s="27" t="s">
        <v>8</v>
      </c>
      <c r="BJ792" s="27" t="s">
        <v>7</v>
      </c>
      <c r="BW792" s="27" t="s">
        <v>8</v>
      </c>
      <c r="BX792" s="27" t="s">
        <v>7</v>
      </c>
      <c r="CA792" s="27" t="s">
        <v>8</v>
      </c>
      <c r="CC792" s="27" t="s">
        <v>8</v>
      </c>
      <c r="CD792" s="27" t="s">
        <v>7</v>
      </c>
      <c r="CE792" s="27" t="s">
        <v>8</v>
      </c>
      <c r="CF792" s="27" t="s">
        <v>7</v>
      </c>
      <c r="CG792" s="27" t="s">
        <v>8</v>
      </c>
      <c r="CN792" s="27" t="s">
        <v>7</v>
      </c>
      <c r="CO792" s="27" t="s">
        <v>8</v>
      </c>
      <c r="CP792" s="27" t="s">
        <v>7</v>
      </c>
      <c r="CQ792" s="27" t="s">
        <v>8</v>
      </c>
      <c r="CR792" s="27" t="s">
        <v>7</v>
      </c>
      <c r="CS792" s="27" t="s">
        <v>8</v>
      </c>
      <c r="CT792" s="27" t="s">
        <v>7</v>
      </c>
      <c r="CU792" s="27" t="s">
        <v>8</v>
      </c>
      <c r="CV792" s="27" t="s">
        <v>7</v>
      </c>
      <c r="CW792" s="27" t="s">
        <v>8</v>
      </c>
      <c r="EP792" s="27" t="s">
        <v>7</v>
      </c>
      <c r="FA792" s="27" t="s">
        <v>8</v>
      </c>
      <c r="FB792" s="27" t="s">
        <v>7</v>
      </c>
      <c r="FC792" s="27" t="s">
        <v>8</v>
      </c>
      <c r="FD792" s="27" t="s">
        <v>7</v>
      </c>
      <c r="FE792" s="27" t="s">
        <v>8</v>
      </c>
      <c r="FF792" s="27" t="s">
        <v>7</v>
      </c>
      <c r="GK792" s="27" t="s">
        <v>8</v>
      </c>
      <c r="GL792" s="27" t="s">
        <v>7</v>
      </c>
      <c r="GQ792" s="27" t="s">
        <v>8</v>
      </c>
      <c r="GR792" s="27" t="s">
        <v>7</v>
      </c>
      <c r="HC792" s="27" t="s">
        <v>8</v>
      </c>
      <c r="HD792" s="27" t="s">
        <v>7</v>
      </c>
      <c r="HU792" s="27" t="s">
        <v>8</v>
      </c>
      <c r="HX792" s="27" t="s">
        <v>7</v>
      </c>
      <c r="HY792" s="27" t="s">
        <v>8</v>
      </c>
      <c r="IR792" s="27" t="s">
        <v>7</v>
      </c>
      <c r="IS792" s="27" t="s">
        <v>8</v>
      </c>
      <c r="IT792" s="27" t="s">
        <v>7</v>
      </c>
      <c r="IU792" s="27" t="s">
        <v>8</v>
      </c>
      <c r="IV792" s="27" t="s">
        <v>7</v>
      </c>
      <c r="IY792" s="27" t="s">
        <v>8</v>
      </c>
      <c r="IZ792" s="27" t="s">
        <v>7</v>
      </c>
      <c r="JA792" s="27" t="s">
        <v>8</v>
      </c>
      <c r="JD792" s="27" t="s">
        <v>7</v>
      </c>
      <c r="JE792" s="27" t="s">
        <v>8</v>
      </c>
      <c r="JF792" s="27" t="s">
        <v>7</v>
      </c>
      <c r="JI792" s="27" t="s">
        <v>8</v>
      </c>
      <c r="JM792" s="27" t="s">
        <v>8</v>
      </c>
      <c r="JN792" s="27" t="s">
        <v>7</v>
      </c>
    </row>
    <row r="793" spans="1:274" x14ac:dyDescent="0.25">
      <c r="A793" s="7">
        <v>1.6918607571602372E-2</v>
      </c>
      <c r="B793"/>
      <c r="C793"/>
      <c r="D793"/>
      <c r="E793"/>
      <c r="F793" s="27" t="s">
        <v>7</v>
      </c>
      <c r="AU793" s="27" t="s">
        <v>8</v>
      </c>
      <c r="AV793" s="27" t="s">
        <v>7</v>
      </c>
      <c r="AW793" s="27" t="s">
        <v>8</v>
      </c>
      <c r="AX793" s="27" t="s">
        <v>7</v>
      </c>
      <c r="BG793" s="27" t="s">
        <v>8</v>
      </c>
      <c r="BH793" s="27" t="s">
        <v>7</v>
      </c>
      <c r="BI793" s="27" t="s">
        <v>8</v>
      </c>
      <c r="BJ793" s="27" t="s">
        <v>7</v>
      </c>
      <c r="BW793" s="27" t="s">
        <v>8</v>
      </c>
      <c r="BX793" s="27" t="s">
        <v>7</v>
      </c>
      <c r="CA793" s="27" t="s">
        <v>8</v>
      </c>
      <c r="CB793" s="27" t="s">
        <v>7</v>
      </c>
      <c r="CC793" s="27" t="s">
        <v>8</v>
      </c>
      <c r="CD793" s="27" t="s">
        <v>7</v>
      </c>
      <c r="CE793" s="27" t="s">
        <v>8</v>
      </c>
      <c r="CF793" s="27" t="s">
        <v>7</v>
      </c>
      <c r="CN793" s="27" t="s">
        <v>7</v>
      </c>
      <c r="CO793" s="27" t="s">
        <v>8</v>
      </c>
      <c r="CP793" s="27" t="s">
        <v>7</v>
      </c>
      <c r="CQ793" s="27" t="s">
        <v>8</v>
      </c>
      <c r="CR793" s="27" t="s">
        <v>7</v>
      </c>
      <c r="CS793" s="27" t="s">
        <v>8</v>
      </c>
      <c r="CT793" s="27" t="s">
        <v>7</v>
      </c>
      <c r="CU793" s="27" t="s">
        <v>8</v>
      </c>
      <c r="CV793" s="27" t="s">
        <v>7</v>
      </c>
      <c r="CW793" s="27" t="s">
        <v>8</v>
      </c>
      <c r="EP793" s="27" t="s">
        <v>7</v>
      </c>
      <c r="FA793" s="27" t="s">
        <v>8</v>
      </c>
      <c r="FB793" s="27" t="s">
        <v>7</v>
      </c>
      <c r="FC793" s="27" t="s">
        <v>8</v>
      </c>
      <c r="FD793" s="27" t="s">
        <v>7</v>
      </c>
      <c r="FE793" s="27" t="s">
        <v>8</v>
      </c>
      <c r="FF793" s="27" t="s">
        <v>7</v>
      </c>
      <c r="GK793" s="27" t="s">
        <v>8</v>
      </c>
      <c r="GL793" s="27" t="s">
        <v>7</v>
      </c>
      <c r="GQ793" s="27" t="s">
        <v>8</v>
      </c>
      <c r="GR793" s="27" t="s">
        <v>7</v>
      </c>
      <c r="GU793" s="27" t="s">
        <v>8</v>
      </c>
      <c r="HA793" s="27" t="s">
        <v>8</v>
      </c>
      <c r="HC793" s="27" t="s">
        <v>8</v>
      </c>
      <c r="HD793" s="27" t="s">
        <v>7</v>
      </c>
      <c r="HI793" s="27" t="s">
        <v>8</v>
      </c>
      <c r="HU793" s="27" t="s">
        <v>8</v>
      </c>
      <c r="HX793" s="27" t="s">
        <v>7</v>
      </c>
      <c r="HY793" s="27" t="s">
        <v>8</v>
      </c>
      <c r="IR793" s="27" t="s">
        <v>7</v>
      </c>
      <c r="IS793" s="27" t="s">
        <v>8</v>
      </c>
      <c r="IT793" s="27" t="s">
        <v>7</v>
      </c>
      <c r="IU793" s="27" t="s">
        <v>8</v>
      </c>
      <c r="IV793" s="27" t="s">
        <v>7</v>
      </c>
      <c r="IW793" s="27" t="s">
        <v>8</v>
      </c>
      <c r="IY793" s="27" t="s">
        <v>8</v>
      </c>
      <c r="IZ793" s="27" t="s">
        <v>7</v>
      </c>
      <c r="JA793" s="27" t="s">
        <v>8</v>
      </c>
      <c r="JD793" s="27" t="s">
        <v>7</v>
      </c>
      <c r="JE793" s="27" t="s">
        <v>8</v>
      </c>
      <c r="JF793" s="27" t="s">
        <v>7</v>
      </c>
      <c r="JI793" s="27" t="s">
        <v>8</v>
      </c>
      <c r="JJ793" s="27" t="s">
        <v>7</v>
      </c>
      <c r="JM793" s="27" t="s">
        <v>8</v>
      </c>
      <c r="JN793" s="27" t="s">
        <v>7</v>
      </c>
    </row>
    <row r="794" spans="1:274" x14ac:dyDescent="0.25">
      <c r="A794" s="7">
        <v>1.6586870168237622E-2</v>
      </c>
      <c r="B794"/>
      <c r="C794"/>
      <c r="D794"/>
      <c r="E794"/>
      <c r="F794" s="27" t="s">
        <v>7</v>
      </c>
      <c r="AU794" s="27" t="s">
        <v>8</v>
      </c>
      <c r="AV794" s="27" t="s">
        <v>7</v>
      </c>
      <c r="AW794" s="27" t="s">
        <v>8</v>
      </c>
      <c r="AX794" s="27" t="s">
        <v>7</v>
      </c>
      <c r="BG794" s="27" t="s">
        <v>8</v>
      </c>
      <c r="BH794" s="27" t="s">
        <v>7</v>
      </c>
      <c r="BI794" s="27" t="s">
        <v>8</v>
      </c>
      <c r="BJ794" s="27" t="s">
        <v>7</v>
      </c>
      <c r="BK794" s="27" t="s">
        <v>8</v>
      </c>
      <c r="BW794" s="27" t="s">
        <v>8</v>
      </c>
      <c r="BX794" s="27" t="s">
        <v>7</v>
      </c>
      <c r="CA794" s="27" t="s">
        <v>8</v>
      </c>
      <c r="CB794" s="27" t="s">
        <v>7</v>
      </c>
      <c r="CC794" s="27" t="s">
        <v>8</v>
      </c>
      <c r="CD794" s="27" t="s">
        <v>7</v>
      </c>
      <c r="CE794" s="27" t="s">
        <v>8</v>
      </c>
      <c r="CN794" s="27" t="s">
        <v>7</v>
      </c>
      <c r="CO794" s="27" t="s">
        <v>8</v>
      </c>
      <c r="CP794" s="27" t="s">
        <v>7</v>
      </c>
      <c r="CQ794" s="27" t="s">
        <v>8</v>
      </c>
      <c r="CR794" s="27" t="s">
        <v>7</v>
      </c>
      <c r="CS794" s="27" t="s">
        <v>8</v>
      </c>
      <c r="CT794" s="27" t="s">
        <v>7</v>
      </c>
      <c r="CV794" s="27" t="s">
        <v>7</v>
      </c>
      <c r="EP794" s="27" t="s">
        <v>7</v>
      </c>
      <c r="EQ794" s="27" t="s">
        <v>8</v>
      </c>
      <c r="EU794" s="27" t="s">
        <v>8</v>
      </c>
      <c r="FA794" s="27" t="s">
        <v>8</v>
      </c>
      <c r="FB794" s="27" t="s">
        <v>7</v>
      </c>
      <c r="FC794" s="27" t="s">
        <v>8</v>
      </c>
      <c r="FD794" s="27" t="s">
        <v>7</v>
      </c>
      <c r="FE794" s="27" t="s">
        <v>8</v>
      </c>
      <c r="FF794" s="27" t="s">
        <v>7</v>
      </c>
      <c r="GK794" s="27" t="s">
        <v>8</v>
      </c>
      <c r="GL794" s="27" t="s">
        <v>7</v>
      </c>
      <c r="GO794" s="27" t="s">
        <v>8</v>
      </c>
      <c r="GQ794" s="27" t="s">
        <v>8</v>
      </c>
      <c r="GR794" s="27" t="s">
        <v>7</v>
      </c>
      <c r="GU794" s="27" t="s">
        <v>8</v>
      </c>
      <c r="GV794" s="27" t="s">
        <v>7</v>
      </c>
      <c r="HA794" s="27" t="s">
        <v>8</v>
      </c>
      <c r="HB794" s="27" t="s">
        <v>7</v>
      </c>
      <c r="HC794" s="27" t="s">
        <v>8</v>
      </c>
      <c r="HD794" s="27" t="s">
        <v>7</v>
      </c>
      <c r="HI794" s="27" t="s">
        <v>8</v>
      </c>
      <c r="HJ794" s="27" t="s">
        <v>7</v>
      </c>
      <c r="HU794" s="27" t="s">
        <v>8</v>
      </c>
      <c r="HX794" s="27" t="s">
        <v>7</v>
      </c>
      <c r="HY794" s="27" t="s">
        <v>8</v>
      </c>
      <c r="IR794" s="27" t="s">
        <v>7</v>
      </c>
      <c r="IS794" s="27" t="s">
        <v>8</v>
      </c>
      <c r="IT794" s="27" t="s">
        <v>7</v>
      </c>
      <c r="IU794" s="27" t="s">
        <v>8</v>
      </c>
      <c r="IV794" s="27" t="s">
        <v>7</v>
      </c>
      <c r="IW794" s="27" t="s">
        <v>8</v>
      </c>
      <c r="IX794" s="27" t="s">
        <v>7</v>
      </c>
      <c r="IY794" s="27" t="s">
        <v>8</v>
      </c>
      <c r="IZ794" s="27" t="s">
        <v>7</v>
      </c>
      <c r="JA794" s="27" t="s">
        <v>8</v>
      </c>
      <c r="JD794" s="27" t="s">
        <v>7</v>
      </c>
      <c r="JE794" s="27" t="s">
        <v>8</v>
      </c>
      <c r="JF794" s="27" t="s">
        <v>7</v>
      </c>
      <c r="JI794" s="27" t="s">
        <v>8</v>
      </c>
      <c r="JJ794" s="27" t="s">
        <v>7</v>
      </c>
      <c r="JM794" s="27" t="s">
        <v>8</v>
      </c>
      <c r="JN794" s="27" t="s">
        <v>7</v>
      </c>
    </row>
    <row r="795" spans="1:274" x14ac:dyDescent="0.25">
      <c r="A795" s="7">
        <v>1.6261637419840807E-2</v>
      </c>
      <c r="B795"/>
      <c r="C795"/>
      <c r="D795"/>
      <c r="E795"/>
      <c r="F795" s="27" t="s">
        <v>7</v>
      </c>
      <c r="AU795" s="27" t="s">
        <v>8</v>
      </c>
      <c r="AV795" s="27" t="s">
        <v>7</v>
      </c>
      <c r="AW795" s="27" t="s">
        <v>8</v>
      </c>
      <c r="AX795" s="27" t="s">
        <v>7</v>
      </c>
      <c r="BG795" s="27" t="s">
        <v>8</v>
      </c>
      <c r="BH795" s="27" t="s">
        <v>7</v>
      </c>
      <c r="BI795" s="27" t="s">
        <v>8</v>
      </c>
      <c r="BJ795" s="27" t="s">
        <v>7</v>
      </c>
      <c r="BK795" s="27" t="s">
        <v>8</v>
      </c>
      <c r="BL795" s="27" t="s">
        <v>7</v>
      </c>
      <c r="BW795" s="27" t="s">
        <v>8</v>
      </c>
      <c r="BX795" s="27" t="s">
        <v>7</v>
      </c>
      <c r="CA795" s="27" t="s">
        <v>8</v>
      </c>
      <c r="CB795" s="27" t="s">
        <v>7</v>
      </c>
      <c r="CC795" s="27" t="s">
        <v>8</v>
      </c>
      <c r="CD795" s="27" t="s">
        <v>7</v>
      </c>
      <c r="CE795" s="27" t="s">
        <v>8</v>
      </c>
      <c r="CN795" s="27" t="s">
        <v>7</v>
      </c>
      <c r="CO795" s="27" t="s">
        <v>8</v>
      </c>
      <c r="CP795" s="27" t="s">
        <v>7</v>
      </c>
      <c r="CQ795" s="27" t="s">
        <v>8</v>
      </c>
      <c r="CR795" s="27" t="s">
        <v>7</v>
      </c>
      <c r="CS795" s="27" t="s">
        <v>8</v>
      </c>
      <c r="EP795" s="27" t="s">
        <v>7</v>
      </c>
      <c r="EQ795" s="27" t="s">
        <v>8</v>
      </c>
      <c r="ER795" s="27" t="s">
        <v>7</v>
      </c>
      <c r="EU795" s="27" t="s">
        <v>8</v>
      </c>
      <c r="EV795" s="27" t="s">
        <v>7</v>
      </c>
      <c r="FA795" s="27" t="s">
        <v>8</v>
      </c>
      <c r="FB795" s="27" t="s">
        <v>7</v>
      </c>
      <c r="FC795" s="27" t="s">
        <v>8</v>
      </c>
      <c r="FD795" s="27" t="s">
        <v>7</v>
      </c>
      <c r="FE795" s="27" t="s">
        <v>8</v>
      </c>
      <c r="FF795" s="27" t="s">
        <v>7</v>
      </c>
      <c r="GK795" s="27" t="s">
        <v>8</v>
      </c>
      <c r="GL795" s="27" t="s">
        <v>7</v>
      </c>
      <c r="GM795" s="27" t="s">
        <v>8</v>
      </c>
      <c r="GO795" s="27" t="s">
        <v>8</v>
      </c>
      <c r="GP795" s="27" t="s">
        <v>7</v>
      </c>
      <c r="GQ795" s="27" t="s">
        <v>8</v>
      </c>
      <c r="GR795" s="27" t="s">
        <v>7</v>
      </c>
      <c r="GU795" s="27" t="s">
        <v>8</v>
      </c>
      <c r="GV795" s="27" t="s">
        <v>7</v>
      </c>
      <c r="GW795" s="27" t="s">
        <v>8</v>
      </c>
      <c r="HA795" s="27" t="s">
        <v>8</v>
      </c>
      <c r="HB795" s="27" t="s">
        <v>7</v>
      </c>
      <c r="HC795" s="27" t="s">
        <v>8</v>
      </c>
      <c r="HD795" s="27" t="s">
        <v>7</v>
      </c>
      <c r="HI795" s="27" t="s">
        <v>8</v>
      </c>
      <c r="HJ795" s="27" t="s">
        <v>7</v>
      </c>
      <c r="HU795" s="27" t="s">
        <v>8</v>
      </c>
      <c r="HX795" s="27" t="s">
        <v>7</v>
      </c>
      <c r="IR795" s="27" t="s">
        <v>7</v>
      </c>
      <c r="IS795" s="27" t="s">
        <v>8</v>
      </c>
      <c r="IT795" s="27" t="s">
        <v>7</v>
      </c>
      <c r="IV795" s="27" t="s">
        <v>7</v>
      </c>
      <c r="IW795" s="27" t="s">
        <v>8</v>
      </c>
      <c r="IX795" s="27" t="s">
        <v>7</v>
      </c>
      <c r="IY795" s="27" t="s">
        <v>8</v>
      </c>
      <c r="IZ795" s="27" t="s">
        <v>7</v>
      </c>
      <c r="JA795" s="27" t="s">
        <v>8</v>
      </c>
      <c r="JD795" s="27" t="s">
        <v>7</v>
      </c>
      <c r="JF795" s="27" t="s">
        <v>7</v>
      </c>
      <c r="JI795" s="27" t="s">
        <v>8</v>
      </c>
      <c r="JJ795" s="27" t="s">
        <v>7</v>
      </c>
      <c r="JM795" s="27" t="s">
        <v>8</v>
      </c>
      <c r="JN795" s="27" t="s">
        <v>7</v>
      </c>
    </row>
    <row r="796" spans="1:274" x14ac:dyDescent="0.25">
      <c r="A796" s="7">
        <v>1.5942781784157655E-2</v>
      </c>
      <c r="B796"/>
      <c r="C796"/>
      <c r="D796"/>
      <c r="E796"/>
      <c r="F796" s="27" t="s">
        <v>7</v>
      </c>
      <c r="AU796" s="27" t="s">
        <v>8</v>
      </c>
      <c r="AV796" s="27" t="s">
        <v>7</v>
      </c>
      <c r="AW796" s="27" t="s">
        <v>8</v>
      </c>
      <c r="AX796" s="27" t="s">
        <v>7</v>
      </c>
      <c r="BC796" s="27" t="s">
        <v>8</v>
      </c>
      <c r="BG796" s="27" t="s">
        <v>8</v>
      </c>
      <c r="BH796" s="27" t="s">
        <v>7</v>
      </c>
      <c r="BI796" s="27" t="s">
        <v>8</v>
      </c>
      <c r="BJ796" s="27" t="s">
        <v>7</v>
      </c>
      <c r="BK796" s="27" t="s">
        <v>8</v>
      </c>
      <c r="BL796" s="27" t="s">
        <v>7</v>
      </c>
      <c r="BW796" s="27" t="s">
        <v>8</v>
      </c>
      <c r="BX796" s="27" t="s">
        <v>7</v>
      </c>
      <c r="CA796" s="27" t="s">
        <v>8</v>
      </c>
      <c r="CB796" s="27" t="s">
        <v>7</v>
      </c>
      <c r="CC796" s="27" t="s">
        <v>8</v>
      </c>
      <c r="CD796" s="27" t="s">
        <v>7</v>
      </c>
      <c r="CN796" s="27" t="s">
        <v>7</v>
      </c>
      <c r="CP796" s="27" t="s">
        <v>7</v>
      </c>
      <c r="CQ796" s="27" t="s">
        <v>8</v>
      </c>
      <c r="CR796" s="27" t="s">
        <v>7</v>
      </c>
      <c r="CS796" s="27" t="s">
        <v>8</v>
      </c>
      <c r="EP796" s="27" t="s">
        <v>7</v>
      </c>
      <c r="EQ796" s="27" t="s">
        <v>8</v>
      </c>
      <c r="ER796" s="27" t="s">
        <v>7</v>
      </c>
      <c r="EU796" s="27" t="s">
        <v>8</v>
      </c>
      <c r="EV796" s="27" t="s">
        <v>7</v>
      </c>
      <c r="FA796" s="27" t="s">
        <v>8</v>
      </c>
      <c r="FB796" s="27" t="s">
        <v>7</v>
      </c>
      <c r="FC796" s="27" t="s">
        <v>8</v>
      </c>
      <c r="FD796" s="27" t="s">
        <v>7</v>
      </c>
      <c r="FE796" s="27" t="s">
        <v>8</v>
      </c>
      <c r="FF796" s="27" t="s">
        <v>7</v>
      </c>
      <c r="GK796" s="27" t="s">
        <v>8</v>
      </c>
      <c r="GL796" s="27" t="s">
        <v>7</v>
      </c>
      <c r="GM796" s="27" t="s">
        <v>8</v>
      </c>
      <c r="GN796" s="27" t="s">
        <v>7</v>
      </c>
      <c r="GO796" s="27" t="s">
        <v>8</v>
      </c>
      <c r="GP796" s="27" t="s">
        <v>7</v>
      </c>
      <c r="GQ796" s="27" t="s">
        <v>8</v>
      </c>
      <c r="GR796" s="27" t="s">
        <v>7</v>
      </c>
      <c r="GS796" s="27" t="s">
        <v>8</v>
      </c>
      <c r="GU796" s="27" t="s">
        <v>8</v>
      </c>
      <c r="GV796" s="27" t="s">
        <v>7</v>
      </c>
      <c r="GW796" s="27" t="s">
        <v>8</v>
      </c>
      <c r="GX796" s="27" t="s">
        <v>7</v>
      </c>
      <c r="GY796" s="27" t="s">
        <v>8</v>
      </c>
      <c r="HA796" s="27" t="s">
        <v>8</v>
      </c>
      <c r="HB796" s="27" t="s">
        <v>7</v>
      </c>
      <c r="HC796" s="27" t="s">
        <v>8</v>
      </c>
      <c r="HD796" s="27" t="s">
        <v>7</v>
      </c>
      <c r="HI796" s="27" t="s">
        <v>8</v>
      </c>
      <c r="HJ796" s="27" t="s">
        <v>7</v>
      </c>
      <c r="HU796" s="27" t="s">
        <v>8</v>
      </c>
      <c r="IR796" s="27" t="s">
        <v>7</v>
      </c>
      <c r="IS796" s="27" t="s">
        <v>8</v>
      </c>
      <c r="IV796" s="27" t="s">
        <v>7</v>
      </c>
      <c r="IW796" s="27" t="s">
        <v>8</v>
      </c>
      <c r="IX796" s="27" t="s">
        <v>7</v>
      </c>
      <c r="IY796" s="27" t="s">
        <v>8</v>
      </c>
      <c r="IZ796" s="27" t="s">
        <v>7</v>
      </c>
      <c r="JA796" s="27" t="s">
        <v>8</v>
      </c>
      <c r="JF796" s="27" t="s">
        <v>7</v>
      </c>
      <c r="JI796" s="27" t="s">
        <v>8</v>
      </c>
      <c r="JJ796" s="27" t="s">
        <v>7</v>
      </c>
      <c r="JM796" s="27" t="s">
        <v>8</v>
      </c>
      <c r="JN796" s="27" t="s">
        <v>7</v>
      </c>
    </row>
    <row r="797" spans="1:274" x14ac:dyDescent="0.25">
      <c r="A797" s="7">
        <v>1.5630178219762408E-2</v>
      </c>
      <c r="B797"/>
      <c r="C797"/>
      <c r="D797"/>
      <c r="E797"/>
      <c r="F797" s="27" t="s">
        <v>7</v>
      </c>
      <c r="AU797" s="27" t="s">
        <v>8</v>
      </c>
      <c r="AV797" s="27" t="s">
        <v>7</v>
      </c>
      <c r="AW797" s="27" t="s">
        <v>8</v>
      </c>
      <c r="AX797" s="27" t="s">
        <v>7</v>
      </c>
      <c r="BC797" s="27" t="s">
        <v>8</v>
      </c>
      <c r="BD797" s="27" t="s">
        <v>7</v>
      </c>
      <c r="BE797" s="27" t="s">
        <v>8</v>
      </c>
      <c r="BG797" s="27" t="s">
        <v>8</v>
      </c>
      <c r="BH797" s="27" t="s">
        <v>7</v>
      </c>
      <c r="BI797" s="27" t="s">
        <v>8</v>
      </c>
      <c r="BJ797" s="27" t="s">
        <v>7</v>
      </c>
      <c r="BK797" s="27" t="s">
        <v>8</v>
      </c>
      <c r="BL797" s="27" t="s">
        <v>7</v>
      </c>
      <c r="BM797" s="27" t="s">
        <v>8</v>
      </c>
      <c r="BW797" s="27" t="s">
        <v>8</v>
      </c>
      <c r="BX797" s="27" t="s">
        <v>7</v>
      </c>
      <c r="BY797" s="27" t="s">
        <v>8</v>
      </c>
      <c r="CA797" s="27" t="s">
        <v>8</v>
      </c>
      <c r="CB797" s="27" t="s">
        <v>7</v>
      </c>
      <c r="CC797" s="27" t="s">
        <v>8</v>
      </c>
      <c r="CP797" s="27" t="s">
        <v>7</v>
      </c>
      <c r="CR797" s="27" t="s">
        <v>7</v>
      </c>
      <c r="CS797" s="27" t="s">
        <v>8</v>
      </c>
      <c r="EP797" s="27" t="s">
        <v>7</v>
      </c>
      <c r="EQ797" s="27" t="s">
        <v>8</v>
      </c>
      <c r="ER797" s="27" t="s">
        <v>7</v>
      </c>
      <c r="EU797" s="27" t="s">
        <v>8</v>
      </c>
      <c r="EV797" s="27" t="s">
        <v>7</v>
      </c>
      <c r="FA797" s="27" t="s">
        <v>8</v>
      </c>
      <c r="FB797" s="27" t="s">
        <v>7</v>
      </c>
      <c r="FC797" s="27" t="s">
        <v>8</v>
      </c>
      <c r="FD797" s="27" t="s">
        <v>7</v>
      </c>
      <c r="FE797" s="27" t="s">
        <v>8</v>
      </c>
      <c r="FF797" s="27" t="s">
        <v>7</v>
      </c>
      <c r="GK797" s="27" t="s">
        <v>8</v>
      </c>
      <c r="GL797" s="27" t="s">
        <v>7</v>
      </c>
      <c r="GM797" s="27" t="s">
        <v>8</v>
      </c>
      <c r="GN797" s="27" t="s">
        <v>7</v>
      </c>
      <c r="GO797" s="27" t="s">
        <v>8</v>
      </c>
      <c r="GP797" s="27" t="s">
        <v>7</v>
      </c>
      <c r="GQ797" s="27" t="s">
        <v>8</v>
      </c>
      <c r="GR797" s="27" t="s">
        <v>7</v>
      </c>
      <c r="GS797" s="27" t="s">
        <v>8</v>
      </c>
      <c r="GT797" s="27" t="s">
        <v>7</v>
      </c>
      <c r="GU797" s="27" t="s">
        <v>8</v>
      </c>
      <c r="GV797" s="27" t="s">
        <v>7</v>
      </c>
      <c r="GW797" s="27" t="s">
        <v>8</v>
      </c>
      <c r="GX797" s="27" t="s">
        <v>7</v>
      </c>
      <c r="GY797" s="27" t="s">
        <v>8</v>
      </c>
      <c r="GZ797" s="27" t="s">
        <v>7</v>
      </c>
      <c r="HA797" s="27" t="s">
        <v>8</v>
      </c>
      <c r="HB797" s="27" t="s">
        <v>7</v>
      </c>
      <c r="HD797" s="27" t="s">
        <v>7</v>
      </c>
      <c r="HI797" s="27" t="s">
        <v>8</v>
      </c>
      <c r="HJ797" s="27" t="s">
        <v>7</v>
      </c>
      <c r="HU797" s="27" t="s">
        <v>8</v>
      </c>
      <c r="IR797" s="27" t="s">
        <v>7</v>
      </c>
      <c r="IS797" s="27" t="s">
        <v>8</v>
      </c>
      <c r="IV797" s="27" t="s">
        <v>7</v>
      </c>
      <c r="IW797" s="27" t="s">
        <v>8</v>
      </c>
      <c r="IX797" s="27" t="s">
        <v>7</v>
      </c>
      <c r="IZ797" s="27" t="s">
        <v>7</v>
      </c>
      <c r="JF797" s="27" t="s">
        <v>7</v>
      </c>
      <c r="JG797" s="27" t="s">
        <v>8</v>
      </c>
      <c r="JI797" s="27" t="s">
        <v>8</v>
      </c>
      <c r="JJ797" s="27" t="s">
        <v>7</v>
      </c>
      <c r="JM797" s="27" t="s">
        <v>8</v>
      </c>
      <c r="JN797" s="27" t="s">
        <v>7</v>
      </c>
    </row>
    <row r="798" spans="1:274" x14ac:dyDescent="0.25">
      <c r="A798" s="7">
        <v>1.5323704137021967E-2</v>
      </c>
      <c r="B798"/>
      <c r="C798"/>
      <c r="D798"/>
      <c r="E798"/>
      <c r="F798" s="27" t="s">
        <v>7</v>
      </c>
      <c r="AU798" s="27" t="s">
        <v>8</v>
      </c>
      <c r="AV798" s="27" t="s">
        <v>7</v>
      </c>
      <c r="AW798" s="27" t="s">
        <v>8</v>
      </c>
      <c r="AX798" s="27" t="s">
        <v>7</v>
      </c>
      <c r="BC798" s="27" t="s">
        <v>8</v>
      </c>
      <c r="BD798" s="27" t="s">
        <v>7</v>
      </c>
      <c r="BE798" s="27" t="s">
        <v>8</v>
      </c>
      <c r="BF798" s="27" t="s">
        <v>7</v>
      </c>
      <c r="BG798" s="27" t="s">
        <v>8</v>
      </c>
      <c r="BH798" s="27" t="s">
        <v>7</v>
      </c>
      <c r="BI798" s="27" t="s">
        <v>8</v>
      </c>
      <c r="BJ798" s="27" t="s">
        <v>7</v>
      </c>
      <c r="BK798" s="27" t="s">
        <v>8</v>
      </c>
      <c r="BL798" s="27" t="s">
        <v>7</v>
      </c>
      <c r="BM798" s="27" t="s">
        <v>8</v>
      </c>
      <c r="BN798" s="27" t="s">
        <v>7</v>
      </c>
      <c r="BO798" s="27" t="s">
        <v>8</v>
      </c>
      <c r="BQ798" s="27" t="s">
        <v>8</v>
      </c>
      <c r="BS798" s="27" t="s">
        <v>8</v>
      </c>
      <c r="BW798" s="27" t="s">
        <v>8</v>
      </c>
      <c r="BX798" s="27" t="s">
        <v>7</v>
      </c>
      <c r="BY798" s="27" t="s">
        <v>8</v>
      </c>
      <c r="BZ798" s="27" t="s">
        <v>7</v>
      </c>
      <c r="CA798" s="27" t="s">
        <v>8</v>
      </c>
      <c r="CB798" s="27" t="s">
        <v>7</v>
      </c>
      <c r="CR798" s="27" t="s">
        <v>7</v>
      </c>
      <c r="CS798" s="27" t="s">
        <v>8</v>
      </c>
      <c r="EP798" s="27" t="s">
        <v>7</v>
      </c>
      <c r="EQ798" s="27" t="s">
        <v>8</v>
      </c>
      <c r="ER798" s="27" t="s">
        <v>7</v>
      </c>
      <c r="EU798" s="27" t="s">
        <v>8</v>
      </c>
      <c r="EV798" s="27" t="s">
        <v>7</v>
      </c>
      <c r="FA798" s="27" t="s">
        <v>8</v>
      </c>
      <c r="FB798" s="27" t="s">
        <v>7</v>
      </c>
      <c r="FC798" s="27" t="s">
        <v>8</v>
      </c>
      <c r="FD798" s="27" t="s">
        <v>7</v>
      </c>
      <c r="FE798" s="27" t="s">
        <v>8</v>
      </c>
      <c r="FF798" s="27" t="s">
        <v>7</v>
      </c>
      <c r="FG798" s="27" t="s">
        <v>8</v>
      </c>
      <c r="GI798" s="27" t="s">
        <v>8</v>
      </c>
      <c r="GK798" s="27" t="s">
        <v>8</v>
      </c>
      <c r="GL798" s="27" t="s">
        <v>7</v>
      </c>
      <c r="GM798" s="27" t="s">
        <v>8</v>
      </c>
      <c r="GN798" s="27" t="s">
        <v>7</v>
      </c>
      <c r="GO798" s="27" t="s">
        <v>8</v>
      </c>
      <c r="GP798" s="27" t="s">
        <v>7</v>
      </c>
      <c r="GQ798" s="27" t="s">
        <v>8</v>
      </c>
      <c r="GR798" s="27" t="s">
        <v>7</v>
      </c>
      <c r="GS798" s="27" t="s">
        <v>8</v>
      </c>
      <c r="GT798" s="27" t="s">
        <v>7</v>
      </c>
      <c r="GU798" s="27" t="s">
        <v>8</v>
      </c>
      <c r="GV798" s="27" t="s">
        <v>7</v>
      </c>
      <c r="GW798" s="27" t="s">
        <v>8</v>
      </c>
      <c r="GX798" s="27" t="s">
        <v>7</v>
      </c>
      <c r="GY798" s="27" t="s">
        <v>8</v>
      </c>
      <c r="GZ798" s="27" t="s">
        <v>7</v>
      </c>
      <c r="HA798" s="27" t="s">
        <v>8</v>
      </c>
      <c r="HD798" s="27" t="s">
        <v>7</v>
      </c>
      <c r="HI798" s="27" t="s">
        <v>8</v>
      </c>
      <c r="HJ798" s="27" t="s">
        <v>7</v>
      </c>
      <c r="HU798" s="27" t="s">
        <v>8</v>
      </c>
      <c r="IR798" s="27" t="s">
        <v>7</v>
      </c>
      <c r="IS798" s="27" t="s">
        <v>8</v>
      </c>
      <c r="IV798" s="27" t="s">
        <v>7</v>
      </c>
      <c r="IW798" s="27" t="s">
        <v>8</v>
      </c>
      <c r="JF798" s="27" t="s">
        <v>7</v>
      </c>
      <c r="JG798" s="27" t="s">
        <v>8</v>
      </c>
      <c r="JH798" s="27" t="s">
        <v>7</v>
      </c>
      <c r="JI798" s="27" t="s">
        <v>8</v>
      </c>
      <c r="JJ798" s="27" t="s">
        <v>7</v>
      </c>
      <c r="JM798" s="27" t="s">
        <v>8</v>
      </c>
      <c r="JN798" s="27" t="s">
        <v>7</v>
      </c>
    </row>
    <row r="799" spans="1:274" x14ac:dyDescent="0.25">
      <c r="A799" s="7">
        <v>1.5023239350021535E-2</v>
      </c>
      <c r="B799"/>
      <c r="C799"/>
      <c r="D799"/>
      <c r="E799"/>
      <c r="F799" s="27" t="s">
        <v>7</v>
      </c>
      <c r="AU799" s="27" t="s">
        <v>8</v>
      </c>
      <c r="AV799" s="27" t="s">
        <v>7</v>
      </c>
      <c r="AW799" s="27" t="s">
        <v>8</v>
      </c>
      <c r="AX799" s="27" t="s">
        <v>7</v>
      </c>
      <c r="AY799" s="27" t="s">
        <v>8</v>
      </c>
      <c r="BC799" s="27" t="s">
        <v>8</v>
      </c>
      <c r="BD799" s="27" t="s">
        <v>7</v>
      </c>
      <c r="BE799" s="27" t="s">
        <v>8</v>
      </c>
      <c r="BF799" s="27" t="s">
        <v>7</v>
      </c>
      <c r="BG799" s="27" t="s">
        <v>8</v>
      </c>
      <c r="BH799" s="27" t="s">
        <v>7</v>
      </c>
      <c r="BI799" s="27" t="s">
        <v>8</v>
      </c>
      <c r="BJ799" s="27" t="s">
        <v>7</v>
      </c>
      <c r="BK799" s="27" t="s">
        <v>8</v>
      </c>
      <c r="BL799" s="27" t="s">
        <v>7</v>
      </c>
      <c r="BM799" s="27" t="s">
        <v>8</v>
      </c>
      <c r="BN799" s="27" t="s">
        <v>7</v>
      </c>
      <c r="BO799" s="27" t="s">
        <v>8</v>
      </c>
      <c r="BP799" s="27" t="s">
        <v>7</v>
      </c>
      <c r="BQ799" s="27" t="s">
        <v>8</v>
      </c>
      <c r="BR799" s="27" t="s">
        <v>7</v>
      </c>
      <c r="BS799" s="27" t="s">
        <v>8</v>
      </c>
      <c r="BT799" s="27" t="s">
        <v>7</v>
      </c>
      <c r="BW799" s="27" t="s">
        <v>8</v>
      </c>
      <c r="BX799" s="27" t="s">
        <v>7</v>
      </c>
      <c r="BY799" s="27" t="s">
        <v>8</v>
      </c>
      <c r="BZ799" s="27" t="s">
        <v>7</v>
      </c>
      <c r="CA799" s="27" t="s">
        <v>8</v>
      </c>
      <c r="CR799" s="27" t="s">
        <v>7</v>
      </c>
      <c r="CS799" s="27" t="s">
        <v>8</v>
      </c>
      <c r="EP799" s="27" t="s">
        <v>7</v>
      </c>
      <c r="EQ799" s="27" t="s">
        <v>8</v>
      </c>
      <c r="ER799" s="27" t="s">
        <v>7</v>
      </c>
      <c r="EU799" s="27" t="s">
        <v>8</v>
      </c>
      <c r="EV799" s="27" t="s">
        <v>7</v>
      </c>
      <c r="FA799" s="27" t="s">
        <v>8</v>
      </c>
      <c r="FB799" s="27" t="s">
        <v>7</v>
      </c>
      <c r="FC799" s="27" t="s">
        <v>8</v>
      </c>
      <c r="FD799" s="27" t="s">
        <v>7</v>
      </c>
      <c r="FE799" s="27" t="s">
        <v>8</v>
      </c>
      <c r="FF799" s="27" t="s">
        <v>7</v>
      </c>
      <c r="FG799" s="27" t="s">
        <v>8</v>
      </c>
      <c r="FH799" s="27" t="s">
        <v>7</v>
      </c>
      <c r="GI799" s="27" t="s">
        <v>8</v>
      </c>
      <c r="GJ799" s="27" t="s">
        <v>7</v>
      </c>
      <c r="GK799" s="27" t="s">
        <v>8</v>
      </c>
      <c r="GL799" s="27" t="s">
        <v>7</v>
      </c>
      <c r="GM799" s="27" t="s">
        <v>8</v>
      </c>
      <c r="GN799" s="27" t="s">
        <v>7</v>
      </c>
      <c r="GO799" s="27" t="s">
        <v>8</v>
      </c>
      <c r="GP799" s="27" t="s">
        <v>7</v>
      </c>
      <c r="GR799" s="27" t="s">
        <v>7</v>
      </c>
      <c r="GS799" s="27" t="s">
        <v>8</v>
      </c>
      <c r="GT799" s="27" t="s">
        <v>7</v>
      </c>
      <c r="GU799" s="27" t="s">
        <v>8</v>
      </c>
      <c r="GV799" s="27" t="s">
        <v>7</v>
      </c>
      <c r="GW799" s="27" t="s">
        <v>8</v>
      </c>
      <c r="GX799" s="27" t="s">
        <v>7</v>
      </c>
      <c r="GY799" s="27" t="s">
        <v>8</v>
      </c>
      <c r="GZ799" s="27" t="s">
        <v>7</v>
      </c>
      <c r="HA799" s="27" t="s">
        <v>8</v>
      </c>
      <c r="HD799" s="27" t="s">
        <v>7</v>
      </c>
      <c r="HI799" s="27" t="s">
        <v>8</v>
      </c>
      <c r="HJ799" s="27" t="s">
        <v>7</v>
      </c>
      <c r="HU799" s="27" t="s">
        <v>8</v>
      </c>
      <c r="IR799" s="27" t="s">
        <v>7</v>
      </c>
      <c r="IS799" s="27" t="s">
        <v>8</v>
      </c>
      <c r="IV799" s="27" t="s">
        <v>7</v>
      </c>
      <c r="IW799" s="27" t="s">
        <v>8</v>
      </c>
      <c r="JF799" s="27" t="s">
        <v>7</v>
      </c>
      <c r="JG799" s="27" t="s">
        <v>8</v>
      </c>
      <c r="JH799" s="27" t="s">
        <v>7</v>
      </c>
      <c r="JI799" s="27" t="s">
        <v>8</v>
      </c>
      <c r="JJ799" s="27" t="s">
        <v>7</v>
      </c>
      <c r="JK799" s="27" t="s">
        <v>8</v>
      </c>
      <c r="JM799" s="27" t="s">
        <v>8</v>
      </c>
      <c r="JN799" s="27" t="s">
        <v>7</v>
      </c>
    </row>
    <row r="800" spans="1:274" x14ac:dyDescent="0.25">
      <c r="A800" s="7">
        <v>1.4728666029432878E-2</v>
      </c>
      <c r="B800"/>
      <c r="C800"/>
      <c r="D800"/>
      <c r="E800"/>
      <c r="F800" s="27" t="s">
        <v>7</v>
      </c>
      <c r="AU800" s="27" t="s">
        <v>8</v>
      </c>
      <c r="AV800" s="27" t="s">
        <v>7</v>
      </c>
      <c r="AW800" s="27" t="s">
        <v>8</v>
      </c>
      <c r="AX800" s="27" t="s">
        <v>7</v>
      </c>
      <c r="AY800" s="27" t="s">
        <v>8</v>
      </c>
      <c r="AZ800" s="27" t="s">
        <v>7</v>
      </c>
      <c r="BC800" s="27" t="s">
        <v>8</v>
      </c>
      <c r="BD800" s="27" t="s">
        <v>7</v>
      </c>
      <c r="BE800" s="27" t="s">
        <v>8</v>
      </c>
      <c r="BF800" s="27" t="s">
        <v>7</v>
      </c>
      <c r="BG800" s="27" t="s">
        <v>8</v>
      </c>
      <c r="BH800" s="27" t="s">
        <v>7</v>
      </c>
      <c r="BI800" s="27" t="s">
        <v>8</v>
      </c>
      <c r="BJ800" s="27" t="s">
        <v>7</v>
      </c>
      <c r="BK800" s="27" t="s">
        <v>8</v>
      </c>
      <c r="BL800" s="27" t="s">
        <v>7</v>
      </c>
      <c r="BM800" s="27" t="s">
        <v>8</v>
      </c>
      <c r="BN800" s="27" t="s">
        <v>7</v>
      </c>
      <c r="BO800" s="27" t="s">
        <v>8</v>
      </c>
      <c r="BP800" s="27" t="s">
        <v>7</v>
      </c>
      <c r="BQ800" s="27" t="s">
        <v>8</v>
      </c>
      <c r="BR800" s="27" t="s">
        <v>7</v>
      </c>
      <c r="BS800" s="27" t="s">
        <v>8</v>
      </c>
      <c r="BT800" s="27" t="s">
        <v>7</v>
      </c>
      <c r="BW800" s="27" t="s">
        <v>8</v>
      </c>
      <c r="BX800" s="27" t="s">
        <v>7</v>
      </c>
      <c r="BY800" s="27" t="s">
        <v>8</v>
      </c>
      <c r="BZ800" s="27" t="s">
        <v>7</v>
      </c>
      <c r="CA800" s="27" t="s">
        <v>8</v>
      </c>
      <c r="CR800" s="27" t="s">
        <v>7</v>
      </c>
      <c r="EP800" s="27" t="s">
        <v>7</v>
      </c>
      <c r="EQ800" s="27" t="s">
        <v>8</v>
      </c>
      <c r="ER800" s="27" t="s">
        <v>7</v>
      </c>
      <c r="EU800" s="27" t="s">
        <v>8</v>
      </c>
      <c r="EV800" s="27" t="s">
        <v>7</v>
      </c>
      <c r="FA800" s="27" t="s">
        <v>8</v>
      </c>
      <c r="FB800" s="27" t="s">
        <v>7</v>
      </c>
      <c r="FC800" s="27" t="s">
        <v>8</v>
      </c>
      <c r="FD800" s="27" t="s">
        <v>7</v>
      </c>
      <c r="FE800" s="27" t="s">
        <v>8</v>
      </c>
      <c r="FF800" s="27" t="s">
        <v>7</v>
      </c>
      <c r="FG800" s="27" t="s">
        <v>8</v>
      </c>
      <c r="FH800" s="27" t="s">
        <v>7</v>
      </c>
      <c r="GI800" s="27" t="s">
        <v>8</v>
      </c>
      <c r="GJ800" s="27" t="s">
        <v>7</v>
      </c>
      <c r="GK800" s="27" t="s">
        <v>8</v>
      </c>
      <c r="GL800" s="27" t="s">
        <v>7</v>
      </c>
      <c r="GM800" s="27" t="s">
        <v>8</v>
      </c>
      <c r="GN800" s="27" t="s">
        <v>7</v>
      </c>
      <c r="GO800" s="27" t="s">
        <v>8</v>
      </c>
      <c r="GR800" s="27" t="s">
        <v>7</v>
      </c>
      <c r="GS800" s="27" t="s">
        <v>8</v>
      </c>
      <c r="GT800" s="27" t="s">
        <v>7</v>
      </c>
      <c r="GV800" s="27" t="s">
        <v>7</v>
      </c>
      <c r="GW800" s="27" t="s">
        <v>8</v>
      </c>
      <c r="GX800" s="27" t="s">
        <v>7</v>
      </c>
      <c r="GY800" s="27" t="s">
        <v>8</v>
      </c>
      <c r="GZ800" s="27" t="s">
        <v>7</v>
      </c>
      <c r="HA800" s="27" t="s">
        <v>8</v>
      </c>
      <c r="HD800" s="27" t="s">
        <v>7</v>
      </c>
      <c r="HE800" s="27" t="s">
        <v>8</v>
      </c>
      <c r="HI800" s="27" t="s">
        <v>8</v>
      </c>
      <c r="HJ800" s="27" t="s">
        <v>7</v>
      </c>
      <c r="HU800" s="27" t="s">
        <v>8</v>
      </c>
      <c r="IR800" s="27" t="s">
        <v>7</v>
      </c>
      <c r="IV800" s="27" t="s">
        <v>7</v>
      </c>
      <c r="IW800" s="27" t="s">
        <v>8</v>
      </c>
      <c r="JF800" s="27" t="s">
        <v>7</v>
      </c>
      <c r="JH800" s="27" t="s">
        <v>7</v>
      </c>
      <c r="JI800" s="27" t="s">
        <v>8</v>
      </c>
      <c r="JJ800" s="27" t="s">
        <v>7</v>
      </c>
      <c r="JK800" s="27" t="s">
        <v>8</v>
      </c>
      <c r="JL800" s="27" t="s">
        <v>7</v>
      </c>
      <c r="JM800" s="27" t="s">
        <v>8</v>
      </c>
      <c r="JN800" s="27" t="s">
        <v>7</v>
      </c>
    </row>
    <row r="801" spans="1:278" x14ac:dyDescent="0.25">
      <c r="A801" s="7">
        <v>1.4439868656306743E-2</v>
      </c>
      <c r="B801"/>
      <c r="C801"/>
      <c r="D801"/>
      <c r="E801"/>
      <c r="F801" s="27" t="s">
        <v>7</v>
      </c>
      <c r="AU801" s="27" t="s">
        <v>8</v>
      </c>
      <c r="AV801" s="27" t="s">
        <v>7</v>
      </c>
      <c r="AW801" s="27" t="s">
        <v>8</v>
      </c>
      <c r="AX801" s="27" t="s">
        <v>7</v>
      </c>
      <c r="AY801" s="27" t="s">
        <v>8</v>
      </c>
      <c r="AZ801" s="27" t="s">
        <v>7</v>
      </c>
      <c r="BC801" s="27" t="s">
        <v>8</v>
      </c>
      <c r="BD801" s="27" t="s">
        <v>7</v>
      </c>
      <c r="BE801" s="27" t="s">
        <v>8</v>
      </c>
      <c r="BF801" s="27" t="s">
        <v>7</v>
      </c>
      <c r="BG801" s="27" t="s">
        <v>8</v>
      </c>
      <c r="BH801" s="27" t="s">
        <v>7</v>
      </c>
      <c r="BI801" s="27" t="s">
        <v>8</v>
      </c>
      <c r="BJ801" s="27" t="s">
        <v>7</v>
      </c>
      <c r="BK801" s="27" t="s">
        <v>8</v>
      </c>
      <c r="BL801" s="27" t="s">
        <v>7</v>
      </c>
      <c r="BM801" s="27" t="s">
        <v>8</v>
      </c>
      <c r="BN801" s="27" t="s">
        <v>7</v>
      </c>
      <c r="BO801" s="27" t="s">
        <v>8</v>
      </c>
      <c r="BP801" s="27" t="s">
        <v>7</v>
      </c>
      <c r="BQ801" s="27" t="s">
        <v>8</v>
      </c>
      <c r="BR801" s="27" t="s">
        <v>7</v>
      </c>
      <c r="BS801" s="27" t="s">
        <v>8</v>
      </c>
      <c r="BT801" s="27" t="s">
        <v>7</v>
      </c>
      <c r="BU801" s="27" t="s">
        <v>8</v>
      </c>
      <c r="BW801" s="27" t="s">
        <v>8</v>
      </c>
      <c r="BX801" s="27" t="s">
        <v>7</v>
      </c>
      <c r="BY801" s="27" t="s">
        <v>8</v>
      </c>
      <c r="BZ801" s="27" t="s">
        <v>7</v>
      </c>
      <c r="CA801" s="27" t="s">
        <v>8</v>
      </c>
      <c r="EP801" s="27" t="s">
        <v>7</v>
      </c>
      <c r="EQ801" s="27" t="s">
        <v>8</v>
      </c>
      <c r="ER801" s="27" t="s">
        <v>7</v>
      </c>
      <c r="EU801" s="27" t="s">
        <v>8</v>
      </c>
      <c r="EV801" s="27" t="s">
        <v>7</v>
      </c>
      <c r="EW801" s="27" t="s">
        <v>8</v>
      </c>
      <c r="EY801" s="27" t="s">
        <v>8</v>
      </c>
      <c r="FA801" s="27" t="s">
        <v>8</v>
      </c>
      <c r="FB801" s="27" t="s">
        <v>7</v>
      </c>
      <c r="FC801" s="27" t="s">
        <v>8</v>
      </c>
      <c r="FD801" s="27" t="s">
        <v>7</v>
      </c>
      <c r="FE801" s="27" t="s">
        <v>8</v>
      </c>
      <c r="FF801" s="27" t="s">
        <v>7</v>
      </c>
      <c r="FG801" s="27" t="s">
        <v>8</v>
      </c>
      <c r="FH801" s="27" t="s">
        <v>7</v>
      </c>
      <c r="GI801" s="27" t="s">
        <v>8</v>
      </c>
      <c r="GJ801" s="27" t="s">
        <v>7</v>
      </c>
      <c r="GK801" s="27" t="s">
        <v>8</v>
      </c>
      <c r="GL801" s="27" t="s">
        <v>7</v>
      </c>
      <c r="GM801" s="27" t="s">
        <v>8</v>
      </c>
      <c r="GN801" s="27" t="s">
        <v>7</v>
      </c>
      <c r="GO801" s="27" t="s">
        <v>8</v>
      </c>
      <c r="GR801" s="27" t="s">
        <v>7</v>
      </c>
      <c r="GV801" s="27" t="s">
        <v>7</v>
      </c>
      <c r="GX801" s="27" t="s">
        <v>7</v>
      </c>
      <c r="GY801" s="27" t="s">
        <v>8</v>
      </c>
      <c r="GZ801" s="27" t="s">
        <v>7</v>
      </c>
      <c r="HA801" s="27" t="s">
        <v>8</v>
      </c>
      <c r="HD801" s="27" t="s">
        <v>7</v>
      </c>
      <c r="HE801" s="27" t="s">
        <v>8</v>
      </c>
      <c r="HF801" s="27" t="s">
        <v>7</v>
      </c>
      <c r="HI801" s="27" t="s">
        <v>8</v>
      </c>
      <c r="HJ801" s="27" t="s">
        <v>7</v>
      </c>
      <c r="HK801" s="27" t="s">
        <v>8</v>
      </c>
      <c r="HU801" s="27" t="s">
        <v>8</v>
      </c>
      <c r="IV801" s="27" t="s">
        <v>7</v>
      </c>
      <c r="JH801" s="27" t="s">
        <v>7</v>
      </c>
      <c r="JI801" s="27" t="s">
        <v>8</v>
      </c>
      <c r="JJ801" s="27" t="s">
        <v>7</v>
      </c>
      <c r="JK801" s="27" t="s">
        <v>8</v>
      </c>
      <c r="JL801" s="27" t="s">
        <v>7</v>
      </c>
      <c r="JM801" s="27" t="s">
        <v>8</v>
      </c>
      <c r="JN801" s="27" t="s">
        <v>7</v>
      </c>
    </row>
    <row r="802" spans="1:278" x14ac:dyDescent="0.25">
      <c r="A802" s="7">
        <v>1.4156733976771318E-2</v>
      </c>
      <c r="B802"/>
      <c r="C802"/>
      <c r="D802"/>
      <c r="E802"/>
      <c r="F802" s="27" t="s">
        <v>7</v>
      </c>
      <c r="AU802" s="27" t="s">
        <v>8</v>
      </c>
      <c r="AV802" s="27" t="s">
        <v>7</v>
      </c>
      <c r="AW802" s="27" t="s">
        <v>8</v>
      </c>
      <c r="AX802" s="27" t="s">
        <v>7</v>
      </c>
      <c r="AY802" s="27" t="s">
        <v>8</v>
      </c>
      <c r="AZ802" s="27" t="s">
        <v>7</v>
      </c>
      <c r="BA802" s="27" t="s">
        <v>8</v>
      </c>
      <c r="BC802" s="27" t="s">
        <v>8</v>
      </c>
      <c r="BD802" s="27" t="s">
        <v>7</v>
      </c>
      <c r="BE802" s="27" t="s">
        <v>8</v>
      </c>
      <c r="BF802" s="27" t="s">
        <v>7</v>
      </c>
      <c r="BG802" s="27" t="s">
        <v>8</v>
      </c>
      <c r="BH802" s="27" t="s">
        <v>7</v>
      </c>
      <c r="BI802" s="27" t="s">
        <v>8</v>
      </c>
      <c r="BJ802" s="27" t="s">
        <v>7</v>
      </c>
      <c r="BK802" s="27" t="s">
        <v>8</v>
      </c>
      <c r="BL802" s="27" t="s">
        <v>7</v>
      </c>
      <c r="BN802" s="27" t="s">
        <v>7</v>
      </c>
      <c r="BP802" s="27" t="s">
        <v>7</v>
      </c>
      <c r="BR802" s="27" t="s">
        <v>7</v>
      </c>
      <c r="BS802" s="27" t="s">
        <v>8</v>
      </c>
      <c r="BT802" s="27" t="s">
        <v>7</v>
      </c>
      <c r="BU802" s="27" t="s">
        <v>8</v>
      </c>
      <c r="BV802" s="27" t="s">
        <v>7</v>
      </c>
      <c r="BW802" s="27" t="s">
        <v>8</v>
      </c>
      <c r="BX802" s="27" t="s">
        <v>7</v>
      </c>
      <c r="BY802" s="27" t="s">
        <v>8</v>
      </c>
      <c r="BZ802" s="27" t="s">
        <v>7</v>
      </c>
      <c r="EP802" s="27" t="s">
        <v>7</v>
      </c>
      <c r="EQ802" s="27" t="s">
        <v>8</v>
      </c>
      <c r="ER802" s="27" t="s">
        <v>7</v>
      </c>
      <c r="EU802" s="27" t="s">
        <v>8</v>
      </c>
      <c r="EV802" s="27" t="s">
        <v>7</v>
      </c>
      <c r="EW802" s="27" t="s">
        <v>8</v>
      </c>
      <c r="EX802" s="27" t="s">
        <v>7</v>
      </c>
      <c r="EY802" s="27" t="s">
        <v>8</v>
      </c>
      <c r="EZ802" s="27" t="s">
        <v>7</v>
      </c>
      <c r="FA802" s="27" t="s">
        <v>8</v>
      </c>
      <c r="FB802" s="27" t="s">
        <v>7</v>
      </c>
      <c r="FC802" s="27" t="s">
        <v>8</v>
      </c>
      <c r="FD802" s="27" t="s">
        <v>7</v>
      </c>
      <c r="FE802" s="27" t="s">
        <v>8</v>
      </c>
      <c r="FF802" s="27" t="s">
        <v>7</v>
      </c>
      <c r="FG802" s="27" t="s">
        <v>8</v>
      </c>
      <c r="FH802" s="27" t="s">
        <v>7</v>
      </c>
      <c r="FI802" s="27" t="s">
        <v>8</v>
      </c>
      <c r="GI802" s="27" t="s">
        <v>8</v>
      </c>
      <c r="GJ802" s="27" t="s">
        <v>7</v>
      </c>
      <c r="GK802" s="27" t="s">
        <v>8</v>
      </c>
      <c r="GL802" s="27" t="s">
        <v>7</v>
      </c>
      <c r="GM802" s="27" t="s">
        <v>8</v>
      </c>
      <c r="GN802" s="27" t="s">
        <v>7</v>
      </c>
      <c r="GX802" s="27" t="s">
        <v>7</v>
      </c>
      <c r="GY802" s="27" t="s">
        <v>8</v>
      </c>
      <c r="GZ802" s="27" t="s">
        <v>7</v>
      </c>
      <c r="HD802" s="27" t="s">
        <v>7</v>
      </c>
      <c r="HE802" s="27" t="s">
        <v>8</v>
      </c>
      <c r="HF802" s="27" t="s">
        <v>7</v>
      </c>
      <c r="HG802" s="27" t="s">
        <v>8</v>
      </c>
      <c r="HI802" s="27" t="s">
        <v>8</v>
      </c>
      <c r="HJ802" s="27" t="s">
        <v>7</v>
      </c>
      <c r="HK802" s="27" t="s">
        <v>8</v>
      </c>
      <c r="HL802" s="27" t="s">
        <v>7</v>
      </c>
      <c r="HU802" s="27" t="s">
        <v>8</v>
      </c>
      <c r="JH802" s="27" t="s">
        <v>7</v>
      </c>
      <c r="JI802" s="27" t="s">
        <v>8</v>
      </c>
      <c r="JJ802" s="27" t="s">
        <v>7</v>
      </c>
      <c r="JK802" s="27" t="s">
        <v>8</v>
      </c>
      <c r="JL802" s="27" t="s">
        <v>7</v>
      </c>
      <c r="JM802" s="27" t="s">
        <v>8</v>
      </c>
      <c r="JN802" s="27" t="s">
        <v>7</v>
      </c>
    </row>
    <row r="803" spans="1:278" x14ac:dyDescent="0.25">
      <c r="A803" s="7">
        <v>1.3879150957618939E-2</v>
      </c>
      <c r="B803"/>
      <c r="C803"/>
      <c r="D803"/>
      <c r="E803"/>
      <c r="F803" s="27" t="s">
        <v>7</v>
      </c>
      <c r="AU803" s="27" t="s">
        <v>8</v>
      </c>
      <c r="AV803" s="27" t="s">
        <v>7</v>
      </c>
      <c r="AW803" s="27" t="s">
        <v>8</v>
      </c>
      <c r="AX803" s="27" t="s">
        <v>7</v>
      </c>
      <c r="AY803" s="27" t="s">
        <v>8</v>
      </c>
      <c r="AZ803" s="27" t="s">
        <v>7</v>
      </c>
      <c r="BA803" s="27" t="s">
        <v>8</v>
      </c>
      <c r="BB803" s="27" t="s">
        <v>7</v>
      </c>
      <c r="BC803" s="27" t="s">
        <v>8</v>
      </c>
      <c r="BD803" s="27" t="s">
        <v>7</v>
      </c>
      <c r="BE803" s="27" t="s">
        <v>8</v>
      </c>
      <c r="BF803" s="27" t="s">
        <v>7</v>
      </c>
      <c r="BG803" s="27" t="s">
        <v>8</v>
      </c>
      <c r="BH803" s="27" t="s">
        <v>7</v>
      </c>
      <c r="BI803" s="27" t="s">
        <v>8</v>
      </c>
      <c r="BJ803" s="27" t="s">
        <v>7</v>
      </c>
      <c r="BK803" s="27" t="s">
        <v>8</v>
      </c>
      <c r="BR803" s="27" t="s">
        <v>7</v>
      </c>
      <c r="BT803" s="27" t="s">
        <v>7</v>
      </c>
      <c r="BU803" s="27" t="s">
        <v>8</v>
      </c>
      <c r="BV803" s="27" t="s">
        <v>7</v>
      </c>
      <c r="BW803" s="27" t="s">
        <v>8</v>
      </c>
      <c r="BX803" s="27" t="s">
        <v>7</v>
      </c>
      <c r="BY803" s="27" t="s">
        <v>8</v>
      </c>
      <c r="EP803" s="27" t="s">
        <v>7</v>
      </c>
      <c r="EQ803" s="27" t="s">
        <v>8</v>
      </c>
      <c r="ER803" s="27" t="s">
        <v>7</v>
      </c>
      <c r="EU803" s="27" t="s">
        <v>8</v>
      </c>
      <c r="EV803" s="27" t="s">
        <v>7</v>
      </c>
      <c r="EW803" s="27" t="s">
        <v>8</v>
      </c>
      <c r="EX803" s="27" t="s">
        <v>7</v>
      </c>
      <c r="EY803" s="27" t="s">
        <v>8</v>
      </c>
      <c r="EZ803" s="27" t="s">
        <v>7</v>
      </c>
      <c r="FA803" s="27" t="s">
        <v>8</v>
      </c>
      <c r="FB803" s="27" t="s">
        <v>7</v>
      </c>
      <c r="FD803" s="27" t="s">
        <v>7</v>
      </c>
      <c r="FE803" s="27" t="s">
        <v>8</v>
      </c>
      <c r="FF803" s="27" t="s">
        <v>7</v>
      </c>
      <c r="FG803" s="27" t="s">
        <v>8</v>
      </c>
      <c r="FH803" s="27" t="s">
        <v>7</v>
      </c>
      <c r="FI803" s="27" t="s">
        <v>8</v>
      </c>
      <c r="FJ803" s="27" t="s">
        <v>7</v>
      </c>
      <c r="GI803" s="27" t="s">
        <v>8</v>
      </c>
      <c r="GJ803" s="27" t="s">
        <v>7</v>
      </c>
      <c r="GK803" s="27" t="s">
        <v>8</v>
      </c>
      <c r="GL803" s="27" t="s">
        <v>7</v>
      </c>
      <c r="GX803" s="27" t="s">
        <v>7</v>
      </c>
      <c r="GY803" s="27" t="s">
        <v>8</v>
      </c>
      <c r="HD803" s="27" t="s">
        <v>7</v>
      </c>
      <c r="HE803" s="27" t="s">
        <v>8</v>
      </c>
      <c r="HF803" s="27" t="s">
        <v>7</v>
      </c>
      <c r="HG803" s="27" t="s">
        <v>8</v>
      </c>
      <c r="HH803" s="27" t="s">
        <v>7</v>
      </c>
      <c r="HI803" s="27" t="s">
        <v>8</v>
      </c>
      <c r="HJ803" s="27" t="s">
        <v>7</v>
      </c>
      <c r="HK803" s="27" t="s">
        <v>8</v>
      </c>
      <c r="HL803" s="27" t="s">
        <v>7</v>
      </c>
      <c r="HS803" s="27" t="s">
        <v>8</v>
      </c>
      <c r="HU803" s="27" t="s">
        <v>8</v>
      </c>
      <c r="JH803" s="27" t="s">
        <v>7</v>
      </c>
      <c r="JJ803" s="27" t="s">
        <v>7</v>
      </c>
      <c r="JK803" s="27" t="s">
        <v>8</v>
      </c>
      <c r="JL803" s="27" t="s">
        <v>7</v>
      </c>
      <c r="JN803" s="27" t="s">
        <v>7</v>
      </c>
    </row>
    <row r="804" spans="1:278" x14ac:dyDescent="0.25">
      <c r="A804" s="7">
        <v>1.3607010742763666E-2</v>
      </c>
      <c r="B804"/>
      <c r="C804"/>
      <c r="D804"/>
      <c r="E804"/>
      <c r="F804" s="27" t="s">
        <v>7</v>
      </c>
      <c r="AU804" s="27" t="s">
        <v>8</v>
      </c>
      <c r="AV804" s="27" t="s">
        <v>7</v>
      </c>
      <c r="AW804" s="27" t="s">
        <v>8</v>
      </c>
      <c r="AX804" s="27" t="s">
        <v>7</v>
      </c>
      <c r="AZ804" s="27" t="s">
        <v>7</v>
      </c>
      <c r="BA804" s="27" t="s">
        <v>8</v>
      </c>
      <c r="BB804" s="27" t="s">
        <v>7</v>
      </c>
      <c r="BC804" s="27" t="s">
        <v>8</v>
      </c>
      <c r="BD804" s="27" t="s">
        <v>7</v>
      </c>
      <c r="BE804" s="27" t="s">
        <v>8</v>
      </c>
      <c r="BF804" s="27" t="s">
        <v>7</v>
      </c>
      <c r="BG804" s="27" t="s">
        <v>8</v>
      </c>
      <c r="BH804" s="27" t="s">
        <v>7</v>
      </c>
      <c r="BI804" s="27" t="s">
        <v>8</v>
      </c>
      <c r="BJ804" s="27" t="s">
        <v>7</v>
      </c>
      <c r="BT804" s="27" t="s">
        <v>7</v>
      </c>
      <c r="BU804" s="27" t="s">
        <v>8</v>
      </c>
      <c r="BV804" s="27" t="s">
        <v>7</v>
      </c>
      <c r="BW804" s="27" t="s">
        <v>8</v>
      </c>
      <c r="BX804" s="27" t="s">
        <v>7</v>
      </c>
      <c r="BY804" s="27" t="s">
        <v>8</v>
      </c>
      <c r="EP804" s="27" t="s">
        <v>7</v>
      </c>
      <c r="EQ804" s="27" t="s">
        <v>8</v>
      </c>
      <c r="ER804" s="27" t="s">
        <v>7</v>
      </c>
      <c r="EU804" s="27" t="s">
        <v>8</v>
      </c>
      <c r="EV804" s="27" t="s">
        <v>7</v>
      </c>
      <c r="EW804" s="27" t="s">
        <v>8</v>
      </c>
      <c r="EX804" s="27" t="s">
        <v>7</v>
      </c>
      <c r="EY804" s="27" t="s">
        <v>8</v>
      </c>
      <c r="EZ804" s="27" t="s">
        <v>7</v>
      </c>
      <c r="FA804" s="27" t="s">
        <v>8</v>
      </c>
      <c r="FD804" s="27" t="s">
        <v>7</v>
      </c>
      <c r="FE804" s="27" t="s">
        <v>8</v>
      </c>
      <c r="FF804" s="27" t="s">
        <v>7</v>
      </c>
      <c r="FG804" s="27" t="s">
        <v>8</v>
      </c>
      <c r="FH804" s="27" t="s">
        <v>7</v>
      </c>
      <c r="FI804" s="27" t="s">
        <v>8</v>
      </c>
      <c r="FJ804" s="27" t="s">
        <v>7</v>
      </c>
      <c r="GC804" s="27" t="s">
        <v>8</v>
      </c>
      <c r="GG804" s="27" t="s">
        <v>8</v>
      </c>
      <c r="GI804" s="27" t="s">
        <v>8</v>
      </c>
      <c r="GJ804" s="27" t="s">
        <v>7</v>
      </c>
      <c r="GK804" s="27" t="s">
        <v>8</v>
      </c>
      <c r="GX804" s="27" t="s">
        <v>7</v>
      </c>
      <c r="HD804" s="27" t="s">
        <v>7</v>
      </c>
      <c r="HE804" s="27" t="s">
        <v>8</v>
      </c>
      <c r="HF804" s="27" t="s">
        <v>7</v>
      </c>
      <c r="HG804" s="27" t="s">
        <v>8</v>
      </c>
      <c r="HH804" s="27" t="s">
        <v>7</v>
      </c>
      <c r="HI804" s="27" t="s">
        <v>8</v>
      </c>
      <c r="HJ804" s="27" t="s">
        <v>7</v>
      </c>
      <c r="HK804" s="27" t="s">
        <v>8</v>
      </c>
      <c r="HL804" s="27" t="s">
        <v>7</v>
      </c>
      <c r="HQ804" s="27" t="s">
        <v>8</v>
      </c>
      <c r="HS804" s="27" t="s">
        <v>8</v>
      </c>
      <c r="HT804" s="27" t="s">
        <v>7</v>
      </c>
      <c r="HU804" s="27" t="s">
        <v>8</v>
      </c>
      <c r="JJ804" s="27" t="s">
        <v>7</v>
      </c>
      <c r="JN804" s="27" t="s">
        <v>7</v>
      </c>
    </row>
    <row r="805" spans="1:278" x14ac:dyDescent="0.25">
      <c r="A805" s="7">
        <v>1.3340206610552614E-2</v>
      </c>
      <c r="B805"/>
      <c r="C805"/>
      <c r="D805"/>
      <c r="E805"/>
      <c r="F805" s="27" t="s">
        <v>7</v>
      </c>
      <c r="AU805" s="27" t="s">
        <v>8</v>
      </c>
      <c r="AV805" s="27" t="s">
        <v>7</v>
      </c>
      <c r="AW805" s="27" t="s">
        <v>8</v>
      </c>
      <c r="AZ805" s="27" t="s">
        <v>7</v>
      </c>
      <c r="BA805" s="27" t="s">
        <v>8</v>
      </c>
      <c r="BB805" s="27" t="s">
        <v>7</v>
      </c>
      <c r="BC805" s="27" t="s">
        <v>8</v>
      </c>
      <c r="BD805" s="27" t="s">
        <v>7</v>
      </c>
      <c r="BE805" s="27" t="s">
        <v>8</v>
      </c>
      <c r="BF805" s="27" t="s">
        <v>7</v>
      </c>
      <c r="BG805" s="27" t="s">
        <v>8</v>
      </c>
      <c r="BH805" s="27" t="s">
        <v>7</v>
      </c>
      <c r="BI805" s="27" t="s">
        <v>8</v>
      </c>
      <c r="BT805" s="27" t="s">
        <v>7</v>
      </c>
      <c r="BU805" s="27" t="s">
        <v>8</v>
      </c>
      <c r="BV805" s="27" t="s">
        <v>7</v>
      </c>
      <c r="BW805" s="27" t="s">
        <v>8</v>
      </c>
      <c r="BX805" s="27" t="s">
        <v>7</v>
      </c>
      <c r="EP805" s="27" t="s">
        <v>7</v>
      </c>
      <c r="EQ805" s="27" t="s">
        <v>8</v>
      </c>
      <c r="ER805" s="27" t="s">
        <v>7</v>
      </c>
      <c r="EU805" s="27" t="s">
        <v>8</v>
      </c>
      <c r="EV805" s="27" t="s">
        <v>7</v>
      </c>
      <c r="EW805" s="27" t="s">
        <v>8</v>
      </c>
      <c r="EX805" s="27" t="s">
        <v>7</v>
      </c>
      <c r="EY805" s="27" t="s">
        <v>8</v>
      </c>
      <c r="EZ805" s="27" t="s">
        <v>7</v>
      </c>
      <c r="FA805" s="27" t="s">
        <v>8</v>
      </c>
      <c r="FD805" s="27" t="s">
        <v>7</v>
      </c>
      <c r="FF805" s="27" t="s">
        <v>7</v>
      </c>
      <c r="FG805" s="27" t="s">
        <v>8</v>
      </c>
      <c r="FH805" s="27" t="s">
        <v>7</v>
      </c>
      <c r="FI805" s="27" t="s">
        <v>8</v>
      </c>
      <c r="FJ805" s="27" t="s">
        <v>7</v>
      </c>
      <c r="GC805" s="27" t="s">
        <v>8</v>
      </c>
      <c r="GD805" s="27" t="s">
        <v>7</v>
      </c>
      <c r="GG805" s="27" t="s">
        <v>8</v>
      </c>
      <c r="GH805" s="27" t="s">
        <v>7</v>
      </c>
      <c r="GI805" s="27" t="s">
        <v>8</v>
      </c>
      <c r="GJ805" s="27" t="s">
        <v>7</v>
      </c>
      <c r="GK805" s="27" t="s">
        <v>8</v>
      </c>
      <c r="HD805" s="27" t="s">
        <v>7</v>
      </c>
      <c r="HE805" s="27" t="s">
        <v>8</v>
      </c>
      <c r="HF805" s="27" t="s">
        <v>7</v>
      </c>
      <c r="HG805" s="27" t="s">
        <v>8</v>
      </c>
      <c r="HH805" s="27" t="s">
        <v>7</v>
      </c>
      <c r="HI805" s="27" t="s">
        <v>8</v>
      </c>
      <c r="HJ805" s="27" t="s">
        <v>7</v>
      </c>
      <c r="HK805" s="27" t="s">
        <v>8</v>
      </c>
      <c r="HL805" s="27" t="s">
        <v>7</v>
      </c>
      <c r="HQ805" s="27" t="s">
        <v>8</v>
      </c>
      <c r="HR805" s="27" t="s">
        <v>7</v>
      </c>
      <c r="HS805" s="27" t="s">
        <v>8</v>
      </c>
      <c r="HT805" s="27" t="s">
        <v>7</v>
      </c>
      <c r="HU805" s="27" t="s">
        <v>8</v>
      </c>
      <c r="JN805" s="27" t="s">
        <v>7</v>
      </c>
    </row>
    <row r="806" spans="1:278" x14ac:dyDescent="0.25">
      <c r="A806" s="7">
        <v>1.3078633931914328E-2</v>
      </c>
      <c r="B806"/>
      <c r="C806"/>
      <c r="D806"/>
      <c r="E806"/>
      <c r="F806" s="27" t="s">
        <v>7</v>
      </c>
      <c r="AU806" s="27" t="s">
        <v>8</v>
      </c>
      <c r="AV806" s="27" t="s">
        <v>7</v>
      </c>
      <c r="AW806" s="27" t="s">
        <v>8</v>
      </c>
      <c r="AZ806" s="27" t="s">
        <v>7</v>
      </c>
      <c r="BA806" s="27" t="s">
        <v>8</v>
      </c>
      <c r="BB806" s="27" t="s">
        <v>7</v>
      </c>
      <c r="BC806" s="27" t="s">
        <v>8</v>
      </c>
      <c r="BD806" s="27" t="s">
        <v>7</v>
      </c>
      <c r="BE806" s="27" t="s">
        <v>8</v>
      </c>
      <c r="BF806" s="27" t="s">
        <v>7</v>
      </c>
      <c r="BG806" s="27" t="s">
        <v>8</v>
      </c>
      <c r="BH806" s="27" t="s">
        <v>7</v>
      </c>
      <c r="BT806" s="27" t="s">
        <v>7</v>
      </c>
      <c r="BV806" s="27" t="s">
        <v>7</v>
      </c>
      <c r="BW806" s="27" t="s">
        <v>8</v>
      </c>
      <c r="EP806" s="27" t="s">
        <v>7</v>
      </c>
      <c r="EQ806" s="27" t="s">
        <v>8</v>
      </c>
      <c r="ER806" s="27" t="s">
        <v>7</v>
      </c>
      <c r="EU806" s="27" t="s">
        <v>8</v>
      </c>
      <c r="EV806" s="27" t="s">
        <v>7</v>
      </c>
      <c r="EW806" s="27" t="s">
        <v>8</v>
      </c>
      <c r="EX806" s="27" t="s">
        <v>7</v>
      </c>
      <c r="EY806" s="27" t="s">
        <v>8</v>
      </c>
      <c r="EZ806" s="27" t="s">
        <v>7</v>
      </c>
      <c r="FA806" s="27" t="s">
        <v>8</v>
      </c>
      <c r="FF806" s="27" t="s">
        <v>7</v>
      </c>
      <c r="FG806" s="27" t="s">
        <v>8</v>
      </c>
      <c r="FH806" s="27" t="s">
        <v>7</v>
      </c>
      <c r="FJ806" s="27" t="s">
        <v>7</v>
      </c>
      <c r="GC806" s="27" t="s">
        <v>8</v>
      </c>
      <c r="GD806" s="27" t="s">
        <v>7</v>
      </c>
      <c r="GG806" s="27" t="s">
        <v>8</v>
      </c>
      <c r="GH806" s="27" t="s">
        <v>7</v>
      </c>
      <c r="GI806" s="27" t="s">
        <v>8</v>
      </c>
      <c r="GJ806" s="27" t="s">
        <v>7</v>
      </c>
      <c r="GK806" s="27" t="s">
        <v>8</v>
      </c>
      <c r="HD806" s="27" t="s">
        <v>7</v>
      </c>
      <c r="HE806" s="27" t="s">
        <v>8</v>
      </c>
      <c r="HF806" s="27" t="s">
        <v>7</v>
      </c>
      <c r="HG806" s="27" t="s">
        <v>8</v>
      </c>
      <c r="HH806" s="27" t="s">
        <v>7</v>
      </c>
      <c r="HI806" s="27" t="s">
        <v>8</v>
      </c>
      <c r="HJ806" s="27" t="s">
        <v>7</v>
      </c>
      <c r="HK806" s="27" t="s">
        <v>8</v>
      </c>
      <c r="HL806" s="27" t="s">
        <v>7</v>
      </c>
      <c r="HO806" s="27" t="s">
        <v>8</v>
      </c>
      <c r="HQ806" s="27" t="s">
        <v>8</v>
      </c>
      <c r="HR806" s="27" t="s">
        <v>7</v>
      </c>
      <c r="HS806" s="27" t="s">
        <v>8</v>
      </c>
      <c r="HT806" s="27" t="s">
        <v>7</v>
      </c>
      <c r="HU806" s="27" t="s">
        <v>8</v>
      </c>
      <c r="JN806" s="27" t="s">
        <v>7</v>
      </c>
      <c r="JO806" s="27" t="s">
        <v>8</v>
      </c>
    </row>
    <row r="807" spans="1:278" x14ac:dyDescent="0.25">
      <c r="A807" s="7">
        <v>1.2822190129327771E-2</v>
      </c>
      <c r="B807"/>
      <c r="C807"/>
      <c r="D807"/>
      <c r="E807"/>
      <c r="F807" s="27" t="s">
        <v>7</v>
      </c>
      <c r="AU807" s="27" t="s">
        <v>8</v>
      </c>
      <c r="AV807" s="27" t="s">
        <v>7</v>
      </c>
      <c r="AW807" s="27" t="s">
        <v>8</v>
      </c>
      <c r="AZ807" s="27" t="s">
        <v>7</v>
      </c>
      <c r="BA807" s="27" t="s">
        <v>8</v>
      </c>
      <c r="BB807" s="27" t="s">
        <v>7</v>
      </c>
      <c r="BC807" s="27" t="s">
        <v>8</v>
      </c>
      <c r="BD807" s="27" t="s">
        <v>7</v>
      </c>
      <c r="BE807" s="27" t="s">
        <v>8</v>
      </c>
      <c r="BF807" s="27" t="s">
        <v>7</v>
      </c>
      <c r="BV807" s="27" t="s">
        <v>7</v>
      </c>
      <c r="BW807" s="27" t="s">
        <v>8</v>
      </c>
      <c r="EP807" s="27" t="s">
        <v>7</v>
      </c>
      <c r="EQ807" s="27" t="s">
        <v>8</v>
      </c>
      <c r="ER807" s="27" t="s">
        <v>7</v>
      </c>
      <c r="ES807" s="27" t="s">
        <v>8</v>
      </c>
      <c r="EU807" s="27" t="s">
        <v>8</v>
      </c>
      <c r="EV807" s="27" t="s">
        <v>7</v>
      </c>
      <c r="EW807" s="27" t="s">
        <v>8</v>
      </c>
      <c r="EX807" s="27" t="s">
        <v>7</v>
      </c>
      <c r="EY807" s="27" t="s">
        <v>8</v>
      </c>
      <c r="EZ807" s="27" t="s">
        <v>7</v>
      </c>
      <c r="FA807" s="27" t="s">
        <v>8</v>
      </c>
      <c r="FF807" s="27" t="s">
        <v>7</v>
      </c>
      <c r="FG807" s="27" t="s">
        <v>8</v>
      </c>
      <c r="FJ807" s="27" t="s">
        <v>7</v>
      </c>
      <c r="GC807" s="27" t="s">
        <v>8</v>
      </c>
      <c r="GD807" s="27" t="s">
        <v>7</v>
      </c>
      <c r="GE807" s="27" t="s">
        <v>8</v>
      </c>
      <c r="GG807" s="27" t="s">
        <v>8</v>
      </c>
      <c r="GH807" s="27" t="s">
        <v>7</v>
      </c>
      <c r="GI807" s="27" t="s">
        <v>8</v>
      </c>
      <c r="GJ807" s="27" t="s">
        <v>7</v>
      </c>
      <c r="GK807" s="27" t="s">
        <v>8</v>
      </c>
      <c r="HD807" s="27" t="s">
        <v>7</v>
      </c>
      <c r="HE807" s="27" t="s">
        <v>8</v>
      </c>
      <c r="HF807" s="27" t="s">
        <v>7</v>
      </c>
      <c r="HH807" s="27" t="s">
        <v>7</v>
      </c>
      <c r="HI807" s="27" t="s">
        <v>8</v>
      </c>
      <c r="HJ807" s="27" t="s">
        <v>7</v>
      </c>
      <c r="HK807" s="27" t="s">
        <v>8</v>
      </c>
      <c r="HL807" s="27" t="s">
        <v>7</v>
      </c>
      <c r="HM807" s="27" t="s">
        <v>8</v>
      </c>
      <c r="HO807" s="27" t="s">
        <v>8</v>
      </c>
      <c r="HP807" s="27" t="s">
        <v>7</v>
      </c>
      <c r="HQ807" s="27" t="s">
        <v>8</v>
      </c>
      <c r="HR807" s="27" t="s">
        <v>7</v>
      </c>
      <c r="HS807" s="27" t="s">
        <v>8</v>
      </c>
      <c r="HT807" s="27" t="s">
        <v>7</v>
      </c>
      <c r="HU807" s="27" t="s">
        <v>8</v>
      </c>
      <c r="JN807" s="27" t="s">
        <v>7</v>
      </c>
      <c r="JO807" s="27" t="s">
        <v>8</v>
      </c>
      <c r="JP807" s="27" t="s">
        <v>7</v>
      </c>
    </row>
    <row r="808" spans="1:278" x14ac:dyDescent="0.25">
      <c r="A808" s="7">
        <v>1.2570774636595854E-2</v>
      </c>
      <c r="B808"/>
      <c r="C808"/>
      <c r="D808"/>
      <c r="E808"/>
      <c r="F808" s="27" t="s">
        <v>7</v>
      </c>
      <c r="AU808" s="27" t="s">
        <v>8</v>
      </c>
      <c r="AV808" s="27" t="s">
        <v>7</v>
      </c>
      <c r="AW808" s="27" t="s">
        <v>8</v>
      </c>
      <c r="AZ808" s="27" t="s">
        <v>7</v>
      </c>
      <c r="BA808" s="27" t="s">
        <v>8</v>
      </c>
      <c r="BB808" s="27" t="s">
        <v>7</v>
      </c>
      <c r="BC808" s="27" t="s">
        <v>8</v>
      </c>
      <c r="BD808" s="27" t="s">
        <v>7</v>
      </c>
      <c r="BV808" s="27" t="s">
        <v>7</v>
      </c>
      <c r="BW808" s="27" t="s">
        <v>8</v>
      </c>
      <c r="EP808" s="27" t="s">
        <v>7</v>
      </c>
      <c r="EQ808" s="27" t="s">
        <v>8</v>
      </c>
      <c r="ER808" s="27" t="s">
        <v>7</v>
      </c>
      <c r="ES808" s="27" t="s">
        <v>8</v>
      </c>
      <c r="ET808" s="27" t="s">
        <v>7</v>
      </c>
      <c r="EU808" s="27" t="s">
        <v>8</v>
      </c>
      <c r="EV808" s="27" t="s">
        <v>7</v>
      </c>
      <c r="EW808" s="27" t="s">
        <v>8</v>
      </c>
      <c r="EX808" s="27" t="s">
        <v>7</v>
      </c>
      <c r="EZ808" s="27" t="s">
        <v>7</v>
      </c>
      <c r="FA808" s="27" t="s">
        <v>8</v>
      </c>
      <c r="FF808" s="27" t="s">
        <v>7</v>
      </c>
      <c r="FJ808" s="27" t="s">
        <v>7</v>
      </c>
      <c r="FK808" s="27" t="s">
        <v>8</v>
      </c>
      <c r="FO808" s="27" t="s">
        <v>8</v>
      </c>
      <c r="FS808" s="27" t="s">
        <v>8</v>
      </c>
      <c r="FU808" s="27" t="s">
        <v>8</v>
      </c>
      <c r="GC808" s="27" t="s">
        <v>8</v>
      </c>
      <c r="GD808" s="27" t="s">
        <v>7</v>
      </c>
      <c r="GE808" s="27" t="s">
        <v>8</v>
      </c>
      <c r="GF808" s="27" t="s">
        <v>7</v>
      </c>
      <c r="GG808" s="27" t="s">
        <v>8</v>
      </c>
      <c r="GH808" s="27" t="s">
        <v>7</v>
      </c>
      <c r="GI808" s="27" t="s">
        <v>8</v>
      </c>
      <c r="GJ808" s="27" t="s">
        <v>7</v>
      </c>
      <c r="HD808" s="27" t="s">
        <v>7</v>
      </c>
      <c r="HH808" s="27" t="s">
        <v>7</v>
      </c>
      <c r="HI808" s="27" t="s">
        <v>8</v>
      </c>
      <c r="HJ808" s="27" t="s">
        <v>7</v>
      </c>
      <c r="HK808" s="27" t="s">
        <v>8</v>
      </c>
      <c r="HL808" s="27" t="s">
        <v>7</v>
      </c>
      <c r="HM808" s="27" t="s">
        <v>8</v>
      </c>
      <c r="HN808" s="27" t="s">
        <v>7</v>
      </c>
      <c r="HO808" s="27" t="s">
        <v>8</v>
      </c>
      <c r="HP808" s="27" t="s">
        <v>7</v>
      </c>
      <c r="HQ808" s="27" t="s">
        <v>8</v>
      </c>
      <c r="HR808" s="27" t="s">
        <v>7</v>
      </c>
      <c r="HS808" s="27" t="s">
        <v>8</v>
      </c>
      <c r="HT808" s="27" t="s">
        <v>7</v>
      </c>
      <c r="HU808" s="27" t="s">
        <v>8</v>
      </c>
      <c r="JN808" s="27" t="s">
        <v>7</v>
      </c>
      <c r="JO808" s="27" t="s">
        <v>8</v>
      </c>
      <c r="JP808" s="27" t="s">
        <v>7</v>
      </c>
    </row>
    <row r="809" spans="1:278" x14ac:dyDescent="0.25">
      <c r="A809" s="7">
        <v>1.23242888594077E-2</v>
      </c>
      <c r="B809"/>
      <c r="C809"/>
      <c r="D809"/>
      <c r="E809"/>
      <c r="F809" s="27" t="s">
        <v>7</v>
      </c>
      <c r="AU809" s="27" t="s">
        <v>8</v>
      </c>
      <c r="AV809" s="27" t="s">
        <v>7</v>
      </c>
      <c r="AW809" s="27" t="s">
        <v>8</v>
      </c>
      <c r="AZ809" s="27" t="s">
        <v>7</v>
      </c>
      <c r="BA809" s="27" t="s">
        <v>8</v>
      </c>
      <c r="BB809" s="27" t="s">
        <v>7</v>
      </c>
      <c r="BC809" s="27" t="s">
        <v>8</v>
      </c>
      <c r="BV809" s="27" t="s">
        <v>7</v>
      </c>
      <c r="BW809" s="27" t="s">
        <v>8</v>
      </c>
      <c r="EP809" s="27" t="s">
        <v>7</v>
      </c>
      <c r="EQ809" s="27" t="s">
        <v>8</v>
      </c>
      <c r="ER809" s="27" t="s">
        <v>7</v>
      </c>
      <c r="ES809" s="27" t="s">
        <v>8</v>
      </c>
      <c r="ET809" s="27" t="s">
        <v>7</v>
      </c>
      <c r="EU809" s="27" t="s">
        <v>8</v>
      </c>
      <c r="EV809" s="27" t="s">
        <v>7</v>
      </c>
      <c r="EW809" s="27" t="s">
        <v>8</v>
      </c>
      <c r="EZ809" s="27" t="s">
        <v>7</v>
      </c>
      <c r="FJ809" s="27" t="s">
        <v>7</v>
      </c>
      <c r="FK809" s="27" t="s">
        <v>8</v>
      </c>
      <c r="FL809" s="27" t="s">
        <v>7</v>
      </c>
      <c r="FO809" s="27" t="s">
        <v>8</v>
      </c>
      <c r="FP809" s="27" t="s">
        <v>7</v>
      </c>
      <c r="FS809" s="27" t="s">
        <v>8</v>
      </c>
      <c r="FT809" s="27" t="s">
        <v>7</v>
      </c>
      <c r="FU809" s="27" t="s">
        <v>8</v>
      </c>
      <c r="FV809" s="27" t="s">
        <v>7</v>
      </c>
      <c r="GA809" s="27" t="s">
        <v>8</v>
      </c>
      <c r="GC809" s="27" t="s">
        <v>8</v>
      </c>
      <c r="GD809" s="27" t="s">
        <v>7</v>
      </c>
      <c r="GE809" s="27" t="s">
        <v>8</v>
      </c>
      <c r="GF809" s="27" t="s">
        <v>7</v>
      </c>
      <c r="GG809" s="27" t="s">
        <v>8</v>
      </c>
      <c r="GH809" s="27" t="s">
        <v>7</v>
      </c>
      <c r="GI809" s="27" t="s">
        <v>8</v>
      </c>
      <c r="HH809" s="27" t="s">
        <v>7</v>
      </c>
      <c r="HI809" s="27" t="s">
        <v>8</v>
      </c>
      <c r="HJ809" s="27" t="s">
        <v>7</v>
      </c>
      <c r="HK809" s="27" t="s">
        <v>8</v>
      </c>
      <c r="HL809" s="27" t="s">
        <v>7</v>
      </c>
      <c r="HM809" s="27" t="s">
        <v>8</v>
      </c>
      <c r="HN809" s="27" t="s">
        <v>7</v>
      </c>
      <c r="HO809" s="27" t="s">
        <v>8</v>
      </c>
      <c r="HP809" s="27" t="s">
        <v>7</v>
      </c>
      <c r="HR809" s="27" t="s">
        <v>7</v>
      </c>
      <c r="HS809" s="27" t="s">
        <v>8</v>
      </c>
      <c r="HT809" s="27" t="s">
        <v>7</v>
      </c>
      <c r="HU809" s="27" t="s">
        <v>8</v>
      </c>
      <c r="JN809" s="27" t="s">
        <v>7</v>
      </c>
      <c r="JO809" s="27" t="s">
        <v>8</v>
      </c>
      <c r="JP809" s="27" t="s">
        <v>7</v>
      </c>
      <c r="JQ809" s="27" t="s">
        <v>8</v>
      </c>
    </row>
    <row r="810" spans="1:278" x14ac:dyDescent="0.25">
      <c r="A810" s="7">
        <v>1.2082636136674216E-2</v>
      </c>
      <c r="B810"/>
      <c r="C810"/>
      <c r="D810"/>
      <c r="E810"/>
      <c r="F810" s="27" t="s">
        <v>7</v>
      </c>
      <c r="AU810" s="27" t="s">
        <v>8</v>
      </c>
      <c r="AV810" s="27" t="s">
        <v>7</v>
      </c>
      <c r="AW810" s="27" t="s">
        <v>8</v>
      </c>
      <c r="AZ810" s="27" t="s">
        <v>7</v>
      </c>
      <c r="BA810" s="27" t="s">
        <v>8</v>
      </c>
      <c r="BB810" s="27" t="s">
        <v>7</v>
      </c>
      <c r="BV810" s="27" t="s">
        <v>7</v>
      </c>
      <c r="BW810" s="27" t="s">
        <v>8</v>
      </c>
      <c r="EP810" s="27" t="s">
        <v>7</v>
      </c>
      <c r="EQ810" s="27" t="s">
        <v>8</v>
      </c>
      <c r="ER810" s="27" t="s">
        <v>7</v>
      </c>
      <c r="ES810" s="27" t="s">
        <v>8</v>
      </c>
      <c r="ET810" s="27" t="s">
        <v>7</v>
      </c>
      <c r="EU810" s="27" t="s">
        <v>8</v>
      </c>
      <c r="EV810" s="27" t="s">
        <v>7</v>
      </c>
      <c r="EW810" s="27" t="s">
        <v>8</v>
      </c>
      <c r="FJ810" s="27" t="s">
        <v>7</v>
      </c>
      <c r="FK810" s="27" t="s">
        <v>8</v>
      </c>
      <c r="FL810" s="27" t="s">
        <v>7</v>
      </c>
      <c r="FO810" s="27" t="s">
        <v>8</v>
      </c>
      <c r="FP810" s="27" t="s">
        <v>7</v>
      </c>
      <c r="FQ810" s="27" t="s">
        <v>8</v>
      </c>
      <c r="FS810" s="27" t="s">
        <v>8</v>
      </c>
      <c r="FT810" s="27" t="s">
        <v>7</v>
      </c>
      <c r="FU810" s="27" t="s">
        <v>8</v>
      </c>
      <c r="FV810" s="27" t="s">
        <v>7</v>
      </c>
      <c r="FW810" s="27" t="s">
        <v>8</v>
      </c>
      <c r="GA810" s="27" t="s">
        <v>8</v>
      </c>
      <c r="GB810" s="27" t="s">
        <v>7</v>
      </c>
      <c r="GC810" s="27" t="s">
        <v>8</v>
      </c>
      <c r="GD810" s="27" t="s">
        <v>7</v>
      </c>
      <c r="GE810" s="27" t="s">
        <v>8</v>
      </c>
      <c r="GF810" s="27" t="s">
        <v>7</v>
      </c>
      <c r="GH810" s="27" t="s">
        <v>7</v>
      </c>
      <c r="GI810" s="27" t="s">
        <v>8</v>
      </c>
      <c r="HH810" s="27" t="s">
        <v>7</v>
      </c>
      <c r="HI810" s="27" t="s">
        <v>8</v>
      </c>
      <c r="HJ810" s="27" t="s">
        <v>7</v>
      </c>
      <c r="HK810" s="27" t="s">
        <v>8</v>
      </c>
      <c r="HL810" s="27" t="s">
        <v>7</v>
      </c>
      <c r="HM810" s="27" t="s">
        <v>8</v>
      </c>
      <c r="HN810" s="27" t="s">
        <v>7</v>
      </c>
      <c r="HO810" s="27" t="s">
        <v>8</v>
      </c>
      <c r="HR810" s="27" t="s">
        <v>7</v>
      </c>
      <c r="HS810" s="27" t="s">
        <v>8</v>
      </c>
      <c r="HT810" s="27" t="s">
        <v>7</v>
      </c>
      <c r="HU810" s="27" t="s">
        <v>8</v>
      </c>
      <c r="JN810" s="27" t="s">
        <v>7</v>
      </c>
      <c r="JO810" s="27" t="s">
        <v>8</v>
      </c>
      <c r="JP810" s="27" t="s">
        <v>7</v>
      </c>
      <c r="JQ810" s="27" t="s">
        <v>8</v>
      </c>
      <c r="JR810" s="27" t="s">
        <v>7</v>
      </c>
    </row>
    <row r="811" spans="1:278" x14ac:dyDescent="0.25">
      <c r="A811" s="7">
        <v>1.184572170262178E-2</v>
      </c>
      <c r="B811"/>
      <c r="C811"/>
      <c r="D811"/>
      <c r="E811"/>
      <c r="F811" s="27" t="s">
        <v>7</v>
      </c>
      <c r="AU811" s="27" t="s">
        <v>8</v>
      </c>
      <c r="AV811" s="27" t="s">
        <v>7</v>
      </c>
      <c r="AW811" s="27" t="s">
        <v>8</v>
      </c>
      <c r="AZ811" s="27" t="s">
        <v>7</v>
      </c>
      <c r="BA811" s="27" t="s">
        <v>8</v>
      </c>
      <c r="BV811" s="27" t="s">
        <v>7</v>
      </c>
      <c r="BW811" s="27" t="s">
        <v>8</v>
      </c>
      <c r="EP811" s="27" t="s">
        <v>7</v>
      </c>
      <c r="EQ811" s="27" t="s">
        <v>8</v>
      </c>
      <c r="ER811" s="27" t="s">
        <v>7</v>
      </c>
      <c r="ES811" s="27" t="s">
        <v>8</v>
      </c>
      <c r="ET811" s="27" t="s">
        <v>7</v>
      </c>
      <c r="EU811" s="27" t="s">
        <v>8</v>
      </c>
      <c r="EV811" s="27" t="s">
        <v>7</v>
      </c>
      <c r="EW811" s="27" t="s">
        <v>8</v>
      </c>
      <c r="FJ811" s="27" t="s">
        <v>7</v>
      </c>
      <c r="FK811" s="27" t="s">
        <v>8</v>
      </c>
      <c r="FL811" s="27" t="s">
        <v>7</v>
      </c>
      <c r="FM811" s="27" t="s">
        <v>8</v>
      </c>
      <c r="FO811" s="27" t="s">
        <v>8</v>
      </c>
      <c r="FP811" s="27" t="s">
        <v>7</v>
      </c>
      <c r="FQ811" s="27" t="s">
        <v>8</v>
      </c>
      <c r="FR811" s="27" t="s">
        <v>7</v>
      </c>
      <c r="FS811" s="27" t="s">
        <v>8</v>
      </c>
      <c r="FT811" s="27" t="s">
        <v>7</v>
      </c>
      <c r="FU811" s="27" t="s">
        <v>8</v>
      </c>
      <c r="FV811" s="27" t="s">
        <v>7</v>
      </c>
      <c r="FW811" s="27" t="s">
        <v>8</v>
      </c>
      <c r="FX811" s="27" t="s">
        <v>7</v>
      </c>
      <c r="GA811" s="27" t="s">
        <v>8</v>
      </c>
      <c r="GB811" s="27" t="s">
        <v>7</v>
      </c>
      <c r="GC811" s="27" t="s">
        <v>8</v>
      </c>
      <c r="GD811" s="27" t="s">
        <v>7</v>
      </c>
      <c r="GE811" s="27" t="s">
        <v>8</v>
      </c>
      <c r="GH811" s="27" t="s">
        <v>7</v>
      </c>
      <c r="GI811" s="27" t="s">
        <v>8</v>
      </c>
      <c r="HH811" s="27" t="s">
        <v>7</v>
      </c>
      <c r="HI811" s="27" t="s">
        <v>8</v>
      </c>
      <c r="HJ811" s="27" t="s">
        <v>7</v>
      </c>
      <c r="HL811" s="27" t="s">
        <v>7</v>
      </c>
      <c r="HM811" s="27" t="s">
        <v>8</v>
      </c>
      <c r="HN811" s="27" t="s">
        <v>7</v>
      </c>
      <c r="HO811" s="27" t="s">
        <v>8</v>
      </c>
      <c r="HR811" s="27" t="s">
        <v>7</v>
      </c>
      <c r="HS811" s="27" t="s">
        <v>8</v>
      </c>
      <c r="HT811" s="27" t="s">
        <v>7</v>
      </c>
      <c r="JN811" s="27" t="s">
        <v>7</v>
      </c>
      <c r="JO811" s="27" t="s">
        <v>8</v>
      </c>
      <c r="JP811" s="27" t="s">
        <v>7</v>
      </c>
      <c r="JQ811" s="27" t="s">
        <v>8</v>
      </c>
      <c r="JR811" s="27" t="s">
        <v>7</v>
      </c>
    </row>
    <row r="812" spans="1:278" x14ac:dyDescent="0.25">
      <c r="A812" s="7">
        <v>1.1613452649629196E-2</v>
      </c>
      <c r="B812"/>
      <c r="C812"/>
      <c r="D812"/>
      <c r="E812"/>
      <c r="F812" s="27" t="s">
        <v>7</v>
      </c>
      <c r="AU812" s="27" t="s">
        <v>8</v>
      </c>
      <c r="AV812" s="27" t="s">
        <v>7</v>
      </c>
      <c r="AW812" s="27" t="s">
        <v>8</v>
      </c>
      <c r="AZ812" s="27" t="s">
        <v>7</v>
      </c>
      <c r="BA812" s="27" t="s">
        <v>8</v>
      </c>
      <c r="BV812" s="27" t="s">
        <v>7</v>
      </c>
      <c r="EP812" s="27" t="s">
        <v>7</v>
      </c>
      <c r="EQ812" s="27" t="s">
        <v>8</v>
      </c>
      <c r="ER812" s="27" t="s">
        <v>7</v>
      </c>
      <c r="ES812" s="27" t="s">
        <v>8</v>
      </c>
      <c r="ET812" s="27" t="s">
        <v>7</v>
      </c>
      <c r="EU812" s="27" t="s">
        <v>8</v>
      </c>
      <c r="EV812" s="27" t="s">
        <v>7</v>
      </c>
      <c r="EW812" s="27" t="s">
        <v>8</v>
      </c>
      <c r="FJ812" s="27" t="s">
        <v>7</v>
      </c>
      <c r="FK812" s="27" t="s">
        <v>8</v>
      </c>
      <c r="FL812" s="27" t="s">
        <v>7</v>
      </c>
      <c r="FM812" s="27" t="s">
        <v>8</v>
      </c>
      <c r="FN812" s="27" t="s">
        <v>7</v>
      </c>
      <c r="FO812" s="27" t="s">
        <v>8</v>
      </c>
      <c r="FP812" s="27" t="s">
        <v>7</v>
      </c>
      <c r="FQ812" s="27" t="s">
        <v>8</v>
      </c>
      <c r="FR812" s="27" t="s">
        <v>7</v>
      </c>
      <c r="FS812" s="27" t="s">
        <v>8</v>
      </c>
      <c r="FT812" s="27" t="s">
        <v>7</v>
      </c>
      <c r="FU812" s="27" t="s">
        <v>8</v>
      </c>
      <c r="FV812" s="27" t="s">
        <v>7</v>
      </c>
      <c r="FW812" s="27" t="s">
        <v>8</v>
      </c>
      <c r="FX812" s="27" t="s">
        <v>7</v>
      </c>
      <c r="GA812" s="27" t="s">
        <v>8</v>
      </c>
      <c r="GB812" s="27" t="s">
        <v>7</v>
      </c>
      <c r="GC812" s="27" t="s">
        <v>8</v>
      </c>
      <c r="GD812" s="27" t="s">
        <v>7</v>
      </c>
      <c r="GH812" s="27" t="s">
        <v>7</v>
      </c>
      <c r="GI812" s="27" t="s">
        <v>8</v>
      </c>
      <c r="HH812" s="27" t="s">
        <v>7</v>
      </c>
      <c r="HL812" s="27" t="s">
        <v>7</v>
      </c>
      <c r="HM812" s="27" t="s">
        <v>8</v>
      </c>
      <c r="HN812" s="27" t="s">
        <v>7</v>
      </c>
      <c r="HO812" s="27" t="s">
        <v>8</v>
      </c>
      <c r="HR812" s="27" t="s">
        <v>7</v>
      </c>
      <c r="HS812" s="27" t="s">
        <v>8</v>
      </c>
      <c r="JN812" s="27" t="s">
        <v>7</v>
      </c>
      <c r="JO812" s="27" t="s">
        <v>8</v>
      </c>
      <c r="JP812" s="27" t="s">
        <v>7</v>
      </c>
      <c r="JQ812" s="27" t="s">
        <v>8</v>
      </c>
      <c r="JR812" s="27" t="s">
        <v>7</v>
      </c>
    </row>
    <row r="813" spans="1:278" x14ac:dyDescent="0.25">
      <c r="A813" s="7">
        <v>1.138573789179333E-2</v>
      </c>
      <c r="B813"/>
      <c r="C813"/>
      <c r="D813"/>
      <c r="E813"/>
      <c r="F813" s="27" t="s">
        <v>7</v>
      </c>
      <c r="I813" s="27" t="s">
        <v>8</v>
      </c>
      <c r="AU813" s="27" t="s">
        <v>8</v>
      </c>
      <c r="AV813" s="27" t="s">
        <v>7</v>
      </c>
      <c r="AW813" s="27" t="s">
        <v>8</v>
      </c>
      <c r="AZ813" s="27" t="s">
        <v>7</v>
      </c>
      <c r="BA813" s="27" t="s">
        <v>8</v>
      </c>
      <c r="EP813" s="27" t="s">
        <v>7</v>
      </c>
      <c r="EQ813" s="27" t="s">
        <v>8</v>
      </c>
      <c r="ER813" s="27" t="s">
        <v>7</v>
      </c>
      <c r="ES813" s="27" t="s">
        <v>8</v>
      </c>
      <c r="ET813" s="27" t="s">
        <v>7</v>
      </c>
      <c r="EU813" s="27" t="s">
        <v>8</v>
      </c>
      <c r="EV813" s="27" t="s">
        <v>7</v>
      </c>
      <c r="FJ813" s="27" t="s">
        <v>7</v>
      </c>
      <c r="FK813" s="27" t="s">
        <v>8</v>
      </c>
      <c r="FL813" s="27" t="s">
        <v>7</v>
      </c>
      <c r="FM813" s="27" t="s">
        <v>8</v>
      </c>
      <c r="FN813" s="27" t="s">
        <v>7</v>
      </c>
      <c r="FO813" s="27" t="s">
        <v>8</v>
      </c>
      <c r="FP813" s="27" t="s">
        <v>7</v>
      </c>
      <c r="FQ813" s="27" t="s">
        <v>8</v>
      </c>
      <c r="FR813" s="27" t="s">
        <v>7</v>
      </c>
      <c r="FT813" s="27" t="s">
        <v>7</v>
      </c>
      <c r="FU813" s="27" t="s">
        <v>8</v>
      </c>
      <c r="FV813" s="27" t="s">
        <v>7</v>
      </c>
      <c r="FW813" s="27" t="s">
        <v>8</v>
      </c>
      <c r="FX813" s="27" t="s">
        <v>7</v>
      </c>
      <c r="FY813" s="27" t="s">
        <v>8</v>
      </c>
      <c r="GA813" s="27" t="s">
        <v>8</v>
      </c>
      <c r="GB813" s="27" t="s">
        <v>7</v>
      </c>
      <c r="GC813" s="27" t="s">
        <v>8</v>
      </c>
      <c r="GH813" s="27" t="s">
        <v>7</v>
      </c>
      <c r="HL813" s="27" t="s">
        <v>7</v>
      </c>
      <c r="HM813" s="27" t="s">
        <v>8</v>
      </c>
      <c r="HN813" s="27" t="s">
        <v>7</v>
      </c>
      <c r="HR813" s="27" t="s">
        <v>7</v>
      </c>
      <c r="JN813" s="27" t="s">
        <v>7</v>
      </c>
      <c r="JP813" s="27" t="s">
        <v>7</v>
      </c>
      <c r="JQ813" s="27" t="s">
        <v>8</v>
      </c>
      <c r="JR813" s="27" t="s">
        <v>7</v>
      </c>
    </row>
    <row r="814" spans="1:278" x14ac:dyDescent="0.25">
      <c r="A814" s="7">
        <v>1.1162488129209149E-2</v>
      </c>
      <c r="B814"/>
      <c r="C814"/>
      <c r="D814"/>
      <c r="E814"/>
      <c r="F814" s="27" t="s">
        <v>7</v>
      </c>
      <c r="I814" s="27" t="s">
        <v>8</v>
      </c>
      <c r="J814" s="27" t="s">
        <v>7</v>
      </c>
      <c r="AO814" s="27" t="s">
        <v>8</v>
      </c>
      <c r="AU814" s="27" t="s">
        <v>8</v>
      </c>
      <c r="AV814" s="27" t="s">
        <v>7</v>
      </c>
      <c r="AW814" s="27" t="s">
        <v>8</v>
      </c>
      <c r="AZ814" s="27" t="s">
        <v>7</v>
      </c>
      <c r="BA814" s="27" t="s">
        <v>8</v>
      </c>
      <c r="EP814" s="27" t="s">
        <v>7</v>
      </c>
      <c r="EQ814" s="27" t="s">
        <v>8</v>
      </c>
      <c r="ER814" s="27" t="s">
        <v>7</v>
      </c>
      <c r="ES814" s="27" t="s">
        <v>8</v>
      </c>
      <c r="ET814" s="27" t="s">
        <v>7</v>
      </c>
      <c r="EU814" s="27" t="s">
        <v>8</v>
      </c>
      <c r="FJ814" s="27" t="s">
        <v>7</v>
      </c>
      <c r="FK814" s="27" t="s">
        <v>8</v>
      </c>
      <c r="FL814" s="27" t="s">
        <v>7</v>
      </c>
      <c r="FM814" s="27" t="s">
        <v>8</v>
      </c>
      <c r="FN814" s="27" t="s">
        <v>7</v>
      </c>
      <c r="FP814" s="27" t="s">
        <v>7</v>
      </c>
      <c r="FQ814" s="27" t="s">
        <v>8</v>
      </c>
      <c r="FT814" s="27" t="s">
        <v>7</v>
      </c>
      <c r="FV814" s="27" t="s">
        <v>7</v>
      </c>
      <c r="FW814" s="27" t="s">
        <v>8</v>
      </c>
      <c r="FX814" s="27" t="s">
        <v>7</v>
      </c>
      <c r="FY814" s="27" t="s">
        <v>8</v>
      </c>
      <c r="FZ814" s="27" t="s">
        <v>7</v>
      </c>
      <c r="GA814" s="27" t="s">
        <v>8</v>
      </c>
      <c r="GB814" s="27" t="s">
        <v>7</v>
      </c>
      <c r="GC814" s="27" t="s">
        <v>8</v>
      </c>
      <c r="HL814" s="27" t="s">
        <v>7</v>
      </c>
      <c r="JP814" s="27" t="s">
        <v>7</v>
      </c>
      <c r="JQ814" s="27" t="s">
        <v>8</v>
      </c>
      <c r="JR814" s="27" t="s">
        <v>7</v>
      </c>
    </row>
    <row r="815" spans="1:278" x14ac:dyDescent="0.25">
      <c r="A815" s="7">
        <v>1.0943615812950145E-2</v>
      </c>
      <c r="B815"/>
      <c r="C815"/>
      <c r="D815"/>
      <c r="E815"/>
      <c r="F815" s="27" t="s">
        <v>7</v>
      </c>
      <c r="I815" s="27" t="s">
        <v>8</v>
      </c>
      <c r="J815" s="27" t="s">
        <v>7</v>
      </c>
      <c r="AO815" s="27" t="s">
        <v>8</v>
      </c>
      <c r="AP815" s="27" t="s">
        <v>7</v>
      </c>
      <c r="AU815" s="27" t="s">
        <v>8</v>
      </c>
      <c r="AV815" s="27" t="s">
        <v>7</v>
      </c>
      <c r="AW815" s="27" t="s">
        <v>8</v>
      </c>
      <c r="AZ815" s="27" t="s">
        <v>7</v>
      </c>
      <c r="BA815" s="27" t="s">
        <v>8</v>
      </c>
      <c r="EP815" s="27" t="s">
        <v>7</v>
      </c>
      <c r="EQ815" s="27" t="s">
        <v>8</v>
      </c>
      <c r="ER815" s="27" t="s">
        <v>7</v>
      </c>
      <c r="ES815" s="27" t="s">
        <v>8</v>
      </c>
      <c r="ET815" s="27" t="s">
        <v>7</v>
      </c>
      <c r="EU815" s="27" t="s">
        <v>8</v>
      </c>
      <c r="FJ815" s="27" t="s">
        <v>7</v>
      </c>
      <c r="FK815" s="27" t="s">
        <v>8</v>
      </c>
      <c r="FL815" s="27" t="s">
        <v>7</v>
      </c>
      <c r="FM815" s="27" t="s">
        <v>8</v>
      </c>
      <c r="FP815" s="27" t="s">
        <v>7</v>
      </c>
      <c r="FV815" s="27" t="s">
        <v>7</v>
      </c>
      <c r="FX815" s="27" t="s">
        <v>7</v>
      </c>
      <c r="FY815" s="27" t="s">
        <v>8</v>
      </c>
      <c r="FZ815" s="27" t="s">
        <v>7</v>
      </c>
      <c r="GA815" s="27" t="s">
        <v>8</v>
      </c>
      <c r="GB815" s="27" t="s">
        <v>7</v>
      </c>
      <c r="GC815" s="27" t="s">
        <v>8</v>
      </c>
      <c r="JP815" s="27" t="s">
        <v>7</v>
      </c>
      <c r="JQ815" s="27" t="s">
        <v>8</v>
      </c>
    </row>
    <row r="816" spans="1:278" x14ac:dyDescent="0.25">
      <c r="A816" s="7">
        <v>1.0729035110735436E-2</v>
      </c>
      <c r="B816"/>
      <c r="C816"/>
      <c r="D816"/>
      <c r="E816"/>
      <c r="F816" s="27" t="s">
        <v>7</v>
      </c>
      <c r="I816" s="27" t="s">
        <v>8</v>
      </c>
      <c r="J816" s="27" t="s">
        <v>7</v>
      </c>
      <c r="AO816" s="27" t="s">
        <v>8</v>
      </c>
      <c r="AP816" s="27" t="s">
        <v>7</v>
      </c>
      <c r="AU816" s="27" t="s">
        <v>8</v>
      </c>
      <c r="AV816" s="27" t="s">
        <v>7</v>
      </c>
      <c r="AW816" s="27" t="s">
        <v>8</v>
      </c>
      <c r="AZ816" s="27" t="s">
        <v>7</v>
      </c>
      <c r="EP816" s="27" t="s">
        <v>7</v>
      </c>
      <c r="ER816" s="27" t="s">
        <v>7</v>
      </c>
      <c r="ET816" s="27" t="s">
        <v>7</v>
      </c>
      <c r="EU816" s="27" t="s">
        <v>8</v>
      </c>
      <c r="FJ816" s="27" t="s">
        <v>7</v>
      </c>
      <c r="FK816" s="27" t="s">
        <v>8</v>
      </c>
      <c r="FL816" s="27" t="s">
        <v>7</v>
      </c>
      <c r="FM816" s="27" t="s">
        <v>8</v>
      </c>
      <c r="FX816" s="27" t="s">
        <v>7</v>
      </c>
      <c r="FY816" s="27" t="s">
        <v>8</v>
      </c>
      <c r="FZ816" s="27" t="s">
        <v>7</v>
      </c>
      <c r="GA816" s="27" t="s">
        <v>8</v>
      </c>
      <c r="GB816" s="27" t="s">
        <v>7</v>
      </c>
      <c r="GC816" s="27" t="s">
        <v>8</v>
      </c>
      <c r="JP816" s="27" t="s">
        <v>7</v>
      </c>
      <c r="JQ816" s="27" t="s">
        <v>8</v>
      </c>
    </row>
    <row r="817" spans="1:277" x14ac:dyDescent="0.25">
      <c r="A817" s="7">
        <v>1.0518661873270036E-2</v>
      </c>
      <c r="B817"/>
      <c r="C817"/>
      <c r="D817"/>
      <c r="E817"/>
      <c r="F817" s="27" t="s">
        <v>7</v>
      </c>
      <c r="I817" s="27" t="s">
        <v>8</v>
      </c>
      <c r="J817" s="27" t="s">
        <v>7</v>
      </c>
      <c r="AO817" s="27" t="s">
        <v>8</v>
      </c>
      <c r="AP817" s="27" t="s">
        <v>7</v>
      </c>
      <c r="AU817" s="27" t="s">
        <v>8</v>
      </c>
      <c r="AV817" s="27" t="s">
        <v>7</v>
      </c>
      <c r="AW817" s="27" t="s">
        <v>8</v>
      </c>
      <c r="ET817" s="27" t="s">
        <v>7</v>
      </c>
      <c r="EU817" s="27" t="s">
        <v>8</v>
      </c>
      <c r="FJ817" s="27" t="s">
        <v>7</v>
      </c>
      <c r="FK817" s="27" t="s">
        <v>8</v>
      </c>
      <c r="FL817" s="27" t="s">
        <v>7</v>
      </c>
      <c r="FM817" s="27" t="s">
        <v>8</v>
      </c>
      <c r="FX817" s="27" t="s">
        <v>7</v>
      </c>
      <c r="FZ817" s="27" t="s">
        <v>7</v>
      </c>
      <c r="GA817" s="27" t="s">
        <v>8</v>
      </c>
      <c r="GB817" s="27" t="s">
        <v>7</v>
      </c>
      <c r="GC817" s="27" t="s">
        <v>8</v>
      </c>
      <c r="JP817" s="27" t="s">
        <v>7</v>
      </c>
      <c r="JQ817" s="27" t="s">
        <v>8</v>
      </c>
    </row>
    <row r="818" spans="1:277" x14ac:dyDescent="0.25">
      <c r="A818" s="7">
        <v>1.0312413601245135E-2</v>
      </c>
      <c r="B818"/>
      <c r="C818"/>
      <c r="D818"/>
      <c r="E818"/>
      <c r="F818" s="27" t="s">
        <v>7</v>
      </c>
      <c r="I818" s="27" t="s">
        <v>8</v>
      </c>
      <c r="J818" s="27" t="s">
        <v>7</v>
      </c>
      <c r="K818" s="27" t="s">
        <v>8</v>
      </c>
      <c r="AO818" s="27" t="s">
        <v>8</v>
      </c>
      <c r="AP818" s="27" t="s">
        <v>7</v>
      </c>
      <c r="AU818" s="27" t="s">
        <v>8</v>
      </c>
      <c r="AV818" s="27" t="s">
        <v>7</v>
      </c>
      <c r="AW818" s="27" t="s">
        <v>8</v>
      </c>
      <c r="ET818" s="27" t="s">
        <v>7</v>
      </c>
      <c r="EU818" s="27" t="s">
        <v>8</v>
      </c>
      <c r="FJ818" s="27" t="s">
        <v>7</v>
      </c>
      <c r="FK818" s="27" t="s">
        <v>8</v>
      </c>
      <c r="FL818" s="27" t="s">
        <v>7</v>
      </c>
      <c r="FM818" s="27" t="s">
        <v>8</v>
      </c>
      <c r="FZ818" s="27" t="s">
        <v>7</v>
      </c>
      <c r="GA818" s="27" t="s">
        <v>8</v>
      </c>
      <c r="GB818" s="18" t="s">
        <v>7</v>
      </c>
      <c r="GC818" s="27" t="s">
        <v>8</v>
      </c>
      <c r="JP818" s="27" t="s">
        <v>7</v>
      </c>
      <c r="JQ818" s="27" t="s">
        <v>8</v>
      </c>
    </row>
    <row r="819" spans="1:277" x14ac:dyDescent="0.25">
      <c r="A819" s="7">
        <v>1.0110209412985426E-2</v>
      </c>
      <c r="B819"/>
      <c r="C819"/>
      <c r="D819"/>
      <c r="E819"/>
      <c r="F819" s="27" t="s">
        <v>7</v>
      </c>
      <c r="I819" s="27" t="s">
        <v>8</v>
      </c>
      <c r="J819" s="27" t="s">
        <v>7</v>
      </c>
      <c r="K819" s="27" t="s">
        <v>8</v>
      </c>
      <c r="L819" s="27" t="s">
        <v>7</v>
      </c>
      <c r="AO819" s="27" t="s">
        <v>8</v>
      </c>
      <c r="AP819" s="27" t="s">
        <v>7</v>
      </c>
      <c r="AU819" s="27" t="s">
        <v>8</v>
      </c>
      <c r="AV819" s="27" t="s">
        <v>7</v>
      </c>
      <c r="AW819" s="27" t="s">
        <v>8</v>
      </c>
      <c r="ET819" s="27" t="s">
        <v>7</v>
      </c>
      <c r="EU819" s="27" t="s">
        <v>8</v>
      </c>
      <c r="FJ819" s="27" t="s">
        <v>7</v>
      </c>
      <c r="FK819" s="27" t="s">
        <v>8</v>
      </c>
      <c r="FL819" s="27" t="s">
        <v>7</v>
      </c>
      <c r="FM819" s="27" t="s">
        <v>8</v>
      </c>
      <c r="FZ819" s="27" t="s">
        <v>7</v>
      </c>
      <c r="GB819" s="27" t="s">
        <v>7</v>
      </c>
      <c r="GC819" s="27" t="s">
        <v>8</v>
      </c>
      <c r="JP819" s="27" t="s">
        <v>7</v>
      </c>
    </row>
    <row r="820" spans="1:277" x14ac:dyDescent="0.25">
      <c r="A820" s="7">
        <v>9.9119700127308103E-3</v>
      </c>
      <c r="B820"/>
      <c r="C820"/>
      <c r="D820"/>
      <c r="E820"/>
      <c r="F820" s="27" t="s">
        <v>7</v>
      </c>
      <c r="I820" s="27" t="s">
        <v>8</v>
      </c>
      <c r="J820" s="27" t="s">
        <v>7</v>
      </c>
      <c r="K820" s="27" t="s">
        <v>8</v>
      </c>
      <c r="L820" s="27" t="s">
        <v>7</v>
      </c>
      <c r="AO820" s="27" t="s">
        <v>8</v>
      </c>
      <c r="AP820" s="27" t="s">
        <v>7</v>
      </c>
      <c r="AU820" s="27" t="s">
        <v>8</v>
      </c>
      <c r="AV820" s="27" t="s">
        <v>7</v>
      </c>
      <c r="AW820" s="27" t="s">
        <v>8</v>
      </c>
      <c r="ET820" s="27" t="s">
        <v>7</v>
      </c>
      <c r="EU820" s="27" t="s">
        <v>8</v>
      </c>
      <c r="FJ820" s="27" t="s">
        <v>7</v>
      </c>
      <c r="FK820" s="27" t="s">
        <v>8</v>
      </c>
      <c r="FL820" s="27" t="s">
        <v>7</v>
      </c>
      <c r="FM820" s="27" t="s">
        <v>8</v>
      </c>
      <c r="GB820" s="27" t="s">
        <v>7</v>
      </c>
      <c r="GC820" s="27" t="s">
        <v>8</v>
      </c>
    </row>
    <row r="821" spans="1:277" x14ac:dyDescent="0.25">
      <c r="A821" s="7">
        <v>9.717617659540009E-3</v>
      </c>
      <c r="B821"/>
      <c r="C821"/>
      <c r="D821"/>
      <c r="E821"/>
      <c r="F821" s="27" t="s">
        <v>7</v>
      </c>
      <c r="I821" s="27" t="s">
        <v>8</v>
      </c>
      <c r="J821" s="27" t="s">
        <v>7</v>
      </c>
      <c r="K821" s="27" t="s">
        <v>8</v>
      </c>
      <c r="L821" s="27" t="s">
        <v>7</v>
      </c>
      <c r="AO821" s="27" t="s">
        <v>8</v>
      </c>
      <c r="AP821" s="27" t="s">
        <v>7</v>
      </c>
      <c r="AU821" s="27" t="s">
        <v>8</v>
      </c>
      <c r="AV821" s="27" t="s">
        <v>7</v>
      </c>
      <c r="AW821" s="27" t="s">
        <v>8</v>
      </c>
      <c r="ET821" s="27" t="s">
        <v>7</v>
      </c>
      <c r="EU821" s="27" t="s">
        <v>8</v>
      </c>
      <c r="FJ821" s="27" t="s">
        <v>7</v>
      </c>
      <c r="FK821" s="27" t="s">
        <v>8</v>
      </c>
      <c r="FL821" s="27" t="s">
        <v>7</v>
      </c>
      <c r="GB821" s="27" t="s">
        <v>7</v>
      </c>
      <c r="GC821" s="27" t="s">
        <v>8</v>
      </c>
    </row>
    <row r="822" spans="1:277" x14ac:dyDescent="0.25">
      <c r="A822" s="7">
        <v>9.5270761368039299E-3</v>
      </c>
      <c r="B822"/>
      <c r="C822"/>
      <c r="D822"/>
      <c r="E822"/>
      <c r="F822" s="27" t="s">
        <v>7</v>
      </c>
      <c r="I822" s="27" t="s">
        <v>8</v>
      </c>
      <c r="J822" s="27" t="s">
        <v>7</v>
      </c>
      <c r="K822" s="27" t="s">
        <v>8</v>
      </c>
      <c r="L822" s="27" t="s">
        <v>7</v>
      </c>
      <c r="AO822" s="27" t="s">
        <v>8</v>
      </c>
      <c r="AP822" s="27" t="s">
        <v>7</v>
      </c>
      <c r="AU822" s="27" t="s">
        <v>8</v>
      </c>
      <c r="AV822" s="27" t="s">
        <v>7</v>
      </c>
      <c r="ET822" s="27" t="s">
        <v>7</v>
      </c>
      <c r="EU822" s="27" t="s">
        <v>8</v>
      </c>
      <c r="FJ822" s="27" t="s">
        <v>7</v>
      </c>
      <c r="FK822" s="27" t="s">
        <v>8</v>
      </c>
      <c r="GB822" s="27" t="s">
        <v>7</v>
      </c>
      <c r="GC822" s="27" t="s">
        <v>8</v>
      </c>
    </row>
    <row r="823" spans="1:277" x14ac:dyDescent="0.25">
      <c r="A823" s="7">
        <v>9.3402707223567936E-3</v>
      </c>
      <c r="B823"/>
      <c r="C823"/>
      <c r="D823"/>
      <c r="E823"/>
      <c r="F823" s="27" t="s">
        <v>7</v>
      </c>
      <c r="G823" s="27" t="s">
        <v>8</v>
      </c>
      <c r="I823" s="27" t="s">
        <v>8</v>
      </c>
      <c r="J823" s="27" t="s">
        <v>7</v>
      </c>
      <c r="K823" s="27" t="s">
        <v>8</v>
      </c>
      <c r="L823" s="27" t="s">
        <v>7</v>
      </c>
      <c r="AO823" s="27" t="s">
        <v>8</v>
      </c>
      <c r="AP823" s="27" t="s">
        <v>7</v>
      </c>
      <c r="AU823" s="27" t="s">
        <v>8</v>
      </c>
      <c r="ET823" s="27" t="s">
        <v>7</v>
      </c>
      <c r="EU823" s="27" t="s">
        <v>8</v>
      </c>
      <c r="FJ823" s="27" t="s">
        <v>7</v>
      </c>
      <c r="FK823" s="27" t="s">
        <v>8</v>
      </c>
      <c r="GB823" s="27" t="s">
        <v>7</v>
      </c>
      <c r="GC823" s="27" t="s">
        <v>8</v>
      </c>
    </row>
    <row r="824" spans="1:277" x14ac:dyDescent="0.25">
      <c r="A824" s="7">
        <v>9.1571281591733261E-3</v>
      </c>
      <c r="B824"/>
      <c r="C824"/>
      <c r="D824"/>
      <c r="E824"/>
      <c r="F824" s="27" t="s">
        <v>7</v>
      </c>
      <c r="G824" s="27" t="s">
        <v>8</v>
      </c>
      <c r="H824" s="27" t="s">
        <v>7</v>
      </c>
      <c r="I824" s="27" t="s">
        <v>8</v>
      </c>
      <c r="J824" s="27" t="s">
        <v>7</v>
      </c>
      <c r="K824" s="27" t="s">
        <v>8</v>
      </c>
      <c r="L824" s="27" t="s">
        <v>7</v>
      </c>
      <c r="AO824" s="27" t="s">
        <v>8</v>
      </c>
      <c r="AP824" s="27" t="s">
        <v>7</v>
      </c>
      <c r="AU824" s="27" t="s">
        <v>8</v>
      </c>
      <c r="ET824" s="27" t="s">
        <v>7</v>
      </c>
      <c r="EU824" s="27" t="s">
        <v>8</v>
      </c>
      <c r="FJ824" s="27" t="s">
        <v>7</v>
      </c>
      <c r="GB824" s="27" t="s">
        <v>7</v>
      </c>
    </row>
    <row r="825" spans="1:277" x14ac:dyDescent="0.25">
      <c r="A825" s="7">
        <v>8.9775766266405148E-3</v>
      </c>
      <c r="B825"/>
      <c r="C825"/>
      <c r="D825"/>
      <c r="E825"/>
      <c r="F825" s="27" t="s">
        <v>7</v>
      </c>
      <c r="G825" s="27" t="s">
        <v>8</v>
      </c>
      <c r="H825" s="27" t="s">
        <v>7</v>
      </c>
      <c r="I825" s="27" t="s">
        <v>8</v>
      </c>
      <c r="J825" s="27" t="s">
        <v>7</v>
      </c>
      <c r="K825" s="27" t="s">
        <v>8</v>
      </c>
      <c r="L825" s="27" t="s">
        <v>7</v>
      </c>
      <c r="AO825" s="27" t="s">
        <v>8</v>
      </c>
      <c r="AP825" s="27" t="s">
        <v>7</v>
      </c>
      <c r="AU825" s="27" t="s">
        <v>8</v>
      </c>
      <c r="ET825" s="27" t="s">
        <v>7</v>
      </c>
      <c r="EU825" s="27" t="s">
        <v>8</v>
      </c>
    </row>
    <row r="826" spans="1:277" x14ac:dyDescent="0.25">
      <c r="A826" s="7">
        <v>8.8015457123926614E-3</v>
      </c>
      <c r="B826"/>
      <c r="C826"/>
      <c r="D826"/>
      <c r="E826"/>
      <c r="F826" s="27" t="s">
        <v>7</v>
      </c>
      <c r="G826" s="27" t="s">
        <v>8</v>
      </c>
      <c r="H826" s="27" t="s">
        <v>7</v>
      </c>
      <c r="I826" s="27" t="s">
        <v>8</v>
      </c>
      <c r="J826" s="27" t="s">
        <v>7</v>
      </c>
      <c r="K826" s="27" t="s">
        <v>8</v>
      </c>
      <c r="L826" s="27" t="s">
        <v>7</v>
      </c>
      <c r="AO826" s="27" t="s">
        <v>8</v>
      </c>
      <c r="AP826" s="27" t="s">
        <v>7</v>
      </c>
      <c r="AU826" s="27" t="s">
        <v>8</v>
      </c>
      <c r="ET826" s="27" t="s">
        <v>7</v>
      </c>
      <c r="EU826" s="27" t="s">
        <v>8</v>
      </c>
    </row>
    <row r="827" spans="1:277" x14ac:dyDescent="0.25">
      <c r="A827" s="7">
        <v>8.6289663846986879E-3</v>
      </c>
      <c r="B827"/>
      <c r="C827"/>
      <c r="D827"/>
      <c r="E827"/>
      <c r="F827" s="27" t="s">
        <v>7</v>
      </c>
      <c r="G827" s="27" t="s">
        <v>8</v>
      </c>
      <c r="H827" s="27" t="s">
        <v>7</v>
      </c>
      <c r="I827" s="27" t="s">
        <v>8</v>
      </c>
      <c r="J827" s="27" t="s">
        <v>7</v>
      </c>
      <c r="K827" s="27" t="s">
        <v>8</v>
      </c>
      <c r="L827" s="27" t="s">
        <v>7</v>
      </c>
      <c r="AO827" s="27" t="s">
        <v>8</v>
      </c>
      <c r="AP827" s="27" t="s">
        <v>7</v>
      </c>
      <c r="AU827" s="27" t="s">
        <v>8</v>
      </c>
      <c r="ET827" s="27" t="s">
        <v>7</v>
      </c>
      <c r="EU827" s="27" t="s">
        <v>8</v>
      </c>
    </row>
    <row r="828" spans="1:277" x14ac:dyDescent="0.25">
      <c r="A828" s="7">
        <v>8.4597709653908715E-3</v>
      </c>
      <c r="B828"/>
      <c r="C828"/>
      <c r="D828"/>
      <c r="E828"/>
      <c r="F828" s="27" t="s">
        <v>7</v>
      </c>
      <c r="G828" s="27" t="s">
        <v>8</v>
      </c>
      <c r="H828" s="27" t="s">
        <v>7</v>
      </c>
      <c r="I828" s="27" t="s">
        <v>8</v>
      </c>
      <c r="J828" s="27" t="s">
        <v>7</v>
      </c>
      <c r="K828" s="27" t="s">
        <v>8</v>
      </c>
      <c r="L828" s="27" t="s">
        <v>7</v>
      </c>
      <c r="AA828" s="27" t="s">
        <v>8</v>
      </c>
      <c r="AO828" s="27" t="s">
        <v>8</v>
      </c>
      <c r="AP828" s="27" t="s">
        <v>7</v>
      </c>
      <c r="AU828" s="27" t="s">
        <v>8</v>
      </c>
      <c r="ET828" s="27" t="s">
        <v>7</v>
      </c>
      <c r="EU828" s="27" t="s">
        <v>8</v>
      </c>
    </row>
    <row r="829" spans="1:277" x14ac:dyDescent="0.25">
      <c r="A829" s="7">
        <v>8.2938931033243839E-3</v>
      </c>
      <c r="B829"/>
      <c r="C829"/>
      <c r="D829"/>
      <c r="E829"/>
      <c r="F829" s="27" t="s">
        <v>7</v>
      </c>
      <c r="G829" s="27" t="s">
        <v>8</v>
      </c>
      <c r="H829" s="27" t="s">
        <v>7</v>
      </c>
      <c r="I829" s="27" t="s">
        <v>8</v>
      </c>
      <c r="J829" s="27" t="s">
        <v>7</v>
      </c>
      <c r="K829" s="27" t="s">
        <v>8</v>
      </c>
      <c r="L829" s="27" t="s">
        <v>7</v>
      </c>
      <c r="AA829" s="27" t="s">
        <v>8</v>
      </c>
      <c r="AB829" s="27" t="s">
        <v>7</v>
      </c>
      <c r="AO829" s="27" t="s">
        <v>8</v>
      </c>
      <c r="AP829" s="27" t="s">
        <v>7</v>
      </c>
      <c r="AU829" s="27" t="s">
        <v>8</v>
      </c>
      <c r="ET829" s="27" t="s">
        <v>7</v>
      </c>
    </row>
    <row r="830" spans="1:277" x14ac:dyDescent="0.25">
      <c r="A830" s="7">
        <v>8.1312677483572383E-3</v>
      </c>
      <c r="B830"/>
      <c r="C830"/>
      <c r="D830"/>
      <c r="E830"/>
      <c r="F830" s="27" t="s">
        <v>7</v>
      </c>
      <c r="G830" s="27" t="s">
        <v>8</v>
      </c>
      <c r="H830" s="27" t="s">
        <v>7</v>
      </c>
      <c r="I830" s="27" t="s">
        <v>8</v>
      </c>
      <c r="J830" s="27" t="s">
        <v>7</v>
      </c>
      <c r="K830" s="27" t="s">
        <v>8</v>
      </c>
      <c r="L830" s="27" t="s">
        <v>7</v>
      </c>
      <c r="M830" s="27" t="s">
        <v>8</v>
      </c>
      <c r="AA830" s="27" t="s">
        <v>8</v>
      </c>
      <c r="AB830" s="27" t="s">
        <v>7</v>
      </c>
      <c r="AO830" s="27" t="s">
        <v>8</v>
      </c>
      <c r="AP830" s="27" t="s">
        <v>7</v>
      </c>
      <c r="AQ830" s="27" t="s">
        <v>8</v>
      </c>
      <c r="AU830" s="27" t="s">
        <v>8</v>
      </c>
    </row>
    <row r="831" spans="1:277" x14ac:dyDescent="0.25">
      <c r="A831" s="7">
        <v>7.9718311258404305E-3</v>
      </c>
      <c r="B831"/>
      <c r="C831"/>
      <c r="D831"/>
      <c r="E831"/>
      <c r="F831" s="27" t="s">
        <v>7</v>
      </c>
      <c r="G831" s="27" t="s">
        <v>8</v>
      </c>
      <c r="H831" s="27" t="s">
        <v>7</v>
      </c>
      <c r="I831" s="27" t="s">
        <v>8</v>
      </c>
      <c r="J831" s="27" t="s">
        <v>7</v>
      </c>
      <c r="K831" s="27" t="s">
        <v>8</v>
      </c>
      <c r="L831" s="27" t="s">
        <v>7</v>
      </c>
      <c r="M831" s="27" t="s">
        <v>8</v>
      </c>
      <c r="N831" s="27" t="s">
        <v>7</v>
      </c>
      <c r="AA831" s="27" t="s">
        <v>8</v>
      </c>
      <c r="AB831" s="27" t="s">
        <v>7</v>
      </c>
      <c r="AO831" s="27" t="s">
        <v>8</v>
      </c>
      <c r="AP831" s="27" t="s">
        <v>7</v>
      </c>
      <c r="AQ831" s="27" t="s">
        <v>8</v>
      </c>
      <c r="AR831" s="27" t="s">
        <v>7</v>
      </c>
      <c r="AU831" s="27" t="s">
        <v>8</v>
      </c>
    </row>
    <row r="832" spans="1:277" x14ac:dyDescent="0.25">
      <c r="A832" s="7">
        <v>7.8155207116082648E-3</v>
      </c>
      <c r="B832"/>
      <c r="C832"/>
      <c r="D832"/>
      <c r="E832"/>
      <c r="F832" s="27" t="s">
        <v>7</v>
      </c>
      <c r="G832" s="27" t="s">
        <v>8</v>
      </c>
      <c r="H832" s="27" t="s">
        <v>7</v>
      </c>
      <c r="I832" s="27" t="s">
        <v>8</v>
      </c>
      <c r="J832" s="27" t="s">
        <v>7</v>
      </c>
      <c r="K832" s="27" t="s">
        <v>8</v>
      </c>
      <c r="L832" s="27" t="s">
        <v>7</v>
      </c>
      <c r="M832" s="27" t="s">
        <v>8</v>
      </c>
      <c r="N832" s="27" t="s">
        <v>7</v>
      </c>
      <c r="AA832" s="27" t="s">
        <v>8</v>
      </c>
      <c r="AB832" s="27" t="s">
        <v>7</v>
      </c>
      <c r="AO832" s="27" t="s">
        <v>8</v>
      </c>
      <c r="AP832" s="27" t="s">
        <v>7</v>
      </c>
      <c r="AQ832" s="27" t="s">
        <v>8</v>
      </c>
      <c r="AR832" s="27" t="s">
        <v>7</v>
      </c>
      <c r="AS832" s="27" t="s">
        <v>8</v>
      </c>
      <c r="AU832" s="27" t="s">
        <v>8</v>
      </c>
    </row>
    <row r="833" spans="1:47" x14ac:dyDescent="0.25">
      <c r="A833" s="7">
        <v>7.6622752074590825E-3</v>
      </c>
      <c r="B833"/>
      <c r="C833"/>
      <c r="D833"/>
      <c r="E833"/>
      <c r="F833" s="27" t="s">
        <v>7</v>
      </c>
      <c r="G833" s="27" t="s">
        <v>8</v>
      </c>
      <c r="H833" s="27" t="s">
        <v>7</v>
      </c>
      <c r="I833" s="27" t="s">
        <v>8</v>
      </c>
      <c r="J833" s="27" t="s">
        <v>7</v>
      </c>
      <c r="K833" s="27" t="s">
        <v>8</v>
      </c>
      <c r="L833" s="27" t="s">
        <v>7</v>
      </c>
      <c r="M833" s="27" t="s">
        <v>8</v>
      </c>
      <c r="N833" s="27" t="s">
        <v>7</v>
      </c>
      <c r="AA833" s="27" t="s">
        <v>8</v>
      </c>
      <c r="AB833" s="27" t="s">
        <v>7</v>
      </c>
      <c r="AO833" s="27" t="s">
        <v>8</v>
      </c>
      <c r="AP833" s="27" t="s">
        <v>7</v>
      </c>
      <c r="AQ833" s="27" t="s">
        <v>8</v>
      </c>
      <c r="AR833" s="27" t="s">
        <v>7</v>
      </c>
      <c r="AS833" s="27" t="s">
        <v>8</v>
      </c>
      <c r="AT833" s="27" t="s">
        <v>7</v>
      </c>
      <c r="AU833" s="27" t="s">
        <v>8</v>
      </c>
    </row>
    <row r="834" spans="1:47" x14ac:dyDescent="0.25">
      <c r="A834" s="7">
        <v>7.5120345171167469E-3</v>
      </c>
      <c r="B834"/>
      <c r="C834"/>
      <c r="D834"/>
      <c r="E834"/>
      <c r="F834" s="27" t="s">
        <v>7</v>
      </c>
      <c r="G834" s="27" t="s">
        <v>8</v>
      </c>
      <c r="H834" s="27" t="s">
        <v>7</v>
      </c>
      <c r="I834" s="27" t="s">
        <v>8</v>
      </c>
      <c r="J834" s="27" t="s">
        <v>7</v>
      </c>
      <c r="K834" s="27" t="s">
        <v>8</v>
      </c>
      <c r="L834" s="27" t="s">
        <v>7</v>
      </c>
      <c r="M834" s="27" t="s">
        <v>8</v>
      </c>
      <c r="N834" s="27" t="s">
        <v>7</v>
      </c>
      <c r="AA834" s="27" t="s">
        <v>8</v>
      </c>
      <c r="AB834" s="27" t="s">
        <v>7</v>
      </c>
      <c r="AO834" s="27" t="s">
        <v>8</v>
      </c>
      <c r="AP834" s="27" t="s">
        <v>7</v>
      </c>
      <c r="AR834" s="27" t="s">
        <v>7</v>
      </c>
      <c r="AS834" s="27" t="s">
        <v>8</v>
      </c>
      <c r="AT834" s="27" t="s">
        <v>7</v>
      </c>
      <c r="AU834" s="27" t="s">
        <v>8</v>
      </c>
    </row>
    <row r="835" spans="1:47" x14ac:dyDescent="0.25">
      <c r="A835" s="7">
        <v>7.3647397226634772E-3</v>
      </c>
      <c r="B835"/>
      <c r="C835"/>
      <c r="D835"/>
      <c r="E835"/>
      <c r="F835" s="27" t="s">
        <v>7</v>
      </c>
      <c r="G835" s="27" t="s">
        <v>8</v>
      </c>
      <c r="H835" s="27" t="s">
        <v>7</v>
      </c>
      <c r="I835" s="27" t="s">
        <v>8</v>
      </c>
      <c r="J835" s="27" t="s">
        <v>7</v>
      </c>
      <c r="K835" s="27" t="s">
        <v>8</v>
      </c>
      <c r="L835" s="27" t="s">
        <v>7</v>
      </c>
      <c r="M835" s="27" t="s">
        <v>8</v>
      </c>
      <c r="N835" s="27" t="s">
        <v>7</v>
      </c>
      <c r="AA835" s="27" t="s">
        <v>8</v>
      </c>
      <c r="AB835" s="27" t="s">
        <v>7</v>
      </c>
      <c r="AO835" s="27" t="s">
        <v>8</v>
      </c>
      <c r="AR835" s="27" t="s">
        <v>7</v>
      </c>
      <c r="AS835" s="27" t="s">
        <v>8</v>
      </c>
      <c r="AT835" s="27" t="s">
        <v>7</v>
      </c>
      <c r="AU835" s="27" t="s">
        <v>8</v>
      </c>
    </row>
    <row r="836" spans="1:47" x14ac:dyDescent="0.25">
      <c r="A836" s="7">
        <v>7.2203330614347815E-3</v>
      </c>
      <c r="B836"/>
      <c r="C836"/>
      <c r="D836"/>
      <c r="E836"/>
      <c r="F836" s="27" t="s">
        <v>7</v>
      </c>
      <c r="H836" s="27" t="s">
        <v>7</v>
      </c>
      <c r="I836" s="27" t="s">
        <v>8</v>
      </c>
      <c r="J836" s="27" t="s">
        <v>7</v>
      </c>
      <c r="K836" s="27" t="s">
        <v>8</v>
      </c>
      <c r="L836" s="27" t="s">
        <v>7</v>
      </c>
      <c r="M836" s="27" t="s">
        <v>8</v>
      </c>
      <c r="N836" s="27" t="s">
        <v>7</v>
      </c>
      <c r="O836" s="27" t="s">
        <v>8</v>
      </c>
      <c r="AA836" s="27" t="s">
        <v>8</v>
      </c>
      <c r="AB836" s="27" t="s">
        <v>7</v>
      </c>
      <c r="AC836" s="27" t="s">
        <v>8</v>
      </c>
      <c r="AO836" s="27" t="s">
        <v>8</v>
      </c>
      <c r="AR836" s="27" t="s">
        <v>7</v>
      </c>
      <c r="AS836" s="27" t="s">
        <v>8</v>
      </c>
      <c r="AT836" s="27" t="s">
        <v>7</v>
      </c>
      <c r="AU836" s="27" t="s">
        <v>8</v>
      </c>
    </row>
    <row r="837" spans="1:47" x14ac:dyDescent="0.25">
      <c r="A837" s="7">
        <v>7.0787579033674327E-3</v>
      </c>
      <c r="B837"/>
      <c r="C837"/>
      <c r="D837"/>
      <c r="E837"/>
      <c r="H837" s="27" t="s">
        <v>7</v>
      </c>
      <c r="I837" s="27" t="s">
        <v>8</v>
      </c>
      <c r="J837" s="27" t="s">
        <v>7</v>
      </c>
      <c r="K837" s="27" t="s">
        <v>8</v>
      </c>
      <c r="L837" s="27" t="s">
        <v>7</v>
      </c>
      <c r="M837" s="27" t="s">
        <v>8</v>
      </c>
      <c r="N837" s="27" t="s">
        <v>7</v>
      </c>
      <c r="O837" s="27" t="s">
        <v>8</v>
      </c>
      <c r="P837" s="27" t="s">
        <v>7</v>
      </c>
      <c r="AA837" s="27" t="s">
        <v>8</v>
      </c>
      <c r="AB837" s="27" t="s">
        <v>7</v>
      </c>
      <c r="AC837" s="27" t="s">
        <v>8</v>
      </c>
      <c r="AD837" s="27" t="s">
        <v>7</v>
      </c>
      <c r="AO837" s="27" t="s">
        <v>8</v>
      </c>
      <c r="AR837" s="27" t="s">
        <v>7</v>
      </c>
      <c r="AS837" s="27" t="s">
        <v>8</v>
      </c>
      <c r="AT837" s="27" t="s">
        <v>7</v>
      </c>
    </row>
    <row r="838" spans="1:47" x14ac:dyDescent="0.25">
      <c r="A838" s="7">
        <v>6.9399587287916013E-3</v>
      </c>
      <c r="B838"/>
      <c r="C838"/>
      <c r="D838"/>
      <c r="E838"/>
      <c r="H838" s="27" t="s">
        <v>7</v>
      </c>
      <c r="I838" s="27" t="s">
        <v>8</v>
      </c>
      <c r="J838" s="27" t="s">
        <v>7</v>
      </c>
      <c r="K838" s="27" t="s">
        <v>8</v>
      </c>
      <c r="L838" s="27" t="s">
        <v>7</v>
      </c>
      <c r="N838" s="27" t="s">
        <v>7</v>
      </c>
      <c r="O838" s="27" t="s">
        <v>8</v>
      </c>
      <c r="P838" s="27" t="s">
        <v>7</v>
      </c>
      <c r="Q838" s="27" t="s">
        <v>8</v>
      </c>
      <c r="AA838" s="27" t="s">
        <v>8</v>
      </c>
      <c r="AB838" s="27" t="s">
        <v>7</v>
      </c>
      <c r="AC838" s="27" t="s">
        <v>8</v>
      </c>
      <c r="AD838" s="27" t="s">
        <v>7</v>
      </c>
      <c r="AE838" s="27" t="s">
        <v>8</v>
      </c>
      <c r="AO838" s="27" t="s">
        <v>8</v>
      </c>
      <c r="AR838" s="27" t="s">
        <v>7</v>
      </c>
    </row>
    <row r="839" spans="1:47" x14ac:dyDescent="0.25">
      <c r="A839" s="7">
        <v>6.8038811066584333E-3</v>
      </c>
      <c r="B839"/>
      <c r="C839"/>
      <c r="D839"/>
      <c r="E839"/>
      <c r="H839" s="27" t="s">
        <v>7</v>
      </c>
      <c r="I839" s="27" t="s">
        <v>8</v>
      </c>
      <c r="J839" s="27" t="s">
        <v>7</v>
      </c>
      <c r="K839" s="27" t="s">
        <v>8</v>
      </c>
      <c r="N839" s="27" t="s">
        <v>7</v>
      </c>
      <c r="O839" s="27" t="s">
        <v>8</v>
      </c>
      <c r="P839" s="27" t="s">
        <v>7</v>
      </c>
      <c r="Q839" s="27" t="s">
        <v>8</v>
      </c>
      <c r="R839" s="27" t="s">
        <v>7</v>
      </c>
      <c r="AA839" s="27" t="s">
        <v>8</v>
      </c>
      <c r="AB839" s="27" t="s">
        <v>7</v>
      </c>
      <c r="AC839" s="27" t="s">
        <v>8</v>
      </c>
      <c r="AD839" s="27" t="s">
        <v>7</v>
      </c>
      <c r="AE839" s="27" t="s">
        <v>8</v>
      </c>
      <c r="AF839" s="27" t="s">
        <v>7</v>
      </c>
      <c r="AO839" s="27" t="s">
        <v>8</v>
      </c>
    </row>
    <row r="840" spans="1:47" x14ac:dyDescent="0.25">
      <c r="A840" s="7">
        <v>6.6704716731945425E-3</v>
      </c>
      <c r="B840"/>
      <c r="C840"/>
      <c r="D840"/>
      <c r="E840"/>
      <c r="H840" s="27" t="s">
        <v>7</v>
      </c>
      <c r="I840" s="27" t="s">
        <v>8</v>
      </c>
      <c r="J840" s="27" t="s">
        <v>7</v>
      </c>
      <c r="K840" s="27" t="s">
        <v>8</v>
      </c>
      <c r="N840" s="27" t="s">
        <v>7</v>
      </c>
      <c r="O840" s="27" t="s">
        <v>8</v>
      </c>
      <c r="P840" s="27" t="s">
        <v>7</v>
      </c>
      <c r="Q840" s="27" t="s">
        <v>8</v>
      </c>
      <c r="R840" s="27" t="s">
        <v>7</v>
      </c>
      <c r="AA840" s="27" t="s">
        <v>8</v>
      </c>
      <c r="AB840" s="27" t="s">
        <v>7</v>
      </c>
      <c r="AC840" s="27" t="s">
        <v>8</v>
      </c>
      <c r="AD840" s="27" t="s">
        <v>7</v>
      </c>
      <c r="AE840" s="27" t="s">
        <v>8</v>
      </c>
      <c r="AF840" s="27" t="s">
        <v>7</v>
      </c>
      <c r="AG840" s="27" t="s">
        <v>8</v>
      </c>
      <c r="AM840" s="27" t="s">
        <v>8</v>
      </c>
      <c r="AO840" s="27" t="s">
        <v>8</v>
      </c>
    </row>
    <row r="841" spans="1:47" x14ac:dyDescent="0.25">
      <c r="A841" s="7">
        <v>6.5396781109750427E-3</v>
      </c>
      <c r="B841"/>
      <c r="C841"/>
      <c r="D841"/>
      <c r="E841"/>
      <c r="H841" s="27" t="s">
        <v>7</v>
      </c>
      <c r="I841" s="27" t="s">
        <v>8</v>
      </c>
      <c r="J841" s="27" t="s">
        <v>7</v>
      </c>
      <c r="K841" s="27" t="s">
        <v>8</v>
      </c>
      <c r="N841" s="27" t="s">
        <v>7</v>
      </c>
      <c r="O841" s="27" t="s">
        <v>8</v>
      </c>
      <c r="P841" s="27" t="s">
        <v>7</v>
      </c>
      <c r="Q841" s="27" t="s">
        <v>8</v>
      </c>
      <c r="R841" s="27" t="s">
        <v>7</v>
      </c>
      <c r="AA841" s="27" t="s">
        <v>8</v>
      </c>
      <c r="AB841" s="27" t="s">
        <v>7</v>
      </c>
      <c r="AC841" s="27" t="s">
        <v>8</v>
      </c>
      <c r="AD841" s="27" t="s">
        <v>7</v>
      </c>
      <c r="AE841" s="27" t="s">
        <v>8</v>
      </c>
      <c r="AF841" s="27" t="s">
        <v>7</v>
      </c>
      <c r="AG841" s="27" t="s">
        <v>8</v>
      </c>
      <c r="AH841" s="27" t="s">
        <v>7</v>
      </c>
      <c r="AM841" s="27" t="s">
        <v>8</v>
      </c>
      <c r="AN841" s="27" t="s">
        <v>7</v>
      </c>
      <c r="AO841" s="27" t="s">
        <v>8</v>
      </c>
    </row>
    <row r="842" spans="1:47" x14ac:dyDescent="0.25">
      <c r="A842" s="7">
        <v>6.4114491284069045E-3</v>
      </c>
      <c r="B842"/>
      <c r="C842"/>
      <c r="D842"/>
      <c r="E842"/>
      <c r="H842" s="27" t="s">
        <v>7</v>
      </c>
      <c r="I842" s="27" t="s">
        <v>8</v>
      </c>
      <c r="J842" s="27" t="s">
        <v>7</v>
      </c>
      <c r="K842" s="27" t="s">
        <v>8</v>
      </c>
      <c r="N842" s="27" t="s">
        <v>7</v>
      </c>
      <c r="O842" s="27" t="s">
        <v>8</v>
      </c>
      <c r="P842" s="27" t="s">
        <v>7</v>
      </c>
      <c r="Q842" s="27" t="s">
        <v>8</v>
      </c>
      <c r="R842" s="27" t="s">
        <v>7</v>
      </c>
      <c r="AA842" s="27" t="s">
        <v>8</v>
      </c>
      <c r="AB842" s="27" t="s">
        <v>7</v>
      </c>
      <c r="AC842" s="27" t="s">
        <v>8</v>
      </c>
      <c r="AD842" s="27" t="s">
        <v>7</v>
      </c>
      <c r="AF842" s="27" t="s">
        <v>7</v>
      </c>
      <c r="AG842" s="27" t="s">
        <v>8</v>
      </c>
      <c r="AH842" s="27" t="s">
        <v>7</v>
      </c>
      <c r="AM842" s="27" t="s">
        <v>8</v>
      </c>
      <c r="AN842" s="27" t="s">
        <v>7</v>
      </c>
      <c r="AO842" s="27" t="s">
        <v>8</v>
      </c>
    </row>
    <row r="843" spans="1:47" x14ac:dyDescent="0.25">
      <c r="A843" s="7">
        <v>6.2857344396146115E-3</v>
      </c>
      <c r="B843"/>
      <c r="C843"/>
      <c r="D843"/>
      <c r="E843"/>
      <c r="H843" s="27" t="s">
        <v>7</v>
      </c>
      <c r="I843" s="27" t="s">
        <v>8</v>
      </c>
      <c r="J843" s="27" t="s">
        <v>7</v>
      </c>
      <c r="K843" s="27" t="s">
        <v>8</v>
      </c>
      <c r="N843" s="27" t="s">
        <v>7</v>
      </c>
      <c r="O843" s="27" t="s">
        <v>8</v>
      </c>
      <c r="P843" s="27" t="s">
        <v>7</v>
      </c>
      <c r="Q843" s="27" t="s">
        <v>8</v>
      </c>
      <c r="R843" s="27" t="s">
        <v>7</v>
      </c>
      <c r="AA843" s="27" t="s">
        <v>8</v>
      </c>
      <c r="AB843" s="27" t="s">
        <v>7</v>
      </c>
      <c r="AC843" s="27" t="s">
        <v>8</v>
      </c>
      <c r="AF843" s="27" t="s">
        <v>7</v>
      </c>
      <c r="AH843" s="27" t="s">
        <v>7</v>
      </c>
      <c r="AI843" s="27" t="s">
        <v>8</v>
      </c>
      <c r="AM843" s="27" t="s">
        <v>8</v>
      </c>
      <c r="AN843" s="27" t="s">
        <v>7</v>
      </c>
      <c r="AO843" s="27" t="s">
        <v>8</v>
      </c>
    </row>
    <row r="844" spans="1:47" x14ac:dyDescent="0.25">
      <c r="A844" s="7">
        <v>6.1624847447202076E-3</v>
      </c>
      <c r="B844"/>
      <c r="C844"/>
      <c r="D844"/>
      <c r="E844"/>
      <c r="H844" s="27" t="s">
        <v>7</v>
      </c>
      <c r="J844" s="27" t="s">
        <v>7</v>
      </c>
      <c r="K844" s="27" t="s">
        <v>8</v>
      </c>
      <c r="N844" s="27" t="s">
        <v>7</v>
      </c>
      <c r="O844" s="27" t="s">
        <v>8</v>
      </c>
      <c r="P844" s="27" t="s">
        <v>7</v>
      </c>
      <c r="Q844" s="27" t="s">
        <v>8</v>
      </c>
      <c r="R844" s="27" t="s">
        <v>7</v>
      </c>
      <c r="AA844" s="27" t="s">
        <v>8</v>
      </c>
      <c r="AB844" s="27" t="s">
        <v>7</v>
      </c>
      <c r="AC844" s="27" t="s">
        <v>8</v>
      </c>
      <c r="AH844" s="27" t="s">
        <v>7</v>
      </c>
      <c r="AI844" s="27" t="s">
        <v>8</v>
      </c>
      <c r="AJ844" s="27" t="s">
        <v>7</v>
      </c>
      <c r="AM844" s="27" t="s">
        <v>8</v>
      </c>
      <c r="AN844" s="27" t="s">
        <v>7</v>
      </c>
      <c r="AO844" s="27" t="s">
        <v>8</v>
      </c>
    </row>
    <row r="845" spans="1:47" x14ac:dyDescent="0.25">
      <c r="A845" s="7">
        <v>6.0416517105100079E-3</v>
      </c>
      <c r="B845"/>
      <c r="C845"/>
      <c r="D845"/>
      <c r="E845"/>
      <c r="J845" s="27" t="s">
        <v>7</v>
      </c>
      <c r="K845" s="27" t="s">
        <v>8</v>
      </c>
      <c r="N845" s="27" t="s">
        <v>7</v>
      </c>
      <c r="P845" s="27" t="s">
        <v>7</v>
      </c>
      <c r="Q845" s="27" t="s">
        <v>8</v>
      </c>
      <c r="R845" s="27" t="s">
        <v>7</v>
      </c>
      <c r="Y845" s="27" t="s">
        <v>8</v>
      </c>
      <c r="AA845" s="27" t="s">
        <v>8</v>
      </c>
      <c r="AB845" s="27" t="s">
        <v>7</v>
      </c>
      <c r="AC845" s="27" t="s">
        <v>8</v>
      </c>
      <c r="AH845" s="27" t="s">
        <v>7</v>
      </c>
      <c r="AI845" s="27" t="s">
        <v>8</v>
      </c>
      <c r="AJ845" s="27" t="s">
        <v>7</v>
      </c>
      <c r="AK845" s="27" t="s">
        <v>8</v>
      </c>
      <c r="AM845" s="27" t="s">
        <v>8</v>
      </c>
      <c r="AN845" s="27" t="s">
        <v>7</v>
      </c>
      <c r="AO845" s="27" t="s">
        <v>8</v>
      </c>
    </row>
    <row r="846" spans="1:47" x14ac:dyDescent="0.25">
      <c r="A846" s="7">
        <v>5.9231879514803996E-3</v>
      </c>
      <c r="B846"/>
      <c r="C846"/>
      <c r="D846"/>
      <c r="E846"/>
      <c r="J846" s="27" t="s">
        <v>7</v>
      </c>
      <c r="P846" s="27" t="s">
        <v>7</v>
      </c>
      <c r="Q846" s="27" t="s">
        <v>8</v>
      </c>
      <c r="R846" s="27" t="s">
        <v>7</v>
      </c>
      <c r="S846" s="27" t="s">
        <v>8</v>
      </c>
      <c r="U846" s="27" t="s">
        <v>8</v>
      </c>
      <c r="Y846" s="27" t="s">
        <v>8</v>
      </c>
      <c r="Z846" s="27" t="s">
        <v>7</v>
      </c>
      <c r="AA846" s="27" t="s">
        <v>8</v>
      </c>
      <c r="AB846" s="27" t="s">
        <v>7</v>
      </c>
      <c r="AC846" s="27" t="s">
        <v>8</v>
      </c>
      <c r="AH846" s="27" t="s">
        <v>7</v>
      </c>
      <c r="AI846" s="27" t="s">
        <v>8</v>
      </c>
      <c r="AJ846" s="27" t="s">
        <v>7</v>
      </c>
      <c r="AK846" s="27" t="s">
        <v>8</v>
      </c>
      <c r="AL846" s="27" t="s">
        <v>7</v>
      </c>
      <c r="AM846" s="27" t="s">
        <v>8</v>
      </c>
      <c r="AN846" s="27" t="s">
        <v>7</v>
      </c>
      <c r="AO846" s="27" t="s">
        <v>8</v>
      </c>
    </row>
    <row r="847" spans="1:47" x14ac:dyDescent="0.25">
      <c r="A847" s="7">
        <v>5.8070470112552936E-3</v>
      </c>
      <c r="B847"/>
      <c r="C847"/>
      <c r="D847"/>
      <c r="E847"/>
      <c r="P847" s="27" t="s">
        <v>7</v>
      </c>
      <c r="Q847" s="27" t="s">
        <v>8</v>
      </c>
      <c r="R847" s="27" t="s">
        <v>7</v>
      </c>
      <c r="S847" s="27" t="s">
        <v>8</v>
      </c>
      <c r="T847" s="27" t="s">
        <v>7</v>
      </c>
      <c r="U847" s="27" t="s">
        <v>8</v>
      </c>
      <c r="V847" s="27" t="s">
        <v>7</v>
      </c>
      <c r="Y847" s="27" t="s">
        <v>8</v>
      </c>
      <c r="Z847" s="27" t="s">
        <v>7</v>
      </c>
      <c r="AA847" s="27" t="s">
        <v>8</v>
      </c>
      <c r="AB847" s="27" t="s">
        <v>7</v>
      </c>
      <c r="AH847" s="27" t="s">
        <v>7</v>
      </c>
      <c r="AI847" s="27" t="s">
        <v>8</v>
      </c>
      <c r="AJ847" s="27" t="s">
        <v>7</v>
      </c>
      <c r="AK847" s="27" t="s">
        <v>8</v>
      </c>
      <c r="AL847" s="27" t="s">
        <v>7</v>
      </c>
      <c r="AM847" s="27" t="s">
        <v>8</v>
      </c>
      <c r="AN847" s="27" t="s">
        <v>7</v>
      </c>
      <c r="AO847" s="27" t="s">
        <v>8</v>
      </c>
    </row>
    <row r="848" spans="1:47" x14ac:dyDescent="0.25">
      <c r="A848" s="7">
        <v>5.6931833443679353E-3</v>
      </c>
      <c r="B848"/>
      <c r="C848"/>
      <c r="D848"/>
      <c r="E848"/>
      <c r="P848" s="27" t="s">
        <v>7</v>
      </c>
      <c r="Q848" s="27" t="s">
        <v>8</v>
      </c>
      <c r="R848" s="27" t="s">
        <v>7</v>
      </c>
      <c r="S848" s="27" t="s">
        <v>8</v>
      </c>
      <c r="T848" s="27" t="s">
        <v>7</v>
      </c>
      <c r="U848" s="27" t="s">
        <v>8</v>
      </c>
      <c r="V848" s="27" t="s">
        <v>7</v>
      </c>
      <c r="Y848" s="27" t="s">
        <v>8</v>
      </c>
      <c r="Z848" s="27" t="s">
        <v>7</v>
      </c>
      <c r="AA848" s="27" t="s">
        <v>8</v>
      </c>
      <c r="AH848" s="27" t="s">
        <v>7</v>
      </c>
      <c r="AI848" s="27" t="s">
        <v>8</v>
      </c>
      <c r="AJ848" s="27" t="s">
        <v>7</v>
      </c>
      <c r="AK848" s="27" t="s">
        <v>8</v>
      </c>
      <c r="AL848" s="27" t="s">
        <v>7</v>
      </c>
      <c r="AM848" s="27" t="s">
        <v>8</v>
      </c>
      <c r="AN848" s="27" t="s">
        <v>7</v>
      </c>
      <c r="AO848" s="27" t="s">
        <v>8</v>
      </c>
    </row>
    <row r="849" spans="1:41" x14ac:dyDescent="0.25">
      <c r="A849" s="7">
        <v>5.5815522983999367E-3</v>
      </c>
      <c r="B849"/>
      <c r="C849"/>
      <c r="D849"/>
      <c r="E849"/>
      <c r="P849" s="27" t="s">
        <v>7</v>
      </c>
      <c r="R849" s="27" t="s">
        <v>7</v>
      </c>
      <c r="S849" s="27" t="s">
        <v>8</v>
      </c>
      <c r="T849" s="27" t="s">
        <v>7</v>
      </c>
      <c r="U849" s="27" t="s">
        <v>8</v>
      </c>
      <c r="V849" s="27" t="s">
        <v>7</v>
      </c>
      <c r="Y849" s="27" t="s">
        <v>8</v>
      </c>
      <c r="Z849" s="27" t="s">
        <v>7</v>
      </c>
      <c r="AH849" s="27" t="s">
        <v>7</v>
      </c>
      <c r="AI849" s="27" t="s">
        <v>8</v>
      </c>
      <c r="AJ849" s="27" t="s">
        <v>7</v>
      </c>
      <c r="AK849" s="27" t="s">
        <v>8</v>
      </c>
      <c r="AL849" s="27" t="s">
        <v>7</v>
      </c>
      <c r="AM849" s="27" t="s">
        <v>8</v>
      </c>
      <c r="AN849" s="27" t="s">
        <v>7</v>
      </c>
      <c r="AO849" s="27" t="s">
        <v>8</v>
      </c>
    </row>
    <row r="850" spans="1:41" x14ac:dyDescent="0.25">
      <c r="A850" s="7">
        <v>5.4721100964705257E-3</v>
      </c>
      <c r="B850"/>
      <c r="C850"/>
      <c r="D850"/>
      <c r="E850"/>
      <c r="R850" s="27" t="s">
        <v>7</v>
      </c>
      <c r="T850" s="27" t="s">
        <v>7</v>
      </c>
      <c r="U850" s="27" t="s">
        <v>8</v>
      </c>
      <c r="V850" s="27" t="s">
        <v>7</v>
      </c>
      <c r="Y850" s="27" t="s">
        <v>8</v>
      </c>
      <c r="AH850" s="27" t="s">
        <v>7</v>
      </c>
      <c r="AI850" s="27" t="s">
        <v>8</v>
      </c>
      <c r="AJ850" s="27" t="s">
        <v>7</v>
      </c>
      <c r="AL850" s="27" t="s">
        <v>7</v>
      </c>
      <c r="AM850" s="27" t="s">
        <v>8</v>
      </c>
      <c r="AN850" s="27" t="s">
        <v>7</v>
      </c>
      <c r="AO850" s="27" t="s">
        <v>8</v>
      </c>
    </row>
    <row r="851" spans="1:41" x14ac:dyDescent="0.25">
      <c r="A851" s="7">
        <v>5.3648138200691423E-3</v>
      </c>
      <c r="B851"/>
      <c r="C851"/>
      <c r="D851"/>
      <c r="E851"/>
      <c r="T851" s="27" t="s">
        <v>7</v>
      </c>
      <c r="U851" s="27" t="s">
        <v>8</v>
      </c>
      <c r="V851" s="27" t="s">
        <v>7</v>
      </c>
      <c r="W851" s="27" t="s">
        <v>8</v>
      </c>
      <c r="Y851" s="27" t="s">
        <v>8</v>
      </c>
      <c r="AH851" s="27" t="s">
        <v>7</v>
      </c>
      <c r="AI851" s="27" t="s">
        <v>8</v>
      </c>
      <c r="AL851" s="27" t="s">
        <v>7</v>
      </c>
      <c r="AM851" s="27" t="s">
        <v>8</v>
      </c>
      <c r="AN851" s="27" t="s">
        <v>7</v>
      </c>
    </row>
    <row r="852" spans="1:41" x14ac:dyDescent="0.25">
      <c r="A852" s="7">
        <v>5.2596213922246494E-3</v>
      </c>
      <c r="B852"/>
      <c r="C852"/>
      <c r="D852"/>
      <c r="E852"/>
      <c r="T852" s="27" t="s">
        <v>7</v>
      </c>
      <c r="U852" s="27" t="s">
        <v>8</v>
      </c>
      <c r="V852" s="27" t="s">
        <v>7</v>
      </c>
      <c r="W852" s="27" t="s">
        <v>8</v>
      </c>
      <c r="X852" s="27" t="s">
        <v>7</v>
      </c>
      <c r="Y852" s="27" t="s">
        <v>8</v>
      </c>
      <c r="AH852" s="27" t="s">
        <v>7</v>
      </c>
      <c r="AI852" s="27" t="s">
        <v>8</v>
      </c>
      <c r="AL852" s="27" t="s">
        <v>7</v>
      </c>
      <c r="AM852" s="27" t="s">
        <v>8</v>
      </c>
    </row>
    <row r="853" spans="1:41" x14ac:dyDescent="0.25">
      <c r="A853" s="7">
        <v>5.1564915610045588E-3</v>
      </c>
      <c r="B853"/>
      <c r="C853"/>
      <c r="D853"/>
      <c r="E853"/>
      <c r="T853" s="27" t="s">
        <v>7</v>
      </c>
      <c r="U853" s="27" t="s">
        <v>8</v>
      </c>
      <c r="V853" s="27" t="s">
        <v>7</v>
      </c>
      <c r="W853" s="27" t="s">
        <v>8</v>
      </c>
      <c r="X853" s="27" t="s">
        <v>7</v>
      </c>
      <c r="Y853" s="27" t="s">
        <v>8</v>
      </c>
      <c r="AH853" s="27" t="s">
        <v>7</v>
      </c>
      <c r="AI853" s="27" t="s">
        <v>8</v>
      </c>
      <c r="AL853" s="27" t="s">
        <v>7</v>
      </c>
    </row>
    <row r="854" spans="1:41" x14ac:dyDescent="0.25">
      <c r="A854" s="7">
        <v>5.0553838833378023E-3</v>
      </c>
      <c r="B854"/>
      <c r="C854"/>
      <c r="D854"/>
      <c r="E854"/>
      <c r="T854" s="27" t="s">
        <v>7</v>
      </c>
      <c r="U854" s="27" t="s">
        <v>8</v>
      </c>
      <c r="V854" s="27" t="s">
        <v>7</v>
      </c>
      <c r="W854" s="27" t="s">
        <v>8</v>
      </c>
      <c r="X854" s="27" t="s">
        <v>7</v>
      </c>
      <c r="Y854" s="27" t="s">
        <v>8</v>
      </c>
      <c r="AH854" s="27" t="s">
        <v>7</v>
      </c>
      <c r="AI854" s="27" t="s">
        <v>8</v>
      </c>
    </row>
    <row r="855" spans="1:41" x14ac:dyDescent="0.25">
      <c r="A855" s="7">
        <v>4.9562587091547079E-3</v>
      </c>
      <c r="B855"/>
      <c r="C855"/>
      <c r="D855"/>
      <c r="E855"/>
      <c r="T855" s="27" t="s">
        <v>7</v>
      </c>
      <c r="U855" s="27" t="s">
        <v>8</v>
      </c>
      <c r="V855" s="27" t="s">
        <v>7</v>
      </c>
      <c r="W855" s="27" t="s">
        <v>8</v>
      </c>
      <c r="X855" s="27" t="s">
        <v>7</v>
      </c>
      <c r="Y855" s="27" t="s">
        <v>8</v>
      </c>
      <c r="AH855" s="27" t="s">
        <v>7</v>
      </c>
      <c r="AI855" s="27" t="s">
        <v>8</v>
      </c>
    </row>
    <row r="856" spans="1:41" x14ac:dyDescent="0.25">
      <c r="A856" s="7">
        <v>4.8590771658379491E-3</v>
      </c>
      <c r="B856"/>
      <c r="C856"/>
      <c r="D856"/>
      <c r="E856"/>
      <c r="T856" s="27" t="s">
        <v>7</v>
      </c>
      <c r="U856" s="27" t="s">
        <v>8</v>
      </c>
      <c r="V856" s="27" t="s">
        <v>7</v>
      </c>
      <c r="W856" s="27" t="s">
        <v>8</v>
      </c>
      <c r="X856" s="27" t="s">
        <v>7</v>
      </c>
      <c r="Y856" s="27" t="s">
        <v>8</v>
      </c>
      <c r="AH856" s="27" t="s">
        <v>7</v>
      </c>
      <c r="AI856" s="27" t="s">
        <v>8</v>
      </c>
    </row>
    <row r="857" spans="1:41" x14ac:dyDescent="0.25">
      <c r="A857" s="7">
        <v>4.7638011429783815E-3</v>
      </c>
      <c r="B857"/>
      <c r="C857"/>
      <c r="D857"/>
      <c r="E857"/>
      <c r="T857" s="27" t="s">
        <v>7</v>
      </c>
      <c r="U857" s="27" t="s">
        <v>8</v>
      </c>
      <c r="V857" s="27" t="s">
        <v>7</v>
      </c>
      <c r="W857" s="27" t="s">
        <v>8</v>
      </c>
      <c r="X857" s="27" t="s">
        <v>7</v>
      </c>
      <c r="Y857" s="27" t="s">
        <v>8</v>
      </c>
      <c r="AH857" s="27" t="s">
        <v>7</v>
      </c>
    </row>
    <row r="858" spans="1:41" x14ac:dyDescent="0.25">
      <c r="A858" s="7">
        <v>4.6703932774297859E-3</v>
      </c>
      <c r="B858"/>
      <c r="C858"/>
      <c r="D858"/>
      <c r="E858"/>
      <c r="T858" s="27" t="s">
        <v>7</v>
      </c>
      <c r="U858" s="27" t="s">
        <v>8</v>
      </c>
      <c r="V858" s="27" t="s">
        <v>7</v>
      </c>
      <c r="X858" s="27" t="s">
        <v>7</v>
      </c>
      <c r="Y858" s="27" t="s">
        <v>8</v>
      </c>
    </row>
    <row r="859" spans="1:41" x14ac:dyDescent="0.25">
      <c r="A859" s="7">
        <v>4.5788169386566527E-3</v>
      </c>
      <c r="B859"/>
      <c r="C859"/>
      <c r="D859"/>
      <c r="E859"/>
      <c r="T859" s="27" t="s">
        <v>7</v>
      </c>
      <c r="U859" s="27" t="s">
        <v>8</v>
      </c>
      <c r="X859" s="27" t="s">
        <v>7</v>
      </c>
      <c r="Y859" s="27" t="s">
        <v>8</v>
      </c>
    </row>
    <row r="860" spans="1:41" x14ac:dyDescent="0.25">
      <c r="A860" s="7">
        <v>4.4890362143692672E-3</v>
      </c>
      <c r="B860"/>
      <c r="C860"/>
      <c r="D860"/>
      <c r="E860"/>
      <c r="T860" s="27" t="s">
        <v>7</v>
      </c>
      <c r="U860" s="27" t="s">
        <v>8</v>
      </c>
      <c r="X860" s="27" t="s">
        <v>7</v>
      </c>
    </row>
    <row r="861" spans="1:41" x14ac:dyDescent="0.25">
      <c r="A861" s="7">
        <v>4.4010158964404578E-3</v>
      </c>
      <c r="B861"/>
      <c r="C861"/>
      <c r="D861"/>
      <c r="E861"/>
      <c r="T861" s="27" t="s">
        <v>7</v>
      </c>
      <c r="U861" s="27" t="s">
        <v>8</v>
      </c>
    </row>
    <row r="862" spans="1:41" x14ac:dyDescent="0.25">
      <c r="A862" s="7">
        <v>4.314721467098488E-3</v>
      </c>
      <c r="B862"/>
      <c r="C862"/>
      <c r="D862"/>
      <c r="E862"/>
      <c r="T862" s="27" t="s">
        <v>7</v>
      </c>
      <c r="U862" s="27" t="s">
        <v>8</v>
      </c>
    </row>
    <row r="863" spans="1:41" x14ac:dyDescent="0.25">
      <c r="A863" s="7">
        <v>4.2301190853906746E-3</v>
      </c>
      <c r="B863"/>
      <c r="C863"/>
      <c r="D863"/>
      <c r="E863"/>
      <c r="T863" s="27" t="s">
        <v>7</v>
      </c>
      <c r="U863" s="27" t="s">
        <v>8</v>
      </c>
    </row>
    <row r="864" spans="1:41" x14ac:dyDescent="0.25">
      <c r="A864" s="7">
        <v>4.1471755739124266E-3</v>
      </c>
      <c r="B864"/>
      <c r="C864"/>
      <c r="D864"/>
      <c r="E864"/>
      <c r="T864" s="27" t="s">
        <v>7</v>
      </c>
      <c r="U864" s="27" t="s">
        <v>8</v>
      </c>
    </row>
    <row r="865" spans="1:21" x14ac:dyDescent="0.25">
      <c r="A865" s="7">
        <v>4.0658584057964966E-3</v>
      </c>
      <c r="B865"/>
      <c r="C865"/>
      <c r="D865"/>
      <c r="E865"/>
      <c r="T865" s="27" t="s">
        <v>7</v>
      </c>
      <c r="U865" s="27" t="s">
        <v>8</v>
      </c>
    </row>
    <row r="866" spans="1:21" x14ac:dyDescent="0.25">
      <c r="A866" s="7">
        <v>3.9861356919573491E-3</v>
      </c>
      <c r="B866"/>
      <c r="C866"/>
      <c r="D866"/>
      <c r="E866"/>
      <c r="T866" s="27" t="s">
        <v>7</v>
      </c>
      <c r="U866" s="27" t="s">
        <v>8</v>
      </c>
    </row>
    <row r="867" spans="1:21" x14ac:dyDescent="0.25">
      <c r="A867" s="7">
        <v>3.9079761685856364E-3</v>
      </c>
      <c r="B867"/>
      <c r="C867"/>
      <c r="D867"/>
      <c r="E867"/>
      <c r="T867" s="27" t="s">
        <v>7</v>
      </c>
      <c r="U867" s="27" t="s">
        <v>8</v>
      </c>
    </row>
    <row r="868" spans="1:21" x14ac:dyDescent="0.25">
      <c r="A868" s="7">
        <v>3.8313491848878793E-3</v>
      </c>
      <c r="B868"/>
      <c r="C868"/>
      <c r="D868"/>
      <c r="E868"/>
      <c r="T868" s="27" t="s">
        <v>7</v>
      </c>
      <c r="U868" s="27" t="s">
        <v>8</v>
      </c>
    </row>
    <row r="869" spans="1:21" x14ac:dyDescent="0.25">
      <c r="A869" s="7">
        <v>3.7562246910665485E-3</v>
      </c>
      <c r="B869"/>
      <c r="C869"/>
      <c r="D869"/>
      <c r="E869"/>
      <c r="T869" s="27" t="s">
        <v>7</v>
      </c>
    </row>
    <row r="870" spans="1:21" x14ac:dyDescent="0.25">
      <c r="A870" s="7">
        <v>3.6825732265358315E-3</v>
      </c>
      <c r="B870"/>
      <c r="C870"/>
      <c r="D870"/>
      <c r="E870"/>
    </row>
    <row r="871" spans="1:21" x14ac:dyDescent="0.25">
      <c r="A871" s="7">
        <v>3.6103659083684624E-3</v>
      </c>
      <c r="B871"/>
      <c r="C871"/>
      <c r="D871"/>
      <c r="E871"/>
    </row>
    <row r="872" spans="1:21" x14ac:dyDescent="0.25">
      <c r="A872" s="7">
        <v>3.539574419969081E-3</v>
      </c>
      <c r="B872"/>
      <c r="C872"/>
      <c r="D872"/>
      <c r="E872"/>
    </row>
    <row r="873" spans="1:21" x14ac:dyDescent="0.25">
      <c r="A873" s="7">
        <v>3.4701709999696872E-3</v>
      </c>
      <c r="B873"/>
      <c r="C873"/>
      <c r="D873"/>
      <c r="E873"/>
    </row>
    <row r="874" spans="1:21" x14ac:dyDescent="0.25">
      <c r="A874" s="7">
        <v>3.4021284313428307E-3</v>
      </c>
      <c r="B874"/>
      <c r="C874"/>
      <c r="D874"/>
      <c r="E874"/>
    </row>
    <row r="875" spans="1:21" x14ac:dyDescent="0.25">
      <c r="A875" s="7">
        <v>3.3354200307282654E-3</v>
      </c>
      <c r="B875"/>
      <c r="C875"/>
      <c r="D875"/>
      <c r="E875"/>
    </row>
    <row r="876" spans="1:21" x14ac:dyDescent="0.25">
      <c r="A876" s="7">
        <v>3.2700196379688881E-3</v>
      </c>
      <c r="B876"/>
      <c r="C876"/>
      <c r="D876"/>
      <c r="E876"/>
    </row>
    <row r="877" spans="1:21" x14ac:dyDescent="0.25">
      <c r="A877" s="7">
        <v>3.205901605851851E-3</v>
      </c>
      <c r="B877"/>
      <c r="C877"/>
      <c r="D877"/>
      <c r="E877"/>
    </row>
    <row r="878" spans="1:21" x14ac:dyDescent="0.25">
      <c r="A878" s="7">
        <v>3.1430407900508344E-3</v>
      </c>
      <c r="B878"/>
      <c r="C878"/>
      <c r="D878"/>
      <c r="E878"/>
    </row>
    <row r="879" spans="1:21" x14ac:dyDescent="0.25">
      <c r="A879" s="7">
        <v>3.0814125392655241E-3</v>
      </c>
      <c r="B879"/>
      <c r="C879"/>
      <c r="D879"/>
      <c r="E879"/>
    </row>
    <row r="880" spans="1:21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99" operator="equal">
      <formula>$U$1</formula>
    </cfRule>
    <cfRule type="cellIs" dxfId="89" priority="900" operator="equal">
      <formula>$S$1</formula>
    </cfRule>
  </conditionalFormatting>
  <conditionalFormatting sqref="D27">
    <cfRule type="cellIs" dxfId="88" priority="897" operator="equal">
      <formula>$S$1</formula>
    </cfRule>
    <cfRule type="cellIs" dxfId="87" priority="898" operator="equal">
      <formula>$U$1</formula>
    </cfRule>
  </conditionalFormatting>
  <conditionalFormatting sqref="C164">
    <cfRule type="cellIs" dxfId="86" priority="895" operator="equal">
      <formula>$U$1</formula>
    </cfRule>
    <cfRule type="cellIs" dxfId="85" priority="896" operator="equal">
      <formula>$S$1</formula>
    </cfRule>
  </conditionalFormatting>
  <conditionalFormatting sqref="D164">
    <cfRule type="cellIs" dxfId="84" priority="893" operator="equal">
      <formula>$S$1</formula>
    </cfRule>
    <cfRule type="cellIs" dxfId="83" priority="894" operator="equal">
      <formula>$U$1</formula>
    </cfRule>
  </conditionalFormatting>
  <conditionalFormatting sqref="C55">
    <cfRule type="cellIs" dxfId="82" priority="891" operator="equal">
      <formula>$U$1</formula>
    </cfRule>
    <cfRule type="cellIs" dxfId="81" priority="892" operator="equal">
      <formula>$S$1</formula>
    </cfRule>
  </conditionalFormatting>
  <conditionalFormatting sqref="D55">
    <cfRule type="cellIs" dxfId="80" priority="889" operator="equal">
      <formula>$S$1</formula>
    </cfRule>
    <cfRule type="cellIs" dxfId="79" priority="890" operator="equal">
      <formula>$U$1</formula>
    </cfRule>
  </conditionalFormatting>
  <conditionalFormatting sqref="C89">
    <cfRule type="cellIs" dxfId="78" priority="887" operator="equal">
      <formula>$U$1</formula>
    </cfRule>
    <cfRule type="cellIs" dxfId="77" priority="888" operator="equal">
      <formula>$S$1</formula>
    </cfRule>
  </conditionalFormatting>
  <conditionalFormatting sqref="D89">
    <cfRule type="cellIs" dxfId="76" priority="885" operator="equal">
      <formula>$S$1</formula>
    </cfRule>
    <cfRule type="cellIs" dxfId="75" priority="886" operator="equal">
      <formula>$U$1</formula>
    </cfRule>
  </conditionalFormatting>
  <conditionalFormatting sqref="C136">
    <cfRule type="cellIs" dxfId="74" priority="883" operator="equal">
      <formula>$U$1</formula>
    </cfRule>
    <cfRule type="cellIs" dxfId="73" priority="884" operator="equal">
      <formula>$S$1</formula>
    </cfRule>
  </conditionalFormatting>
  <conditionalFormatting sqref="D136">
    <cfRule type="cellIs" dxfId="72" priority="881" operator="equal">
      <formula>$S$1</formula>
    </cfRule>
    <cfRule type="cellIs" dxfId="71" priority="882" operator="equal">
      <formula>$U$1</formula>
    </cfRule>
  </conditionalFormatting>
  <conditionalFormatting sqref="C1">
    <cfRule type="cellIs" dxfId="70" priority="88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EK331" sqref="EK331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$A$330</v>
      </c>
      <c r="D111" s="1" t="str">
        <f>ADDRESS(C121-1,D121,1,1)</f>
        <v>$EK$330</v>
      </c>
      <c r="E111"/>
    </row>
    <row r="112" spans="1:5" x14ac:dyDescent="0.25">
      <c r="A112" s="30">
        <v>515.50191262726139</v>
      </c>
      <c r="C112" s="1" t="str">
        <f>ADDRESS(C121,1,1,1)</f>
        <v>$A$331</v>
      </c>
      <c r="D112" s="1" t="str">
        <f>ADDRESS(C121,D121-1,1,1)</f>
        <v>$EJ$331</v>
      </c>
      <c r="E112"/>
    </row>
    <row r="113" spans="1:5" x14ac:dyDescent="0.25">
      <c r="A113" s="30">
        <v>490.95420250215363</v>
      </c>
      <c r="C113" s="1" t="str">
        <f>ADDRESS(C121+1,1,1,1)</f>
        <v>$A$332</v>
      </c>
      <c r="D113" s="1" t="str">
        <f>ADDRESS(C121-1,D121+1,1,1)</f>
        <v>$EL$330</v>
      </c>
    </row>
    <row r="114" spans="1:5" x14ac:dyDescent="0.25">
      <c r="A114" s="30">
        <v>467.57543095443202</v>
      </c>
      <c r="C114" s="1" t="str">
        <f>ADDRESS(C121,D121,1,1)</f>
        <v>$EK$331</v>
      </c>
      <c r="D114" s="1" t="str">
        <f>ADDRESS(C121+1,D121+1,1,1)</f>
        <v>$EL$332</v>
      </c>
    </row>
    <row r="115" spans="1:5" x14ac:dyDescent="0.25">
      <c r="A115" s="30">
        <v>445.30993424231622</v>
      </c>
      <c r="C115" s="1" t="str">
        <f>ADDRESS(C121+1,D121,1,1)</f>
        <v>$EK$332</v>
      </c>
    </row>
    <row r="116" spans="1:5" x14ac:dyDescent="0.25">
      <c r="A116" s="30">
        <v>424.10469927839637</v>
      </c>
      <c r="C116" s="1">
        <f>C117-1</f>
        <v>330</v>
      </c>
    </row>
    <row r="117" spans="1:5" x14ac:dyDescent="0.25">
      <c r="A117" s="30">
        <v>403.9092374079965</v>
      </c>
      <c r="C117" s="1">
        <f>C121</f>
        <v>331</v>
      </c>
      <c r="D117" s="1">
        <f>D121</f>
        <v>141</v>
      </c>
    </row>
    <row r="118" spans="1:5" x14ac:dyDescent="0.25">
      <c r="A118" s="30">
        <v>384.6754641980919</v>
      </c>
      <c r="C118" s="1">
        <f>C117+1</f>
        <v>332</v>
      </c>
      <c r="D118" s="1">
        <f>D117+1</f>
        <v>142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331</v>
      </c>
      <c r="D121" s="19">
        <v>141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R331</v>
      </c>
      <c r="D123" s="1" t="str">
        <f>"C"&amp;D121</f>
        <v>C141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1.179705990182715E-2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6" x14ac:dyDescent="0.25">
      <c r="A273" s="30">
        <v>0.19987253960121379</v>
      </c>
      <c r="B273"/>
      <c r="C273"/>
      <c r="D273"/>
      <c r="E273"/>
      <c r="F273" s="27" t="s">
        <v>7</v>
      </c>
    </row>
    <row r="274" spans="1:6" x14ac:dyDescent="0.25">
      <c r="A274" s="30">
        <v>0.19035479962020352</v>
      </c>
      <c r="B274"/>
      <c r="C274"/>
      <c r="D274"/>
      <c r="E274"/>
      <c r="F274" s="27" t="s">
        <v>7</v>
      </c>
    </row>
    <row r="275" spans="1:6" x14ac:dyDescent="0.25">
      <c r="A275" s="30">
        <v>0.18129028535257471</v>
      </c>
      <c r="B275"/>
      <c r="C275"/>
      <c r="D275"/>
      <c r="E275"/>
      <c r="F275" s="27" t="s">
        <v>7</v>
      </c>
    </row>
    <row r="276" spans="1:6" x14ac:dyDescent="0.25">
      <c r="A276" s="30">
        <v>0.17265741462149967</v>
      </c>
      <c r="B276"/>
      <c r="C276"/>
      <c r="D276"/>
      <c r="E276"/>
      <c r="F276" s="27" t="s">
        <v>7</v>
      </c>
    </row>
    <row r="277" spans="1:6" x14ac:dyDescent="0.25">
      <c r="A277" s="30">
        <v>0.16443563297285677</v>
      </c>
      <c r="B277"/>
      <c r="C277"/>
      <c r="D277"/>
      <c r="E277"/>
      <c r="F277" s="27" t="s">
        <v>7</v>
      </c>
    </row>
    <row r="278" spans="1:6" x14ac:dyDescent="0.25">
      <c r="A278" s="30">
        <v>0.15660536473605399</v>
      </c>
      <c r="B278"/>
      <c r="C278"/>
      <c r="D278"/>
      <c r="E278"/>
      <c r="F278" s="27" t="s">
        <v>7</v>
      </c>
    </row>
    <row r="279" spans="1:6" x14ac:dyDescent="0.25">
      <c r="A279" s="30">
        <v>0.14914796641528946</v>
      </c>
      <c r="B279"/>
      <c r="C279"/>
      <c r="D279"/>
      <c r="E279"/>
      <c r="F279" s="27" t="s">
        <v>7</v>
      </c>
    </row>
    <row r="280" spans="1:6" x14ac:dyDescent="0.25">
      <c r="A280" s="30">
        <v>0.14204568230027562</v>
      </c>
      <c r="B280"/>
      <c r="C280"/>
      <c r="D280"/>
      <c r="E280"/>
      <c r="F280" s="27" t="s">
        <v>7</v>
      </c>
    </row>
    <row r="281" spans="1:6" x14ac:dyDescent="0.25">
      <c r="A281" s="30">
        <v>0.13528160219073862</v>
      </c>
      <c r="B281"/>
      <c r="C281"/>
      <c r="D281"/>
      <c r="E281"/>
      <c r="F281" s="27" t="s">
        <v>7</v>
      </c>
    </row>
    <row r="282" spans="1:6" x14ac:dyDescent="0.25">
      <c r="A282" s="30">
        <v>0.12883962113403674</v>
      </c>
      <c r="B282"/>
      <c r="C282"/>
      <c r="D282"/>
      <c r="E282"/>
      <c r="F282" s="27" t="s">
        <v>7</v>
      </c>
    </row>
    <row r="283" spans="1:6" x14ac:dyDescent="0.25">
      <c r="A283" s="30">
        <v>0.12270440108003494</v>
      </c>
      <c r="B283"/>
      <c r="C283"/>
      <c r="D283"/>
      <c r="E283"/>
      <c r="F283" s="27" t="s">
        <v>7</v>
      </c>
    </row>
    <row r="284" spans="1:6" x14ac:dyDescent="0.25">
      <c r="A284" s="30">
        <v>0.11686133436193799</v>
      </c>
      <c r="B284"/>
      <c r="C284"/>
      <c r="D284"/>
      <c r="E284"/>
      <c r="F284" s="27" t="s">
        <v>7</v>
      </c>
    </row>
    <row r="285" spans="1:6" x14ac:dyDescent="0.25">
      <c r="A285" s="30">
        <v>0.11129650891613138</v>
      </c>
      <c r="B285"/>
      <c r="C285"/>
      <c r="D285"/>
      <c r="E285"/>
      <c r="F285" s="27" t="s">
        <v>7</v>
      </c>
    </row>
    <row r="286" spans="1:6" x14ac:dyDescent="0.25">
      <c r="A286" s="30">
        <v>0.10599667515822032</v>
      </c>
      <c r="B286"/>
      <c r="C286"/>
      <c r="D286"/>
      <c r="E286"/>
      <c r="F286" s="27" t="s">
        <v>7</v>
      </c>
    </row>
    <row r="287" spans="1:6" x14ac:dyDescent="0.25">
      <c r="A287" s="30">
        <v>0.10094921443640027</v>
      </c>
      <c r="B287"/>
      <c r="C287"/>
      <c r="D287"/>
      <c r="E287"/>
      <c r="F287" s="27" t="s">
        <v>7</v>
      </c>
    </row>
    <row r="288" spans="1:6" x14ac:dyDescent="0.25">
      <c r="A288" s="30">
        <v>9.6142108987047836E-2</v>
      </c>
      <c r="B288"/>
      <c r="C288"/>
      <c r="D288"/>
      <c r="E288"/>
      <c r="F288" s="27" t="s">
        <v>7</v>
      </c>
    </row>
    <row r="289" spans="1:67" x14ac:dyDescent="0.25">
      <c r="A289" s="30">
        <v>9.1563913320997906E-2</v>
      </c>
      <c r="B289"/>
      <c r="C289"/>
      <c r="D289"/>
      <c r="E289"/>
      <c r="F289" s="27" t="s">
        <v>7</v>
      </c>
    </row>
    <row r="290" spans="1:67" x14ac:dyDescent="0.25">
      <c r="A290" s="30">
        <v>8.7203726972378923E-2</v>
      </c>
      <c r="B290"/>
      <c r="C290"/>
      <c r="D290"/>
      <c r="E290"/>
      <c r="F290" s="27" t="s">
        <v>7</v>
      </c>
    </row>
    <row r="291" spans="1:67" x14ac:dyDescent="0.25">
      <c r="A291" s="30">
        <v>8.3051168545122747E-2</v>
      </c>
      <c r="B291"/>
      <c r="C291"/>
      <c r="D291"/>
      <c r="E291"/>
      <c r="F291" s="27" t="s">
        <v>7</v>
      </c>
    </row>
    <row r="292" spans="1:67" x14ac:dyDescent="0.25">
      <c r="A292" s="30">
        <v>7.9096350995354961E-2</v>
      </c>
      <c r="B292"/>
      <c r="C292"/>
      <c r="D292"/>
      <c r="E292"/>
      <c r="F292" s="27" t="s">
        <v>7</v>
      </c>
    </row>
    <row r="293" spans="1:67" x14ac:dyDescent="0.25">
      <c r="A293" s="30">
        <v>7.5329858090814217E-2</v>
      </c>
      <c r="B293"/>
      <c r="C293"/>
      <c r="D293"/>
      <c r="E293"/>
      <c r="F293" s="27" t="s">
        <v>7</v>
      </c>
    </row>
    <row r="294" spans="1:67" x14ac:dyDescent="0.25">
      <c r="A294" s="30">
        <v>7.1742721991251604E-2</v>
      </c>
      <c r="B294"/>
      <c r="C294"/>
      <c r="D294"/>
      <c r="E294"/>
      <c r="F294" s="27" t="s">
        <v>7</v>
      </c>
    </row>
    <row r="295" spans="1:67" x14ac:dyDescent="0.25">
      <c r="A295" s="30">
        <v>6.8326401896430078E-2</v>
      </c>
      <c r="B295"/>
      <c r="C295"/>
      <c r="D295"/>
      <c r="E295"/>
      <c r="F295" s="27" t="s">
        <v>7</v>
      </c>
    </row>
    <row r="296" spans="1:67" x14ac:dyDescent="0.25">
      <c r="A296" s="30">
        <v>6.5072763710885759E-2</v>
      </c>
      <c r="B296"/>
      <c r="C296"/>
      <c r="D296"/>
      <c r="E296"/>
      <c r="F296" s="27" t="s">
        <v>7</v>
      </c>
    </row>
    <row r="297" spans="1:67" x14ac:dyDescent="0.25">
      <c r="A297" s="30">
        <v>6.197406067703403E-2</v>
      </c>
      <c r="B297"/>
      <c r="C297"/>
      <c r="D297"/>
      <c r="E297"/>
      <c r="F297" s="27" t="s">
        <v>7</v>
      </c>
    </row>
    <row r="298" spans="1:67" x14ac:dyDescent="0.25">
      <c r="A298" s="30">
        <v>5.9022914930508576E-2</v>
      </c>
      <c r="B298"/>
      <c r="C298"/>
      <c r="D298"/>
      <c r="E298"/>
      <c r="F298" s="27" t="s">
        <v>7</v>
      </c>
    </row>
    <row r="299" spans="1:67" x14ac:dyDescent="0.25">
      <c r="A299" s="30">
        <v>5.6212299933817669E-2</v>
      </c>
      <c r="B299"/>
      <c r="C299"/>
      <c r="D299"/>
      <c r="E299"/>
      <c r="F299" s="27" t="s">
        <v>7</v>
      </c>
    </row>
    <row r="300" spans="1:67" x14ac:dyDescent="0.25">
      <c r="A300" s="30">
        <v>5.3535523746492994E-2</v>
      </c>
      <c r="B300"/>
      <c r="C300"/>
      <c r="D300"/>
      <c r="E300"/>
      <c r="F300" s="27" t="s">
        <v>7</v>
      </c>
    </row>
    <row r="301" spans="1:67" x14ac:dyDescent="0.25">
      <c r="A301" s="30">
        <v>5.0986213091898068E-2</v>
      </c>
      <c r="B301"/>
      <c r="C301"/>
      <c r="D301"/>
      <c r="E301"/>
      <c r="F301" s="27" t="s">
        <v>7</v>
      </c>
      <c r="BK301" s="27" t="s">
        <v>8</v>
      </c>
    </row>
    <row r="302" spans="1:67" x14ac:dyDescent="0.25">
      <c r="A302" s="30">
        <v>4.8558298182760043E-2</v>
      </c>
      <c r="B302"/>
      <c r="C302"/>
      <c r="D302"/>
      <c r="E302"/>
      <c r="F302" s="27" t="s">
        <v>7</v>
      </c>
      <c r="AC302" s="27" t="s">
        <v>8</v>
      </c>
      <c r="BK302" s="27" t="s">
        <v>8</v>
      </c>
      <c r="BL302" s="27" t="s">
        <v>7</v>
      </c>
    </row>
    <row r="303" spans="1:67" x14ac:dyDescent="0.25">
      <c r="A303" s="30">
        <v>4.6245998269295263E-2</v>
      </c>
      <c r="B303"/>
      <c r="C303"/>
      <c r="D303"/>
      <c r="E303"/>
      <c r="F303" s="27" t="s">
        <v>7</v>
      </c>
      <c r="AC303" s="27" t="s">
        <v>8</v>
      </c>
      <c r="AD303" s="27" t="s">
        <v>7</v>
      </c>
      <c r="BK303" s="27" t="s">
        <v>8</v>
      </c>
      <c r="BL303" s="27" t="s">
        <v>7</v>
      </c>
      <c r="BM303" s="27" t="s">
        <v>8</v>
      </c>
    </row>
    <row r="304" spans="1:67" x14ac:dyDescent="0.25">
      <c r="A304" s="30">
        <v>4.4043807875519279E-2</v>
      </c>
      <c r="B304"/>
      <c r="C304"/>
      <c r="D304"/>
      <c r="E304"/>
      <c r="F304" s="27" t="s">
        <v>7</v>
      </c>
      <c r="AC304" s="27" t="s">
        <v>8</v>
      </c>
      <c r="AD304" s="27" t="s">
        <v>7</v>
      </c>
      <c r="BK304" s="27" t="s">
        <v>8</v>
      </c>
      <c r="BL304" s="27" t="s">
        <v>7</v>
      </c>
      <c r="BM304" s="27" t="s">
        <v>8</v>
      </c>
      <c r="BN304" s="27" t="s">
        <v>7</v>
      </c>
      <c r="BO304" s="27" t="s">
        <v>8</v>
      </c>
    </row>
    <row r="305" spans="1:132" x14ac:dyDescent="0.25">
      <c r="A305" s="30">
        <v>4.1946483690970725E-2</v>
      </c>
      <c r="B305"/>
      <c r="C305"/>
      <c r="D305"/>
      <c r="E305"/>
      <c r="F305" s="27" t="s">
        <v>7</v>
      </c>
      <c r="AC305" s="27" t="s">
        <v>8</v>
      </c>
      <c r="AD305" s="27" t="s">
        <v>7</v>
      </c>
      <c r="BK305" s="27" t="s">
        <v>8</v>
      </c>
      <c r="BL305" s="27" t="s">
        <v>7</v>
      </c>
      <c r="BM305" s="27" t="s">
        <v>8</v>
      </c>
      <c r="BN305" s="27" t="s">
        <v>7</v>
      </c>
      <c r="BO305" s="27" t="s">
        <v>8</v>
      </c>
      <c r="BP305" s="27" t="s">
        <v>7</v>
      </c>
    </row>
    <row r="306" spans="1:132" x14ac:dyDescent="0.25">
      <c r="A306" s="30">
        <v>3.9949032086638768E-2</v>
      </c>
      <c r="B306"/>
      <c r="C306"/>
      <c r="D306"/>
      <c r="E306"/>
      <c r="F306" s="27" t="s">
        <v>7</v>
      </c>
      <c r="AC306" s="27" t="s">
        <v>8</v>
      </c>
      <c r="AD306" s="27" t="s">
        <v>7</v>
      </c>
      <c r="BK306" s="27" t="s">
        <v>8</v>
      </c>
      <c r="BL306" s="27" t="s">
        <v>7</v>
      </c>
      <c r="BM306" s="27" t="s">
        <v>8</v>
      </c>
      <c r="BN306" s="27" t="s">
        <v>7</v>
      </c>
      <c r="BO306" s="27" t="s">
        <v>8</v>
      </c>
      <c r="BP306" s="27" t="s">
        <v>7</v>
      </c>
      <c r="BQ306" s="27" t="s">
        <v>8</v>
      </c>
    </row>
    <row r="307" spans="1:132" x14ac:dyDescent="0.25">
      <c r="A307" s="30">
        <v>3.8046697225370241E-2</v>
      </c>
      <c r="B307"/>
      <c r="C307"/>
      <c r="D307"/>
      <c r="E307"/>
      <c r="F307" s="27" t="s">
        <v>7</v>
      </c>
      <c r="AC307" s="27" t="s">
        <v>8</v>
      </c>
      <c r="AD307" s="27" t="s">
        <v>7</v>
      </c>
      <c r="BE307" s="27" t="s">
        <v>8</v>
      </c>
      <c r="BI307" s="27" t="s">
        <v>8</v>
      </c>
      <c r="BK307" s="27" t="s">
        <v>8</v>
      </c>
      <c r="BL307" s="27" t="s">
        <v>7</v>
      </c>
      <c r="BM307" s="27" t="s">
        <v>8</v>
      </c>
      <c r="BN307" s="27" t="s">
        <v>7</v>
      </c>
      <c r="BO307" s="27" t="s">
        <v>8</v>
      </c>
      <c r="BP307" s="27" t="s">
        <v>7</v>
      </c>
      <c r="BQ307" s="27" t="s">
        <v>8</v>
      </c>
      <c r="BR307" s="27" t="s">
        <v>7</v>
      </c>
      <c r="BW307" s="27" t="s">
        <v>8</v>
      </c>
    </row>
    <row r="308" spans="1:132" x14ac:dyDescent="0.25">
      <c r="A308" s="30">
        <v>3.6234949738447833E-2</v>
      </c>
      <c r="B308"/>
      <c r="C308"/>
      <c r="D308"/>
      <c r="E308"/>
      <c r="F308" s="27" t="s">
        <v>7</v>
      </c>
      <c r="AC308" s="27" t="s">
        <v>8</v>
      </c>
      <c r="AD308" s="27" t="s">
        <v>7</v>
      </c>
      <c r="BE308" s="27" t="s">
        <v>8</v>
      </c>
      <c r="BF308" s="27" t="s">
        <v>7</v>
      </c>
      <c r="BI308" s="27" t="s">
        <v>8</v>
      </c>
      <c r="BJ308" s="27" t="s">
        <v>7</v>
      </c>
      <c r="BK308" s="27" t="s">
        <v>8</v>
      </c>
      <c r="BL308" s="27" t="s">
        <v>7</v>
      </c>
      <c r="BN308" s="27" t="s">
        <v>7</v>
      </c>
      <c r="BP308" s="27" t="s">
        <v>7</v>
      </c>
      <c r="BQ308" s="27" t="s">
        <v>8</v>
      </c>
      <c r="BR308" s="27" t="s">
        <v>7</v>
      </c>
      <c r="BW308" s="27" t="s">
        <v>8</v>
      </c>
      <c r="BX308" s="27" t="s">
        <v>7</v>
      </c>
      <c r="CI308" s="27" t="s">
        <v>8</v>
      </c>
      <c r="DU308" s="27" t="s">
        <v>8</v>
      </c>
    </row>
    <row r="309" spans="1:132" x14ac:dyDescent="0.25">
      <c r="A309" s="30">
        <v>3.4509475941378875E-2</v>
      </c>
      <c r="B309"/>
      <c r="C309"/>
      <c r="D309"/>
      <c r="E309"/>
      <c r="F309" s="27" t="s">
        <v>7</v>
      </c>
      <c r="AC309" s="27" t="s">
        <v>8</v>
      </c>
      <c r="AD309" s="27" t="s">
        <v>7</v>
      </c>
      <c r="BE309" s="27" t="s">
        <v>8</v>
      </c>
      <c r="BF309" s="27" t="s">
        <v>7</v>
      </c>
      <c r="BG309" s="27" t="s">
        <v>8</v>
      </c>
      <c r="BI309" s="27" t="s">
        <v>8</v>
      </c>
      <c r="BJ309" s="27" t="s">
        <v>7</v>
      </c>
      <c r="BK309" s="27" t="s">
        <v>8</v>
      </c>
      <c r="BP309" s="27" t="s">
        <v>7</v>
      </c>
      <c r="BQ309" s="27" t="s">
        <v>8</v>
      </c>
      <c r="BR309" s="27" t="s">
        <v>7</v>
      </c>
      <c r="BU309" s="27" t="s">
        <v>8</v>
      </c>
      <c r="BW309" s="27" t="s">
        <v>8</v>
      </c>
      <c r="BX309" s="27" t="s">
        <v>7</v>
      </c>
      <c r="CI309" s="27" t="s">
        <v>8</v>
      </c>
      <c r="CJ309" s="27" t="s">
        <v>7</v>
      </c>
      <c r="DU309" s="27" t="s">
        <v>8</v>
      </c>
      <c r="DV309" s="27" t="s">
        <v>7</v>
      </c>
    </row>
    <row r="310" spans="1:132" x14ac:dyDescent="0.25">
      <c r="A310" s="30">
        <v>3.286616756321796E-2</v>
      </c>
      <c r="B310"/>
      <c r="C310"/>
      <c r="D310"/>
      <c r="E310"/>
      <c r="F310" s="27" t="s">
        <v>7</v>
      </c>
      <c r="AC310" s="27" t="s">
        <v>8</v>
      </c>
      <c r="AD310" s="27" t="s">
        <v>7</v>
      </c>
      <c r="BE310" s="27" t="s">
        <v>8</v>
      </c>
      <c r="BF310" s="27" t="s">
        <v>7</v>
      </c>
      <c r="BG310" s="27" t="s">
        <v>8</v>
      </c>
      <c r="BH310" s="27" t="s">
        <v>7</v>
      </c>
      <c r="BI310" s="27" t="s">
        <v>8</v>
      </c>
      <c r="BJ310" s="27" t="s">
        <v>7</v>
      </c>
      <c r="BP310" s="27" t="s">
        <v>7</v>
      </c>
      <c r="BQ310" s="27" t="s">
        <v>8</v>
      </c>
      <c r="BR310" s="27" t="s">
        <v>7</v>
      </c>
      <c r="BU310" s="27" t="s">
        <v>8</v>
      </c>
      <c r="BV310" s="27" t="s">
        <v>7</v>
      </c>
      <c r="BW310" s="27" t="s">
        <v>8</v>
      </c>
      <c r="BX310" s="27" t="s">
        <v>7</v>
      </c>
      <c r="CI310" s="27" t="s">
        <v>8</v>
      </c>
      <c r="CJ310" s="27" t="s">
        <v>7</v>
      </c>
      <c r="DO310" s="27" t="s">
        <v>8</v>
      </c>
      <c r="DU310" s="27" t="s">
        <v>8</v>
      </c>
      <c r="DV310" s="27" t="s">
        <v>7</v>
      </c>
    </row>
    <row r="311" spans="1:132" x14ac:dyDescent="0.25">
      <c r="A311" s="30">
        <v>3.1301111964969472E-2</v>
      </c>
      <c r="B311"/>
      <c r="C311"/>
      <c r="D311"/>
      <c r="E311"/>
      <c r="F311" s="27" t="s">
        <v>7</v>
      </c>
      <c r="AC311" s="27" t="s">
        <v>8</v>
      </c>
      <c r="AD311" s="27" t="s">
        <v>7</v>
      </c>
      <c r="BE311" s="27" t="s">
        <v>8</v>
      </c>
      <c r="BF311" s="27" t="s">
        <v>7</v>
      </c>
      <c r="BG311" s="27" t="s">
        <v>8</v>
      </c>
      <c r="BH311" s="27" t="s">
        <v>7</v>
      </c>
      <c r="BI311" s="27" t="s">
        <v>8</v>
      </c>
      <c r="BP311" s="27" t="s">
        <v>7</v>
      </c>
      <c r="BQ311" s="27" t="s">
        <v>8</v>
      </c>
      <c r="BR311" s="27" t="s">
        <v>7</v>
      </c>
      <c r="BU311" s="27" t="s">
        <v>8</v>
      </c>
      <c r="BV311" s="27" t="s">
        <v>7</v>
      </c>
      <c r="BW311" s="27" t="s">
        <v>8</v>
      </c>
      <c r="BX311" s="27" t="s">
        <v>7</v>
      </c>
      <c r="CI311" s="27" t="s">
        <v>8</v>
      </c>
      <c r="CJ311" s="27" t="s">
        <v>7</v>
      </c>
      <c r="DO311" s="27" t="s">
        <v>8</v>
      </c>
      <c r="DP311" s="27" t="s">
        <v>7</v>
      </c>
      <c r="DU311" s="27" t="s">
        <v>8</v>
      </c>
      <c r="DV311" s="27" t="s">
        <v>7</v>
      </c>
    </row>
    <row r="312" spans="1:132" x14ac:dyDescent="0.25">
      <c r="A312" s="30">
        <v>2.9810582823780438E-2</v>
      </c>
      <c r="B312"/>
      <c r="C312"/>
      <c r="D312"/>
      <c r="E312"/>
      <c r="F312" s="27" t="s">
        <v>7</v>
      </c>
      <c r="AC312" s="27" t="s">
        <v>8</v>
      </c>
      <c r="AD312" s="27" t="s">
        <v>7</v>
      </c>
      <c r="BE312" s="27" t="s">
        <v>8</v>
      </c>
      <c r="BF312" s="27" t="s">
        <v>7</v>
      </c>
      <c r="BG312" s="27" t="s">
        <v>8</v>
      </c>
      <c r="BH312" s="27" t="s">
        <v>7</v>
      </c>
      <c r="BI312" s="27" t="s">
        <v>8</v>
      </c>
      <c r="BP312" s="27" t="s">
        <v>7</v>
      </c>
      <c r="BQ312" s="27" t="s">
        <v>8</v>
      </c>
      <c r="BR312" s="27" t="s">
        <v>7</v>
      </c>
      <c r="BS312" s="27" t="s">
        <v>8</v>
      </c>
      <c r="BU312" s="27" t="s">
        <v>8</v>
      </c>
      <c r="BV312" s="27" t="s">
        <v>7</v>
      </c>
      <c r="BX312" s="27" t="s">
        <v>7</v>
      </c>
      <c r="BY312" s="27" t="s">
        <v>8</v>
      </c>
      <c r="CI312" s="27" t="s">
        <v>8</v>
      </c>
      <c r="CJ312" s="27" t="s">
        <v>7</v>
      </c>
      <c r="DO312" s="27" t="s">
        <v>8</v>
      </c>
      <c r="DP312" s="27" t="s">
        <v>7</v>
      </c>
      <c r="DU312" s="27" t="s">
        <v>8</v>
      </c>
      <c r="DV312" s="27" t="s">
        <v>7</v>
      </c>
    </row>
    <row r="313" spans="1:132" x14ac:dyDescent="0.25">
      <c r="A313" s="30">
        <v>2.8391031260743264E-2</v>
      </c>
      <c r="B313"/>
      <c r="C313"/>
      <c r="D313"/>
      <c r="E313"/>
      <c r="F313" s="27" t="s">
        <v>7</v>
      </c>
      <c r="AC313" s="27" t="s">
        <v>8</v>
      </c>
      <c r="AD313" s="27" t="s">
        <v>7</v>
      </c>
      <c r="BE313" s="27" t="s">
        <v>8</v>
      </c>
      <c r="BF313" s="27" t="s">
        <v>7</v>
      </c>
      <c r="BG313" s="27" t="s">
        <v>8</v>
      </c>
      <c r="BH313" s="27" t="s">
        <v>7</v>
      </c>
      <c r="BP313" s="27" t="s">
        <v>7</v>
      </c>
      <c r="BQ313" s="27" t="s">
        <v>8</v>
      </c>
      <c r="BR313" s="27" t="s">
        <v>7</v>
      </c>
      <c r="BS313" s="27" t="s">
        <v>8</v>
      </c>
      <c r="BT313" s="27" t="s">
        <v>7</v>
      </c>
      <c r="BU313" s="27" t="s">
        <v>8</v>
      </c>
      <c r="BX313" s="27" t="s">
        <v>7</v>
      </c>
      <c r="BY313" s="27" t="s">
        <v>8</v>
      </c>
      <c r="BZ313" s="27" t="s">
        <v>7</v>
      </c>
      <c r="CI313" s="27" t="s">
        <v>8</v>
      </c>
      <c r="CJ313" s="27" t="s">
        <v>7</v>
      </c>
      <c r="DO313" s="27" t="s">
        <v>8</v>
      </c>
      <c r="DP313" s="27" t="s">
        <v>7</v>
      </c>
      <c r="DQ313" s="27" t="s">
        <v>8</v>
      </c>
      <c r="DU313" s="27" t="s">
        <v>8</v>
      </c>
      <c r="DV313" s="27" t="s">
        <v>7</v>
      </c>
      <c r="DW313" s="27" t="s">
        <v>8</v>
      </c>
      <c r="DY313" s="27" t="s">
        <v>8</v>
      </c>
    </row>
    <row r="314" spans="1:132" x14ac:dyDescent="0.25">
      <c r="A314" s="30">
        <v>2.7039077391184052E-2</v>
      </c>
      <c r="B314"/>
      <c r="C314"/>
      <c r="D314"/>
      <c r="E314"/>
      <c r="F314" s="27" t="s">
        <v>7</v>
      </c>
      <c r="AC314" s="27" t="s">
        <v>8</v>
      </c>
      <c r="AD314" s="27" t="s">
        <v>7</v>
      </c>
      <c r="AY314" s="27" t="s">
        <v>8</v>
      </c>
      <c r="BE314" s="27" t="s">
        <v>8</v>
      </c>
      <c r="BF314" s="27" t="s">
        <v>7</v>
      </c>
      <c r="BP314" s="27" t="s">
        <v>7</v>
      </c>
      <c r="BR314" s="27" t="s">
        <v>7</v>
      </c>
      <c r="BS314" s="27" t="s">
        <v>8</v>
      </c>
      <c r="BT314" s="27" t="s">
        <v>7</v>
      </c>
      <c r="BU314" s="27" t="s">
        <v>8</v>
      </c>
      <c r="BX314" s="27" t="s">
        <v>7</v>
      </c>
      <c r="BY314" s="27" t="s">
        <v>8</v>
      </c>
      <c r="BZ314" s="27" t="s">
        <v>7</v>
      </c>
      <c r="CI314" s="27" t="s">
        <v>8</v>
      </c>
      <c r="CJ314" s="27" t="s">
        <v>7</v>
      </c>
      <c r="DO314" s="27" t="s">
        <v>8</v>
      </c>
      <c r="DP314" s="27" t="s">
        <v>7</v>
      </c>
      <c r="DQ314" s="27" t="s">
        <v>8</v>
      </c>
      <c r="DR314" s="27" t="s">
        <v>7</v>
      </c>
      <c r="DU314" s="27" t="s">
        <v>8</v>
      </c>
      <c r="DV314" s="27" t="s">
        <v>7</v>
      </c>
      <c r="DW314" s="27" t="s">
        <v>8</v>
      </c>
      <c r="DX314" s="27" t="s">
        <v>7</v>
      </c>
      <c r="DY314" s="27" t="s">
        <v>8</v>
      </c>
      <c r="DZ314" s="27" t="s">
        <v>7</v>
      </c>
    </row>
    <row r="315" spans="1:132" x14ac:dyDescent="0.25">
      <c r="A315" s="30">
        <v>2.5751502277318133E-2</v>
      </c>
      <c r="B315"/>
      <c r="C315"/>
      <c r="D315"/>
      <c r="E315"/>
      <c r="F315" s="27" t="s">
        <v>7</v>
      </c>
      <c r="AC315" s="27" t="s">
        <v>8</v>
      </c>
      <c r="AD315" s="27" t="s">
        <v>7</v>
      </c>
      <c r="AU315" s="27" t="s">
        <v>8</v>
      </c>
      <c r="AY315" s="27" t="s">
        <v>8</v>
      </c>
      <c r="AZ315" s="27" t="s">
        <v>7</v>
      </c>
      <c r="BE315" s="27" t="s">
        <v>8</v>
      </c>
      <c r="BR315" s="27" t="s">
        <v>7</v>
      </c>
      <c r="BS315" s="27" t="s">
        <v>8</v>
      </c>
      <c r="BT315" s="27" t="s">
        <v>7</v>
      </c>
      <c r="BU315" s="27" t="s">
        <v>8</v>
      </c>
      <c r="BX315" s="27" t="s">
        <v>7</v>
      </c>
      <c r="BZ315" s="27" t="s">
        <v>7</v>
      </c>
      <c r="CI315" s="27" t="s">
        <v>8</v>
      </c>
      <c r="CJ315" s="27" t="s">
        <v>7</v>
      </c>
      <c r="DO315" s="27" t="s">
        <v>8</v>
      </c>
      <c r="DP315" s="27" t="s">
        <v>7</v>
      </c>
      <c r="DQ315" s="27" t="s">
        <v>8</v>
      </c>
      <c r="DR315" s="27" t="s">
        <v>7</v>
      </c>
      <c r="DU315" s="27" t="s">
        <v>8</v>
      </c>
      <c r="DV315" s="27" t="s">
        <v>7</v>
      </c>
      <c r="DW315" s="27" t="s">
        <v>8</v>
      </c>
      <c r="DX315" s="27" t="s">
        <v>7</v>
      </c>
      <c r="DY315" s="27" t="s">
        <v>8</v>
      </c>
      <c r="DZ315" s="27" t="s">
        <v>7</v>
      </c>
      <c r="EA315" s="27" t="s">
        <v>8</v>
      </c>
    </row>
    <row r="316" spans="1:132" x14ac:dyDescent="0.25">
      <c r="A316" s="30">
        <v>2.4525240264112496E-2</v>
      </c>
      <c r="B316"/>
      <c r="C316"/>
      <c r="D316"/>
      <c r="E316"/>
      <c r="F316" s="27" t="s">
        <v>7</v>
      </c>
      <c r="AC316" s="27" t="s">
        <v>8</v>
      </c>
      <c r="AD316" s="27" t="s">
        <v>7</v>
      </c>
      <c r="AU316" s="27" t="s">
        <v>8</v>
      </c>
      <c r="AV316" s="27" t="s">
        <v>7</v>
      </c>
      <c r="AY316" s="27" t="s">
        <v>8</v>
      </c>
      <c r="AZ316" s="27" t="s">
        <v>7</v>
      </c>
      <c r="BE316" s="27" t="s">
        <v>8</v>
      </c>
      <c r="BR316" s="27" t="s">
        <v>7</v>
      </c>
      <c r="BT316" s="27" t="s">
        <v>7</v>
      </c>
      <c r="BU316" s="27" t="s">
        <v>8</v>
      </c>
      <c r="BZ316" s="27" t="s">
        <v>7</v>
      </c>
      <c r="CI316" s="27" t="s">
        <v>8</v>
      </c>
      <c r="CJ316" s="27" t="s">
        <v>7</v>
      </c>
      <c r="DO316" s="27" t="s">
        <v>8</v>
      </c>
      <c r="DP316" s="27" t="s">
        <v>7</v>
      </c>
      <c r="DQ316" s="27" t="s">
        <v>8</v>
      </c>
      <c r="DR316" s="27" t="s">
        <v>7</v>
      </c>
      <c r="DU316" s="27" t="s">
        <v>8</v>
      </c>
      <c r="DV316" s="27" t="s">
        <v>7</v>
      </c>
      <c r="DW316" s="27" t="s">
        <v>8</v>
      </c>
      <c r="DX316" s="27" t="s">
        <v>7</v>
      </c>
      <c r="DY316" s="27" t="s">
        <v>8</v>
      </c>
      <c r="DZ316" s="27" t="s">
        <v>7</v>
      </c>
      <c r="EA316" s="27" t="s">
        <v>8</v>
      </c>
      <c r="EB316" s="27" t="s">
        <v>7</v>
      </c>
    </row>
    <row r="317" spans="1:132" x14ac:dyDescent="0.25">
      <c r="A317" s="30">
        <v>2.3357371680107129E-2</v>
      </c>
      <c r="B317"/>
      <c r="C317"/>
      <c r="D317"/>
      <c r="E317"/>
      <c r="F317" s="27" t="s">
        <v>7</v>
      </c>
      <c r="AC317" s="27" t="s">
        <v>8</v>
      </c>
      <c r="AD317" s="27" t="s">
        <v>7</v>
      </c>
      <c r="AS317" s="27" t="s">
        <v>8</v>
      </c>
      <c r="AU317" s="27" t="s">
        <v>8</v>
      </c>
      <c r="AV317" s="27" t="s">
        <v>7</v>
      </c>
      <c r="AY317" s="27" t="s">
        <v>8</v>
      </c>
      <c r="AZ317" s="27" t="s">
        <v>7</v>
      </c>
      <c r="BE317" s="27" t="s">
        <v>8</v>
      </c>
      <c r="BT317" s="27" t="s">
        <v>7</v>
      </c>
      <c r="BZ317" s="27" t="s">
        <v>7</v>
      </c>
      <c r="CI317" s="27" t="s">
        <v>8</v>
      </c>
      <c r="CJ317" s="27" t="s">
        <v>7</v>
      </c>
      <c r="DO317" s="27" t="s">
        <v>8</v>
      </c>
      <c r="DP317" s="27" t="s">
        <v>7</v>
      </c>
      <c r="DQ317" s="27" t="s">
        <v>8</v>
      </c>
      <c r="DR317" s="27" t="s">
        <v>7</v>
      </c>
      <c r="DU317" s="27" t="s">
        <v>8</v>
      </c>
      <c r="DV317" s="27" t="s">
        <v>7</v>
      </c>
      <c r="DW317" s="27" t="s">
        <v>8</v>
      </c>
      <c r="DX317" s="27" t="s">
        <v>7</v>
      </c>
      <c r="DY317" s="27" t="s">
        <v>8</v>
      </c>
      <c r="DZ317" s="27" t="s">
        <v>7</v>
      </c>
      <c r="EA317" s="27" t="s">
        <v>8</v>
      </c>
      <c r="EB317" s="27" t="s">
        <v>7</v>
      </c>
    </row>
    <row r="318" spans="1:132" x14ac:dyDescent="0.25">
      <c r="A318" s="30">
        <v>2.2245115885816305E-2</v>
      </c>
      <c r="B318"/>
      <c r="C318"/>
      <c r="D318"/>
      <c r="E318"/>
      <c r="F318" s="27" t="s">
        <v>7</v>
      </c>
      <c r="AC318" s="27" t="s">
        <v>8</v>
      </c>
      <c r="AD318" s="27" t="s">
        <v>7</v>
      </c>
      <c r="AS318" s="27" t="s">
        <v>8</v>
      </c>
      <c r="AT318" s="27" t="s">
        <v>7</v>
      </c>
      <c r="AU318" s="27" t="s">
        <v>8</v>
      </c>
      <c r="AV318" s="27" t="s">
        <v>7</v>
      </c>
      <c r="AW318" s="27" t="s">
        <v>8</v>
      </c>
      <c r="AY318" s="27" t="s">
        <v>8</v>
      </c>
      <c r="AZ318" s="27" t="s">
        <v>7</v>
      </c>
      <c r="BE318" s="27" t="s">
        <v>8</v>
      </c>
      <c r="BZ318" s="27" t="s">
        <v>7</v>
      </c>
      <c r="CI318" s="27" t="s">
        <v>8</v>
      </c>
      <c r="CJ318" s="27" t="s">
        <v>7</v>
      </c>
      <c r="DO318" s="27" t="s">
        <v>8</v>
      </c>
      <c r="DP318" s="27" t="s">
        <v>7</v>
      </c>
      <c r="DQ318" s="27" t="s">
        <v>8</v>
      </c>
      <c r="DR318" s="27" t="s">
        <v>7</v>
      </c>
      <c r="DS318" s="27" t="s">
        <v>8</v>
      </c>
      <c r="DU318" s="27" t="s">
        <v>8</v>
      </c>
      <c r="DV318" s="27" t="s">
        <v>7</v>
      </c>
      <c r="DW318" s="27" t="s">
        <v>8</v>
      </c>
      <c r="DX318" s="27" t="s">
        <v>7</v>
      </c>
      <c r="DZ318" s="27" t="s">
        <v>7</v>
      </c>
      <c r="EA318" s="27" t="s">
        <v>8</v>
      </c>
      <c r="EB318" s="27" t="s">
        <v>7</v>
      </c>
    </row>
    <row r="319" spans="1:132" x14ac:dyDescent="0.25">
      <c r="A319" s="30">
        <v>2.1185824653158377E-2</v>
      </c>
      <c r="B319"/>
      <c r="C319"/>
      <c r="D319"/>
      <c r="E319"/>
      <c r="F319" s="27" t="s">
        <v>7</v>
      </c>
      <c r="AC319" s="27" t="s">
        <v>8</v>
      </c>
      <c r="AD319" s="27" t="s">
        <v>7</v>
      </c>
      <c r="AS319" s="27" t="s">
        <v>8</v>
      </c>
      <c r="AT319" s="27" t="s">
        <v>7</v>
      </c>
      <c r="AU319" s="27" t="s">
        <v>8</v>
      </c>
      <c r="AV319" s="27" t="s">
        <v>7</v>
      </c>
      <c r="AW319" s="27" t="s">
        <v>8</v>
      </c>
      <c r="AX319" s="27" t="s">
        <v>7</v>
      </c>
      <c r="AY319" s="27" t="s">
        <v>8</v>
      </c>
      <c r="AZ319" s="27" t="s">
        <v>7</v>
      </c>
      <c r="BE319" s="27" t="s">
        <v>8</v>
      </c>
      <c r="BZ319" s="27" t="s">
        <v>7</v>
      </c>
      <c r="CI319" s="27" t="s">
        <v>8</v>
      </c>
      <c r="CJ319" s="27" t="s">
        <v>7</v>
      </c>
      <c r="DO319" s="27" t="s">
        <v>8</v>
      </c>
      <c r="DP319" s="27" t="s">
        <v>7</v>
      </c>
      <c r="DQ319" s="27" t="s">
        <v>8</v>
      </c>
      <c r="DR319" s="27" t="s">
        <v>7</v>
      </c>
      <c r="DS319" s="27" t="s">
        <v>8</v>
      </c>
      <c r="DT319" s="27" t="s">
        <v>7</v>
      </c>
      <c r="DU319" s="27" t="s">
        <v>8</v>
      </c>
      <c r="DV319" s="27" t="s">
        <v>7</v>
      </c>
      <c r="DW319" s="27" t="s">
        <v>8</v>
      </c>
      <c r="DZ319" s="27" t="s">
        <v>7</v>
      </c>
      <c r="EA319" s="27" t="s">
        <v>8</v>
      </c>
      <c r="EB319" s="27" t="s">
        <v>7</v>
      </c>
    </row>
    <row r="320" spans="1:132" x14ac:dyDescent="0.25">
      <c r="A320" s="30">
        <v>2.0176975860150829E-2</v>
      </c>
      <c r="B320"/>
      <c r="C320"/>
      <c r="D320"/>
      <c r="E320"/>
      <c r="F320" s="27" t="s">
        <v>7</v>
      </c>
      <c r="AC320" s="27" t="s">
        <v>8</v>
      </c>
      <c r="AD320" s="27" t="s">
        <v>7</v>
      </c>
      <c r="AS320" s="27" t="s">
        <v>8</v>
      </c>
      <c r="AT320" s="27" t="s">
        <v>7</v>
      </c>
      <c r="AU320" s="27" t="s">
        <v>8</v>
      </c>
      <c r="AV320" s="27" t="s">
        <v>7</v>
      </c>
      <c r="AW320" s="27" t="s">
        <v>8</v>
      </c>
      <c r="AX320" s="27" t="s">
        <v>7</v>
      </c>
      <c r="AY320" s="27" t="s">
        <v>8</v>
      </c>
      <c r="AZ320" s="27" t="s">
        <v>7</v>
      </c>
      <c r="BA320" s="27" t="s">
        <v>8</v>
      </c>
      <c r="BE320" s="27" t="s">
        <v>8</v>
      </c>
      <c r="BZ320" s="27" t="s">
        <v>7</v>
      </c>
      <c r="CI320" s="27" t="s">
        <v>8</v>
      </c>
      <c r="CJ320" s="27" t="s">
        <v>7</v>
      </c>
      <c r="DO320" s="27" t="s">
        <v>8</v>
      </c>
      <c r="DP320" s="27" t="s">
        <v>7</v>
      </c>
      <c r="DQ320" s="27" t="s">
        <v>8</v>
      </c>
      <c r="DR320" s="27" t="s">
        <v>7</v>
      </c>
      <c r="DS320" s="27" t="s">
        <v>8</v>
      </c>
      <c r="DT320" s="27" t="s">
        <v>7</v>
      </c>
      <c r="DU320" s="27" t="s">
        <v>8</v>
      </c>
      <c r="DV320" s="27" t="s">
        <v>7</v>
      </c>
      <c r="DZ320" s="27" t="s">
        <v>7</v>
      </c>
      <c r="EA320" s="27" t="s">
        <v>8</v>
      </c>
      <c r="EB320" s="27" t="s">
        <v>7</v>
      </c>
    </row>
    <row r="321" spans="1:141" x14ac:dyDescent="0.25">
      <c r="A321" s="30">
        <v>1.9216167485857926E-2</v>
      </c>
      <c r="B321"/>
      <c r="C321"/>
      <c r="D321"/>
      <c r="E321"/>
      <c r="F321" s="27" t="s">
        <v>7</v>
      </c>
      <c r="AC321" s="27" t="s">
        <v>8</v>
      </c>
      <c r="AD321" s="27" t="s">
        <v>7</v>
      </c>
      <c r="AE321" s="27" t="s">
        <v>8</v>
      </c>
      <c r="AS321" s="27" t="s">
        <v>8</v>
      </c>
      <c r="AT321" s="27" t="s">
        <v>7</v>
      </c>
      <c r="AU321" s="27" t="s">
        <v>8</v>
      </c>
      <c r="AV321" s="27" t="s">
        <v>7</v>
      </c>
      <c r="AX321" s="27" t="s">
        <v>7</v>
      </c>
      <c r="AZ321" s="27" t="s">
        <v>7</v>
      </c>
      <c r="BA321" s="27" t="s">
        <v>8</v>
      </c>
      <c r="BB321" s="27" t="s">
        <v>7</v>
      </c>
      <c r="BC321" s="27" t="s">
        <v>8</v>
      </c>
      <c r="BE321" s="27" t="s">
        <v>8</v>
      </c>
      <c r="BZ321" s="27" t="s">
        <v>7</v>
      </c>
      <c r="CI321" s="27" t="s">
        <v>8</v>
      </c>
      <c r="CJ321" s="27" t="s">
        <v>7</v>
      </c>
      <c r="CK321" s="27" t="s">
        <v>8</v>
      </c>
      <c r="CM321" s="27" t="s">
        <v>8</v>
      </c>
      <c r="DO321" s="27" t="s">
        <v>8</v>
      </c>
      <c r="DP321" s="27" t="s">
        <v>7</v>
      </c>
      <c r="DQ321" s="27" t="s">
        <v>8</v>
      </c>
      <c r="DR321" s="27" t="s">
        <v>7</v>
      </c>
      <c r="DS321" s="27" t="s">
        <v>8</v>
      </c>
      <c r="DT321" s="27" t="s">
        <v>7</v>
      </c>
      <c r="DU321" s="27" t="s">
        <v>8</v>
      </c>
      <c r="DZ321" s="27" t="s">
        <v>7</v>
      </c>
      <c r="EA321" s="27" t="s">
        <v>8</v>
      </c>
      <c r="EB321" s="27" t="s">
        <v>7</v>
      </c>
      <c r="EC321" s="27" t="s">
        <v>8</v>
      </c>
      <c r="EE321" s="27" t="s">
        <v>8</v>
      </c>
    </row>
    <row r="322" spans="1:141" x14ac:dyDescent="0.25">
      <c r="A322" s="30">
        <v>1.8301111891293256E-2</v>
      </c>
      <c r="B322"/>
      <c r="C322"/>
      <c r="D322"/>
      <c r="E322"/>
      <c r="F322" s="27" t="s">
        <v>7</v>
      </c>
      <c r="AC322" s="27" t="s">
        <v>8</v>
      </c>
      <c r="AD322" s="27" t="s">
        <v>7</v>
      </c>
      <c r="AE322" s="27" t="s">
        <v>8</v>
      </c>
      <c r="AF322" s="27" t="s">
        <v>7</v>
      </c>
      <c r="AS322" s="27" t="s">
        <v>8</v>
      </c>
      <c r="AT322" s="27" t="s">
        <v>7</v>
      </c>
      <c r="AU322" s="27" t="s">
        <v>8</v>
      </c>
      <c r="AZ322" s="27" t="s">
        <v>7</v>
      </c>
      <c r="BA322" s="27" t="s">
        <v>8</v>
      </c>
      <c r="BB322" s="27" t="s">
        <v>7</v>
      </c>
      <c r="BC322" s="27" t="s">
        <v>8</v>
      </c>
      <c r="BD322" s="27" t="s">
        <v>7</v>
      </c>
      <c r="BE322" s="27" t="s">
        <v>8</v>
      </c>
      <c r="BZ322" s="27" t="s">
        <v>7</v>
      </c>
      <c r="CI322" s="27" t="s">
        <v>8</v>
      </c>
      <c r="CJ322" s="27" t="s">
        <v>7</v>
      </c>
      <c r="CK322" s="27" t="s">
        <v>8</v>
      </c>
      <c r="CL322" s="27" t="s">
        <v>7</v>
      </c>
      <c r="CM322" s="27" t="s">
        <v>8</v>
      </c>
      <c r="CN322" s="27" t="s">
        <v>7</v>
      </c>
      <c r="DA322" s="27" t="s">
        <v>8</v>
      </c>
      <c r="DO322" s="27" t="s">
        <v>8</v>
      </c>
      <c r="DP322" s="27" t="s">
        <v>7</v>
      </c>
      <c r="DQ322" s="27" t="s">
        <v>8</v>
      </c>
      <c r="DR322" s="27" t="s">
        <v>7</v>
      </c>
      <c r="DT322" s="27" t="s">
        <v>7</v>
      </c>
      <c r="DZ322" s="27" t="s">
        <v>7</v>
      </c>
      <c r="EA322" s="27" t="s">
        <v>8</v>
      </c>
      <c r="EB322" s="27" t="s">
        <v>7</v>
      </c>
      <c r="EC322" s="27" t="s">
        <v>8</v>
      </c>
      <c r="ED322" s="27" t="s">
        <v>7</v>
      </c>
      <c r="EE322" s="27" t="s">
        <v>8</v>
      </c>
      <c r="EF322" s="27" t="s">
        <v>7</v>
      </c>
      <c r="EI322" s="27" t="s">
        <v>8</v>
      </c>
    </row>
    <row r="323" spans="1:141" x14ac:dyDescent="0.25">
      <c r="A323" s="30">
        <v>1.7429630372660238E-2</v>
      </c>
      <c r="B323"/>
      <c r="C323"/>
      <c r="D323"/>
      <c r="E323"/>
      <c r="F323" s="27" t="s">
        <v>7</v>
      </c>
      <c r="AC323" s="27" t="s">
        <v>8</v>
      </c>
      <c r="AD323" s="27" t="s">
        <v>7</v>
      </c>
      <c r="AE323" s="27" t="s">
        <v>8</v>
      </c>
      <c r="AF323" s="27" t="s">
        <v>7</v>
      </c>
      <c r="AM323" s="27" t="s">
        <v>8</v>
      </c>
      <c r="AO323" s="27" t="s">
        <v>8</v>
      </c>
      <c r="AS323" s="27" t="s">
        <v>8</v>
      </c>
      <c r="AT323" s="27" t="s">
        <v>7</v>
      </c>
      <c r="AU323" s="27" t="s">
        <v>8</v>
      </c>
      <c r="AZ323" s="27" t="s">
        <v>7</v>
      </c>
      <c r="BA323" s="27" t="s">
        <v>8</v>
      </c>
      <c r="BB323" s="27" t="s">
        <v>7</v>
      </c>
      <c r="BC323" s="27" t="s">
        <v>8</v>
      </c>
      <c r="BD323" s="27" t="s">
        <v>7</v>
      </c>
      <c r="BE323" s="27" t="s">
        <v>8</v>
      </c>
      <c r="BZ323" s="27" t="s">
        <v>7</v>
      </c>
      <c r="CI323" s="27" t="s">
        <v>8</v>
      </c>
      <c r="CJ323" s="27" t="s">
        <v>7</v>
      </c>
      <c r="CK323" s="27" t="s">
        <v>8</v>
      </c>
      <c r="CL323" s="27" t="s">
        <v>7</v>
      </c>
      <c r="CM323" s="27" t="s">
        <v>8</v>
      </c>
      <c r="CN323" s="27" t="s">
        <v>7</v>
      </c>
      <c r="DA323" s="27" t="s">
        <v>8</v>
      </c>
      <c r="DB323" s="27" t="s">
        <v>7</v>
      </c>
      <c r="DE323" s="27" t="s">
        <v>8</v>
      </c>
      <c r="DO323" s="27" t="s">
        <v>8</v>
      </c>
      <c r="DP323" s="27" t="s">
        <v>7</v>
      </c>
      <c r="DQ323" s="27" t="s">
        <v>8</v>
      </c>
      <c r="DZ323" s="27" t="s">
        <v>7</v>
      </c>
      <c r="EA323" s="27" t="s">
        <v>8</v>
      </c>
      <c r="EB323" s="27" t="s">
        <v>7</v>
      </c>
      <c r="EC323" s="27" t="s">
        <v>8</v>
      </c>
      <c r="ED323" s="27" t="s">
        <v>7</v>
      </c>
      <c r="EE323" s="27" t="s">
        <v>8</v>
      </c>
      <c r="EF323" s="27" t="s">
        <v>7</v>
      </c>
      <c r="EG323" s="27" t="s">
        <v>8</v>
      </c>
      <c r="EI323" s="27" t="s">
        <v>8</v>
      </c>
      <c r="EJ323" s="27" t="s">
        <v>7</v>
      </c>
    </row>
    <row r="324" spans="1:141" x14ac:dyDescent="0.25">
      <c r="A324" s="30">
        <v>1.6599647973962125E-2</v>
      </c>
      <c r="B324"/>
      <c r="C324"/>
      <c r="D324"/>
      <c r="E324"/>
      <c r="F324" s="27" t="s">
        <v>7</v>
      </c>
      <c r="AC324" s="27" t="s">
        <v>8</v>
      </c>
      <c r="AD324" s="27" t="s">
        <v>7</v>
      </c>
      <c r="AE324" s="27" t="s">
        <v>8</v>
      </c>
      <c r="AF324" s="27" t="s">
        <v>7</v>
      </c>
      <c r="AM324" s="27" t="s">
        <v>8</v>
      </c>
      <c r="AN324" s="27" t="s">
        <v>7</v>
      </c>
      <c r="AO324" s="27" t="s">
        <v>8</v>
      </c>
      <c r="AP324" s="27" t="s">
        <v>7</v>
      </c>
      <c r="AQ324" s="27" t="s">
        <v>8</v>
      </c>
      <c r="AS324" s="27" t="s">
        <v>8</v>
      </c>
      <c r="AT324" s="27" t="s">
        <v>7</v>
      </c>
      <c r="AU324" s="27" t="s">
        <v>8</v>
      </c>
      <c r="AZ324" s="27" t="s">
        <v>7</v>
      </c>
      <c r="BA324" s="27" t="s">
        <v>8</v>
      </c>
      <c r="BB324" s="27" t="s">
        <v>7</v>
      </c>
      <c r="BC324" s="27" t="s">
        <v>8</v>
      </c>
      <c r="BD324" s="27" t="s">
        <v>7</v>
      </c>
      <c r="BZ324" s="27" t="s">
        <v>7</v>
      </c>
      <c r="CA324" s="27" t="s">
        <v>8</v>
      </c>
      <c r="CE324" s="27" t="s">
        <v>8</v>
      </c>
      <c r="CI324" s="27" t="s">
        <v>8</v>
      </c>
      <c r="CJ324" s="27" t="s">
        <v>7</v>
      </c>
      <c r="CK324" s="27" t="s">
        <v>8</v>
      </c>
      <c r="CL324" s="27" t="s">
        <v>7</v>
      </c>
      <c r="CM324" s="27" t="s">
        <v>8</v>
      </c>
      <c r="CN324" s="27" t="s">
        <v>7</v>
      </c>
      <c r="DA324" s="27" t="s">
        <v>8</v>
      </c>
      <c r="DB324" s="27" t="s">
        <v>7</v>
      </c>
      <c r="DC324" s="27" t="s">
        <v>8</v>
      </c>
      <c r="DE324" s="27" t="s">
        <v>8</v>
      </c>
      <c r="DF324" s="27" t="s">
        <v>7</v>
      </c>
      <c r="DG324" s="27" t="s">
        <v>8</v>
      </c>
      <c r="DO324" s="27" t="s">
        <v>8</v>
      </c>
      <c r="DP324" s="27" t="s">
        <v>7</v>
      </c>
      <c r="DZ324" s="27" t="s">
        <v>7</v>
      </c>
      <c r="EA324" s="27" t="s">
        <v>8</v>
      </c>
      <c r="EB324" s="27" t="s">
        <v>7</v>
      </c>
      <c r="EC324" s="27" t="s">
        <v>8</v>
      </c>
      <c r="ED324" s="27" t="s">
        <v>7</v>
      </c>
      <c r="EE324" s="27" t="s">
        <v>8</v>
      </c>
      <c r="EF324" s="27" t="s">
        <v>7</v>
      </c>
      <c r="EG324" s="27" t="s">
        <v>8</v>
      </c>
      <c r="EH324" s="27" t="s">
        <v>7</v>
      </c>
      <c r="EI324" s="27" t="s">
        <v>8</v>
      </c>
      <c r="EJ324" s="27" t="s">
        <v>7</v>
      </c>
    </row>
    <row r="325" spans="1:141" x14ac:dyDescent="0.25">
      <c r="A325" s="30">
        <v>1.580918854663059E-2</v>
      </c>
      <c r="B325"/>
      <c r="C325"/>
      <c r="D325"/>
      <c r="E325"/>
      <c r="F325" s="27" t="s">
        <v>7</v>
      </c>
      <c r="AC325" s="27" t="s">
        <v>8</v>
      </c>
      <c r="AD325" s="27" t="s">
        <v>7</v>
      </c>
      <c r="AE325" s="27" t="s">
        <v>8</v>
      </c>
      <c r="AF325" s="27" t="s">
        <v>7</v>
      </c>
      <c r="AI325" s="27" t="s">
        <v>8</v>
      </c>
      <c r="AM325" s="27" t="s">
        <v>8</v>
      </c>
      <c r="AN325" s="27" t="s">
        <v>7</v>
      </c>
      <c r="AO325" s="27" t="s">
        <v>8</v>
      </c>
      <c r="AP325" s="27" t="s">
        <v>7</v>
      </c>
      <c r="AQ325" s="27" t="s">
        <v>8</v>
      </c>
      <c r="AR325" s="27" t="s">
        <v>7</v>
      </c>
      <c r="AS325" s="27" t="s">
        <v>8</v>
      </c>
      <c r="AT325" s="27" t="s">
        <v>7</v>
      </c>
      <c r="AU325" s="27" t="s">
        <v>8</v>
      </c>
      <c r="AZ325" s="27" t="s">
        <v>7</v>
      </c>
      <c r="BB325" s="27" t="s">
        <v>7</v>
      </c>
      <c r="BC325" s="27" t="s">
        <v>8</v>
      </c>
      <c r="BZ325" s="27" t="s">
        <v>7</v>
      </c>
      <c r="CA325" s="27" t="s">
        <v>8</v>
      </c>
      <c r="CB325" s="27" t="s">
        <v>7</v>
      </c>
      <c r="CE325" s="27" t="s">
        <v>8</v>
      </c>
      <c r="CF325" s="27" t="s">
        <v>7</v>
      </c>
      <c r="CI325" s="27" t="s">
        <v>8</v>
      </c>
      <c r="CJ325" s="27" t="s">
        <v>7</v>
      </c>
      <c r="CK325" s="27" t="s">
        <v>8</v>
      </c>
      <c r="CL325" s="27" t="s">
        <v>7</v>
      </c>
      <c r="CM325" s="27" t="s">
        <v>8</v>
      </c>
      <c r="CN325" s="27" t="s">
        <v>7</v>
      </c>
      <c r="CO325" s="27" t="s">
        <v>8</v>
      </c>
      <c r="DA325" s="27" t="s">
        <v>8</v>
      </c>
      <c r="DB325" s="27" t="s">
        <v>7</v>
      </c>
      <c r="DC325" s="27" t="s">
        <v>8</v>
      </c>
      <c r="DD325" s="27" t="s">
        <v>7</v>
      </c>
      <c r="DE325" s="27" t="s">
        <v>8</v>
      </c>
      <c r="DF325" s="27" t="s">
        <v>7</v>
      </c>
      <c r="DG325" s="27" t="s">
        <v>8</v>
      </c>
      <c r="DH325" s="27" t="s">
        <v>7</v>
      </c>
      <c r="DO325" s="27" t="s">
        <v>8</v>
      </c>
      <c r="DZ325" s="27" t="s">
        <v>7</v>
      </c>
      <c r="EA325" s="27" t="s">
        <v>8</v>
      </c>
      <c r="EB325" s="27" t="s">
        <v>7</v>
      </c>
      <c r="EC325" s="27" t="s">
        <v>8</v>
      </c>
      <c r="ED325" s="27" t="s">
        <v>7</v>
      </c>
      <c r="EF325" s="27" t="s">
        <v>7</v>
      </c>
      <c r="EG325" s="27" t="s">
        <v>8</v>
      </c>
      <c r="EH325" s="27" t="s">
        <v>7</v>
      </c>
      <c r="EI325" s="27" t="s">
        <v>8</v>
      </c>
      <c r="EJ325" s="27" t="s">
        <v>7</v>
      </c>
    </row>
    <row r="326" spans="1:141" x14ac:dyDescent="0.25">
      <c r="A326" s="30">
        <v>1.5056370044410079E-2</v>
      </c>
      <c r="B326"/>
      <c r="C326"/>
      <c r="D326"/>
      <c r="E326"/>
      <c r="F326" s="27" t="s">
        <v>7</v>
      </c>
      <c r="AC326" s="27" t="s">
        <v>8</v>
      </c>
      <c r="AD326" s="27" t="s">
        <v>7</v>
      </c>
      <c r="AE326" s="27" t="s">
        <v>8</v>
      </c>
      <c r="AF326" s="27" t="s">
        <v>7</v>
      </c>
      <c r="AI326" s="27" t="s">
        <v>8</v>
      </c>
      <c r="AJ326" s="27" t="s">
        <v>7</v>
      </c>
      <c r="AK326" s="27" t="s">
        <v>8</v>
      </c>
      <c r="AM326" s="27" t="s">
        <v>8</v>
      </c>
      <c r="AN326" s="27" t="s">
        <v>7</v>
      </c>
      <c r="AO326" s="27" t="s">
        <v>8</v>
      </c>
      <c r="AP326" s="27" t="s">
        <v>7</v>
      </c>
      <c r="AQ326" s="27" t="s">
        <v>8</v>
      </c>
      <c r="AR326" s="27" t="s">
        <v>7</v>
      </c>
      <c r="AS326" s="27" t="s">
        <v>8</v>
      </c>
      <c r="AT326" s="27" t="s">
        <v>7</v>
      </c>
      <c r="AU326" s="27" t="s">
        <v>8</v>
      </c>
      <c r="BB326" s="27" t="s">
        <v>7</v>
      </c>
      <c r="BZ326" s="27" t="s">
        <v>7</v>
      </c>
      <c r="CA326" s="27" t="s">
        <v>8</v>
      </c>
      <c r="CB326" s="27" t="s">
        <v>7</v>
      </c>
      <c r="CE326" s="27" t="s">
        <v>8</v>
      </c>
      <c r="CF326" s="27" t="s">
        <v>7</v>
      </c>
      <c r="CI326" s="27" t="s">
        <v>8</v>
      </c>
      <c r="CJ326" s="27" t="s">
        <v>7</v>
      </c>
      <c r="CK326" s="27" t="s">
        <v>8</v>
      </c>
      <c r="CL326" s="27" t="s">
        <v>7</v>
      </c>
      <c r="CM326" s="27" t="s">
        <v>8</v>
      </c>
      <c r="CN326" s="27" t="s">
        <v>7</v>
      </c>
      <c r="CO326" s="27" t="s">
        <v>8</v>
      </c>
      <c r="CP326" s="27" t="s">
        <v>7</v>
      </c>
      <c r="CY326" s="27" t="s">
        <v>8</v>
      </c>
      <c r="DA326" s="27" t="s">
        <v>8</v>
      </c>
      <c r="DB326" s="27" t="s">
        <v>7</v>
      </c>
      <c r="DC326" s="27" t="s">
        <v>8</v>
      </c>
      <c r="DD326" s="27" t="s">
        <v>7</v>
      </c>
      <c r="DE326" s="27" t="s">
        <v>8</v>
      </c>
      <c r="DF326" s="27" t="s">
        <v>7</v>
      </c>
      <c r="DG326" s="27" t="s">
        <v>8</v>
      </c>
      <c r="DH326" s="27" t="s">
        <v>7</v>
      </c>
      <c r="DO326" s="27" t="s">
        <v>8</v>
      </c>
      <c r="DZ326" s="27" t="s">
        <v>7</v>
      </c>
      <c r="EB326" s="27" t="s">
        <v>7</v>
      </c>
      <c r="EC326" s="27" t="s">
        <v>8</v>
      </c>
      <c r="EF326" s="27" t="s">
        <v>7</v>
      </c>
      <c r="EG326" s="27" t="s">
        <v>8</v>
      </c>
      <c r="EH326" s="27" t="s">
        <v>7</v>
      </c>
      <c r="EI326" s="27" t="s">
        <v>8</v>
      </c>
      <c r="EJ326" s="27" t="s">
        <v>7</v>
      </c>
    </row>
    <row r="327" spans="1:141" x14ac:dyDescent="0.25">
      <c r="A327" s="30">
        <v>1.4339400042295308E-2</v>
      </c>
      <c r="B327"/>
      <c r="C327"/>
      <c r="D327"/>
      <c r="E327"/>
      <c r="F327" s="27" t="s">
        <v>7</v>
      </c>
      <c r="AC327" s="27" t="s">
        <v>8</v>
      </c>
      <c r="AD327" s="27" t="s">
        <v>7</v>
      </c>
      <c r="AE327" s="27" t="s">
        <v>8</v>
      </c>
      <c r="AF327" s="27" t="s">
        <v>7</v>
      </c>
      <c r="AG327" s="27" t="s">
        <v>8</v>
      </c>
      <c r="AI327" s="27" t="s">
        <v>8</v>
      </c>
      <c r="AJ327" s="27" t="s">
        <v>7</v>
      </c>
      <c r="AK327" s="27" t="s">
        <v>8</v>
      </c>
      <c r="AL327" s="27" t="s">
        <v>7</v>
      </c>
      <c r="AM327" s="27" t="s">
        <v>8</v>
      </c>
      <c r="AN327" s="27" t="s">
        <v>7</v>
      </c>
      <c r="AO327" s="27" t="s">
        <v>8</v>
      </c>
      <c r="AP327" s="27" t="s">
        <v>7</v>
      </c>
      <c r="AQ327" s="27" t="s">
        <v>8</v>
      </c>
      <c r="AR327" s="27" t="s">
        <v>7</v>
      </c>
      <c r="AS327" s="27" t="s">
        <v>8</v>
      </c>
      <c r="AT327" s="27" t="s">
        <v>7</v>
      </c>
      <c r="AU327" s="27" t="s">
        <v>8</v>
      </c>
      <c r="BZ327" s="27" t="s">
        <v>7</v>
      </c>
      <c r="CA327" s="27" t="s">
        <v>8</v>
      </c>
      <c r="CB327" s="27" t="s">
        <v>7</v>
      </c>
      <c r="CE327" s="27" t="s">
        <v>8</v>
      </c>
      <c r="CF327" s="27" t="s">
        <v>7</v>
      </c>
      <c r="CG327" s="27" t="s">
        <v>8</v>
      </c>
      <c r="CI327" s="27" t="s">
        <v>8</v>
      </c>
      <c r="CJ327" s="27" t="s">
        <v>7</v>
      </c>
      <c r="CL327" s="27" t="s">
        <v>7</v>
      </c>
      <c r="CM327" s="27" t="s">
        <v>8</v>
      </c>
      <c r="CN327" s="27" t="s">
        <v>7</v>
      </c>
      <c r="CO327" s="27" t="s">
        <v>8</v>
      </c>
      <c r="CP327" s="27" t="s">
        <v>7</v>
      </c>
      <c r="CY327" s="27" t="s">
        <v>8</v>
      </c>
      <c r="CZ327" s="27" t="s">
        <v>7</v>
      </c>
      <c r="DA327" s="27" t="s">
        <v>8</v>
      </c>
      <c r="DB327" s="27" t="s">
        <v>7</v>
      </c>
      <c r="DD327" s="27" t="s">
        <v>7</v>
      </c>
      <c r="DE327" s="27" t="s">
        <v>8</v>
      </c>
      <c r="DF327" s="27" t="s">
        <v>7</v>
      </c>
      <c r="DG327" s="27" t="s">
        <v>8</v>
      </c>
      <c r="DH327" s="27" t="s">
        <v>7</v>
      </c>
      <c r="DI327" s="27" t="s">
        <v>8</v>
      </c>
      <c r="DO327" s="27" t="s">
        <v>8</v>
      </c>
      <c r="EB327" s="27" t="s">
        <v>7</v>
      </c>
      <c r="EF327" s="27" t="s">
        <v>7</v>
      </c>
      <c r="EH327" s="27" t="s">
        <v>7</v>
      </c>
      <c r="EI327" s="27" t="s">
        <v>8</v>
      </c>
      <c r="EJ327" s="27" t="s">
        <v>7</v>
      </c>
    </row>
    <row r="328" spans="1:141" x14ac:dyDescent="0.25">
      <c r="A328" s="30">
        <v>1.365657146885267E-2</v>
      </c>
      <c r="B328"/>
      <c r="C328"/>
      <c r="D328"/>
      <c r="E328"/>
      <c r="F328" s="27" t="s">
        <v>7</v>
      </c>
      <c r="AC328" s="27" t="s">
        <v>8</v>
      </c>
      <c r="AD328" s="27" t="s">
        <v>7</v>
      </c>
      <c r="AE328" s="27" t="s">
        <v>8</v>
      </c>
      <c r="AF328" s="27" t="s">
        <v>7</v>
      </c>
      <c r="AG328" s="27" t="s">
        <v>8</v>
      </c>
      <c r="AH328" s="27" t="s">
        <v>7</v>
      </c>
      <c r="AI328" s="27" t="s">
        <v>8</v>
      </c>
      <c r="AJ328" s="27" t="s">
        <v>7</v>
      </c>
      <c r="AK328" s="27" t="s">
        <v>8</v>
      </c>
      <c r="AL328" s="27" t="s">
        <v>7</v>
      </c>
      <c r="AM328" s="27" t="s">
        <v>8</v>
      </c>
      <c r="AN328" s="27" t="s">
        <v>7</v>
      </c>
      <c r="AP328" s="27" t="s">
        <v>7</v>
      </c>
      <c r="AR328" s="27" t="s">
        <v>7</v>
      </c>
      <c r="AS328" s="27" t="s">
        <v>8</v>
      </c>
      <c r="AT328" s="27" t="s">
        <v>7</v>
      </c>
      <c r="BZ328" s="27" t="s">
        <v>7</v>
      </c>
      <c r="CA328" s="27" t="s">
        <v>8</v>
      </c>
      <c r="CB328" s="27" t="s">
        <v>7</v>
      </c>
      <c r="CE328" s="27" t="s">
        <v>8</v>
      </c>
      <c r="CF328" s="27" t="s">
        <v>7</v>
      </c>
      <c r="CG328" s="27" t="s">
        <v>8</v>
      </c>
      <c r="CH328" s="27" t="s">
        <v>7</v>
      </c>
      <c r="CI328" s="27" t="s">
        <v>8</v>
      </c>
      <c r="CL328" s="27" t="s">
        <v>7</v>
      </c>
      <c r="CN328" s="27" t="s">
        <v>7</v>
      </c>
      <c r="CO328" s="27" t="s">
        <v>8</v>
      </c>
      <c r="CP328" s="27" t="s">
        <v>7</v>
      </c>
      <c r="CW328" s="27" t="s">
        <v>8</v>
      </c>
      <c r="CY328" s="27" t="s">
        <v>8</v>
      </c>
      <c r="CZ328" s="27" t="s">
        <v>7</v>
      </c>
      <c r="DA328" s="27" t="s">
        <v>8</v>
      </c>
      <c r="DD328" s="27" t="s">
        <v>7</v>
      </c>
      <c r="DF328" s="27" t="s">
        <v>7</v>
      </c>
      <c r="DG328" s="27" t="s">
        <v>8</v>
      </c>
      <c r="DH328" s="27" t="s">
        <v>7</v>
      </c>
      <c r="DI328" s="27" t="s">
        <v>8</v>
      </c>
      <c r="DJ328" s="27" t="s">
        <v>7</v>
      </c>
      <c r="DK328" s="27" t="s">
        <v>8</v>
      </c>
      <c r="DM328" s="27" t="s">
        <v>8</v>
      </c>
      <c r="DO328" s="27" t="s">
        <v>8</v>
      </c>
      <c r="EH328" s="27" t="s">
        <v>7</v>
      </c>
      <c r="EJ328" s="27" t="s">
        <v>7</v>
      </c>
    </row>
    <row r="329" spans="1:141" x14ac:dyDescent="0.25">
      <c r="A329" s="30">
        <v>1.3006258541764442E-2</v>
      </c>
      <c r="B329"/>
      <c r="C329"/>
      <c r="D329"/>
      <c r="E329"/>
      <c r="F329" s="27" t="s">
        <v>7</v>
      </c>
      <c r="AC329" s="27" t="s">
        <v>8</v>
      </c>
      <c r="AD329" s="27" t="s">
        <v>7</v>
      </c>
      <c r="AE329" s="27" t="s">
        <v>8</v>
      </c>
      <c r="AF329" s="27" t="s">
        <v>7</v>
      </c>
      <c r="AG329" s="27" t="s">
        <v>8</v>
      </c>
      <c r="AH329" s="27" t="s">
        <v>7</v>
      </c>
      <c r="AI329" s="27" t="s">
        <v>8</v>
      </c>
      <c r="AJ329" s="27" t="s">
        <v>7</v>
      </c>
      <c r="AL329" s="27" t="s">
        <v>7</v>
      </c>
      <c r="AR329" s="27" t="s">
        <v>7</v>
      </c>
      <c r="AS329" s="27" t="s">
        <v>8</v>
      </c>
      <c r="BZ329" s="27" t="s">
        <v>7</v>
      </c>
      <c r="CA329" s="27" t="s">
        <v>8</v>
      </c>
      <c r="CB329" s="27" t="s">
        <v>7</v>
      </c>
      <c r="CE329" s="27" t="s">
        <v>8</v>
      </c>
      <c r="CF329" s="27" t="s">
        <v>7</v>
      </c>
      <c r="CG329" s="27" t="s">
        <v>8</v>
      </c>
      <c r="CH329" s="27" t="s">
        <v>7</v>
      </c>
      <c r="CI329" s="27" t="s">
        <v>8</v>
      </c>
      <c r="CN329" s="27" t="s">
        <v>7</v>
      </c>
      <c r="CP329" s="27" t="s">
        <v>7</v>
      </c>
      <c r="CQ329" s="27" t="s">
        <v>8</v>
      </c>
      <c r="CW329" s="27" t="s">
        <v>8</v>
      </c>
      <c r="CX329" s="27" t="s">
        <v>7</v>
      </c>
      <c r="CY329" s="27" t="s">
        <v>8</v>
      </c>
      <c r="CZ329" s="27" t="s">
        <v>7</v>
      </c>
      <c r="DA329" s="27" t="s">
        <v>8</v>
      </c>
      <c r="DF329" s="27" t="s">
        <v>7</v>
      </c>
      <c r="DG329" s="27" t="s">
        <v>8</v>
      </c>
      <c r="DH329" s="27" t="s">
        <v>7</v>
      </c>
      <c r="DI329" s="27" t="s">
        <v>8</v>
      </c>
      <c r="DJ329" s="27" t="s">
        <v>7</v>
      </c>
      <c r="DK329" s="27" t="s">
        <v>8</v>
      </c>
      <c r="DL329" s="27" t="s">
        <v>7</v>
      </c>
      <c r="DM329" s="27" t="s">
        <v>8</v>
      </c>
      <c r="DN329" s="27" t="s">
        <v>7</v>
      </c>
      <c r="DO329" s="27" t="s">
        <v>8</v>
      </c>
      <c r="EJ329" s="27" t="s">
        <v>7</v>
      </c>
    </row>
    <row r="330" spans="1:141" x14ac:dyDescent="0.25">
      <c r="A330" s="30">
        <v>1.2386912896918512E-2</v>
      </c>
      <c r="B330"/>
      <c r="C330"/>
      <c r="D330"/>
      <c r="E330"/>
      <c r="F330" s="27" t="s">
        <v>7</v>
      </c>
      <c r="AC330" s="27" t="s">
        <v>8</v>
      </c>
      <c r="AD330" s="27" t="s">
        <v>7</v>
      </c>
      <c r="AE330" s="27" t="s">
        <v>8</v>
      </c>
      <c r="AF330" s="27" t="s">
        <v>7</v>
      </c>
      <c r="AG330" s="27" t="s">
        <v>8</v>
      </c>
      <c r="AH330" s="27" t="s">
        <v>7</v>
      </c>
      <c r="AR330" s="27" t="s">
        <v>7</v>
      </c>
      <c r="AS330" s="27" t="s">
        <v>8</v>
      </c>
      <c r="BZ330" s="27" t="s">
        <v>7</v>
      </c>
      <c r="CA330" s="27" t="s">
        <v>8</v>
      </c>
      <c r="CB330" s="27" t="s">
        <v>7</v>
      </c>
      <c r="CC330" s="27" t="s">
        <v>8</v>
      </c>
      <c r="CE330" s="27" t="s">
        <v>8</v>
      </c>
      <c r="CF330" s="27" t="s">
        <v>7</v>
      </c>
      <c r="CG330" s="27" t="s">
        <v>8</v>
      </c>
      <c r="CH330" s="27" t="s">
        <v>7</v>
      </c>
      <c r="CP330" s="27" t="s">
        <v>7</v>
      </c>
      <c r="CQ330" s="27" t="s">
        <v>8</v>
      </c>
      <c r="CR330" s="27" t="s">
        <v>7</v>
      </c>
      <c r="CS330" s="27" t="s">
        <v>8</v>
      </c>
      <c r="CU330" s="27" t="s">
        <v>8</v>
      </c>
      <c r="CW330" s="27" t="s">
        <v>8</v>
      </c>
      <c r="CX330" s="27" t="s">
        <v>7</v>
      </c>
      <c r="CY330" s="27" t="s">
        <v>8</v>
      </c>
      <c r="CZ330" s="27" t="s">
        <v>7</v>
      </c>
      <c r="DF330" s="27" t="s">
        <v>7</v>
      </c>
      <c r="DG330" s="27" t="s">
        <v>8</v>
      </c>
      <c r="DH330" s="27" t="s">
        <v>7</v>
      </c>
      <c r="DI330" s="27" t="s">
        <v>8</v>
      </c>
      <c r="DJ330" s="27" t="s">
        <v>7</v>
      </c>
      <c r="DK330" s="27" t="s">
        <v>8</v>
      </c>
      <c r="DL330" s="27" t="s">
        <v>7</v>
      </c>
      <c r="DM330" s="27" t="s">
        <v>8</v>
      </c>
      <c r="DN330" s="27" t="s">
        <v>7</v>
      </c>
      <c r="DO330" s="27" t="s">
        <v>8</v>
      </c>
      <c r="EJ330" s="27" t="s">
        <v>7</v>
      </c>
    </row>
    <row r="331" spans="1:141" x14ac:dyDescent="0.25">
      <c r="A331" s="30">
        <v>1.179705990182715E-2</v>
      </c>
      <c r="B331"/>
      <c r="C331"/>
      <c r="D331"/>
      <c r="E331"/>
      <c r="F331" s="27" t="s">
        <v>7</v>
      </c>
      <c r="AC331" s="27" t="s">
        <v>8</v>
      </c>
      <c r="AD331" s="27" t="s">
        <v>7</v>
      </c>
      <c r="AE331" s="27" t="s">
        <v>8</v>
      </c>
      <c r="AF331" s="27" t="s">
        <v>7</v>
      </c>
      <c r="AG331" s="27" t="s">
        <v>8</v>
      </c>
      <c r="AR331" s="27" t="s">
        <v>7</v>
      </c>
      <c r="BZ331" s="27" t="s">
        <v>7</v>
      </c>
      <c r="CA331" s="27" t="s">
        <v>8</v>
      </c>
      <c r="CB331" s="27" t="s">
        <v>7</v>
      </c>
      <c r="CC331" s="27" t="s">
        <v>8</v>
      </c>
      <c r="CD331" s="27" t="s">
        <v>7</v>
      </c>
      <c r="CE331" s="27" t="s">
        <v>8</v>
      </c>
      <c r="CF331" s="27" t="s">
        <v>7</v>
      </c>
      <c r="CP331" s="27" t="s">
        <v>7</v>
      </c>
      <c r="CQ331" s="27" t="s">
        <v>8</v>
      </c>
      <c r="CR331" s="27" t="s">
        <v>7</v>
      </c>
      <c r="CS331" s="27" t="s">
        <v>8</v>
      </c>
      <c r="CT331" s="27" t="s">
        <v>7</v>
      </c>
      <c r="CU331" s="27" t="s">
        <v>8</v>
      </c>
      <c r="CV331" s="27" t="s">
        <v>7</v>
      </c>
      <c r="CW331" s="27" t="s">
        <v>8</v>
      </c>
      <c r="CX331" s="27" t="s">
        <v>7</v>
      </c>
      <c r="CY331" s="27" t="s">
        <v>8</v>
      </c>
      <c r="DF331" s="27" t="s">
        <v>7</v>
      </c>
      <c r="DH331" s="27" t="s">
        <v>7</v>
      </c>
      <c r="DJ331" s="27" t="s">
        <v>7</v>
      </c>
      <c r="DK331" s="27" t="s">
        <v>8</v>
      </c>
      <c r="DL331" s="27" t="s">
        <v>7</v>
      </c>
      <c r="DN331" s="27" t="s">
        <v>7</v>
      </c>
      <c r="EJ331" s="27" t="s">
        <v>7</v>
      </c>
      <c r="EK331" s="27" t="s">
        <v>8</v>
      </c>
    </row>
    <row r="332" spans="1:141" x14ac:dyDescent="0.25">
      <c r="A332" s="30">
        <v>1.1235295144597281E-2</v>
      </c>
      <c r="B332"/>
      <c r="C332"/>
      <c r="D332"/>
      <c r="E332"/>
      <c r="F332" s="27" t="s">
        <v>7</v>
      </c>
      <c r="I332" s="27" t="s">
        <v>8</v>
      </c>
      <c r="AA332" s="27" t="s">
        <v>8</v>
      </c>
      <c r="AC332" s="27" t="s">
        <v>8</v>
      </c>
      <c r="AD332" s="27" t="s">
        <v>7</v>
      </c>
      <c r="AE332" s="27" t="s">
        <v>8</v>
      </c>
      <c r="AF332" s="27" t="s">
        <v>7</v>
      </c>
      <c r="BZ332" s="27" t="s">
        <v>7</v>
      </c>
      <c r="CA332" s="27" t="s">
        <v>8</v>
      </c>
      <c r="CB332" s="27" t="s">
        <v>7</v>
      </c>
      <c r="CC332" s="27" t="s">
        <v>8</v>
      </c>
      <c r="CD332" s="27" t="s">
        <v>7</v>
      </c>
      <c r="CE332" s="27" t="s">
        <v>8</v>
      </c>
      <c r="CP332" s="27" t="s">
        <v>7</v>
      </c>
      <c r="CQ332" s="27" t="s">
        <v>8</v>
      </c>
      <c r="CR332" s="27" t="s">
        <v>7</v>
      </c>
      <c r="CS332" s="27" t="s">
        <v>8</v>
      </c>
      <c r="CT332" s="27" t="s">
        <v>7</v>
      </c>
      <c r="CU332" s="27" t="s">
        <v>8</v>
      </c>
      <c r="CV332" s="27" t="s">
        <v>7</v>
      </c>
      <c r="CW332" s="27" t="s">
        <v>8</v>
      </c>
      <c r="CX332" s="27" t="s">
        <v>7</v>
      </c>
      <c r="DJ332" s="27" t="s">
        <v>7</v>
      </c>
      <c r="EJ332" s="27" t="s">
        <v>7</v>
      </c>
      <c r="EK332" s="27" t="s">
        <v>8</v>
      </c>
    </row>
    <row r="333" spans="1:141" x14ac:dyDescent="0.25">
      <c r="A333" s="30">
        <v>1.0700281090092644E-2</v>
      </c>
      <c r="B333"/>
      <c r="C333"/>
      <c r="D333"/>
      <c r="E333"/>
      <c r="F333" s="27" t="s">
        <v>7</v>
      </c>
      <c r="I333" s="27" t="s">
        <v>8</v>
      </c>
      <c r="J333" s="27" t="s">
        <v>7</v>
      </c>
      <c r="AA333" s="27" t="s">
        <v>8</v>
      </c>
      <c r="AB333" s="27" t="s">
        <v>7</v>
      </c>
      <c r="AC333" s="27" t="s">
        <v>8</v>
      </c>
      <c r="AD333" s="27" t="s">
        <v>7</v>
      </c>
      <c r="AE333" s="27" t="s">
        <v>8</v>
      </c>
      <c r="BZ333" s="27" t="s">
        <v>7</v>
      </c>
      <c r="CB333" s="27" t="s">
        <v>7</v>
      </c>
      <c r="CD333" s="27" t="s">
        <v>7</v>
      </c>
      <c r="CE333" s="27" t="s">
        <v>8</v>
      </c>
      <c r="CP333" s="27" t="s">
        <v>7</v>
      </c>
      <c r="CQ333" s="27" t="s">
        <v>8</v>
      </c>
      <c r="CR333" s="27" t="s">
        <v>7</v>
      </c>
      <c r="CS333" s="27" t="s">
        <v>8</v>
      </c>
      <c r="CT333" s="27" t="s">
        <v>7</v>
      </c>
      <c r="CU333" s="27" t="s">
        <v>8</v>
      </c>
      <c r="CV333" s="27" t="s">
        <v>7</v>
      </c>
      <c r="CW333" s="27" t="s">
        <v>8</v>
      </c>
      <c r="EJ333" s="27" t="s">
        <v>7</v>
      </c>
      <c r="EK333" s="27" t="s">
        <v>8</v>
      </c>
    </row>
    <row r="334" spans="1:141" x14ac:dyDescent="0.25">
      <c r="A334" s="30">
        <v>1.0190743895326324E-2</v>
      </c>
      <c r="B334"/>
      <c r="C334"/>
      <c r="D334"/>
      <c r="E334"/>
      <c r="F334" s="27" t="s">
        <v>7</v>
      </c>
      <c r="I334" s="27" t="s">
        <v>8</v>
      </c>
      <c r="J334" s="27" t="s">
        <v>7</v>
      </c>
      <c r="K334" s="27" t="s">
        <v>8</v>
      </c>
      <c r="AA334" s="27" t="s">
        <v>8</v>
      </c>
      <c r="AB334" s="27" t="s">
        <v>7</v>
      </c>
      <c r="AC334" s="27" t="s">
        <v>8</v>
      </c>
      <c r="AD334" s="27" t="s">
        <v>7</v>
      </c>
      <c r="AE334" s="27" t="s">
        <v>8</v>
      </c>
      <c r="CD334" s="27" t="s">
        <v>7</v>
      </c>
      <c r="CE334" s="27" t="s">
        <v>8</v>
      </c>
      <c r="CP334" s="27" t="s">
        <v>7</v>
      </c>
      <c r="CQ334" s="27" t="s">
        <v>8</v>
      </c>
      <c r="CR334" s="27" t="s">
        <v>7</v>
      </c>
      <c r="CT334" s="27" t="s">
        <v>7</v>
      </c>
      <c r="CV334" s="18" t="s">
        <v>7</v>
      </c>
      <c r="CW334" s="27" t="s">
        <v>8</v>
      </c>
      <c r="EJ334" s="27" t="s">
        <v>7</v>
      </c>
    </row>
    <row r="335" spans="1:141" x14ac:dyDescent="0.25">
      <c r="A335" s="30">
        <v>9.7054703765012563E-3</v>
      </c>
      <c r="B335"/>
      <c r="C335"/>
      <c r="D335"/>
      <c r="E335"/>
      <c r="F335" s="27" t="s">
        <v>7</v>
      </c>
      <c r="I335" s="27" t="s">
        <v>8</v>
      </c>
      <c r="J335" s="27" t="s">
        <v>7</v>
      </c>
      <c r="K335" s="27" t="s">
        <v>8</v>
      </c>
      <c r="L335" s="27" t="s">
        <v>7</v>
      </c>
      <c r="AA335" s="27" t="s">
        <v>8</v>
      </c>
      <c r="AB335" s="27" t="s">
        <v>7</v>
      </c>
      <c r="AC335" s="27" t="s">
        <v>8</v>
      </c>
      <c r="AD335" s="27" t="s">
        <v>7</v>
      </c>
      <c r="CD335" s="27" t="s">
        <v>7</v>
      </c>
      <c r="CE335" s="27" t="s">
        <v>8</v>
      </c>
      <c r="CP335" s="27" t="s">
        <v>7</v>
      </c>
      <c r="CQ335" s="27" t="s">
        <v>8</v>
      </c>
      <c r="CV335" s="27" t="s">
        <v>7</v>
      </c>
      <c r="CW335" s="27" t="s">
        <v>8</v>
      </c>
    </row>
    <row r="336" spans="1:141" x14ac:dyDescent="0.25">
      <c r="A336" s="30">
        <v>9.2433051204773835E-3</v>
      </c>
      <c r="B336"/>
      <c r="C336"/>
      <c r="D336"/>
      <c r="E336"/>
      <c r="F336" s="27" t="s">
        <v>7</v>
      </c>
      <c r="G336" s="27" t="s">
        <v>8</v>
      </c>
      <c r="I336" s="27" t="s">
        <v>8</v>
      </c>
      <c r="J336" s="27" t="s">
        <v>7</v>
      </c>
      <c r="K336" s="27" t="s">
        <v>8</v>
      </c>
      <c r="L336" s="27" t="s">
        <v>7</v>
      </c>
      <c r="AA336" s="27" t="s">
        <v>8</v>
      </c>
      <c r="AB336" s="27" t="s">
        <v>7</v>
      </c>
      <c r="AC336" s="27" t="s">
        <v>8</v>
      </c>
      <c r="CD336" s="27" t="s">
        <v>7</v>
      </c>
      <c r="CE336" s="27" t="s">
        <v>8</v>
      </c>
      <c r="CP336" s="27" t="s">
        <v>7</v>
      </c>
      <c r="CV336" s="27" t="s">
        <v>7</v>
      </c>
    </row>
    <row r="337" spans="1:83" x14ac:dyDescent="0.25">
      <c r="A337" s="30">
        <v>8.8031477337879808E-3</v>
      </c>
      <c r="B337"/>
      <c r="C337"/>
      <c r="D337"/>
      <c r="E337"/>
      <c r="F337" s="27" t="s">
        <v>7</v>
      </c>
      <c r="G337" s="27" t="s">
        <v>8</v>
      </c>
      <c r="H337" s="27" t="s">
        <v>7</v>
      </c>
      <c r="I337" s="27" t="s">
        <v>8</v>
      </c>
      <c r="J337" s="27" t="s">
        <v>7</v>
      </c>
      <c r="K337" s="27" t="s">
        <v>8</v>
      </c>
      <c r="L337" s="27" t="s">
        <v>7</v>
      </c>
      <c r="AA337" s="27" t="s">
        <v>8</v>
      </c>
      <c r="AB337" s="27" t="s">
        <v>7</v>
      </c>
      <c r="AC337" s="27" t="s">
        <v>8</v>
      </c>
      <c r="CD337" s="27" t="s">
        <v>7</v>
      </c>
      <c r="CE337" s="27" t="s">
        <v>8</v>
      </c>
    </row>
    <row r="338" spans="1:83" x14ac:dyDescent="0.25">
      <c r="A338" s="30">
        <v>8.3839502226552166E-3</v>
      </c>
      <c r="B338"/>
      <c r="C338"/>
      <c r="D338"/>
      <c r="E338"/>
      <c r="F338" s="27" t="s">
        <v>7</v>
      </c>
      <c r="G338" s="27" t="s">
        <v>8</v>
      </c>
      <c r="H338" s="27" t="s">
        <v>7</v>
      </c>
      <c r="I338" s="27" t="s">
        <v>8</v>
      </c>
      <c r="J338" s="27" t="s">
        <v>7</v>
      </c>
      <c r="K338" s="27" t="s">
        <v>8</v>
      </c>
      <c r="L338" s="27" t="s">
        <v>7</v>
      </c>
      <c r="S338" s="27" t="s">
        <v>8</v>
      </c>
      <c r="AA338" s="27" t="s">
        <v>8</v>
      </c>
      <c r="AB338" s="27" t="s">
        <v>7</v>
      </c>
      <c r="AC338" s="27" t="s">
        <v>8</v>
      </c>
      <c r="CD338" s="27" t="s">
        <v>7</v>
      </c>
    </row>
    <row r="339" spans="1:83" x14ac:dyDescent="0.25">
      <c r="A339" s="30">
        <v>7.9847144977668698E-3</v>
      </c>
      <c r="B339"/>
      <c r="C339"/>
      <c r="D339"/>
      <c r="E339"/>
      <c r="F339" s="27" t="s">
        <v>7</v>
      </c>
      <c r="G339" s="27" t="s">
        <v>8</v>
      </c>
      <c r="H339" s="27" t="s">
        <v>7</v>
      </c>
      <c r="I339" s="27" t="s">
        <v>8</v>
      </c>
      <c r="J339" s="27" t="s">
        <v>7</v>
      </c>
      <c r="K339" s="27" t="s">
        <v>8</v>
      </c>
      <c r="L339" s="27" t="s">
        <v>7</v>
      </c>
      <c r="S339" s="27" t="s">
        <v>8</v>
      </c>
      <c r="T339" s="27" t="s">
        <v>7</v>
      </c>
      <c r="AA339" s="27" t="s">
        <v>8</v>
      </c>
      <c r="AB339" s="27" t="s">
        <v>7</v>
      </c>
      <c r="AC339" s="27" t="s">
        <v>8</v>
      </c>
    </row>
    <row r="340" spans="1:83" x14ac:dyDescent="0.25">
      <c r="A340" s="30">
        <v>7.6044899978732058E-3</v>
      </c>
      <c r="B340"/>
      <c r="C340"/>
      <c r="D340"/>
      <c r="E340"/>
      <c r="F340" s="27" t="s">
        <v>7</v>
      </c>
      <c r="G340" s="27" t="s">
        <v>8</v>
      </c>
      <c r="H340" s="27" t="s">
        <v>7</v>
      </c>
      <c r="I340" s="27" t="s">
        <v>8</v>
      </c>
      <c r="J340" s="27" t="s">
        <v>7</v>
      </c>
      <c r="K340" s="27" t="s">
        <v>8</v>
      </c>
      <c r="L340" s="27" t="s">
        <v>7</v>
      </c>
      <c r="S340" s="27" t="s">
        <v>8</v>
      </c>
      <c r="T340" s="27" t="s">
        <v>7</v>
      </c>
      <c r="AA340" s="27" t="s">
        <v>8</v>
      </c>
      <c r="AB340" s="27" t="s">
        <v>7</v>
      </c>
      <c r="AC340" s="27" t="s">
        <v>8</v>
      </c>
    </row>
    <row r="341" spans="1:83" x14ac:dyDescent="0.25">
      <c r="A341" s="30">
        <v>7.2423714265459072E-3</v>
      </c>
      <c r="B341"/>
      <c r="C341"/>
      <c r="D341"/>
      <c r="E341"/>
      <c r="F341" s="27" t="s">
        <v>7</v>
      </c>
      <c r="H341" s="27" t="s">
        <v>7</v>
      </c>
      <c r="I341" s="27" t="s">
        <v>8</v>
      </c>
      <c r="J341" s="27" t="s">
        <v>7</v>
      </c>
      <c r="K341" s="27" t="s">
        <v>8</v>
      </c>
      <c r="L341" s="27" t="s">
        <v>7</v>
      </c>
      <c r="M341" s="27" t="s">
        <v>8</v>
      </c>
      <c r="S341" s="27" t="s">
        <v>8</v>
      </c>
      <c r="T341" s="27" t="s">
        <v>7</v>
      </c>
      <c r="U341" s="27" t="s">
        <v>8</v>
      </c>
      <c r="AA341" s="27" t="s">
        <v>8</v>
      </c>
      <c r="AB341" s="27" t="s">
        <v>7</v>
      </c>
      <c r="AC341" s="27" t="s">
        <v>8</v>
      </c>
    </row>
    <row r="342" spans="1:83" x14ac:dyDescent="0.25">
      <c r="A342" s="30">
        <v>6.8974965967103846E-3</v>
      </c>
      <c r="B342"/>
      <c r="C342"/>
      <c r="D342"/>
      <c r="E342"/>
      <c r="H342" s="27" t="s">
        <v>7</v>
      </c>
      <c r="I342" s="27" t="s">
        <v>8</v>
      </c>
      <c r="J342" s="27" t="s">
        <v>7</v>
      </c>
      <c r="K342" s="27" t="s">
        <v>8</v>
      </c>
      <c r="L342" s="27" t="s">
        <v>7</v>
      </c>
      <c r="M342" s="27" t="s">
        <v>8</v>
      </c>
      <c r="N342" s="27" t="s">
        <v>7</v>
      </c>
      <c r="O342" s="27" t="s">
        <v>8</v>
      </c>
      <c r="S342" s="27" t="s">
        <v>8</v>
      </c>
      <c r="T342" s="27" t="s">
        <v>7</v>
      </c>
      <c r="U342" s="27" t="s">
        <v>8</v>
      </c>
      <c r="V342" s="27" t="s">
        <v>7</v>
      </c>
      <c r="AA342" s="27" t="s">
        <v>8</v>
      </c>
      <c r="AB342" s="27" t="s">
        <v>7</v>
      </c>
    </row>
    <row r="343" spans="1:83" x14ac:dyDescent="0.25">
      <c r="A343" s="30">
        <v>6.5690443778194116E-3</v>
      </c>
      <c r="B343"/>
      <c r="C343"/>
      <c r="D343"/>
      <c r="E343"/>
      <c r="H343" s="27" t="s">
        <v>7</v>
      </c>
      <c r="I343" s="27" t="s">
        <v>8</v>
      </c>
      <c r="J343" s="27" t="s">
        <v>7</v>
      </c>
      <c r="K343" s="27" t="s">
        <v>8</v>
      </c>
      <c r="L343" s="27" t="s">
        <v>7</v>
      </c>
      <c r="M343" s="27" t="s">
        <v>8</v>
      </c>
      <c r="N343" s="27" t="s">
        <v>7</v>
      </c>
      <c r="O343" s="27" t="s">
        <v>8</v>
      </c>
      <c r="P343" s="27" t="s">
        <v>7</v>
      </c>
      <c r="S343" s="27" t="s">
        <v>8</v>
      </c>
      <c r="T343" s="27" t="s">
        <v>7</v>
      </c>
      <c r="U343" s="27" t="s">
        <v>8</v>
      </c>
      <c r="V343" s="27" t="s">
        <v>7</v>
      </c>
      <c r="Y343" s="27" t="s">
        <v>8</v>
      </c>
      <c r="AA343" s="27" t="s">
        <v>8</v>
      </c>
    </row>
    <row r="344" spans="1:83" x14ac:dyDescent="0.25">
      <c r="A344" s="30">
        <v>6.2562327407803897E-3</v>
      </c>
      <c r="B344"/>
      <c r="C344"/>
      <c r="D344"/>
      <c r="E344"/>
      <c r="H344" s="27" t="s">
        <v>7</v>
      </c>
      <c r="J344" s="27" t="s">
        <v>7</v>
      </c>
      <c r="K344" s="27" t="s">
        <v>8</v>
      </c>
      <c r="L344" s="27" t="s">
        <v>7</v>
      </c>
      <c r="N344" s="27" t="s">
        <v>7</v>
      </c>
      <c r="O344" s="27" t="s">
        <v>8</v>
      </c>
      <c r="P344" s="27" t="s">
        <v>7</v>
      </c>
      <c r="S344" s="27" t="s">
        <v>8</v>
      </c>
      <c r="T344" s="27" t="s">
        <v>7</v>
      </c>
      <c r="U344" s="27" t="s">
        <v>8</v>
      </c>
      <c r="V344" s="27" t="s">
        <v>7</v>
      </c>
      <c r="W344" s="27" t="s">
        <v>8</v>
      </c>
      <c r="Y344" s="27" t="s">
        <v>8</v>
      </c>
      <c r="Z344" s="27" t="s">
        <v>7</v>
      </c>
      <c r="AA344" s="27" t="s">
        <v>8</v>
      </c>
    </row>
    <row r="345" spans="1:83" x14ac:dyDescent="0.25">
      <c r="A345" s="30">
        <v>5.9583168959813212E-3</v>
      </c>
      <c r="B345"/>
      <c r="C345"/>
      <c r="D345"/>
      <c r="E345"/>
      <c r="J345" s="27" t="s">
        <v>7</v>
      </c>
      <c r="N345" s="27" t="s">
        <v>7</v>
      </c>
      <c r="O345" s="27" t="s">
        <v>8</v>
      </c>
      <c r="P345" s="27" t="s">
        <v>7</v>
      </c>
      <c r="Q345" s="27" t="s">
        <v>8</v>
      </c>
      <c r="S345" s="27" t="s">
        <v>8</v>
      </c>
      <c r="T345" s="27" t="s">
        <v>7</v>
      </c>
      <c r="V345" s="27" t="s">
        <v>7</v>
      </c>
      <c r="W345" s="27" t="s">
        <v>8</v>
      </c>
      <c r="X345" s="27" t="s">
        <v>7</v>
      </c>
      <c r="Y345" s="27" t="s">
        <v>8</v>
      </c>
      <c r="Z345" s="27" t="s">
        <v>7</v>
      </c>
      <c r="AA345" s="27" t="s">
        <v>8</v>
      </c>
    </row>
    <row r="346" spans="1:83" x14ac:dyDescent="0.25">
      <c r="A346" s="30">
        <v>5.6745875199822084E-3</v>
      </c>
      <c r="B346"/>
      <c r="C346"/>
      <c r="D346"/>
      <c r="E346"/>
      <c r="N346" s="27" t="s">
        <v>7</v>
      </c>
      <c r="P346" s="27" t="s">
        <v>7</v>
      </c>
      <c r="Q346" s="27" t="s">
        <v>8</v>
      </c>
      <c r="R346" s="27" t="s">
        <v>7</v>
      </c>
      <c r="S346" s="27" t="s">
        <v>8</v>
      </c>
      <c r="V346" s="27" t="s">
        <v>7</v>
      </c>
      <c r="W346" s="27" t="s">
        <v>8</v>
      </c>
      <c r="X346" s="27" t="s">
        <v>7</v>
      </c>
      <c r="Y346" s="27" t="s">
        <v>8</v>
      </c>
      <c r="Z346" s="27" t="s">
        <v>7</v>
      </c>
      <c r="AA346" s="27" t="s">
        <v>8</v>
      </c>
    </row>
    <row r="347" spans="1:83" x14ac:dyDescent="0.25">
      <c r="A347" s="30">
        <v>5.4043690666497205E-3</v>
      </c>
      <c r="B347"/>
      <c r="C347"/>
      <c r="D347"/>
      <c r="E347"/>
      <c r="P347" s="27" t="s">
        <v>7</v>
      </c>
      <c r="Q347" s="27" t="s">
        <v>8</v>
      </c>
      <c r="R347" s="27" t="s">
        <v>7</v>
      </c>
      <c r="S347" s="27" t="s">
        <v>8</v>
      </c>
      <c r="V347" s="27" t="s">
        <v>7</v>
      </c>
      <c r="W347" s="27" t="s">
        <v>8</v>
      </c>
      <c r="X347" s="27" t="s">
        <v>7</v>
      </c>
      <c r="Y347" s="27" t="s">
        <v>8</v>
      </c>
      <c r="Z347" s="27" t="s">
        <v>7</v>
      </c>
    </row>
    <row r="348" spans="1:83" x14ac:dyDescent="0.25">
      <c r="A348" s="30">
        <v>5.1470181587140174E-3</v>
      </c>
      <c r="B348"/>
      <c r="C348"/>
      <c r="D348"/>
      <c r="E348"/>
      <c r="P348" s="27" t="s">
        <v>7</v>
      </c>
      <c r="Q348" s="27" t="s">
        <v>8</v>
      </c>
      <c r="R348" s="27" t="s">
        <v>7</v>
      </c>
      <c r="S348" s="27" t="s">
        <v>8</v>
      </c>
      <c r="V348" s="27" t="s">
        <v>7</v>
      </c>
      <c r="W348" s="27" t="s">
        <v>8</v>
      </c>
      <c r="X348" s="27" t="s">
        <v>7</v>
      </c>
    </row>
    <row r="349" spans="1:83" x14ac:dyDescent="0.25">
      <c r="A349" s="30">
        <v>4.9019220559181099E-3</v>
      </c>
      <c r="B349"/>
      <c r="C349"/>
      <c r="D349"/>
      <c r="E349"/>
      <c r="P349" s="27" t="s">
        <v>7</v>
      </c>
      <c r="Q349" s="27" t="s">
        <v>8</v>
      </c>
      <c r="R349" s="27" t="s">
        <v>7</v>
      </c>
      <c r="S349" s="27" t="s">
        <v>8</v>
      </c>
      <c r="V349" s="27" t="s">
        <v>7</v>
      </c>
    </row>
    <row r="350" spans="1:83" x14ac:dyDescent="0.25">
      <c r="A350" s="30">
        <v>4.6684971961124836E-3</v>
      </c>
      <c r="B350"/>
      <c r="C350"/>
      <c r="D350"/>
      <c r="E350"/>
      <c r="P350" s="27" t="s">
        <v>7</v>
      </c>
      <c r="Q350" s="27" t="s">
        <v>8</v>
      </c>
      <c r="R350" s="27" t="s">
        <v>7</v>
      </c>
      <c r="S350" s="27" t="s">
        <v>8</v>
      </c>
    </row>
    <row r="351" spans="1:83" x14ac:dyDescent="0.25">
      <c r="A351" s="30">
        <v>4.4461878058214112E-3</v>
      </c>
      <c r="B351"/>
      <c r="C351"/>
      <c r="D351"/>
      <c r="E351"/>
      <c r="P351" s="27" t="s">
        <v>7</v>
      </c>
      <c r="Q351" s="27" t="s">
        <v>8</v>
      </c>
      <c r="R351" s="27" t="s">
        <v>7</v>
      </c>
    </row>
    <row r="352" spans="1:83" x14ac:dyDescent="0.25">
      <c r="A352" s="30">
        <v>4.2344645769727711E-3</v>
      </c>
      <c r="B352"/>
      <c r="C352"/>
      <c r="D352"/>
      <c r="E352"/>
      <c r="P352" s="27" t="s">
        <v>7</v>
      </c>
      <c r="Q352" s="27" t="s">
        <v>8</v>
      </c>
    </row>
    <row r="353" spans="1:17" x14ac:dyDescent="0.25">
      <c r="A353" s="30">
        <v>4.0328234066407329E-3</v>
      </c>
      <c r="B353"/>
      <c r="C353"/>
      <c r="D353"/>
      <c r="E353"/>
      <c r="P353" s="27" t="s">
        <v>7</v>
      </c>
      <c r="Q353" s="27" t="s">
        <v>8</v>
      </c>
    </row>
    <row r="354" spans="1:17" x14ac:dyDescent="0.25">
      <c r="A354" s="30">
        <v>3.8407841968006963E-3</v>
      </c>
      <c r="B354"/>
      <c r="C354"/>
      <c r="D354"/>
      <c r="E354"/>
      <c r="P354" s="27" t="s">
        <v>7</v>
      </c>
    </row>
    <row r="355" spans="1:17" x14ac:dyDescent="0.25">
      <c r="A355" s="30">
        <v>3.6578897112387568E-3</v>
      </c>
      <c r="B355"/>
      <c r="C355"/>
      <c r="D355"/>
      <c r="E355"/>
    </row>
    <row r="356" spans="1:17" x14ac:dyDescent="0.25">
      <c r="A356" s="30">
        <v>3.4837044868940526E-3</v>
      </c>
      <c r="B356"/>
      <c r="C356"/>
      <c r="D356"/>
      <c r="E356"/>
    </row>
    <row r="357" spans="1:17" x14ac:dyDescent="0.25">
      <c r="A357" s="30">
        <v>3.3178137970419535E-3</v>
      </c>
      <c r="B357"/>
      <c r="C357"/>
      <c r="D357"/>
      <c r="E357"/>
    </row>
    <row r="358" spans="1:17" x14ac:dyDescent="0.25">
      <c r="A358" s="30">
        <v>3.1598226638494781E-3</v>
      </c>
      <c r="B358"/>
      <c r="C358"/>
      <c r="D358"/>
      <c r="E358"/>
    </row>
    <row r="359" spans="1:17" x14ac:dyDescent="0.25">
      <c r="A359" s="30">
        <v>3.0093549179518826E-3</v>
      </c>
      <c r="B359"/>
      <c r="C359"/>
      <c r="D359"/>
      <c r="E359"/>
    </row>
    <row r="360" spans="1:17" x14ac:dyDescent="0.25">
      <c r="A360" s="30">
        <v>2.8660523028113155E-3</v>
      </c>
      <c r="B360"/>
      <c r="C360"/>
      <c r="D360"/>
      <c r="E360"/>
    </row>
    <row r="361" spans="1:17" x14ac:dyDescent="0.25">
      <c r="A361" s="30">
        <v>2.7295736217250611E-3</v>
      </c>
      <c r="B361"/>
      <c r="C361"/>
      <c r="D361"/>
      <c r="E361"/>
    </row>
    <row r="362" spans="1:17" x14ac:dyDescent="0.25">
      <c r="A362" s="30">
        <v>2.5995939254524381E-3</v>
      </c>
      <c r="B362"/>
      <c r="C362"/>
      <c r="D362"/>
      <c r="E362"/>
    </row>
    <row r="363" spans="1:17" x14ac:dyDescent="0.25">
      <c r="A363" s="30">
        <v>2.4758037385261304E-3</v>
      </c>
      <c r="B363"/>
      <c r="C363"/>
      <c r="D363"/>
      <c r="E363"/>
    </row>
    <row r="364" spans="1:17" x14ac:dyDescent="0.25">
      <c r="A364" s="30">
        <v>2.3579083224058374E-3</v>
      </c>
      <c r="B364"/>
      <c r="C364"/>
      <c r="D364"/>
      <c r="E364"/>
    </row>
    <row r="365" spans="1:17" x14ac:dyDescent="0.25">
      <c r="A365" s="30">
        <v>2.245626973719844E-3</v>
      </c>
      <c r="B365"/>
      <c r="C365"/>
      <c r="D365"/>
      <c r="E365"/>
    </row>
    <row r="366" spans="1:17" x14ac:dyDescent="0.25">
      <c r="A366" s="30">
        <v>2.1386923559236601E-3</v>
      </c>
      <c r="B366"/>
      <c r="C366"/>
      <c r="D366"/>
      <c r="E366"/>
    </row>
    <row r="367" spans="1:17" x14ac:dyDescent="0.25">
      <c r="A367" s="30">
        <v>2.0368498627844375E-3</v>
      </c>
      <c r="B367"/>
      <c r="C367"/>
      <c r="D367"/>
      <c r="E367"/>
    </row>
    <row r="368" spans="1:17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14" operator="equal">
      <formula>$U$1</formula>
    </cfRule>
    <cfRule type="cellIs" dxfId="67" priority="915" operator="equal">
      <formula>$S$1</formula>
    </cfRule>
  </conditionalFormatting>
  <conditionalFormatting sqref="D136">
    <cfRule type="cellIs" dxfId="66" priority="912" operator="equal">
      <formula>$S$1</formula>
    </cfRule>
    <cfRule type="cellIs" dxfId="65" priority="913" operator="equal">
      <formula>$U$1</formula>
    </cfRule>
  </conditionalFormatting>
  <conditionalFormatting sqref="C162">
    <cfRule type="cellIs" dxfId="64" priority="910" operator="equal">
      <formula>$U$1</formula>
    </cfRule>
    <cfRule type="cellIs" dxfId="63" priority="911" operator="equal">
      <formula>$S$1</formula>
    </cfRule>
  </conditionalFormatting>
  <conditionalFormatting sqref="D162">
    <cfRule type="cellIs" dxfId="62" priority="908" operator="equal">
      <formula>$S$1</formula>
    </cfRule>
    <cfRule type="cellIs" dxfId="61" priority="909" operator="equal">
      <formula>$U$1</formula>
    </cfRule>
  </conditionalFormatting>
  <conditionalFormatting sqref="C187">
    <cfRule type="cellIs" dxfId="60" priority="906" operator="equal">
      <formula>$U$1</formula>
    </cfRule>
    <cfRule type="cellIs" dxfId="59" priority="907" operator="equal">
      <formula>$S$1</formula>
    </cfRule>
  </conditionalFormatting>
  <conditionalFormatting sqref="D187">
    <cfRule type="cellIs" dxfId="58" priority="904" operator="equal">
      <formula>$S$1</formula>
    </cfRule>
    <cfRule type="cellIs" dxfId="57" priority="905" operator="equal">
      <formula>$U$1</formula>
    </cfRule>
  </conditionalFormatting>
  <conditionalFormatting sqref="C212">
    <cfRule type="cellIs" dxfId="56" priority="902" operator="equal">
      <formula>$U$1</formula>
    </cfRule>
    <cfRule type="cellIs" dxfId="55" priority="903" operator="equal">
      <formula>$S$1</formula>
    </cfRule>
  </conditionalFormatting>
  <conditionalFormatting sqref="D212">
    <cfRule type="cellIs" dxfId="54" priority="900" operator="equal">
      <formula>$S$1</formula>
    </cfRule>
    <cfRule type="cellIs" dxfId="53" priority="901" operator="equal">
      <formula>$U$1</formula>
    </cfRule>
  </conditionalFormatting>
  <conditionalFormatting sqref="C237">
    <cfRule type="cellIs" dxfId="52" priority="898" operator="equal">
      <formula>$U$1</formula>
    </cfRule>
    <cfRule type="cellIs" dxfId="51" priority="899" operator="equal">
      <formula>$S$1</formula>
    </cfRule>
  </conditionalFormatting>
  <conditionalFormatting sqref="D237">
    <cfRule type="cellIs" dxfId="50" priority="896" operator="equal">
      <formula>$S$1</formula>
    </cfRule>
    <cfRule type="cellIs" dxfId="49" priority="897" operator="equal">
      <formula>$U$1</formula>
    </cfRule>
  </conditionalFormatting>
  <conditionalFormatting sqref="C106">
    <cfRule type="cellIs" dxfId="48" priority="894" operator="equal">
      <formula>$U$1</formula>
    </cfRule>
    <cfRule type="cellIs" dxfId="47" priority="895" operator="equal">
      <formula>$S$1</formula>
    </cfRule>
  </conditionalFormatting>
  <conditionalFormatting sqref="D106">
    <cfRule type="cellIs" dxfId="46" priority="892" operator="equal">
      <formula>$S$1</formula>
    </cfRule>
    <cfRule type="cellIs" dxfId="45" priority="893" operator="equal">
      <formula>$U$1</formula>
    </cfRule>
  </conditionalFormatting>
  <conditionalFormatting sqref="C81">
    <cfRule type="cellIs" dxfId="44" priority="890" operator="equal">
      <formula>$U$1</formula>
    </cfRule>
    <cfRule type="cellIs" dxfId="43" priority="891" operator="equal">
      <formula>$S$1</formula>
    </cfRule>
  </conditionalFormatting>
  <conditionalFormatting sqref="D81">
    <cfRule type="cellIs" dxfId="42" priority="888" operator="equal">
      <formula>$S$1</formula>
    </cfRule>
    <cfRule type="cellIs" dxfId="41" priority="889" operator="equal">
      <formula>$U$1</formula>
    </cfRule>
  </conditionalFormatting>
  <conditionalFormatting sqref="C56">
    <cfRule type="cellIs" dxfId="40" priority="886" operator="equal">
      <formula>$U$1</formula>
    </cfRule>
    <cfRule type="cellIs" dxfId="39" priority="887" operator="equal">
      <formula>$S$1</formula>
    </cfRule>
  </conditionalFormatting>
  <conditionalFormatting sqref="D56">
    <cfRule type="cellIs" dxfId="38" priority="884" operator="equal">
      <formula>$S$1</formula>
    </cfRule>
    <cfRule type="cellIs" dxfId="37" priority="885" operator="equal">
      <formula>$U$1</formula>
    </cfRule>
  </conditionalFormatting>
  <conditionalFormatting sqref="C31">
    <cfRule type="cellIs" dxfId="36" priority="882" operator="equal">
      <formula>$U$1</formula>
    </cfRule>
    <cfRule type="cellIs" dxfId="35" priority="883" operator="equal">
      <formula>$S$1</formula>
    </cfRule>
  </conditionalFormatting>
  <conditionalFormatting sqref="D31">
    <cfRule type="cellIs" dxfId="34" priority="880" operator="equal">
      <formula>$S$1</formula>
    </cfRule>
    <cfRule type="cellIs" dxfId="33" priority="88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H169" sqref="BH16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$A$168</v>
      </c>
      <c r="D111" s="1" t="str">
        <f>ADDRESS(C121-1,D121,1,1)</f>
        <v>$BH$168</v>
      </c>
      <c r="E111"/>
    </row>
    <row r="112" spans="1:5" x14ac:dyDescent="0.25">
      <c r="A112" s="30">
        <v>2.3579476910000019</v>
      </c>
      <c r="C112" s="1" t="str">
        <f>ADDRESS(C121,1,1,1)</f>
        <v>$A$169</v>
      </c>
      <c r="D112" s="1" t="str">
        <f>ADDRESS(C121,D121-1,1,1)</f>
        <v>$BG$169</v>
      </c>
      <c r="E112"/>
    </row>
    <row r="113" spans="1:6" x14ac:dyDescent="0.25">
      <c r="A113" s="30">
        <v>2.1435888100000016</v>
      </c>
      <c r="C113" s="1" t="str">
        <f>ADDRESS(C121+1,1,1,1)</f>
        <v>$A$170</v>
      </c>
      <c r="D113" s="1" t="str">
        <f>ADDRESS(C121-1,D121+1,1,1)</f>
        <v>$BI$168</v>
      </c>
    </row>
    <row r="114" spans="1:6" x14ac:dyDescent="0.25">
      <c r="A114" s="30">
        <v>1.9487171000000014</v>
      </c>
      <c r="C114" s="1" t="str">
        <f>ADDRESS(C121,D121,1,1)</f>
        <v>$BH$169</v>
      </c>
      <c r="D114" s="1" t="str">
        <f>ADDRESS(C121+1,D121+1,1,1)</f>
        <v>$BI$170</v>
      </c>
    </row>
    <row r="115" spans="1:6" x14ac:dyDescent="0.25">
      <c r="A115" s="30">
        <v>1.7715610000000011</v>
      </c>
      <c r="C115" s="1" t="str">
        <f>ADDRESS(C121+1,D121,1,1)</f>
        <v>$BH$170</v>
      </c>
    </row>
    <row r="116" spans="1:6" x14ac:dyDescent="0.25">
      <c r="A116" s="30">
        <v>1.6105100000000008</v>
      </c>
      <c r="C116" s="1">
        <f>C117-1</f>
        <v>168</v>
      </c>
    </row>
    <row r="117" spans="1:6" x14ac:dyDescent="0.25">
      <c r="A117" s="30">
        <v>1.4641000000000006</v>
      </c>
      <c r="C117" s="1">
        <f>C121</f>
        <v>169</v>
      </c>
      <c r="D117" s="1">
        <f>D121</f>
        <v>60</v>
      </c>
    </row>
    <row r="118" spans="1:6" x14ac:dyDescent="0.25">
      <c r="A118" s="30">
        <v>1.3310000000000004</v>
      </c>
      <c r="C118" s="1">
        <f>C117+1</f>
        <v>170</v>
      </c>
      <c r="D118" s="1">
        <f>D117+1</f>
        <v>61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169</v>
      </c>
      <c r="D121" s="19">
        <v>60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R169</v>
      </c>
      <c r="D123" s="1" t="str">
        <f>"C"&amp;D121</f>
        <v>C60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1.0307447048195697E-2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" x14ac:dyDescent="0.25">
      <c r="A130" s="30">
        <v>0.42409761837248428</v>
      </c>
      <c r="C130" s="6"/>
      <c r="D130" s="6"/>
      <c r="E130"/>
      <c r="F130" s="27" t="s">
        <v>7</v>
      </c>
    </row>
    <row r="131" spans="1:6" x14ac:dyDescent="0.25">
      <c r="A131" s="30">
        <v>0.38554328942953109</v>
      </c>
      <c r="E131"/>
      <c r="F131" s="27" t="s">
        <v>7</v>
      </c>
    </row>
    <row r="132" spans="1:6" x14ac:dyDescent="0.25">
      <c r="A132" s="30">
        <v>0.35049389948139187</v>
      </c>
      <c r="C132" s="1" t="s">
        <v>13</v>
      </c>
      <c r="E132"/>
      <c r="F132" s="27" t="s">
        <v>7</v>
      </c>
    </row>
    <row r="133" spans="1: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" x14ac:dyDescent="0.25">
      <c r="A134" s="30">
        <v>0.28966437973668741</v>
      </c>
      <c r="C134"/>
      <c r="D134"/>
      <c r="E134"/>
      <c r="F134" s="27" t="s">
        <v>7</v>
      </c>
    </row>
    <row r="135" spans="1:6" x14ac:dyDescent="0.25">
      <c r="A135" s="30">
        <v>0.2633312543060794</v>
      </c>
      <c r="C135" s="1" t="s">
        <v>14</v>
      </c>
      <c r="E135"/>
      <c r="F135" s="27" t="s">
        <v>7</v>
      </c>
    </row>
    <row r="136" spans="1: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" x14ac:dyDescent="0.25">
      <c r="A137" s="30">
        <v>0.2176291357901482</v>
      </c>
      <c r="E137"/>
      <c r="F137" s="27" t="s">
        <v>7</v>
      </c>
    </row>
    <row r="138" spans="1: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6" x14ac:dyDescent="0.25">
      <c r="A139" s="30">
        <v>0.17985878990921333</v>
      </c>
      <c r="E139"/>
      <c r="F139" s="27" t="s">
        <v>7</v>
      </c>
    </row>
    <row r="140" spans="1:6" x14ac:dyDescent="0.25">
      <c r="A140" s="30">
        <v>0.16350799082655756</v>
      </c>
      <c r="C140" s="1">
        <v>0</v>
      </c>
      <c r="E140"/>
      <c r="F140" s="27" t="s">
        <v>7</v>
      </c>
    </row>
    <row r="141" spans="1:6" x14ac:dyDescent="0.25">
      <c r="A141" s="30">
        <v>0.14864362802414322</v>
      </c>
      <c r="C141" s="1">
        <v>1</v>
      </c>
      <c r="E141"/>
      <c r="F141" s="27" t="s">
        <v>7</v>
      </c>
    </row>
    <row r="142" spans="1:6" x14ac:dyDescent="0.25">
      <c r="A142" s="30">
        <v>0.13513057093103928</v>
      </c>
      <c r="C142" s="1">
        <v>2</v>
      </c>
      <c r="E142"/>
      <c r="F142" s="27" t="s">
        <v>7</v>
      </c>
    </row>
    <row r="143" spans="1:6" x14ac:dyDescent="0.25">
      <c r="A143" s="30">
        <v>0.12284597357367205</v>
      </c>
      <c r="C143" s="1">
        <v>3</v>
      </c>
      <c r="E143"/>
      <c r="F143" s="27" t="s">
        <v>7</v>
      </c>
    </row>
    <row r="144" spans="1:6" x14ac:dyDescent="0.25">
      <c r="A144" s="30">
        <v>0.11167815779424731</v>
      </c>
      <c r="C144" s="1">
        <v>4</v>
      </c>
      <c r="E144"/>
      <c r="F144" s="27" t="s">
        <v>7</v>
      </c>
    </row>
    <row r="145" spans="1:57" x14ac:dyDescent="0.25">
      <c r="A145" s="30">
        <v>0.10152559799477026</v>
      </c>
      <c r="B145"/>
      <c r="C145"/>
      <c r="D145"/>
      <c r="E145"/>
      <c r="F145" s="27" t="s">
        <v>7</v>
      </c>
    </row>
    <row r="146" spans="1:57" x14ac:dyDescent="0.25">
      <c r="A146" s="30">
        <v>9.2295998177063854E-2</v>
      </c>
      <c r="B146"/>
      <c r="C146"/>
      <c r="D146"/>
      <c r="E146"/>
      <c r="F146" s="27" t="s">
        <v>7</v>
      </c>
    </row>
    <row r="147" spans="1:57" x14ac:dyDescent="0.25">
      <c r="A147" s="30">
        <v>8.3905452888239848E-2</v>
      </c>
      <c r="B147"/>
      <c r="C147"/>
      <c r="D147"/>
      <c r="E147"/>
      <c r="F147" s="27" t="s">
        <v>7</v>
      </c>
    </row>
    <row r="148" spans="1:57" x14ac:dyDescent="0.25">
      <c r="A148" s="30">
        <v>7.6277684443854396E-2</v>
      </c>
      <c r="B148"/>
      <c r="C148"/>
      <c r="D148"/>
      <c r="E148"/>
      <c r="F148" s="27" t="s">
        <v>7</v>
      </c>
    </row>
    <row r="149" spans="1:57" x14ac:dyDescent="0.25">
      <c r="A149" s="30">
        <v>6.9343349494413078E-2</v>
      </c>
      <c r="B149"/>
      <c r="C149"/>
      <c r="D149"/>
      <c r="E149"/>
      <c r="F149" s="27" t="s">
        <v>7</v>
      </c>
    </row>
    <row r="150" spans="1:57" x14ac:dyDescent="0.25">
      <c r="A150" s="30">
        <v>6.3039408631284613E-2</v>
      </c>
      <c r="B150"/>
      <c r="C150"/>
      <c r="D150"/>
      <c r="E150"/>
      <c r="F150" s="27" t="s">
        <v>7</v>
      </c>
    </row>
    <row r="151" spans="1:57" x14ac:dyDescent="0.25">
      <c r="A151" s="30">
        <v>5.7308553301167818E-2</v>
      </c>
      <c r="B151"/>
      <c r="C151"/>
      <c r="D151"/>
      <c r="E151"/>
      <c r="F151" s="27" t="s">
        <v>7</v>
      </c>
    </row>
    <row r="152" spans="1:57" x14ac:dyDescent="0.25">
      <c r="A152" s="30">
        <v>5.2098684819243464E-2</v>
      </c>
      <c r="B152"/>
      <c r="C152"/>
      <c r="D152"/>
      <c r="E152"/>
      <c r="F152" s="27" t="s">
        <v>7</v>
      </c>
    </row>
    <row r="153" spans="1:57" x14ac:dyDescent="0.25">
      <c r="A153" s="30">
        <v>4.7362440744766775E-2</v>
      </c>
      <c r="B153"/>
      <c r="C153"/>
      <c r="D153"/>
      <c r="E153"/>
      <c r="F153" s="27" t="s">
        <v>7</v>
      </c>
      <c r="O153" s="27" t="s">
        <v>8</v>
      </c>
      <c r="AA153" s="27" t="s">
        <v>8</v>
      </c>
    </row>
    <row r="154" spans="1:57" x14ac:dyDescent="0.25">
      <c r="A154" s="30">
        <v>4.3056764313424332E-2</v>
      </c>
      <c r="B154"/>
      <c r="C154"/>
      <c r="D154"/>
      <c r="E154"/>
      <c r="F154" s="27" t="s">
        <v>7</v>
      </c>
      <c r="O154" s="27" t="s">
        <v>8</v>
      </c>
      <c r="P154" s="27" t="s">
        <v>7</v>
      </c>
      <c r="AA154" s="27" t="s">
        <v>8</v>
      </c>
      <c r="AB154" s="27" t="s">
        <v>7</v>
      </c>
    </row>
    <row r="155" spans="1:57" x14ac:dyDescent="0.25">
      <c r="A155" s="30">
        <v>3.9142513012203929E-2</v>
      </c>
      <c r="B155"/>
      <c r="C155"/>
      <c r="D155"/>
      <c r="E155"/>
      <c r="F155" s="27" t="s">
        <v>7</v>
      </c>
      <c r="O155" s="27" t="s">
        <v>8</v>
      </c>
      <c r="P155" s="27" t="s">
        <v>7</v>
      </c>
      <c r="AA155" s="27" t="s">
        <v>8</v>
      </c>
      <c r="AB155" s="27" t="s">
        <v>7</v>
      </c>
      <c r="AC155" s="27" t="s">
        <v>8</v>
      </c>
      <c r="AE155" s="27" t="s">
        <v>8</v>
      </c>
    </row>
    <row r="156" spans="1:57" x14ac:dyDescent="0.25">
      <c r="A156" s="30">
        <v>3.55841027383672E-2</v>
      </c>
      <c r="B156"/>
      <c r="C156"/>
      <c r="D156"/>
      <c r="E156"/>
      <c r="F156" s="27" t="s">
        <v>7</v>
      </c>
      <c r="O156" s="27" t="s">
        <v>8</v>
      </c>
      <c r="P156" s="27" t="s">
        <v>7</v>
      </c>
      <c r="Y156" s="27" t="s">
        <v>8</v>
      </c>
      <c r="AA156" s="27" t="s">
        <v>8</v>
      </c>
      <c r="AB156" s="27" t="s">
        <v>7</v>
      </c>
      <c r="AC156" s="27" t="s">
        <v>8</v>
      </c>
      <c r="AD156" s="27" t="s">
        <v>7</v>
      </c>
      <c r="AE156" s="27" t="s">
        <v>8</v>
      </c>
      <c r="AF156" s="27" t="s">
        <v>7</v>
      </c>
      <c r="AK156" s="27" t="s">
        <v>8</v>
      </c>
      <c r="BA156" s="27" t="s">
        <v>8</v>
      </c>
    </row>
    <row r="157" spans="1:57" x14ac:dyDescent="0.25">
      <c r="A157" s="30">
        <v>3.2349184307606541E-2</v>
      </c>
      <c r="B157"/>
      <c r="C157"/>
      <c r="D157"/>
      <c r="E157"/>
      <c r="F157" s="27" t="s">
        <v>7</v>
      </c>
      <c r="O157" s="27" t="s">
        <v>8</v>
      </c>
      <c r="P157" s="27" t="s">
        <v>7</v>
      </c>
      <c r="Y157" s="27" t="s">
        <v>8</v>
      </c>
      <c r="Z157" s="27" t="s">
        <v>7</v>
      </c>
      <c r="AA157" s="27" t="s">
        <v>8</v>
      </c>
      <c r="AB157" s="27" t="s">
        <v>7</v>
      </c>
      <c r="AC157" s="27" t="s">
        <v>8</v>
      </c>
      <c r="AD157" s="27" t="s">
        <v>7</v>
      </c>
      <c r="AE157" s="27" t="s">
        <v>8</v>
      </c>
      <c r="AF157" s="27" t="s">
        <v>7</v>
      </c>
      <c r="AK157" s="27" t="s">
        <v>8</v>
      </c>
      <c r="AL157" s="27" t="s">
        <v>7</v>
      </c>
      <c r="AW157" s="27" t="s">
        <v>8</v>
      </c>
      <c r="BA157" s="27" t="s">
        <v>8</v>
      </c>
      <c r="BB157" s="27" t="s">
        <v>7</v>
      </c>
    </row>
    <row r="158" spans="1:57" x14ac:dyDescent="0.25">
      <c r="A158" s="30">
        <v>2.9408349370551395E-2</v>
      </c>
      <c r="B158"/>
      <c r="C158"/>
      <c r="D158"/>
      <c r="E158"/>
      <c r="F158" s="27" t="s">
        <v>7</v>
      </c>
      <c r="O158" s="27" t="s">
        <v>8</v>
      </c>
      <c r="P158" s="27" t="s">
        <v>7</v>
      </c>
      <c r="Y158" s="27" t="s">
        <v>8</v>
      </c>
      <c r="Z158" s="27" t="s">
        <v>7</v>
      </c>
      <c r="AA158" s="27" t="s">
        <v>8</v>
      </c>
      <c r="AB158" s="27" t="s">
        <v>7</v>
      </c>
      <c r="AC158" s="27" t="s">
        <v>8</v>
      </c>
      <c r="AD158" s="27" t="s">
        <v>7</v>
      </c>
      <c r="AE158" s="27" t="s">
        <v>8</v>
      </c>
      <c r="AF158" s="27" t="s">
        <v>7</v>
      </c>
      <c r="AK158" s="27" t="s">
        <v>8</v>
      </c>
      <c r="AL158" s="27" t="s">
        <v>7</v>
      </c>
      <c r="AW158" s="27" t="s">
        <v>8</v>
      </c>
      <c r="AX158" s="27" t="s">
        <v>7</v>
      </c>
      <c r="AY158" s="27" t="s">
        <v>8</v>
      </c>
      <c r="BA158" s="27" t="s">
        <v>8</v>
      </c>
      <c r="BB158" s="27" t="s">
        <v>7</v>
      </c>
    </row>
    <row r="159" spans="1:57" x14ac:dyDescent="0.25">
      <c r="A159" s="30">
        <v>2.6734863064137627E-2</v>
      </c>
      <c r="B159"/>
      <c r="C159"/>
      <c r="D159"/>
      <c r="E159"/>
      <c r="F159" s="27" t="s">
        <v>7</v>
      </c>
      <c r="O159" s="27" t="s">
        <v>8</v>
      </c>
      <c r="P159" s="27" t="s">
        <v>7</v>
      </c>
      <c r="W159" s="27" t="s">
        <v>8</v>
      </c>
      <c r="Y159" s="27" t="s">
        <v>8</v>
      </c>
      <c r="Z159" s="27" t="s">
        <v>7</v>
      </c>
      <c r="AB159" s="27" t="s">
        <v>7</v>
      </c>
      <c r="AD159" s="27" t="s">
        <v>7</v>
      </c>
      <c r="AE159" s="27" t="s">
        <v>8</v>
      </c>
      <c r="AF159" s="27" t="s">
        <v>7</v>
      </c>
      <c r="AK159" s="27" t="s">
        <v>8</v>
      </c>
      <c r="AL159" s="27" t="s">
        <v>7</v>
      </c>
      <c r="AW159" s="27" t="s">
        <v>8</v>
      </c>
      <c r="AX159" s="27" t="s">
        <v>7</v>
      </c>
      <c r="AY159" s="27" t="s">
        <v>8</v>
      </c>
      <c r="AZ159" s="27" t="s">
        <v>7</v>
      </c>
      <c r="BA159" s="27" t="s">
        <v>8</v>
      </c>
      <c r="BB159" s="27" t="s">
        <v>7</v>
      </c>
      <c r="BC159" s="27" t="s">
        <v>8</v>
      </c>
    </row>
    <row r="160" spans="1:57" x14ac:dyDescent="0.25">
      <c r="A160" s="30">
        <v>2.4304420967397839E-2</v>
      </c>
      <c r="B160"/>
      <c r="C160"/>
      <c r="D160"/>
      <c r="E160"/>
      <c r="F160" s="27" t="s">
        <v>7</v>
      </c>
      <c r="O160" s="27" t="s">
        <v>8</v>
      </c>
      <c r="P160" s="27" t="s">
        <v>7</v>
      </c>
      <c r="U160" s="27" t="s">
        <v>8</v>
      </c>
      <c r="W160" s="27" t="s">
        <v>8</v>
      </c>
      <c r="X160" s="27" t="s">
        <v>7</v>
      </c>
      <c r="Y160" s="27" t="s">
        <v>8</v>
      </c>
      <c r="AD160" s="27" t="s">
        <v>7</v>
      </c>
      <c r="AF160" s="27" t="s">
        <v>7</v>
      </c>
      <c r="AK160" s="27" t="s">
        <v>8</v>
      </c>
      <c r="AL160" s="27" t="s">
        <v>7</v>
      </c>
      <c r="AW160" s="27" t="s">
        <v>8</v>
      </c>
      <c r="AX160" s="27" t="s">
        <v>7</v>
      </c>
      <c r="AY160" s="27" t="s">
        <v>8</v>
      </c>
      <c r="AZ160" s="27" t="s">
        <v>7</v>
      </c>
      <c r="BA160" s="27" t="s">
        <v>8</v>
      </c>
      <c r="BB160" s="27" t="s">
        <v>7</v>
      </c>
      <c r="BC160" s="27" t="s">
        <v>8</v>
      </c>
      <c r="BD160" s="27" t="s">
        <v>7</v>
      </c>
      <c r="BE160" s="27" t="s">
        <v>8</v>
      </c>
    </row>
    <row r="161" spans="1:60" x14ac:dyDescent="0.25">
      <c r="A161" s="30">
        <v>2.2094928152179852E-2</v>
      </c>
      <c r="B161"/>
      <c r="C161"/>
      <c r="D161"/>
      <c r="E161"/>
      <c r="F161" s="27" t="s">
        <v>7</v>
      </c>
      <c r="O161" s="27" t="s">
        <v>8</v>
      </c>
      <c r="P161" s="27" t="s">
        <v>7</v>
      </c>
      <c r="U161" s="27" t="s">
        <v>8</v>
      </c>
      <c r="V161" s="27" t="s">
        <v>7</v>
      </c>
      <c r="W161" s="27" t="s">
        <v>8</v>
      </c>
      <c r="X161" s="27" t="s">
        <v>7</v>
      </c>
      <c r="Y161" s="27" t="s">
        <v>8</v>
      </c>
      <c r="AF161" s="27" t="s">
        <v>7</v>
      </c>
      <c r="AK161" s="27" t="s">
        <v>8</v>
      </c>
      <c r="AL161" s="27" t="s">
        <v>7</v>
      </c>
      <c r="AW161" s="27" t="s">
        <v>8</v>
      </c>
      <c r="AX161" s="27" t="s">
        <v>7</v>
      </c>
      <c r="AY161" s="27" t="s">
        <v>8</v>
      </c>
      <c r="AZ161" s="27" t="s">
        <v>7</v>
      </c>
      <c r="BA161" s="27" t="s">
        <v>8</v>
      </c>
      <c r="BB161" s="27" t="s">
        <v>7</v>
      </c>
      <c r="BC161" s="27" t="s">
        <v>8</v>
      </c>
      <c r="BD161" s="27" t="s">
        <v>7</v>
      </c>
      <c r="BE161" s="27" t="s">
        <v>8</v>
      </c>
      <c r="BF161" s="27" t="s">
        <v>7</v>
      </c>
    </row>
    <row r="162" spans="1:60" x14ac:dyDescent="0.25">
      <c r="A162" s="30">
        <v>2.0086298320163499E-2</v>
      </c>
      <c r="B162"/>
      <c r="C162"/>
      <c r="D162"/>
      <c r="E162"/>
      <c r="F162" s="27" t="s">
        <v>7</v>
      </c>
      <c r="O162" s="27" t="s">
        <v>8</v>
      </c>
      <c r="P162" s="27" t="s">
        <v>7</v>
      </c>
      <c r="U162" s="27" t="s">
        <v>8</v>
      </c>
      <c r="V162" s="27" t="s">
        <v>7</v>
      </c>
      <c r="W162" s="27" t="s">
        <v>8</v>
      </c>
      <c r="X162" s="27" t="s">
        <v>7</v>
      </c>
      <c r="Y162" s="27" t="s">
        <v>8</v>
      </c>
      <c r="AF162" s="27" t="s">
        <v>7</v>
      </c>
      <c r="AK162" s="27" t="s">
        <v>8</v>
      </c>
      <c r="AL162" s="27" t="s">
        <v>7</v>
      </c>
      <c r="AQ162" s="27" t="s">
        <v>8</v>
      </c>
      <c r="AW162" s="27" t="s">
        <v>8</v>
      </c>
      <c r="AX162" s="27" t="s">
        <v>7</v>
      </c>
      <c r="AY162" s="27" t="s">
        <v>8</v>
      </c>
      <c r="AZ162" s="27" t="s">
        <v>7</v>
      </c>
      <c r="BA162" s="27" t="s">
        <v>8</v>
      </c>
      <c r="BB162" s="27" t="s">
        <v>7</v>
      </c>
      <c r="BD162" s="27" t="s">
        <v>7</v>
      </c>
      <c r="BE162" s="27" t="s">
        <v>8</v>
      </c>
      <c r="BF162" s="27" t="s">
        <v>7</v>
      </c>
    </row>
    <row r="163" spans="1:60" x14ac:dyDescent="0.25">
      <c r="A163" s="30">
        <v>1.8260271200148632E-2</v>
      </c>
      <c r="B163"/>
      <c r="C163"/>
      <c r="D163"/>
      <c r="E163"/>
      <c r="F163" s="27" t="s">
        <v>7</v>
      </c>
      <c r="O163" s="27" t="s">
        <v>8</v>
      </c>
      <c r="P163" s="27" t="s">
        <v>7</v>
      </c>
      <c r="Q163" s="27" t="s">
        <v>8</v>
      </c>
      <c r="U163" s="27" t="s">
        <v>8</v>
      </c>
      <c r="V163" s="27" t="s">
        <v>7</v>
      </c>
      <c r="W163" s="27" t="s">
        <v>8</v>
      </c>
      <c r="X163" s="27" t="s">
        <v>7</v>
      </c>
      <c r="Y163" s="27" t="s">
        <v>8</v>
      </c>
      <c r="AF163" s="27" t="s">
        <v>7</v>
      </c>
      <c r="AK163" s="27" t="s">
        <v>8</v>
      </c>
      <c r="AL163" s="27" t="s">
        <v>7</v>
      </c>
      <c r="AM163" s="27" t="s">
        <v>8</v>
      </c>
      <c r="AQ163" s="27" t="s">
        <v>8</v>
      </c>
      <c r="AR163" s="27" t="s">
        <v>7</v>
      </c>
      <c r="AS163" s="27" t="s">
        <v>8</v>
      </c>
      <c r="AW163" s="27" t="s">
        <v>8</v>
      </c>
      <c r="AX163" s="27" t="s">
        <v>7</v>
      </c>
      <c r="AY163" s="27" t="s">
        <v>8</v>
      </c>
      <c r="AZ163" s="27" t="s">
        <v>7</v>
      </c>
      <c r="BD163" s="27" t="s">
        <v>7</v>
      </c>
      <c r="BE163" s="27" t="s">
        <v>8</v>
      </c>
      <c r="BF163" s="27" t="s">
        <v>7</v>
      </c>
      <c r="BG163" s="27" t="s">
        <v>8</v>
      </c>
    </row>
    <row r="164" spans="1:60" x14ac:dyDescent="0.25">
      <c r="A164" s="30">
        <v>1.6600246545589663E-2</v>
      </c>
      <c r="B164"/>
      <c r="C164"/>
      <c r="D164"/>
      <c r="E164"/>
      <c r="F164" s="27" t="s">
        <v>7</v>
      </c>
      <c r="O164" s="27" t="s">
        <v>8</v>
      </c>
      <c r="P164" s="27" t="s">
        <v>7</v>
      </c>
      <c r="Q164" s="27" t="s">
        <v>8</v>
      </c>
      <c r="R164" s="27" t="s">
        <v>7</v>
      </c>
      <c r="S164" s="27" t="s">
        <v>8</v>
      </c>
      <c r="U164" s="27" t="s">
        <v>8</v>
      </c>
      <c r="V164" s="27" t="s">
        <v>7</v>
      </c>
      <c r="W164" s="27" t="s">
        <v>8</v>
      </c>
      <c r="X164" s="27" t="s">
        <v>7</v>
      </c>
      <c r="Y164" s="27" t="s">
        <v>8</v>
      </c>
      <c r="AF164" s="27" t="s">
        <v>7</v>
      </c>
      <c r="AG164" s="27" t="s">
        <v>8</v>
      </c>
      <c r="AI164" s="27" t="s">
        <v>8</v>
      </c>
      <c r="AK164" s="27" t="s">
        <v>8</v>
      </c>
      <c r="AL164" s="27" t="s">
        <v>7</v>
      </c>
      <c r="AM164" s="27" t="s">
        <v>8</v>
      </c>
      <c r="AN164" s="27" t="s">
        <v>7</v>
      </c>
      <c r="AQ164" s="27" t="s">
        <v>8</v>
      </c>
      <c r="AR164" s="27" t="s">
        <v>7</v>
      </c>
      <c r="AS164" s="27" t="s">
        <v>8</v>
      </c>
      <c r="AT164" s="27" t="s">
        <v>7</v>
      </c>
      <c r="AU164" s="27" t="s">
        <v>8</v>
      </c>
      <c r="AW164" s="27" t="s">
        <v>8</v>
      </c>
      <c r="AX164" s="27" t="s">
        <v>7</v>
      </c>
      <c r="BD164" s="27" t="s">
        <v>7</v>
      </c>
      <c r="BE164" s="27" t="s">
        <v>8</v>
      </c>
      <c r="BF164" s="27" t="s">
        <v>7</v>
      </c>
      <c r="BG164" s="27" t="s">
        <v>8</v>
      </c>
      <c r="BH164" s="27" t="s">
        <v>7</v>
      </c>
    </row>
    <row r="165" spans="1:60" x14ac:dyDescent="0.25">
      <c r="A165" s="30">
        <v>1.5091133223263328E-2</v>
      </c>
      <c r="B165"/>
      <c r="C165"/>
      <c r="D165"/>
      <c r="E165"/>
      <c r="F165" s="27" t="s">
        <v>7</v>
      </c>
      <c r="O165" s="27" t="s">
        <v>8</v>
      </c>
      <c r="P165" s="27" t="s">
        <v>7</v>
      </c>
      <c r="Q165" s="27" t="s">
        <v>8</v>
      </c>
      <c r="R165" s="27" t="s">
        <v>7</v>
      </c>
      <c r="S165" s="27" t="s">
        <v>8</v>
      </c>
      <c r="T165" s="27" t="s">
        <v>7</v>
      </c>
      <c r="U165" s="27" t="s">
        <v>8</v>
      </c>
      <c r="V165" s="27" t="s">
        <v>7</v>
      </c>
      <c r="W165" s="27" t="s">
        <v>8</v>
      </c>
      <c r="X165" s="27" t="s">
        <v>7</v>
      </c>
      <c r="AF165" s="27" t="s">
        <v>7</v>
      </c>
      <c r="AG165" s="27" t="s">
        <v>8</v>
      </c>
      <c r="AH165" s="27" t="s">
        <v>7</v>
      </c>
      <c r="AI165" s="27" t="s">
        <v>8</v>
      </c>
      <c r="AJ165" s="27" t="s">
        <v>7</v>
      </c>
      <c r="AK165" s="27" t="s">
        <v>8</v>
      </c>
      <c r="AL165" s="27" t="s">
        <v>7</v>
      </c>
      <c r="AM165" s="27" t="s">
        <v>8</v>
      </c>
      <c r="AN165" s="27" t="s">
        <v>7</v>
      </c>
      <c r="AQ165" s="27" t="s">
        <v>8</v>
      </c>
      <c r="AR165" s="27" t="s">
        <v>7</v>
      </c>
      <c r="AS165" s="27" t="s">
        <v>8</v>
      </c>
      <c r="AT165" s="27" t="s">
        <v>7</v>
      </c>
      <c r="AU165" s="27" t="s">
        <v>8</v>
      </c>
      <c r="AV165" s="27" t="s">
        <v>7</v>
      </c>
      <c r="AW165" s="27" t="s">
        <v>8</v>
      </c>
      <c r="BD165" s="27" t="s">
        <v>7</v>
      </c>
      <c r="BF165" s="27" t="s">
        <v>7</v>
      </c>
      <c r="BG165" s="27" t="s">
        <v>8</v>
      </c>
      <c r="BH165" s="27" t="s">
        <v>7</v>
      </c>
    </row>
    <row r="166" spans="1:60" x14ac:dyDescent="0.25">
      <c r="A166" s="30">
        <v>1.3719212021148477E-2</v>
      </c>
      <c r="B166"/>
      <c r="C166"/>
      <c r="D166"/>
      <c r="E166"/>
      <c r="F166" s="27" t="s">
        <v>7</v>
      </c>
      <c r="O166" s="27" t="s">
        <v>8</v>
      </c>
      <c r="P166" s="27" t="s">
        <v>7</v>
      </c>
      <c r="Q166" s="27" t="s">
        <v>8</v>
      </c>
      <c r="R166" s="27" t="s">
        <v>7</v>
      </c>
      <c r="S166" s="27" t="s">
        <v>8</v>
      </c>
      <c r="T166" s="27" t="s">
        <v>7</v>
      </c>
      <c r="U166" s="27" t="s">
        <v>8</v>
      </c>
      <c r="V166" s="27" t="s">
        <v>7</v>
      </c>
      <c r="AF166" s="27" t="s">
        <v>7</v>
      </c>
      <c r="AG166" s="27" t="s">
        <v>8</v>
      </c>
      <c r="AH166" s="27" t="s">
        <v>7</v>
      </c>
      <c r="AI166" s="27" t="s">
        <v>8</v>
      </c>
      <c r="AJ166" s="27" t="s">
        <v>7</v>
      </c>
      <c r="AK166" s="27" t="s">
        <v>8</v>
      </c>
      <c r="AL166" s="27" t="s">
        <v>7</v>
      </c>
      <c r="AN166" s="27" t="s">
        <v>7</v>
      </c>
      <c r="AQ166" s="27" t="s">
        <v>8</v>
      </c>
      <c r="AR166" s="27" t="s">
        <v>7</v>
      </c>
      <c r="AT166" s="27" t="s">
        <v>7</v>
      </c>
      <c r="AU166" s="27" t="s">
        <v>8</v>
      </c>
      <c r="AV166" s="27" t="s">
        <v>7</v>
      </c>
      <c r="AW166" s="27" t="s">
        <v>8</v>
      </c>
      <c r="BF166" s="27" t="s">
        <v>7</v>
      </c>
      <c r="BH166" s="27" t="s">
        <v>7</v>
      </c>
    </row>
    <row r="167" spans="1:60" x14ac:dyDescent="0.25">
      <c r="A167" s="30">
        <v>1.2472010928316795E-2</v>
      </c>
      <c r="B167"/>
      <c r="C167"/>
      <c r="D167"/>
      <c r="E167"/>
      <c r="F167" s="27" t="s">
        <v>7</v>
      </c>
      <c r="O167" s="27" t="s">
        <v>8</v>
      </c>
      <c r="P167" s="27" t="s">
        <v>7</v>
      </c>
      <c r="Q167" s="27" t="s">
        <v>8</v>
      </c>
      <c r="R167" s="27" t="s">
        <v>7</v>
      </c>
      <c r="S167" s="27" t="s">
        <v>8</v>
      </c>
      <c r="T167" s="27" t="s">
        <v>7</v>
      </c>
      <c r="AF167" s="27" t="s">
        <v>7</v>
      </c>
      <c r="AG167" s="27" t="s">
        <v>8</v>
      </c>
      <c r="AH167" s="27" t="s">
        <v>7</v>
      </c>
      <c r="AI167" s="27" t="s">
        <v>8</v>
      </c>
      <c r="AJ167" s="27" t="s">
        <v>7</v>
      </c>
      <c r="AK167" s="27" t="s">
        <v>8</v>
      </c>
      <c r="AN167" s="27" t="s">
        <v>7</v>
      </c>
      <c r="AO167" s="18" t="s">
        <v>8</v>
      </c>
      <c r="AQ167" s="27" t="s">
        <v>8</v>
      </c>
      <c r="AT167" s="27" t="s">
        <v>7</v>
      </c>
      <c r="AV167" s="27" t="s">
        <v>7</v>
      </c>
      <c r="AW167" s="27" t="s">
        <v>8</v>
      </c>
      <c r="BH167" s="27" t="s">
        <v>7</v>
      </c>
    </row>
    <row r="168" spans="1:60" x14ac:dyDescent="0.25">
      <c r="A168" s="30">
        <v>1.1338191753015267E-2</v>
      </c>
      <c r="B168"/>
      <c r="C168"/>
      <c r="D168"/>
      <c r="E168"/>
      <c r="F168" s="27" t="s">
        <v>7</v>
      </c>
      <c r="G168" s="27" t="s">
        <v>8</v>
      </c>
      <c r="O168" s="27" t="s">
        <v>8</v>
      </c>
      <c r="P168" s="27" t="s">
        <v>7</v>
      </c>
      <c r="Q168" s="27" t="s">
        <v>8</v>
      </c>
      <c r="R168" s="27" t="s">
        <v>7</v>
      </c>
      <c r="AF168" s="27" t="s">
        <v>7</v>
      </c>
      <c r="AH168" s="27" t="s">
        <v>7</v>
      </c>
      <c r="AI168" s="27" t="s">
        <v>8</v>
      </c>
      <c r="AJ168" s="27" t="s">
        <v>7</v>
      </c>
      <c r="AN168" s="27" t="s">
        <v>7</v>
      </c>
      <c r="AO168" s="27" t="s">
        <v>8</v>
      </c>
      <c r="AP168" s="27" t="s">
        <v>7</v>
      </c>
      <c r="AQ168" s="27" t="s">
        <v>8</v>
      </c>
      <c r="AV168" s="27" t="s">
        <v>7</v>
      </c>
      <c r="BH168" s="27" t="s">
        <v>7</v>
      </c>
    </row>
    <row r="169" spans="1:60" x14ac:dyDescent="0.25">
      <c r="A169" s="30">
        <v>1.0307447048195697E-2</v>
      </c>
      <c r="B169"/>
      <c r="C169"/>
      <c r="D169"/>
      <c r="E169"/>
      <c r="F169" s="27" t="s">
        <v>7</v>
      </c>
      <c r="G169" s="27" t="s">
        <v>8</v>
      </c>
      <c r="H169" s="27" t="s">
        <v>7</v>
      </c>
      <c r="I169" s="27" t="s">
        <v>8</v>
      </c>
      <c r="M169" s="27" t="s">
        <v>8</v>
      </c>
      <c r="O169" s="27" t="s">
        <v>8</v>
      </c>
      <c r="P169" s="27" t="s">
        <v>7</v>
      </c>
      <c r="AH169" s="27" t="s">
        <v>7</v>
      </c>
      <c r="AI169" s="27" t="s">
        <v>8</v>
      </c>
      <c r="AN169" s="27" t="s">
        <v>7</v>
      </c>
      <c r="AO169" s="27" t="s">
        <v>8</v>
      </c>
      <c r="AP169" s="27" t="s">
        <v>7</v>
      </c>
      <c r="AQ169" s="27" t="s">
        <v>8</v>
      </c>
      <c r="BH169" s="27" t="s">
        <v>7</v>
      </c>
    </row>
    <row r="170" spans="1:60" x14ac:dyDescent="0.25">
      <c r="A170" s="30">
        <v>9.3704064074506318E-3</v>
      </c>
      <c r="B170"/>
      <c r="C170"/>
      <c r="D170"/>
      <c r="E170"/>
      <c r="F170" s="27" t="s">
        <v>7</v>
      </c>
      <c r="G170" s="27" t="s">
        <v>8</v>
      </c>
      <c r="H170" s="27" t="s">
        <v>7</v>
      </c>
      <c r="I170" s="27" t="s">
        <v>8</v>
      </c>
      <c r="J170" s="27" t="s">
        <v>7</v>
      </c>
      <c r="M170" s="27" t="s">
        <v>8</v>
      </c>
      <c r="N170" s="27" t="s">
        <v>7</v>
      </c>
      <c r="O170" s="27" t="s">
        <v>8</v>
      </c>
      <c r="AH170" s="27" t="s">
        <v>7</v>
      </c>
      <c r="AI170" s="27" t="s">
        <v>8</v>
      </c>
      <c r="AN170" s="27" t="s">
        <v>7</v>
      </c>
      <c r="AP170" s="27" t="s">
        <v>7</v>
      </c>
    </row>
    <row r="171" spans="1:60" x14ac:dyDescent="0.25">
      <c r="A171" s="30">
        <v>8.5185512795005747E-3</v>
      </c>
      <c r="F171" s="27" t="s">
        <v>7</v>
      </c>
      <c r="G171" s="27" t="s">
        <v>8</v>
      </c>
      <c r="H171" s="27" t="s">
        <v>7</v>
      </c>
      <c r="I171" s="27" t="s">
        <v>8</v>
      </c>
      <c r="J171" s="27" t="s">
        <v>7</v>
      </c>
      <c r="M171" s="27" t="s">
        <v>8</v>
      </c>
      <c r="N171" s="27" t="s">
        <v>7</v>
      </c>
      <c r="O171" s="27" t="s">
        <v>8</v>
      </c>
      <c r="AH171" s="27" t="s">
        <v>7</v>
      </c>
    </row>
    <row r="172" spans="1:60" x14ac:dyDescent="0.25">
      <c r="A172" s="30">
        <v>7.744137526818704E-3</v>
      </c>
      <c r="F172" s="27" t="s">
        <v>7</v>
      </c>
      <c r="G172" s="27" t="s">
        <v>8</v>
      </c>
      <c r="H172" s="27" t="s">
        <v>7</v>
      </c>
      <c r="I172" s="27" t="s">
        <v>8</v>
      </c>
      <c r="J172" s="27" t="s">
        <v>7</v>
      </c>
      <c r="K172" s="27" t="s">
        <v>8</v>
      </c>
      <c r="M172" s="27" t="s">
        <v>8</v>
      </c>
      <c r="N172" s="27" t="s">
        <v>7</v>
      </c>
      <c r="O172" s="27" t="s">
        <v>8</v>
      </c>
    </row>
    <row r="173" spans="1:60" x14ac:dyDescent="0.25">
      <c r="A173" s="30">
        <v>7.0401250243806394E-3</v>
      </c>
      <c r="F173" s="27" t="s">
        <v>7</v>
      </c>
      <c r="G173" s="27" t="s">
        <v>8</v>
      </c>
      <c r="H173" s="27" t="s">
        <v>7</v>
      </c>
      <c r="I173" s="27" t="s">
        <v>8</v>
      </c>
      <c r="J173" s="27" t="s">
        <v>7</v>
      </c>
      <c r="K173" s="27" t="s">
        <v>8</v>
      </c>
      <c r="L173" s="27" t="s">
        <v>7</v>
      </c>
      <c r="M173" s="27" t="s">
        <v>8</v>
      </c>
      <c r="N173" s="27" t="s">
        <v>7</v>
      </c>
    </row>
    <row r="174" spans="1:60" x14ac:dyDescent="0.25">
      <c r="A174" s="30">
        <v>6.4001136585278536E-3</v>
      </c>
      <c r="F174" s="27" t="s">
        <v>7</v>
      </c>
      <c r="H174" s="27" t="s">
        <v>7</v>
      </c>
      <c r="J174" s="27" t="s">
        <v>7</v>
      </c>
      <c r="K174" s="27" t="s">
        <v>8</v>
      </c>
      <c r="L174" s="27" t="s">
        <v>7</v>
      </c>
      <c r="M174" s="27" t="s">
        <v>8</v>
      </c>
    </row>
    <row r="175" spans="1:60" x14ac:dyDescent="0.25">
      <c r="A175" s="30">
        <v>5.8182851441162305E-3</v>
      </c>
      <c r="J175" s="27" t="s">
        <v>7</v>
      </c>
      <c r="K175" s="27" t="s">
        <v>8</v>
      </c>
      <c r="L175" s="27" t="s">
        <v>7</v>
      </c>
      <c r="M175" s="27" t="s">
        <v>8</v>
      </c>
    </row>
    <row r="176" spans="1:60" x14ac:dyDescent="0.25">
      <c r="A176" s="30">
        <v>5.2893501310147546E-3</v>
      </c>
      <c r="J176" s="27" t="s">
        <v>7</v>
      </c>
      <c r="K176" s="27" t="s">
        <v>8</v>
      </c>
      <c r="L176" s="27" t="s">
        <v>7</v>
      </c>
      <c r="M176" s="27" t="s">
        <v>8</v>
      </c>
    </row>
    <row r="177" spans="1:12" x14ac:dyDescent="0.25">
      <c r="A177" s="30">
        <v>4.8085001191043222E-3</v>
      </c>
      <c r="J177" s="27" t="s">
        <v>7</v>
      </c>
      <c r="K177" s="27" t="s">
        <v>8</v>
      </c>
      <c r="L177" s="27" t="s">
        <v>7</v>
      </c>
    </row>
    <row r="178" spans="1:12" x14ac:dyDescent="0.25">
      <c r="A178" s="30">
        <v>4.3713637446402926E-3</v>
      </c>
      <c r="J178" s="27" t="s">
        <v>7</v>
      </c>
      <c r="K178" s="27" t="s">
        <v>8</v>
      </c>
    </row>
    <row r="179" spans="1:12" x14ac:dyDescent="0.25">
      <c r="A179" s="30">
        <v>3.9739670405820838E-3</v>
      </c>
      <c r="J179" s="27" t="s">
        <v>7</v>
      </c>
    </row>
    <row r="180" spans="1:12" x14ac:dyDescent="0.25">
      <c r="A180" s="30">
        <v>3.6126973096200759E-3</v>
      </c>
    </row>
    <row r="181" spans="1:12" x14ac:dyDescent="0.25">
      <c r="A181" s="30">
        <v>3.2842702814727962E-3</v>
      </c>
    </row>
    <row r="182" spans="1:12" x14ac:dyDescent="0.25">
      <c r="A182" s="30">
        <v>2.9857002558843601E-3</v>
      </c>
    </row>
    <row r="183" spans="1:12" x14ac:dyDescent="0.25">
      <c r="A183" s="30">
        <v>2.7142729598948726E-3</v>
      </c>
    </row>
    <row r="184" spans="1:12" x14ac:dyDescent="0.25">
      <c r="A184" s="30">
        <v>2.4675208726317021E-3</v>
      </c>
    </row>
    <row r="185" spans="1:12" x14ac:dyDescent="0.25">
      <c r="A185" s="30">
        <v>2.2432007933015472E-3</v>
      </c>
    </row>
    <row r="186" spans="1:12" x14ac:dyDescent="0.25">
      <c r="A186" s="30">
        <v>2.0392734484559519E-3</v>
      </c>
    </row>
    <row r="187" spans="1:12" x14ac:dyDescent="0.25">
      <c r="A187" s="30">
        <v>1.8538849531417744E-3</v>
      </c>
    </row>
    <row r="188" spans="1:12" x14ac:dyDescent="0.25">
      <c r="A188" s="30">
        <v>1.6853499574016129E-3</v>
      </c>
    </row>
    <row r="189" spans="1:12" x14ac:dyDescent="0.25">
      <c r="A189" s="30">
        <v>1.5321363249105571E-3</v>
      </c>
    </row>
    <row r="190" spans="1:12" x14ac:dyDescent="0.25">
      <c r="A190" s="30">
        <v>1.3928512044641427E-3</v>
      </c>
    </row>
    <row r="191" spans="1:12" x14ac:dyDescent="0.25">
      <c r="A191" s="30">
        <v>1.2662283676946752E-3</v>
      </c>
    </row>
    <row r="192" spans="1:12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98" operator="equal">
      <formula>$U$1</formula>
    </cfRule>
    <cfRule type="cellIs" dxfId="30" priority="899" operator="equal">
      <formula>$S$1</formula>
    </cfRule>
  </conditionalFormatting>
  <conditionalFormatting sqref="D136">
    <cfRule type="cellIs" dxfId="29" priority="896" operator="equal">
      <formula>$S$1</formula>
    </cfRule>
    <cfRule type="cellIs" dxfId="28" priority="897" operator="equal">
      <formula>$U$1</formula>
    </cfRule>
  </conditionalFormatting>
  <conditionalFormatting sqref="C102">
    <cfRule type="cellIs" dxfId="27" priority="894" operator="equal">
      <formula>$U$1</formula>
    </cfRule>
    <cfRule type="cellIs" dxfId="26" priority="895" operator="equal">
      <formula>$S$1</formula>
    </cfRule>
  </conditionalFormatting>
  <conditionalFormatting sqref="D102">
    <cfRule type="cellIs" dxfId="25" priority="892" operator="equal">
      <formula>$S$1</formula>
    </cfRule>
    <cfRule type="cellIs" dxfId="24" priority="893" operator="equal">
      <formula>$U$1</formula>
    </cfRule>
  </conditionalFormatting>
  <conditionalFormatting sqref="C77">
    <cfRule type="cellIs" dxfId="23" priority="890" operator="equal">
      <formula>$U$1</formula>
    </cfRule>
    <cfRule type="cellIs" dxfId="22" priority="891" operator="equal">
      <formula>$S$1</formula>
    </cfRule>
  </conditionalFormatting>
  <conditionalFormatting sqref="D77">
    <cfRule type="cellIs" dxfId="21" priority="888" operator="equal">
      <formula>$S$1</formula>
    </cfRule>
    <cfRule type="cellIs" dxfId="20" priority="889" operator="equal">
      <formula>$U$1</formula>
    </cfRule>
  </conditionalFormatting>
  <conditionalFormatting sqref="C52">
    <cfRule type="cellIs" dxfId="19" priority="886" operator="equal">
      <formula>$U$1</formula>
    </cfRule>
    <cfRule type="cellIs" dxfId="18" priority="887" operator="equal">
      <formula>$S$1</formula>
    </cfRule>
  </conditionalFormatting>
  <conditionalFormatting sqref="D52">
    <cfRule type="cellIs" dxfId="17" priority="884" operator="equal">
      <formula>$S$1</formula>
    </cfRule>
    <cfRule type="cellIs" dxfId="16" priority="885" operator="equal">
      <formula>$U$1</formula>
    </cfRule>
  </conditionalFormatting>
  <conditionalFormatting sqref="C26">
    <cfRule type="cellIs" dxfId="15" priority="882" operator="equal">
      <formula>$U$1</formula>
    </cfRule>
    <cfRule type="cellIs" dxfId="14" priority="883" operator="equal">
      <formula>$S$1</formula>
    </cfRule>
  </conditionalFormatting>
  <conditionalFormatting sqref="D26">
    <cfRule type="cellIs" dxfId="13" priority="880" operator="equal">
      <formula>$S$1</formula>
    </cfRule>
    <cfRule type="cellIs" dxfId="12" priority="88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2022-01-28T01:19:17Z</dcterms:modified>
</cp:coreProperties>
</file>