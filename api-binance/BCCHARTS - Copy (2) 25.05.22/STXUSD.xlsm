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F5282739-7299-4ACE-A317-EAB5C17CE19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830" i="1"/>
  <c r="Q830" i="1" s="1"/>
  <c r="R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830" i="1"/>
  <c r="T830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22" i="3"/>
  <c r="C133" i="3" s="1"/>
  <c r="D136" i="3" s="1"/>
  <c r="C118" i="4"/>
  <c r="C122" i="4"/>
  <c r="C133" i="4" s="1"/>
  <c r="D136" i="4" s="1"/>
  <c r="R829" i="1"/>
  <c r="S829" i="1" s="1"/>
  <c r="T829" i="1" s="1"/>
  <c r="C116" i="3"/>
  <c r="C118" i="3"/>
  <c r="R828" i="1" l="1"/>
  <c r="C136" i="5"/>
  <c r="C138" i="5" s="1"/>
  <c r="C136" i="3"/>
  <c r="C138" i="3" s="1"/>
  <c r="C136" i="4"/>
  <c r="C138" i="4" s="1"/>
  <c r="R827" i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S816" i="1" l="1"/>
  <c r="T816" i="1" s="1"/>
  <c r="R815" i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S736" i="1" l="1"/>
  <c r="T736" i="1" s="1"/>
  <c r="R735" i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S712" i="1" l="1"/>
  <c r="T712" i="1" s="1"/>
  <c r="R711" i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S688" i="1" l="1"/>
  <c r="T688" i="1" s="1"/>
  <c r="R687" i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S544" i="1" l="1"/>
  <c r="T544" i="1" s="1"/>
  <c r="R543" i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S520" i="1" l="1"/>
  <c r="T520" i="1" s="1"/>
  <c r="R519" i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S496" i="1" l="1"/>
  <c r="T496" i="1" s="1"/>
  <c r="R495" i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S400" i="1" l="1"/>
  <c r="T400" i="1" s="1"/>
  <c r="R399" i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S352" i="1" l="1"/>
  <c r="T352" i="1" s="1"/>
  <c r="R351" i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S316" i="1" l="1"/>
  <c r="T316" i="1" s="1"/>
  <c r="R315" i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S304" i="1" l="1"/>
  <c r="T304" i="1" s="1"/>
  <c r="R303" i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S292" i="1" l="1"/>
  <c r="T292" i="1" s="1"/>
  <c r="R291" i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S280" i="1" l="1"/>
  <c r="T280" i="1" s="1"/>
  <c r="R279" i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S268" i="1" l="1"/>
  <c r="T268" i="1" s="1"/>
  <c r="R267" i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S101" i="1" l="1"/>
  <c r="T101" i="1" s="1"/>
  <c r="R100" i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<sst xmlns="http://schemas.openxmlformats.org/spreadsheetml/2006/main" count="8522" uniqueCount="34">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</sst>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1.343</c:v>
                </c:pt>
                <c:pt idx="1">
                  <c:v>1.3759999999999999</c:v>
                </c:pt>
                <c:pt idx="2">
                  <c:v>1.3560000000000001</c:v>
                </c:pt>
                <c:pt idx="3">
                  <c:v>1.357</c:v>
                </c:pt>
                <c:pt idx="4">
                  <c:v>1.466</c:v>
                </c:pt>
                <c:pt idx="5">
                  <c:v>1.409</c:v>
                </c:pt>
                <c:pt idx="6">
                  <c:v>1.667</c:v>
                </c:pt>
                <c:pt idx="7">
                  <c:v>1.92</c:v>
                </c:pt>
                <c:pt idx="8">
                  <c:v>2.0590000000000002</c:v>
                </c:pt>
                <c:pt idx="9">
                  <c:v>2.33</c:v>
                </c:pt>
                <c:pt idx="10">
                  <c:v>2.0739999999999998</c:v>
                </c:pt>
                <c:pt idx="11">
                  <c:v>2.1309999999999998</c:v>
                </c:pt>
                <c:pt idx="12">
                  <c:v>2.137</c:v>
                </c:pt>
                <c:pt idx="13">
                  <c:v>2.0880000000000001</c:v>
                </c:pt>
                <c:pt idx="14">
                  <c:v>2.0459999999999998</c:v>
                </c:pt>
                <c:pt idx="15">
                  <c:v>2.165</c:v>
                </c:pt>
                <c:pt idx="16">
                  <c:v>2.0960000000000001</c:v>
                </c:pt>
                <c:pt idx="17">
                  <c:v>1.982</c:v>
                </c:pt>
                <c:pt idx="18">
                  <c:v>2.0640000000000001</c:v>
                </c:pt>
                <c:pt idx="19">
                  <c:v>2.048</c:v>
                </c:pt>
                <c:pt idx="20">
                  <c:v>2.0950000000000002</c:v>
                </c:pt>
                <c:pt idx="21">
                  <c:v>2.19</c:v>
                </c:pt>
                <c:pt idx="22">
                  <c:v>2.238</c:v>
                </c:pt>
                <c:pt idx="23">
                  <c:v>2.3420000000000001</c:v>
                </c:pt>
                <c:pt idx="24">
                  <c:v>2.29</c:v>
                </c:pt>
                <c:pt idx="25">
                  <c:v>2.3980000000000001</c:v>
                </c:pt>
                <c:pt idx="26">
                  <c:v>2.2850000000000001</c:v>
                </c:pt>
                <c:pt idx="27">
                  <c:v>2.1659999999999999</c:v>
                </c:pt>
                <c:pt idx="28">
                  <c:v>2.2000000000000002</c:v>
                </c:pt>
                <c:pt idx="29">
                  <c:v>2.1339999999999999</c:v>
                </c:pt>
                <c:pt idx="30">
                  <c:v>2.2759999999999998</c:v>
                </c:pt>
                <c:pt idx="31">
                  <c:v>2.613</c:v>
                </c:pt>
                <c:pt idx="32">
                  <c:v>2.351</c:v>
                </c:pt>
                <c:pt idx="33">
                  <c:v>2.3039999999999998</c:v>
                </c:pt>
                <c:pt idx="34">
                  <c:v>2.2480000000000002</c:v>
                </c:pt>
                <c:pt idx="35">
                  <c:v>2.343</c:v>
                </c:pt>
                <c:pt idx="36">
                  <c:v>2.1880000000000002</c:v>
                </c:pt>
                <c:pt idx="37">
                  <c:v>2.1280000000000001</c:v>
                </c:pt>
                <c:pt idx="38">
                  <c:v>2.0169999999999999</c:v>
                </c:pt>
                <c:pt idx="39">
                  <c:v>2.0670000000000002</c:v>
                </c:pt>
                <c:pt idx="40">
                  <c:v>2.09</c:v>
                </c:pt>
                <c:pt idx="41">
                  <c:v>2.0499999999999998</c:v>
                </c:pt>
                <c:pt idx="42">
                  <c:v>2.1339999999999999</c:v>
                </c:pt>
                <c:pt idx="43">
                  <c:v>2.2120000000000002</c:v>
                </c:pt>
                <c:pt idx="44">
                  <c:v>1.9570000000000001</c:v>
                </c:pt>
                <c:pt idx="45">
                  <c:v>1.857</c:v>
                </c:pt>
                <c:pt idx="46">
                  <c:v>2.1269999999999998</c:v>
                </c:pt>
                <c:pt idx="47">
                  <c:v>2.0430000000000001</c:v>
                </c:pt>
                <c:pt idx="48">
                  <c:v>1.9650000000000001</c:v>
                </c:pt>
                <c:pt idx="49">
                  <c:v>2.1150000000000002</c:v>
                </c:pt>
                <c:pt idx="50">
                  <c:v>2.3109999999999999</c:v>
                </c:pt>
                <c:pt idx="51">
                  <c:v>2.2869999999999999</c:v>
                </c:pt>
                <c:pt idx="52">
                  <c:v>2.27</c:v>
                </c:pt>
                <c:pt idx="53">
                  <c:v>2.0750000000000002</c:v>
                </c:pt>
                <c:pt idx="54">
                  <c:v>2.2280000000000002</c:v>
                </c:pt>
                <c:pt idx="55">
                  <c:v>2.5430000000000001</c:v>
                </c:pt>
                <c:pt idx="56">
                  <c:v>2.5430000000000001</c:v>
                </c:pt>
                <c:pt idx="57">
                  <c:v>2.8719999999999999</c:v>
                </c:pt>
                <c:pt idx="58">
                  <c:v>2.7730000000000001</c:v>
                </c:pt>
                <c:pt idx="59">
                  <c:v>2.157</c:v>
                </c:pt>
                <c:pt idx="60">
                  <c:v>1.927</c:v>
                </c:pt>
                <c:pt idx="61">
                  <c:v>1.8759999999999999</c:v>
                </c:pt>
                <c:pt idx="62">
                  <c:v>1.835</c:v>
                </c:pt>
                <c:pt idx="63">
                  <c:v>2.0579999999999998</c:v>
                </c:pt>
                <c:pt idx="64">
                  <c:v>1.95</c:v>
                </c:pt>
                <c:pt idx="65">
                  <c:v>2.06</c:v>
                </c:pt>
                <c:pt idx="66">
                  <c:v>2.1150000000000002</c:v>
                </c:pt>
                <c:pt idx="67">
                  <c:v>2.1589999999999998</c:v>
                </c:pt>
                <c:pt idx="68">
                  <c:v>2.117</c:v>
                </c:pt>
                <c:pt idx="69">
                  <c:v>2.0470000000000002</c:v>
                </c:pt>
                <c:pt idx="70">
                  <c:v>1.925</c:v>
                </c:pt>
                <c:pt idx="71">
                  <c:v>2.1440000000000001</c:v>
                </c:pt>
                <c:pt idx="72">
                  <c:v>2.16</c:v>
                </c:pt>
                <c:pt idx="73">
                  <c:v>2.4209999999999998</c:v>
                </c:pt>
                <c:pt idx="74">
                  <c:v>2.335</c:v>
                </c:pt>
                <c:pt idx="75">
                  <c:v>2.3050000000000002</c:v>
                </c:pt>
                <c:pt idx="76">
                  <c:v>2.2509999999999999</c:v>
                </c:pt>
                <c:pt idx="77">
                  <c:v>2.2120000000000002</c:v>
                </c:pt>
                <c:pt idx="78">
                  <c:v>2.0979999999999999</c:v>
                </c:pt>
                <c:pt idx="79">
                  <c:v>2.2149999999999999</c:v>
                </c:pt>
                <c:pt idx="80">
                  <c:v>2.3050000000000002</c:v>
                </c:pt>
                <c:pt idx="81">
                  <c:v>2.206</c:v>
                </c:pt>
                <c:pt idx="82">
                  <c:v>1.9970000000000001</c:v>
                </c:pt>
                <c:pt idx="83">
                  <c:v>1.9930000000000001</c:v>
                </c:pt>
                <c:pt idx="84">
                  <c:v>1.9359999999999999</c:v>
                </c:pt>
                <c:pt idx="85">
                  <c:v>1.9550000000000001</c:v>
                </c:pt>
                <c:pt idx="86">
                  <c:v>1.976</c:v>
                </c:pt>
                <c:pt idx="87">
                  <c:v>1.948</c:v>
                </c:pt>
                <c:pt idx="88">
                  <c:v>1.843</c:v>
                </c:pt>
                <c:pt idx="89">
                  <c:v>1.913</c:v>
                </c:pt>
                <c:pt idx="90">
                  <c:v>1.986</c:v>
                </c:pt>
                <c:pt idx="91">
                  <c:v>1.9370000000000001</c:v>
                </c:pt>
                <c:pt idx="92">
                  <c:v>1.86</c:v>
                </c:pt>
                <c:pt idx="93">
                  <c:v>2.1520000000000001</c:v>
                </c:pt>
                <c:pt idx="94">
                  <c:v>2.2189999999999999</c:v>
                </c:pt>
                <c:pt idx="95">
                  <c:v>2.2029999999999998</c:v>
                </c:pt>
                <c:pt idx="96">
                  <c:v>2.2170000000000001</c:v>
                </c:pt>
                <c:pt idx="97">
                  <c:v>2.1920000000000002</c:v>
                </c:pt>
                <c:pt idx="98">
                  <c:v>2.2890000000000001</c:v>
                </c:pt>
                <c:pt idx="99">
                  <c:v>2.41</c:v>
                </c:pt>
                <c:pt idx="100">
                  <c:v>2.3319999999999999</c:v>
                </c:pt>
                <c:pt idx="101">
                  <c:v>2.5670000000000002</c:v>
                </c:pt>
                <c:pt idx="102">
                  <c:v>2.1970000000000001</c:v>
                </c:pt>
                <c:pt idx="103">
                  <c:v>1.9630000000000001</c:v>
                </c:pt>
                <c:pt idx="104">
                  <c:v>1.986</c:v>
                </c:pt>
                <c:pt idx="105">
                  <c:v>2.214</c:v>
                </c:pt>
                <c:pt idx="106">
                  <c:v>2.2229999999999999</c:v>
                </c:pt>
                <c:pt idx="107">
                  <c:v>2.052</c:v>
                </c:pt>
                <c:pt idx="108">
                  <c:v>1.917</c:v>
                </c:pt>
                <c:pt idx="109">
                  <c:v>2.0289999999999999</c:v>
                </c:pt>
                <c:pt idx="110">
                  <c:v>1.87</c:v>
                </c:pt>
                <c:pt idx="111">
                  <c:v>1.43</c:v>
                </c:pt>
                <c:pt idx="112">
                  <c:v>1.387</c:v>
                </c:pt>
                <c:pt idx="113">
                  <c:v>1.3740000000000001</c:v>
                </c:pt>
                <c:pt idx="114">
                  <c:v>1.405</c:v>
                </c:pt>
                <c:pt idx="115">
                  <c:v>1.423</c:v>
                </c:pt>
                <c:pt idx="116">
                  <c:v>1.327</c:v>
                </c:pt>
                <c:pt idx="117">
                  <c:v>1.3220000000000001</c:v>
                </c:pt>
                <c:pt idx="118">
                  <c:v>1.319</c:v>
                </c:pt>
                <c:pt idx="119">
                  <c:v>1.2</c:v>
                </c:pt>
                <c:pt idx="120">
                  <c:v>1.139</c:v>
                </c:pt>
                <c:pt idx="121">
                  <c:v>1.133</c:v>
                </c:pt>
                <c:pt idx="122">
                  <c:v>1.194</c:v>
                </c:pt>
                <c:pt idx="123">
                  <c:v>1.2370000000000001</c:v>
                </c:pt>
                <c:pt idx="124">
                  <c:v>1.246</c:v>
                </c:pt>
                <c:pt idx="125">
                  <c:v>1.272</c:v>
                </c:pt>
                <c:pt idx="126">
                  <c:v>1.399</c:v>
                </c:pt>
                <c:pt idx="127">
                  <c:v>1.3680000000000001</c:v>
                </c:pt>
                <c:pt idx="128">
                  <c:v>1.21</c:v>
                </c:pt>
                <c:pt idx="129">
                  <c:v>1.2689999999999999</c:v>
                </c:pt>
                <c:pt idx="130">
                  <c:v>1.4039999999999999</c:v>
                </c:pt>
                <c:pt idx="131">
                  <c:v>1.4630000000000001</c:v>
                </c:pt>
                <c:pt idx="132">
                  <c:v>1.4510000000000001</c:v>
                </c:pt>
                <c:pt idx="133">
                  <c:v>1.5089999999999999</c:v>
                </c:pt>
                <c:pt idx="134">
                  <c:v>1.57</c:v>
                </c:pt>
                <c:pt idx="135">
                  <c:v>1.569</c:v>
                </c:pt>
                <c:pt idx="136">
                  <c:v>1.5309999999999999</c:v>
                </c:pt>
                <c:pt idx="137">
                  <c:v>1.4319999999999999</c:v>
                </c:pt>
                <c:pt idx="138">
                  <c:v>1.4159999999999999</c:v>
                </c:pt>
                <c:pt idx="139">
                  <c:v>1.349</c:v>
                </c:pt>
                <c:pt idx="140">
                  <c:v>1.407</c:v>
                </c:pt>
                <c:pt idx="141">
                  <c:v>1.3580000000000001</c:v>
                </c:pt>
                <c:pt idx="142">
                  <c:v>1.3280000000000001</c:v>
                </c:pt>
                <c:pt idx="143">
                  <c:v>1.6679999999999999</c:v>
                </c:pt>
                <c:pt idx="144">
                  <c:v>1.675</c:v>
                </c:pt>
                <c:pt idx="145">
                  <c:v>1.667</c:v>
                </c:pt>
                <c:pt idx="146">
                  <c:v>1.635</c:v>
                </c:pt>
                <c:pt idx="147">
                  <c:v>1.5529999999999999</c:v>
                </c:pt>
                <c:pt idx="148">
                  <c:v>1.5049999999999999</c:v>
                </c:pt>
                <c:pt idx="149">
                  <c:v>1.43</c:v>
                </c:pt>
                <c:pt idx="150">
                  <c:v>1.409</c:v>
                </c:pt>
                <c:pt idx="151">
                  <c:v>1.48</c:v>
                </c:pt>
                <c:pt idx="152">
                  <c:v>1.4139999999999999</c:v>
                </c:pt>
                <c:pt idx="153">
                  <c:v>1.4295</c:v>
                </c:pt>
                <c:pt idx="154">
                  <c:v>1.361</c:v>
                </c:pt>
                <c:pt idx="155">
                  <c:v>1.4831000000000001</c:v>
                </c:pt>
                <c:pt idx="156">
                  <c:v>1.4175</c:v>
                </c:pt>
                <c:pt idx="157">
                  <c:v>1.5023</c:v>
                </c:pt>
                <c:pt idx="158">
                  <c:v>1.4635</c:v>
                </c:pt>
                <c:pt idx="159">
                  <c:v>1.4510000000000001</c:v>
                </c:pt>
                <c:pt idx="160">
                  <c:v>1.4404999999999999</c:v>
                </c:pt>
                <c:pt idx="161">
                  <c:v>1.3894</c:v>
                </c:pt>
                <c:pt idx="162">
                  <c:v>1.3537999999999999</c:v>
                </c:pt>
                <c:pt idx="163">
                  <c:v>1.3738999999999999</c:v>
                </c:pt>
                <c:pt idx="164">
                  <c:v>1.4976</c:v>
                </c:pt>
                <c:pt idx="165">
                  <c:v>1.4222999999999999</c:v>
                </c:pt>
                <c:pt idx="166">
                  <c:v>1.4266000000000001</c:v>
                </c:pt>
                <c:pt idx="167">
                  <c:v>1.4161999999999999</c:v>
                </c:pt>
                <c:pt idx="168">
                  <c:v>1.3468</c:v>
                </c:pt>
                <c:pt idx="169">
                  <c:v>1.4297</c:v>
                </c:pt>
                <c:pt idx="170">
                  <c:v>1.417</c:v>
                </c:pt>
                <c:pt idx="171">
                  <c:v>1.3440000000000001</c:v>
                </c:pt>
                <c:pt idx="172">
                  <c:v>1.2963</c:v>
                </c:pt>
                <c:pt idx="173">
                  <c:v>1.3848</c:v>
                </c:pt>
                <c:pt idx="174">
                  <c:v>1.3512999999999999</c:v>
                </c:pt>
                <c:pt idx="175">
                  <c:v>1.3364</c:v>
                </c:pt>
                <c:pt idx="176">
                  <c:v>1.3640000000000001</c:v>
                </c:pt>
                <c:pt idx="177">
                  <c:v>1.3422000000000001</c:v>
                </c:pt>
                <c:pt idx="178">
                  <c:v>1.2543</c:v>
                </c:pt>
                <c:pt idx="179">
                  <c:v>1.2015</c:v>
                </c:pt>
                <c:pt idx="180">
                  <c:v>1.2661</c:v>
                </c:pt>
                <c:pt idx="181">
                  <c:v>1.2396</c:v>
                </c:pt>
                <c:pt idx="182">
                  <c:v>1.1445000000000001</c:v>
                </c:pt>
                <c:pt idx="183">
                  <c:v>1.1222000000000001</c:v>
                </c:pt>
                <c:pt idx="184">
                  <c:v>1.1634</c:v>
                </c:pt>
                <c:pt idx="185">
                  <c:v>1.1473</c:v>
                </c:pt>
                <c:pt idx="186">
                  <c:v>1.1914</c:v>
                </c:pt>
                <c:pt idx="187">
                  <c:v>1.212</c:v>
                </c:pt>
                <c:pt idx="188">
                  <c:v>1.1675</c:v>
                </c:pt>
                <c:pt idx="189">
                  <c:v>1.0402</c:v>
                </c:pt>
                <c:pt idx="190">
                  <c:v>0.94889999999999997</c:v>
                </c:pt>
                <c:pt idx="191">
                  <c:v>0.81230000000000002</c:v>
                </c:pt>
                <c:pt idx="192">
                  <c:v>0.90339999999999998</c:v>
                </c:pt>
                <c:pt idx="193">
                  <c:v>1.0198</c:v>
                </c:pt>
                <c:pt idx="194">
                  <c:v>1.0190999999999999</c:v>
                </c:pt>
                <c:pt idx="195">
                  <c:v>1.0949</c:v>
                </c:pt>
                <c:pt idx="196">
                  <c:v>1.2524</c:v>
                </c:pt>
                <c:pt idx="197">
                  <c:v>1.23</c:v>
                </c:pt>
                <c:pt idx="198">
                  <c:v>1.1707000000000001</c:v>
                </c:pt>
                <c:pt idx="199">
                  <c:v>1.1842999999999999</c:v>
                </c:pt>
                <c:pt idx="200">
                  <c:v>1.3753</c:v>
                </c:pt>
                <c:pt idx="201">
                  <c:v>1.2287999999999999</c:v>
                </c:pt>
                <c:pt idx="202">
                  <c:v>1.1811</c:v>
                </c:pt>
                <c:pt idx="203">
                  <c:v>1.2132000000000001</c:v>
                </c:pt>
                <c:pt idx="204">
                  <c:v>0.97550000000000003</c:v>
                </c:pt>
                <c:pt idx="205">
                  <c:v>0.874</c:v>
                </c:pt>
                <c:pt idx="206">
                  <c:v>0.81200000000000006</c:v>
                </c:pt>
                <c:pt idx="207">
                  <c:v>0.85970000000000002</c:v>
                </c:pt>
                <c:pt idx="208">
                  <c:v>0.84730000000000005</c:v>
                </c:pt>
                <c:pt idx="209">
                  <c:v>0.80430000000000001</c:v>
                </c:pt>
                <c:pt idx="210">
                  <c:v>0.77629999999999999</c:v>
                </c:pt>
                <c:pt idx="211">
                  <c:v>0.78969999999999996</c:v>
                </c:pt>
                <c:pt idx="212">
                  <c:v>0.751</c:v>
                </c:pt>
                <c:pt idx="213">
                  <c:v>0.71020000000000005</c:v>
                </c:pt>
                <c:pt idx="214">
                  <c:v>0.68899999999999995</c:v>
                </c:pt>
                <c:pt idx="215">
                  <c:v>0.64759999999999995</c:v>
                </c:pt>
                <c:pt idx="216">
                  <c:v>0.64019999999999999</c:v>
                </c:pt>
                <c:pt idx="217">
                  <c:v>0.72350000000000003</c:v>
                </c:pt>
                <c:pt idx="218">
                  <c:v>0.64690000000000003</c:v>
                </c:pt>
                <c:pt idx="219">
                  <c:v>0.60270000000000001</c:v>
                </c:pt>
                <c:pt idx="220">
                  <c:v>0.58689999999999998</c:v>
                </c:pt>
                <c:pt idx="221">
                  <c:v>0.79730000000000001</c:v>
                </c:pt>
                <c:pt idx="222">
                  <c:v>0.81540000000000001</c:v>
                </c:pt>
                <c:pt idx="223">
                  <c:v>0.82840000000000003</c:v>
                </c:pt>
                <c:pt idx="224">
                  <c:v>0.89810000000000001</c:v>
                </c:pt>
                <c:pt idx="225">
                  <c:v>0.93530000000000002</c:v>
                </c:pt>
                <c:pt idx="226">
                  <c:v>0.88959999999999995</c:v>
                </c:pt>
                <c:pt idx="227">
                  <c:v>0.89629999999999999</c:v>
                </c:pt>
                <c:pt idx="228">
                  <c:v>0.89590000000000003</c:v>
                </c:pt>
                <c:pt idx="229">
                  <c:v>0.83799999999999997</c:v>
                </c:pt>
                <c:pt idx="230">
                  <c:v>0.88649999999999995</c:v>
                </c:pt>
                <c:pt idx="231">
                  <c:v>0.91539999999999999</c:v>
                </c:pt>
                <c:pt idx="232">
                  <c:v>0.93100000000000005</c:v>
                </c:pt>
                <c:pt idx="233">
                  <c:v>0.90939999999999999</c:v>
                </c:pt>
                <c:pt idx="234">
                  <c:v>0.92559999999999998</c:v>
                </c:pt>
                <c:pt idx="235">
                  <c:v>1</c:v>
                </c:pt>
                <c:pt idx="236">
                  <c:v>0.96930000000000005</c:v>
                </c:pt>
                <c:pt idx="237">
                  <c:v>1.0243</c:v>
                </c:pt>
                <c:pt idx="238">
                  <c:v>1.0491999999999999</c:v>
                </c:pt>
                <c:pt idx="239">
                  <c:v>1.0071000000000001</c:v>
                </c:pt>
                <c:pt idx="240">
                  <c:v>0.97230000000000005</c:v>
                </c:pt>
                <c:pt idx="241">
                  <c:v>0.99829999999999997</c:v>
                </c:pt>
                <c:pt idx="242">
                  <c:v>0.96830000000000005</c:v>
                </c:pt>
                <c:pt idx="243">
                  <c:v>0.96909999999999996</c:v>
                </c:pt>
                <c:pt idx="244">
                  <c:v>0.96360000000000001</c:v>
                </c:pt>
                <c:pt idx="245">
                  <c:v>1.1138999999999999</c:v>
                </c:pt>
                <c:pt idx="246">
                  <c:v>1.08</c:v>
                </c:pt>
                <c:pt idx="247">
                  <c:v>1.0190999999999999</c:v>
                </c:pt>
                <c:pt idx="248">
                  <c:v>1.0667</c:v>
                </c:pt>
                <c:pt idx="249">
                  <c:v>0.91300000000000003</c:v>
                </c:pt>
                <c:pt idx="250">
                  <c:v>0.98609999999999998</c:v>
                </c:pt>
                <c:pt idx="251">
                  <c:v>1.0214000000000001</c:v>
                </c:pt>
                <c:pt idx="252">
                  <c:v>1.0741000000000001</c:v>
                </c:pt>
                <c:pt idx="253">
                  <c:v>0.91339999999999999</c:v>
                </c:pt>
                <c:pt idx="254">
                  <c:v>1.3871</c:v>
                </c:pt>
                <c:pt idx="255">
                  <c:v>1.3573</c:v>
                </c:pt>
                <c:pt idx="256">
                  <c:v>1.5245</c:v>
                </c:pt>
                <c:pt idx="257">
                  <c:v>1.5710999999999999</c:v>
                </c:pt>
                <c:pt idx="258">
                  <c:v>1.6738999999999999</c:v>
                </c:pt>
                <c:pt idx="259">
                  <c:v>1.5911</c:v>
                </c:pt>
                <c:pt idx="260">
                  <c:v>1.6315999999999999</c:v>
                </c:pt>
                <c:pt idx="261">
                  <c:v>1.8883000000000001</c:v>
                </c:pt>
                <c:pt idx="262">
                  <c:v>1.73</c:v>
                </c:pt>
                <c:pt idx="263">
                  <c:v>1.9358</c:v>
                </c:pt>
                <c:pt idx="264">
                  <c:v>2.0164</c:v>
                </c:pt>
                <c:pt idx="265">
                  <c:v>2.0064000000000002</c:v>
                </c:pt>
                <c:pt idx="266">
                  <c:v>2.0207000000000002</c:v>
                </c:pt>
                <c:pt idx="267">
                  <c:v>2.1311</c:v>
                </c:pt>
                <c:pt idx="268">
                  <c:v>2.0127999999999999</c:v>
                </c:pt>
                <c:pt idx="269">
                  <c:v>2.0701999999999998</c:v>
                </c:pt>
                <c:pt idx="270">
                  <c:v>2.0726</c:v>
                </c:pt>
                <c:pt idx="271">
                  <c:v>2.1461999999999999</c:v>
                </c:pt>
                <c:pt idx="272">
                  <c:v>2.1836000000000002</c:v>
                </c:pt>
                <c:pt idx="273">
                  <c:v>2.1379999999999999</c:v>
                </c:pt>
                <c:pt idx="274">
                  <c:v>2.2408000000000001</c:v>
                </c:pt>
                <c:pt idx="275">
                  <c:v>2.2425999999999999</c:v>
                </c:pt>
                <c:pt idx="276">
                  <c:v>2.0291000000000001</c:v>
                </c:pt>
                <c:pt idx="277">
                  <c:v>1.7555000000000001</c:v>
                </c:pt>
                <c:pt idx="278">
                  <c:v>1.7730999999999999</c:v>
                </c:pt>
                <c:pt idx="279">
                  <c:v>1.9648000000000001</c:v>
                </c:pt>
                <c:pt idx="280">
                  <c:v>2.0436999999999999</c:v>
                </c:pt>
                <c:pt idx="281">
                  <c:v>2.2418999999999998</c:v>
                </c:pt>
                <c:pt idx="282">
                  <c:v>2.4363999999999999</c:v>
                </c:pt>
                <c:pt idx="283">
                  <c:v>2.2846000000000002</c:v>
                </c:pt>
                <c:pt idx="284">
                  <c:v>1.9898</c:v>
                </c:pt>
                <c:pt idx="285">
                  <c:v>2.2576000000000001</c:v>
                </c:pt>
                <c:pt idx="286">
                  <c:v>2.3689</c:v>
                </c:pt>
                <c:pt idx="287">
                  <c:v>2.6623999999999999</c:v>
                </c:pt>
                <c:pt idx="288">
                  <c:v>2.6989999999999998</c:v>
                </c:pt>
                <c:pt idx="289">
                  <c:v>2.3045</c:v>
                </c:pt>
                <c:pt idx="290">
                  <c:v>2.0840000000000001</c:v>
                </c:pt>
                <c:pt idx="291">
                  <c:v>1.8795999999999999</c:v>
                </c:pt>
                <c:pt idx="292">
                  <c:v>1.9095</c:v>
                </c:pt>
                <c:pt idx="293">
                  <c:v>1.9826999999999999</c:v>
                </c:pt>
                <c:pt idx="294">
                  <c:v>1.907</c:v>
                </c:pt>
                <c:pt idx="295">
                  <c:v>1.7256</c:v>
                </c:pt>
                <c:pt idx="296">
                  <c:v>1.9648000000000001</c:v>
                </c:pt>
                <c:pt idx="297">
                  <c:v>2.5571999999999999</c:v>
                </c:pt>
                <c:pt idx="298">
                  <c:v>1.155</c:v>
                </c:pt>
                <c:pt idx="299">
                  <c:v>1.1162000000000001</c:v>
                </c:pt>
                <c:pt idx="300">
                  <c:v>1.2154</c:v>
                </c:pt>
                <c:pt idx="301">
                  <c:v>1.256</c:v>
                </c:pt>
                <c:pt idx="302">
                  <c:v>1.2146999999999999</c:v>
                </c:pt>
                <c:pt idx="303">
                  <c:v>1.2396</c:v>
                </c:pt>
                <c:pt idx="304">
                  <c:v>1.2441</c:v>
                </c:pt>
                <c:pt idx="305">
                  <c:v>1.252</c:v>
                </c:pt>
                <c:pt idx="306">
                  <c:v>1.2633000000000001</c:v>
                </c:pt>
                <c:pt idx="307">
                  <c:v>1.2243999999999999</c:v>
                </c:pt>
                <c:pt idx="308">
                  <c:v>1.1758</c:v>
                </c:pt>
                <c:pt idx="309">
                  <c:v>1.1907000000000001</c:v>
                </c:pt>
                <c:pt idx="310">
                  <c:v>1.2703</c:v>
                </c:pt>
                <c:pt idx="311">
                  <c:v>1.2519</c:v>
                </c:pt>
                <c:pt idx="312">
                  <c:v>1.2730999999999999</c:v>
                </c:pt>
                <c:pt idx="313">
                  <c:v>1.2470000000000001</c:v>
                </c:pt>
                <c:pt idx="314">
                  <c:v>1.3607</c:v>
                </c:pt>
                <c:pt idx="315">
                  <c:v>1.3188</c:v>
                </c:pt>
                <c:pt idx="316">
                  <c:v>1.2121999999999999</c:v>
                </c:pt>
                <c:pt idx="317">
                  <c:v>1.1287</c:v>
                </c:pt>
                <c:pt idx="318">
                  <c:v>1.1184000000000001</c:v>
                </c:pt>
                <c:pt idx="319">
                  <c:v>1.1474</c:v>
                </c:pt>
                <c:pt idx="320">
                  <c:v>1.2645</c:v>
                </c:pt>
                <c:pt idx="321">
                  <c:v>1.1553</c:v>
                </c:pt>
                <c:pt idx="322">
                  <c:v>1.0978000000000001</c:v>
                </c:pt>
                <c:pt idx="323">
                  <c:v>1.1147</c:v>
                </c:pt>
                <c:pt idx="324">
                  <c:v>1.23</c:v>
                </c:pt>
                <c:pt idx="325">
                  <c:v>1.1990000000000001</c:v>
                </c:pt>
                <c:pt idx="326">
                  <c:v>1.2028000000000001</c:v>
                </c:pt>
                <c:pt idx="327">
                  <c:v>1.1859999999999999</c:v>
                </c:pt>
                <c:pt idx="328">
                  <c:v>1.2116</c:v>
                </c:pt>
                <c:pt idx="329">
                  <c:v>1.1969000000000001</c:v>
                </c:pt>
                <c:pt idx="330">
                  <c:v>1.0437000000000001</c:v>
                </c:pt>
                <c:pt idx="331">
                  <c:v>1.0137</c:v>
                </c:pt>
                <c:pt idx="332">
                  <c:v>0.97809999999999997</c:v>
                </c:pt>
                <c:pt idx="333">
                  <c:v>0.93149999999999999</c:v>
                </c:pt>
                <c:pt idx="334">
                  <c:v>1.0007999999999999</c:v>
                </c:pt>
                <c:pt idx="335">
                  <c:v>1.0117</c:v>
                </c:pt>
                <c:pt idx="336">
                  <c:v>1.0331999999999999</c:v>
                </c:pt>
                <c:pt idx="337">
                  <c:v>1.0960000000000001</c:v>
                </c:pt>
                <c:pt idx="338">
                  <c:v>0.84809999999999997</c:v>
                </c:pt>
                <c:pt idx="339">
                  <c:v>0.78359999999999996</c:v>
                </c:pt>
                <c:pt idx="340">
                  <c:v>0.81489999999999996</c:v>
                </c:pt>
                <c:pt idx="341">
                  <c:v>0.76749999999999996</c:v>
                </c:pt>
                <c:pt idx="342">
                  <c:v>0.8367</c:v>
                </c:pt>
                <c:pt idx="343">
                  <c:v>0.78879999999999995</c:v>
                </c:pt>
                <c:pt idx="344">
                  <c:v>0.71579999999999999</c:v>
                </c:pt>
                <c:pt idx="345">
                  <c:v>0.67520000000000002</c:v>
                </c:pt>
                <c:pt idx="346">
                  <c:v>0.6905</c:v>
                </c:pt>
                <c:pt idx="347">
                  <c:v>0.66890000000000005</c:v>
                </c:pt>
                <c:pt idx="348">
                  <c:v>0.69710000000000005</c:v>
                </c:pt>
                <c:pt idx="349">
                  <c:v>0.72850000000000004</c:v>
                </c:pt>
                <c:pt idx="350">
                  <c:v>0.64500000000000002</c:v>
                </c:pt>
                <c:pt idx="351">
                  <c:v>0.56969999999999998</c:v>
                </c:pt>
                <c:pt idx="352">
                  <c:v>0.5323</c:v>
                </c:pt>
                <c:pt idx="353">
                  <c:v>0.48020000000000002</c:v>
                </c:pt>
                <c:pt idx="354">
                  <c:v>0.46889999999999998</c:v>
                </c:pt>
                <c:pt idx="355">
                  <c:v>0.44590000000000002</c:v>
                </c:pt>
                <c:pt idx="356">
                  <c:v>0.46600000000000003</c:v>
                </c:pt>
                <c:pt idx="357">
                  <c:v>0.4491</c:v>
                </c:pt>
                <c:pt idx="358">
                  <c:v>0.46239999999999998</c:v>
                </c:pt>
                <c:pt idx="359">
                  <c:v>0.46329999999999999</c:v>
                </c:pt>
                <c:pt idx="360">
                  <c:v>0.44390000000000002</c:v>
                </c:pt>
                <c:pt idx="361">
                  <c:v>0.42759999999999998</c:v>
                </c:pt>
                <c:pt idx="362">
                  <c:v>0.42870000000000003</c:v>
                </c:pt>
                <c:pt idx="363">
                  <c:v>0.44080000000000003</c:v>
                </c:pt>
                <c:pt idx="364">
                  <c:v>0.44190000000000002</c:v>
                </c:pt>
                <c:pt idx="365">
                  <c:v>0.42599999999999999</c:v>
                </c:pt>
                <c:pt idx="366">
                  <c:v>0.4708</c:v>
                </c:pt>
                <c:pt idx="367">
                  <c:v>0.46629999999999999</c:v>
                </c:pt>
                <c:pt idx="368">
                  <c:v>0.49509999999999998</c:v>
                </c:pt>
                <c:pt idx="369">
                  <c:v>0.48470000000000002</c:v>
                </c:pt>
                <c:pt idx="370">
                  <c:v>0.47649999999999998</c:v>
                </c:pt>
                <c:pt idx="371">
                  <c:v>0.45290000000000002</c:v>
                </c:pt>
                <c:pt idx="372">
                  <c:v>0.49259999999999998</c:v>
                </c:pt>
                <c:pt idx="373">
                  <c:v>0.50460000000000005</c:v>
                </c:pt>
                <c:pt idx="374">
                  <c:v>0.4798</c:v>
                </c:pt>
                <c:pt idx="375">
                  <c:v>0.48970000000000002</c:v>
                </c:pt>
                <c:pt idx="376">
                  <c:v>0.47660000000000002</c:v>
                </c:pt>
                <c:pt idx="377">
                  <c:v>0.48870000000000002</c:v>
                </c:pt>
                <c:pt idx="378">
                  <c:v>0.50800000000000001</c:v>
                </c:pt>
                <c:pt idx="379">
                  <c:v>0.55720000000000003</c:v>
                </c:pt>
                <c:pt idx="380">
                  <c:v>0.48249999999999998</c:v>
                </c:pt>
                <c:pt idx="381">
                  <c:v>0.49509999999999998</c:v>
                </c:pt>
                <c:pt idx="382">
                  <c:v>0.47349999999999998</c:v>
                </c:pt>
                <c:pt idx="383">
                  <c:v>0.49830000000000002</c:v>
                </c:pt>
                <c:pt idx="384">
                  <c:v>0.49409999999999998</c:v>
                </c:pt>
                <c:pt idx="385">
                  <c:v>0.54259999999999997</c:v>
                </c:pt>
                <c:pt idx="386">
                  <c:v>0.52410000000000001</c:v>
                </c:pt>
                <c:pt idx="387">
                  <c:v>0.52139999999999997</c:v>
                </c:pt>
                <c:pt idx="388">
                  <c:v>0.49099999999999999</c:v>
                </c:pt>
                <c:pt idx="389">
                  <c:v>0.48180000000000001</c:v>
                </c:pt>
                <c:pt idx="390">
                  <c:v>0.45729999999999998</c:v>
                </c:pt>
                <c:pt idx="391">
                  <c:v>0.42720000000000002</c:v>
                </c:pt>
                <c:pt idx="392">
                  <c:v>0.39600000000000002</c:v>
                </c:pt>
                <c:pt idx="393">
                  <c:v>0.39529999999999998</c:v>
                </c:pt>
                <c:pt idx="394">
                  <c:v>0.40989999999999999</c:v>
                </c:pt>
                <c:pt idx="395">
                  <c:v>0.3876</c:v>
                </c:pt>
                <c:pt idx="396">
                  <c:v>0.4133</c:v>
                </c:pt>
                <c:pt idx="397">
                  <c:v>0.31990000000000002</c:v>
                </c:pt>
                <c:pt idx="398">
                  <c:v>0.3029</c:v>
                </c:pt>
                <c:pt idx="399">
                  <c:v>0.28139999999999998</c:v>
                </c:pt>
                <c:pt idx="400">
                  <c:v>0.26069999999999999</c:v>
                </c:pt>
                <c:pt idx="401">
                  <c:v>0.28260000000000002</c:v>
                </c:pt>
                <c:pt idx="402">
                  <c:v>0.2792</c:v>
                </c:pt>
                <c:pt idx="403">
                  <c:v>0.29349999999999998</c:v>
                </c:pt>
                <c:pt idx="404">
                  <c:v>0.30359999999999998</c:v>
                </c:pt>
                <c:pt idx="405">
                  <c:v>0.31719999999999998</c:v>
                </c:pt>
                <c:pt idx="406">
                  <c:v>0.29670000000000002</c:v>
                </c:pt>
                <c:pt idx="407">
                  <c:v>0.29970000000000002</c:v>
                </c:pt>
                <c:pt idx="408">
                  <c:v>0.30409999999999998</c:v>
                </c:pt>
                <c:pt idx="409">
                  <c:v>0.31940000000000002</c:v>
                </c:pt>
                <c:pt idx="410">
                  <c:v>0.32369999999999999</c:v>
                </c:pt>
                <c:pt idx="411">
                  <c:v>0.29580000000000001</c:v>
                </c:pt>
                <c:pt idx="412">
                  <c:v>0.27500000000000002</c:v>
                </c:pt>
                <c:pt idx="413">
                  <c:v>0.26179999999999998</c:v>
                </c:pt>
                <c:pt idx="414">
                  <c:v>0.2757</c:v>
                </c:pt>
                <c:pt idx="415">
                  <c:v>0.28539999999999999</c:v>
                </c:pt>
                <c:pt idx="416">
                  <c:v>0.2656</c:v>
                </c:pt>
                <c:pt idx="417">
                  <c:v>0.247</c:v>
                </c:pt>
                <c:pt idx="418">
                  <c:v>0.2301</c:v>
                </c:pt>
                <c:pt idx="419">
                  <c:v>0.22559999999999999</c:v>
                </c:pt>
                <c:pt idx="420">
                  <c:v>0.24590000000000001</c:v>
                </c:pt>
                <c:pt idx="421">
                  <c:v>0.24629999999999999</c:v>
                </c:pt>
                <c:pt idx="422">
                  <c:v>0.2384</c:v>
                </c:pt>
                <c:pt idx="423">
                  <c:v>0.24199999999999999</c:v>
                </c:pt>
                <c:pt idx="424">
                  <c:v>0.23630000000000001</c:v>
                </c:pt>
                <c:pt idx="425">
                  <c:v>0.2351</c:v>
                </c:pt>
                <c:pt idx="426">
                  <c:v>0.2384</c:v>
                </c:pt>
                <c:pt idx="427">
                  <c:v>0.25580000000000003</c:v>
                </c:pt>
                <c:pt idx="428">
                  <c:v>0.24110000000000001</c:v>
                </c:pt>
                <c:pt idx="429">
                  <c:v>0.2278</c:v>
                </c:pt>
                <c:pt idx="430">
                  <c:v>0.2334</c:v>
                </c:pt>
                <c:pt idx="431">
                  <c:v>0.2122</c:v>
                </c:pt>
                <c:pt idx="432">
                  <c:v>0.2291</c:v>
                </c:pt>
                <c:pt idx="433">
                  <c:v>0.2155</c:v>
                </c:pt>
                <c:pt idx="434">
                  <c:v>0.2051</c:v>
                </c:pt>
                <c:pt idx="435">
                  <c:v>0.22020000000000001</c:v>
                </c:pt>
                <c:pt idx="436">
                  <c:v>0.24260000000000001</c:v>
                </c:pt>
                <c:pt idx="437">
                  <c:v>0.24990000000000001</c:v>
                </c:pt>
                <c:pt idx="438">
                  <c:v>0.2402</c:v>
                </c:pt>
                <c:pt idx="439">
                  <c:v>0.2487</c:v>
                </c:pt>
                <c:pt idx="440">
                  <c:v>0.2656</c:v>
                </c:pt>
                <c:pt idx="441">
                  <c:v>0.2752</c:v>
                </c:pt>
                <c:pt idx="442">
                  <c:v>0.19639999999999999</c:v>
                </c:pt>
                <c:pt idx="443">
                  <c:v>0.21709999999999999</c:v>
                </c:pt>
                <c:pt idx="444">
                  <c:v>0.18579999999999999</c:v>
                </c:pt>
                <c:pt idx="445">
                  <c:v>0.19220000000000001</c:v>
                </c:pt>
                <c:pt idx="446">
                  <c:v>0.17119999999999999</c:v>
                </c:pt>
                <c:pt idx="447">
                  <c:v>0.16819999999999999</c:v>
                </c:pt>
                <c:pt idx="448">
                  <c:v>0.153</c:v>
                </c:pt>
                <c:pt idx="449">
                  <c:v>0.15290000000000001</c:v>
                </c:pt>
                <c:pt idx="450">
                  <c:v>0.15240000000000001</c:v>
                </c:pt>
                <c:pt idx="451">
                  <c:v>0.14879999999999999</c:v>
                </c:pt>
                <c:pt idx="452">
                  <c:v>0.15859999999999999</c:v>
                </c:pt>
                <c:pt idx="453">
                  <c:v>0.1605</c:v>
                </c:pt>
                <c:pt idx="454">
                  <c:v>0.1527</c:v>
                </c:pt>
                <c:pt idx="455">
                  <c:v>0.14249999999999999</c:v>
                </c:pt>
                <c:pt idx="456">
                  <c:v>0.1525</c:v>
                </c:pt>
                <c:pt idx="457">
                  <c:v>0.1479</c:v>
                </c:pt>
                <c:pt idx="458">
                  <c:v>0.1469</c:v>
                </c:pt>
                <c:pt idx="459">
                  <c:v>0.14910000000000001</c:v>
                </c:pt>
                <c:pt idx="460">
                  <c:v>0.1573</c:v>
                </c:pt>
                <c:pt idx="461">
                  <c:v>0.15870000000000001</c:v>
                </c:pt>
                <c:pt idx="462">
                  <c:v>0.16400000000000001</c:v>
                </c:pt>
                <c:pt idx="463">
                  <c:v>0.16220000000000001</c:v>
                </c:pt>
                <c:pt idx="464">
                  <c:v>0.16400000000000001</c:v>
                </c:pt>
                <c:pt idx="465">
                  <c:v>0.1656</c:v>
                </c:pt>
                <c:pt idx="466">
                  <c:v>0.17069999999999999</c:v>
                </c:pt>
                <c:pt idx="467">
                  <c:v>0.16980000000000001</c:v>
                </c:pt>
                <c:pt idx="468">
                  <c:v>0.17030000000000001</c:v>
                </c:pt>
                <c:pt idx="469">
                  <c:v>0.17899999999999999</c:v>
                </c:pt>
                <c:pt idx="470">
                  <c:v>0.16619999999999999</c:v>
                </c:pt>
                <c:pt idx="471">
                  <c:v>0.16880000000000001</c:v>
                </c:pt>
                <c:pt idx="472">
                  <c:v>0.1661</c:v>
                </c:pt>
                <c:pt idx="473">
                  <c:v>0.16270000000000001</c:v>
                </c:pt>
                <c:pt idx="474">
                  <c:v>0.15840000000000001</c:v>
                </c:pt>
                <c:pt idx="475">
                  <c:v>0.16320000000000001</c:v>
                </c:pt>
                <c:pt idx="476">
                  <c:v>0.15210000000000001</c:v>
                </c:pt>
                <c:pt idx="477">
                  <c:v>0.1497</c:v>
                </c:pt>
                <c:pt idx="478">
                  <c:v>0.1411</c:v>
                </c:pt>
                <c:pt idx="479">
                  <c:v>0.1552</c:v>
                </c:pt>
                <c:pt idx="480">
                  <c:v>0.15740000000000001</c:v>
                </c:pt>
                <c:pt idx="481">
                  <c:v>0.15559999999999999</c:v>
                </c:pt>
                <c:pt idx="482">
                  <c:v>0.1484</c:v>
                </c:pt>
                <c:pt idx="483">
                  <c:v>0.1555</c:v>
                </c:pt>
                <c:pt idx="484">
                  <c:v>0.16139999999999999</c:v>
                </c:pt>
                <c:pt idx="485">
                  <c:v>0.1542</c:v>
                </c:pt>
                <c:pt idx="486">
                  <c:v>0.15060000000000001</c:v>
                </c:pt>
                <c:pt idx="487">
                  <c:v>0.15629999999999999</c:v>
                </c:pt>
                <c:pt idx="488">
                  <c:v>0.16170000000000001</c:v>
                </c:pt>
                <c:pt idx="489">
                  <c:v>0.1656</c:v>
                </c:pt>
                <c:pt idx="490">
                  <c:v>0.1668</c:v>
                </c:pt>
                <c:pt idx="491">
                  <c:v>0.15440000000000001</c:v>
                </c:pt>
                <c:pt idx="492">
                  <c:v>0.16850000000000001</c:v>
                </c:pt>
                <c:pt idx="493">
                  <c:v>0.18479999999999999</c:v>
                </c:pt>
                <c:pt idx="494">
                  <c:v>0.19600000000000001</c:v>
                </c:pt>
                <c:pt idx="495">
                  <c:v>0.191</c:v>
                </c:pt>
                <c:pt idx="496">
                  <c:v>0.1857</c:v>
                </c:pt>
                <c:pt idx="497">
                  <c:v>0.18729999999999999</c:v>
                </c:pt>
                <c:pt idx="498">
                  <c:v>0.19900000000000001</c:v>
                </c:pt>
                <c:pt idx="499">
                  <c:v>0.17949999999999999</c:v>
                </c:pt>
                <c:pt idx="500">
                  <c:v>0.20380000000000001</c:v>
                </c:pt>
                <c:pt idx="501">
                  <c:v>0.19919999999999999</c:v>
                </c:pt>
                <c:pt idx="502">
                  <c:v>0.22750000000000001</c:v>
                </c:pt>
                <c:pt idx="503">
                  <c:v>0.21310000000000001</c:v>
                </c:pt>
                <c:pt idx="504">
                  <c:v>0.20619999999999999</c:v>
                </c:pt>
                <c:pt idx="505">
                  <c:v>0.20960000000000001</c:v>
                </c:pt>
                <c:pt idx="506">
                  <c:v>0.22070000000000001</c:v>
                </c:pt>
                <c:pt idx="507">
                  <c:v>0.2077</c:v>
                </c:pt>
                <c:pt idx="508">
                  <c:v>0.191</c:v>
                </c:pt>
                <c:pt idx="509">
                  <c:v>0.15490000000000001</c:v>
                </c:pt>
                <c:pt idx="510">
                  <c:v>0.18640000000000001</c:v>
                </c:pt>
                <c:pt idx="511">
                  <c:v>0.18110000000000001</c:v>
                </c:pt>
                <c:pt idx="512">
                  <c:v>0.21779999999999999</c:v>
                </c:pt>
                <c:pt idx="513">
                  <c:v>0.23619999999999999</c:v>
                </c:pt>
                <c:pt idx="514">
                  <c:v>0.24959999999999999</c:v>
                </c:pt>
                <c:pt idx="515">
                  <c:v>0.2492</c:v>
                </c:pt>
                <c:pt idx="516">
                  <c:v>0.25219999999999998</c:v>
                </c:pt>
                <c:pt idx="517">
                  <c:v>0.251</c:v>
                </c:pt>
                <c:pt idx="518">
                  <c:v>0.24579999999999999</c:v>
                </c:pt>
                <c:pt idx="519">
                  <c:v>0.2482</c:v>
                </c:pt>
                <c:pt idx="520">
                  <c:v>0.2591</c:v>
                </c:pt>
                <c:pt idx="521">
                  <c:v>0.2833</c:v>
                </c:pt>
                <c:pt idx="522">
                  <c:v>0.29630000000000001</c:v>
                </c:pt>
                <c:pt idx="523">
                  <c:v>0.28560000000000002</c:v>
                </c:pt>
                <c:pt idx="524">
                  <c:v>0.26140000000000002</c:v>
                </c:pt>
                <c:pt idx="525">
                  <c:v>0.28339999999999999</c:v>
                </c:pt>
                <c:pt idx="526">
                  <c:v>0.24410000000000001</c:v>
                </c:pt>
                <c:pt idx="527">
                  <c:v>0.25900000000000001</c:v>
                </c:pt>
                <c:pt idx="528">
                  <c:v>0.26669999999999999</c:v>
                </c:pt>
                <c:pt idx="529">
                  <c:v>0.27739999999999998</c:v>
                </c:pt>
                <c:pt idx="530">
                  <c:v>0.2873</c:v>
                </c:pt>
                <c:pt idx="531">
                  <c:v>0.311</c:v>
                </c:pt>
                <c:pt idx="532">
                  <c:v>0.26819999999999999</c:v>
                </c:pt>
                <c:pt idx="533">
                  <c:v>0.26889999999999997</c:v>
                </c:pt>
                <c:pt idx="534">
                  <c:v>0.24540000000000001</c:v>
                </c:pt>
                <c:pt idx="535">
                  <c:v>0.27160000000000001</c:v>
                </c:pt>
                <c:pt idx="536">
                  <c:v>0.23480000000000001</c:v>
                </c:pt>
                <c:pt idx="537">
                  <c:v>0.23469999999999999</c:v>
                </c:pt>
                <c:pt idx="538">
                  <c:v>0.21029999999999999</c:v>
                </c:pt>
                <c:pt idx="539">
                  <c:v>0.2051</c:v>
                </c:pt>
                <c:pt idx="540">
                  <c:v>0.18509999999999999</c:v>
                </c:pt>
                <c:pt idx="541">
                  <c:v>0.18940000000000001</c:v>
                </c:pt>
                <c:pt idx="542">
                  <c:v>0.1782</c:v>
                </c:pt>
                <c:pt idx="543">
                  <c:v>0.17230000000000001</c:v>
                </c:pt>
                <c:pt idx="544">
                  <c:v>0.1681</c:v>
                </c:pt>
                <c:pt idx="545">
                  <c:v>0.17299999999999999</c:v>
                </c:pt>
                <c:pt idx="546">
                  <c:v>0.15909999999999999</c:v>
                </c:pt>
                <c:pt idx="547">
                  <c:v>0.15620000000000001</c:v>
                </c:pt>
                <c:pt idx="548">
                  <c:v>0.15620000000000001</c:v>
                </c:pt>
                <c:pt idx="549">
                  <c:v>0.14630000000000001</c:v>
                </c:pt>
                <c:pt idx="550">
                  <c:v>0.1731</c:v>
                </c:pt>
                <c:pt idx="551">
                  <c:v>0.1782</c:v>
                </c:pt>
                <c:pt idx="552">
                  <c:v>0.17080000000000001</c:v>
                </c:pt>
                <c:pt idx="553">
                  <c:v>0.1628</c:v>
                </c:pt>
                <c:pt idx="554">
                  <c:v>0.17050000000000001</c:v>
                </c:pt>
                <c:pt idx="555">
                  <c:v>0.16270000000000001</c:v>
                </c:pt>
                <c:pt idx="556">
                  <c:v>0.1464</c:v>
                </c:pt>
                <c:pt idx="557">
                  <c:v>0.14419999999999999</c:v>
                </c:pt>
                <c:pt idx="558">
                  <c:v>0.1489</c:v>
                </c:pt>
                <c:pt idx="559">
                  <c:v>0.15160000000000001</c:v>
                </c:pt>
                <c:pt idx="560">
                  <c:v>0.14030000000000001</c:v>
                </c:pt>
                <c:pt idx="561">
                  <c:v>0.14000000000000001</c:v>
                </c:pt>
                <c:pt idx="562">
                  <c:v>0.14199999999999999</c:v>
                </c:pt>
                <c:pt idx="563">
                  <c:v>0.1429</c:v>
                </c:pt>
                <c:pt idx="564">
                  <c:v>0.14879999999999999</c:v>
                </c:pt>
                <c:pt idx="565">
                  <c:v>0.15160000000000001</c:v>
                </c:pt>
                <c:pt idx="566">
                  <c:v>0.14430000000000001</c:v>
                </c:pt>
                <c:pt idx="567">
                  <c:v>0.151</c:v>
                </c:pt>
                <c:pt idx="568">
                  <c:v>0.13980000000000001</c:v>
                </c:pt>
                <c:pt idx="569">
                  <c:v>0.1305</c:v>
                </c:pt>
                <c:pt idx="570">
                  <c:v>0.13350000000000001</c:v>
                </c:pt>
                <c:pt idx="571">
                  <c:v>0.12720000000000001</c:v>
                </c:pt>
                <c:pt idx="572">
                  <c:v>0.1313</c:v>
                </c:pt>
                <c:pt idx="573">
                  <c:v>0.1331</c:v>
                </c:pt>
                <c:pt idx="574">
                  <c:v>0.1313</c:v>
                </c:pt>
                <c:pt idx="575">
                  <c:v>0.13420000000000001</c:v>
                </c:pt>
                <c:pt idx="576">
                  <c:v>0.13250000000000001</c:v>
                </c:pt>
                <c:pt idx="577">
                  <c:v>0.13439999999999999</c:v>
                </c:pt>
                <c:pt idx="578">
                  <c:v>0.13100000000000001</c:v>
                </c:pt>
                <c:pt idx="579">
                  <c:v>0.1231</c:v>
                </c:pt>
                <c:pt idx="580">
                  <c:v>0.13780000000000001</c:v>
                </c:pt>
                <c:pt idx="581">
                  <c:v>0.13800000000000001</c:v>
                </c:pt>
                <c:pt idx="582">
                  <c:v>0.14069999999999999</c:v>
                </c:pt>
                <c:pt idx="583">
                  <c:v>0.14940000000000001</c:v>
                </c:pt>
                <c:pt idx="584">
                  <c:v>0.1452</c:v>
                </c:pt>
                <c:pt idx="585">
                  <c:v>0.1419</c:v>
                </c:pt>
                <c:pt idx="586">
                  <c:v>0.1391</c:v>
                </c:pt>
                <c:pt idx="587">
                  <c:v>0.14130000000000001</c:v>
                </c:pt>
                <c:pt idx="588">
                  <c:v>0.14849999999999999</c:v>
                </c:pt>
                <c:pt idx="589">
                  <c:v>0.1467</c:v>
                </c:pt>
                <c:pt idx="590">
                  <c:v>0.14280000000000001</c:v>
                </c:pt>
                <c:pt idx="591">
                  <c:v>0.14299999999999999</c:v>
                </c:pt>
                <c:pt idx="592">
                  <c:v>0.14219999999999999</c:v>
                </c:pt>
                <c:pt idx="593">
                  <c:v>0.16239999999999999</c:v>
                </c:pt>
                <c:pt idx="594">
                  <c:v>0.16089999999999999</c:v>
                </c:pt>
                <c:pt idx="595">
                  <c:v>0.1404</c:v>
                </c:pt>
                <c:pt idx="596">
                  <c:v>0.15110000000000001</c:v>
                </c:pt>
                <c:pt idx="597">
                  <c:v>0.14660000000000001</c:v>
                </c:pt>
                <c:pt idx="598">
                  <c:v>0.14649999999999999</c:v>
                </c:pt>
                <c:pt idx="599">
                  <c:v>0.13800000000000001</c:v>
                </c:pt>
                <c:pt idx="600">
                  <c:v>0.13750000000000001</c:v>
                </c:pt>
                <c:pt idx="601">
                  <c:v>0.1409</c:v>
                </c:pt>
                <c:pt idx="602">
                  <c:v>0.15190000000000001</c:v>
                </c:pt>
                <c:pt idx="603">
                  <c:v>0.14829999999999999</c:v>
                </c:pt>
                <c:pt idx="604">
                  <c:v>0.13339999999999999</c:v>
                </c:pt>
                <c:pt idx="605">
                  <c:v>0.14219999999999999</c:v>
                </c:pt>
                <c:pt idx="606">
                  <c:v>0.1336</c:v>
                </c:pt>
                <c:pt idx="607">
                  <c:v>0.151</c:v>
                </c:pt>
                <c:pt idx="608">
                  <c:v>0.16009999999999999</c:v>
                </c:pt>
                <c:pt idx="609">
                  <c:v>0.15210000000000001</c:v>
                </c:pt>
                <c:pt idx="610">
                  <c:v>0.12989999999999999</c:v>
                </c:pt>
                <c:pt idx="611">
                  <c:v>0.12889999999999999</c:v>
                </c:pt>
                <c:pt idx="612">
                  <c:v>0.1321</c:v>
                </c:pt>
                <c:pt idx="613">
                  <c:v>0.12529999999999999</c:v>
                </c:pt>
                <c:pt idx="614">
                  <c:v>0.12180000000000001</c:v>
                </c:pt>
                <c:pt idx="615">
                  <c:v>0.128</c:v>
                </c:pt>
                <c:pt idx="616">
                  <c:v>0.11550000000000001</c:v>
                </c:pt>
                <c:pt idx="617">
                  <c:v>0.1177</c:v>
                </c:pt>
                <c:pt idx="618">
                  <c:v>0.1181</c:v>
                </c:pt>
                <c:pt idx="619">
                  <c:v>0.11799999999999999</c:v>
                </c:pt>
                <c:pt idx="620">
                  <c:v>0.12180000000000001</c:v>
                </c:pt>
                <c:pt idx="621">
                  <c:v>0.1139</c:v>
                </c:pt>
                <c:pt idx="622">
                  <c:v>0.1057</c:v>
                </c:pt>
                <c:pt idx="623">
                  <c:v>0.10920000000000001</c:v>
                </c:pt>
                <c:pt idx="624">
                  <c:v>0.1075</c:v>
                </c:pt>
                <c:pt idx="625">
                  <c:v>9.7799999999999998E-2</c:v>
                </c:pt>
                <c:pt idx="626">
                  <c:v>9.2600000000000002E-2</c:v>
                </c:pt>
                <c:pt idx="627">
                  <c:v>9.4700000000000006E-2</c:v>
                </c:pt>
                <c:pt idx="628">
                  <c:v>0.11070000000000001</c:v>
                </c:pt>
                <c:pt idx="629">
                  <c:v>0.1108</c:v>
                </c:pt>
                <c:pt idx="630">
                  <c:v>9.8000000000000004E-2</c:v>
                </c:pt>
                <c:pt idx="631">
                  <c:v>9.8199999999999996E-2</c:v>
                </c:pt>
                <c:pt idx="632">
                  <c:v>0.1055</c:v>
                </c:pt>
                <c:pt idx="633">
                  <c:v>0.1041</c:v>
                </c:pt>
                <c:pt idx="634">
                  <c:v>0.1057</c:v>
                </c:pt>
                <c:pt idx="635">
                  <c:v>0.111</c:v>
                </c:pt>
                <c:pt idx="636">
                  <c:v>0.11020000000000001</c:v>
                </c:pt>
                <c:pt idx="637">
                  <c:v>0.1031</c:v>
                </c:pt>
                <c:pt idx="638">
                  <c:v>0.10970000000000001</c:v>
                </c:pt>
                <c:pt idx="639">
                  <c:v>0.106</c:v>
                </c:pt>
                <c:pt idx="640">
                  <c:v>0.1084</c:v>
                </c:pt>
                <c:pt idx="641">
                  <c:v>0.1105</c:v>
                </c:pt>
                <c:pt idx="642">
                  <c:v>0.10580000000000001</c:v>
                </c:pt>
                <c:pt idx="643">
                  <c:v>0.10680000000000001</c:v>
                </c:pt>
                <c:pt idx="644">
                  <c:v>9.9400000000000002E-2</c:v>
                </c:pt>
                <c:pt idx="645">
                  <c:v>9.4500000000000001E-2</c:v>
                </c:pt>
                <c:pt idx="646">
                  <c:v>8.7999999999999995E-2</c:v>
                </c:pt>
                <c:pt idx="647">
                  <c:v>8.6099999999999996E-2</c:v>
                </c:pt>
                <c:pt idx="648">
                  <c:v>9.1999999999999998E-2</c:v>
                </c:pt>
                <c:pt idx="649">
                  <c:v>9.4700000000000006E-2</c:v>
                </c:pt>
                <c:pt idx="650">
                  <c:v>9.01E-2</c:v>
                </c:pt>
                <c:pt idx="651">
                  <c:v>9.2100000000000001E-2</c:v>
                </c:pt>
                <c:pt idx="652">
                  <c:v>8.5500000000000007E-2</c:v>
                </c:pt>
                <c:pt idx="653">
                  <c:v>8.8999999999999996E-2</c:v>
                </c:pt>
                <c:pt idx="654">
                  <c:v>8.8599999999999998E-2</c:v>
                </c:pt>
                <c:pt idx="655">
                  <c:v>9.1300000000000006E-2</c:v>
                </c:pt>
                <c:pt idx="656">
                  <c:v>9.2100000000000001E-2</c:v>
                </c:pt>
                <c:pt idx="657">
                  <c:v>9.1899999999999996E-2</c:v>
                </c:pt>
                <c:pt idx="658">
                  <c:v>0.10390000000000001</c:v>
                </c:pt>
                <c:pt idx="659">
                  <c:v>0.10150000000000001</c:v>
                </c:pt>
                <c:pt idx="660">
                  <c:v>0.1016</c:v>
                </c:pt>
                <c:pt idx="661">
                  <c:v>0.10290000000000001</c:v>
                </c:pt>
                <c:pt idx="662">
                  <c:v>9.5799999999999996E-2</c:v>
                </c:pt>
                <c:pt idx="663">
                  <c:v>9.9299999999999999E-2</c:v>
                </c:pt>
                <c:pt idx="664">
                  <c:v>9.4399999999999998E-2</c:v>
                </c:pt>
                <c:pt idx="665">
                  <c:v>9.4399999999999998E-2</c:v>
                </c:pt>
                <c:pt idx="666">
                  <c:v>9.4200000000000006E-2</c:v>
                </c:pt>
                <c:pt idx="667">
                  <c:v>8.72E-2</c:v>
                </c:pt>
                <c:pt idx="668">
                  <c:v>8.9899999999999994E-2</c:v>
                </c:pt>
                <c:pt idx="669">
                  <c:v>8.0299999999999996E-2</c:v>
                </c:pt>
                <c:pt idx="670">
                  <c:v>8.6999999999999994E-2</c:v>
                </c:pt>
                <c:pt idx="671">
                  <c:v>8.7400000000000005E-2</c:v>
                </c:pt>
                <c:pt idx="672">
                  <c:v>8.5999999999999993E-2</c:v>
                </c:pt>
                <c:pt idx="673">
                  <c:v>8.3599999999999994E-2</c:v>
                </c:pt>
                <c:pt idx="674">
                  <c:v>8.4400000000000003E-2</c:v>
                </c:pt>
                <c:pt idx="675">
                  <c:v>8.5800000000000001E-2</c:v>
                </c:pt>
                <c:pt idx="676">
                  <c:v>7.9399999999999998E-2</c:v>
                </c:pt>
                <c:pt idx="677">
                  <c:v>8.72E-2</c:v>
                </c:pt>
                <c:pt idx="678">
                  <c:v>8.2000000000000003E-2</c:v>
                </c:pt>
                <c:pt idx="679">
                  <c:v>8.3099999999999993E-2</c:v>
                </c:pt>
                <c:pt idx="680">
                  <c:v>6.8599999999999994E-2</c:v>
                </c:pt>
                <c:pt idx="681">
                  <c:v>6.8699999999999997E-2</c:v>
                </c:pt>
                <c:pt idx="682">
                  <c:v>5.8799999999999998E-2</c:v>
                </c:pt>
                <c:pt idx="683">
                  <c:v>6.8199999999999997E-2</c:v>
                </c:pt>
                <c:pt idx="684">
                  <c:v>7.0000000000000007E-2</c:v>
                </c:pt>
                <c:pt idx="685">
                  <c:v>7.5499999999999998E-2</c:v>
                </c:pt>
                <c:pt idx="686">
                  <c:v>6.54E-2</c:v>
                </c:pt>
                <c:pt idx="687">
                  <c:v>0.1363</c:v>
                </c:pt>
                <c:pt idx="688">
                  <c:v>0.13719999999999999</c:v>
                </c:pt>
                <c:pt idx="689">
                  <c:v>0.1167</c:v>
                </c:pt>
                <c:pt idx="690">
                  <c:v>0.1166</c:v>
                </c:pt>
                <c:pt idx="691">
                  <c:v>0.13650000000000001</c:v>
                </c:pt>
                <c:pt idx="692">
                  <c:v>0.1449</c:v>
                </c:pt>
                <c:pt idx="693">
                  <c:v>0.14710000000000001</c:v>
                </c:pt>
                <c:pt idx="694">
                  <c:v>0.1477</c:v>
                </c:pt>
                <c:pt idx="695">
                  <c:v>0.1353</c:v>
                </c:pt>
                <c:pt idx="696">
                  <c:v>0.13039999999999999</c:v>
                </c:pt>
                <c:pt idx="697">
                  <c:v>0.1164</c:v>
                </c:pt>
                <c:pt idx="698">
                  <c:v>0.12180000000000001</c:v>
                </c:pt>
                <c:pt idx="699">
                  <c:v>0.12479999999999999</c:v>
                </c:pt>
                <c:pt idx="700">
                  <c:v>0.12939999999999999</c:v>
                </c:pt>
                <c:pt idx="701">
                  <c:v>0.129</c:v>
                </c:pt>
                <c:pt idx="702">
                  <c:v>0.1416</c:v>
                </c:pt>
                <c:pt idx="703">
                  <c:v>0.14829999999999999</c:v>
                </c:pt>
                <c:pt idx="704">
                  <c:v>0.1691</c:v>
                </c:pt>
                <c:pt idx="705">
                  <c:v>0.1575</c:v>
                </c:pt>
                <c:pt idx="706">
                  <c:v>0.15579999999999999</c:v>
                </c:pt>
                <c:pt idx="707">
                  <c:v>0.16400000000000001</c:v>
                </c:pt>
                <c:pt idx="708">
                  <c:v>0.15290000000000001</c:v>
                </c:pt>
                <c:pt idx="709">
                  <c:v>0.1678</c:v>
                </c:pt>
                <c:pt idx="710">
                  <c:v>0.1623</c:v>
                </c:pt>
                <c:pt idx="711">
                  <c:v>0.1623</c:v>
                </c:pt>
                <c:pt idx="712">
                  <c:v>0.17319999999999999</c:v>
                </c:pt>
                <c:pt idx="713">
                  <c:v>0.1845</c:v>
                </c:pt>
                <c:pt idx="714">
                  <c:v>0.1792</c:v>
                </c:pt>
                <c:pt idx="715">
                  <c:v>0.19919999999999999</c:v>
                </c:pt>
                <c:pt idx="716">
                  <c:v>0.1797</c:v>
                </c:pt>
                <c:pt idx="717">
                  <c:v>0.15709999999999999</c:v>
                </c:pt>
                <c:pt idx="718">
                  <c:v>0.16869999999999999</c:v>
                </c:pt>
                <c:pt idx="719">
                  <c:v>0.1479</c:v>
                </c:pt>
                <c:pt idx="720">
                  <c:v>0.14960000000000001</c:v>
                </c:pt>
                <c:pt idx="721">
                  <c:v>0.15160000000000001</c:v>
                </c:pt>
                <c:pt idx="722">
                  <c:v>0.10489999999999999</c:v>
                </c:pt>
                <c:pt idx="723">
                  <c:v>0.1089</c:v>
                </c:pt>
                <c:pt idx="724">
                  <c:v>0.1011</c:v>
                </c:pt>
                <c:pt idx="725">
                  <c:v>9.5699999999999993E-2</c:v>
                </c:pt>
                <c:pt idx="726">
                  <c:v>9.5500000000000002E-2</c:v>
                </c:pt>
                <c:pt idx="727">
                  <c:v>9.5000000000000001E-2</c:v>
                </c:pt>
                <c:pt idx="728">
                  <c:v>9.1200000000000003E-2</c:v>
                </c:pt>
                <c:pt idx="729">
                  <c:v>9.3100000000000002E-2</c:v>
                </c:pt>
                <c:pt idx="730">
                  <c:v>9.64E-2</c:v>
                </c:pt>
                <c:pt idx="731">
                  <c:v>9.8000000000000004E-2</c:v>
                </c:pt>
                <c:pt idx="732">
                  <c:v>9.7799999999999998E-2</c:v>
                </c:pt>
                <c:pt idx="733">
                  <c:v>9.3600000000000003E-2</c:v>
                </c:pt>
                <c:pt idx="734">
                  <c:v>9.6699999999999994E-2</c:v>
                </c:pt>
                <c:pt idx="735">
                  <c:v>9.9099999999999994E-2</c:v>
                </c:pt>
                <c:pt idx="736">
                  <c:v>0.1036</c:v>
                </c:pt>
                <c:pt idx="737">
                  <c:v>0.1027</c:v>
                </c:pt>
                <c:pt idx="738">
                  <c:v>0.1085</c:v>
                </c:pt>
                <c:pt idx="739">
                  <c:v>0.1066</c:v>
                </c:pt>
                <c:pt idx="740">
                  <c:v>9.98E-2</c:v>
                </c:pt>
                <c:pt idx="741">
                  <c:v>0.1026</c:v>
                </c:pt>
                <c:pt idx="742">
                  <c:v>9.8500000000000004E-2</c:v>
                </c:pt>
                <c:pt idx="743">
                  <c:v>9.6199999999999994E-2</c:v>
                </c:pt>
                <c:pt idx="744">
                  <c:v>9.5399999999999999E-2</c:v>
                </c:pt>
                <c:pt idx="745">
                  <c:v>9.4299999999999995E-2</c:v>
                </c:pt>
                <c:pt idx="746">
                  <c:v>9.8299999999999998E-2</c:v>
                </c:pt>
                <c:pt idx="747">
                  <c:v>8.9899999999999994E-2</c:v>
                </c:pt>
                <c:pt idx="748">
                  <c:v>9.1300000000000006E-2</c:v>
                </c:pt>
                <c:pt idx="749">
                  <c:v>9.1200000000000003E-2</c:v>
                </c:pt>
                <c:pt idx="750">
                  <c:v>9.1399999999999995E-2</c:v>
                </c:pt>
                <c:pt idx="751">
                  <c:v>9.6699999999999994E-2</c:v>
                </c:pt>
                <c:pt idx="752">
                  <c:v>9.6100000000000005E-2</c:v>
                </c:pt>
                <c:pt idx="753">
                  <c:v>9.1999999999999998E-2</c:v>
                </c:pt>
                <c:pt idx="754">
                  <c:v>9.4399999999999998E-2</c:v>
                </c:pt>
                <c:pt idx="755">
                  <c:v>9.4500000000000001E-2</c:v>
                </c:pt>
                <c:pt idx="756">
                  <c:v>8.9700000000000002E-2</c:v>
                </c:pt>
                <c:pt idx="757">
                  <c:v>9.8900000000000002E-2</c:v>
                </c:pt>
                <c:pt idx="758">
                  <c:v>9.5500000000000002E-2</c:v>
                </c:pt>
                <c:pt idx="759">
                  <c:v>0.1013</c:v>
                </c:pt>
                <c:pt idx="760">
                  <c:v>0.1007</c:v>
                </c:pt>
                <c:pt idx="761">
                  <c:v>0.11</c:v>
                </c:pt>
                <c:pt idx="762">
                  <c:v>0.11020000000000001</c:v>
                </c:pt>
                <c:pt idx="763">
                  <c:v>0.11360000000000001</c:v>
                </c:pt>
                <c:pt idx="764">
                  <c:v>0.1153</c:v>
                </c:pt>
                <c:pt idx="765">
                  <c:v>0.1268</c:v>
                </c:pt>
                <c:pt idx="766">
                  <c:v>0.123</c:v>
                </c:pt>
                <c:pt idx="767">
                  <c:v>0.1227</c:v>
                </c:pt>
                <c:pt idx="768">
                  <c:v>0.10639999999999999</c:v>
                </c:pt>
                <c:pt idx="769">
                  <c:v>0.1123</c:v>
                </c:pt>
                <c:pt idx="770">
                  <c:v>0.11890000000000001</c:v>
                </c:pt>
                <c:pt idx="771">
                  <c:v>9.6500000000000002E-2</c:v>
                </c:pt>
                <c:pt idx="772">
                  <c:v>8.1100000000000005E-2</c:v>
                </c:pt>
                <c:pt idx="773">
                  <c:v>8.5400000000000004E-2</c:v>
                </c:pt>
                <c:pt idx="774">
                  <c:v>9.1899999999999996E-2</c:v>
                </c:pt>
                <c:pt idx="775">
                  <c:v>8.2000000000000003E-2</c:v>
                </c:pt>
                <c:pt idx="776">
                  <c:v>8.5400000000000004E-2</c:v>
                </c:pt>
                <c:pt idx="777">
                  <c:v>8.48E-2</c:v>
                </c:pt>
                <c:pt idx="778">
                  <c:v>8.8400000000000006E-2</c:v>
                </c:pt>
                <c:pt idx="779">
                  <c:v>9.0200000000000002E-2</c:v>
                </c:pt>
                <c:pt idx="780">
                  <c:v>9.8900000000000002E-2</c:v>
                </c:pt>
                <c:pt idx="781">
                  <c:v>0.10059999999999999</c:v>
                </c:pt>
                <c:pt idx="782">
                  <c:v>9.4E-2</c:v>
                </c:pt>
                <c:pt idx="783">
                  <c:v>9.8400000000000001E-2</c:v>
                </c:pt>
                <c:pt idx="784">
                  <c:v>9.3200000000000005E-2</c:v>
                </c:pt>
                <c:pt idx="785">
                  <c:v>9.69E-2</c:v>
                </c:pt>
                <c:pt idx="786">
                  <c:v>0.1018</c:v>
                </c:pt>
                <c:pt idx="787">
                  <c:v>0.1046</c:v>
                </c:pt>
                <c:pt idx="788">
                  <c:v>0.1071</c:v>
                </c:pt>
                <c:pt idx="789">
                  <c:v>0.11020000000000001</c:v>
                </c:pt>
                <c:pt idx="790">
                  <c:v>0.1164</c:v>
                </c:pt>
                <c:pt idx="791">
                  <c:v>0.11509999999999999</c:v>
                </c:pt>
                <c:pt idx="792">
                  <c:v>0.1129</c:v>
                </c:pt>
                <c:pt idx="793">
                  <c:v>0.1138</c:v>
                </c:pt>
                <c:pt idx="794">
                  <c:v>0.11550000000000001</c:v>
                </c:pt>
                <c:pt idx="795">
                  <c:v>0.12570000000000001</c:v>
                </c:pt>
                <c:pt idx="796">
                  <c:v>0.1231</c:v>
                </c:pt>
                <c:pt idx="797">
                  <c:v>0.114</c:v>
                </c:pt>
                <c:pt idx="798">
                  <c:v>0.1295</c:v>
                </c:pt>
                <c:pt idx="799">
                  <c:v>0.1469</c:v>
                </c:pt>
                <c:pt idx="800">
                  <c:v>0.157</c:v>
                </c:pt>
                <c:pt idx="801">
                  <c:v>0.1676</c:v>
                </c:pt>
                <c:pt idx="802">
                  <c:v>0.1792</c:v>
                </c:pt>
                <c:pt idx="803">
                  <c:v>0.1822</c:v>
                </c:pt>
                <c:pt idx="804">
                  <c:v>0.185</c:v>
                </c:pt>
                <c:pt idx="805">
                  <c:v>0.1825</c:v>
                </c:pt>
                <c:pt idx="806">
                  <c:v>0.19320000000000001</c:v>
                </c:pt>
                <c:pt idx="807">
                  <c:v>0.19159999999999999</c:v>
                </c:pt>
                <c:pt idx="808">
                  <c:v>0.1951</c:v>
                </c:pt>
                <c:pt idx="809">
                  <c:v>0.19950000000000001</c:v>
                </c:pt>
                <c:pt idx="810">
                  <c:v>0.2056</c:v>
                </c:pt>
                <c:pt idx="811">
                  <c:v>0.21490000000000001</c:v>
                </c:pt>
                <c:pt idx="812">
                  <c:v>0.2203</c:v>
                </c:pt>
                <c:pt idx="813">
                  <c:v>0.20280000000000001</c:v>
                </c:pt>
                <c:pt idx="814">
                  <c:v>0.22059999999999999</c:v>
                </c:pt>
                <c:pt idx="815">
                  <c:v>0.22109999999999999</c:v>
                </c:pt>
                <c:pt idx="816">
                  <c:v>0.23519999999999999</c:v>
                </c:pt>
                <c:pt idx="817">
                  <c:v>0.19539999999999999</c:v>
                </c:pt>
                <c:pt idx="818">
                  <c:v>0.19109999999999999</c:v>
                </c:pt>
                <c:pt idx="819">
                  <c:v>0.19209999999999999</c:v>
                </c:pt>
                <c:pt idx="820">
                  <c:v>0.19739999999999999</c:v>
                </c:pt>
                <c:pt idx="821">
                  <c:v>0.21099999999999999</c:v>
                </c:pt>
                <c:pt idx="822">
                  <c:v>0.21260000000000001</c:v>
                </c:pt>
                <c:pt idx="823">
                  <c:v>0.21210000000000001</c:v>
                </c:pt>
                <c:pt idx="824">
                  <c:v>0.26200000000000001</c:v>
                </c:pt>
                <c:pt idx="825">
                  <c:v>0.376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8E-48CB-B374-25E00D30E27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0.39591431642117281</c:v>
                </c:pt>
                <c:pt idx="1">
                  <c:v>0.3992453844211728</c:v>
                </c:pt>
                <c:pt idx="2">
                  <c:v>0.42818220787831573</c:v>
                </c:pt>
                <c:pt idx="3">
                  <c:v>0.40105975715889114</c:v>
                </c:pt>
                <c:pt idx="4">
                  <c:v>0.37775929708944672</c:v>
                </c:pt>
                <c:pt idx="5">
                  <c:v>0.3447613334787597</c:v>
                </c:pt>
                <c:pt idx="6">
                  <c:v>0.37381078514092186</c:v>
                </c:pt>
                <c:pt idx="7">
                  <c:v>0.44430985068271739</c:v>
                </c:pt>
                <c:pt idx="8">
                  <c:v>0.53466891254712412</c:v>
                </c:pt>
                <c:pt idx="9">
                  <c:v>0.70409977903915133</c:v>
                </c:pt>
                <c:pt idx="10">
                  <c:v>0.75909766793454869</c:v>
                </c:pt>
                <c:pt idx="11">
                  <c:v>0.76732171071978361</c:v>
                </c:pt>
                <c:pt idx="12">
                  <c:v>0.76639784146052459</c:v>
                </c:pt>
                <c:pt idx="13">
                  <c:v>0.76247386428661146</c:v>
                </c:pt>
                <c:pt idx="14">
                  <c:v>0.75404738720859732</c:v>
                </c:pt>
                <c:pt idx="15">
                  <c:v>0.77302491243376303</c:v>
                </c:pt>
                <c:pt idx="16">
                  <c:v>0.75272778505030447</c:v>
                </c:pt>
                <c:pt idx="17">
                  <c:v>0.7268434284000802</c:v>
                </c:pt>
                <c:pt idx="18">
                  <c:v>0.71857940423412281</c:v>
                </c:pt>
                <c:pt idx="19">
                  <c:v>0.71246551045861262</c:v>
                </c:pt>
                <c:pt idx="20">
                  <c:v>0.7128141271007179</c:v>
                </c:pt>
                <c:pt idx="21">
                  <c:v>0.71209659383168233</c:v>
                </c:pt>
                <c:pt idx="22">
                  <c:v>0.69940564760091317</c:v>
                </c:pt>
                <c:pt idx="23">
                  <c:v>0.71356291043689202</c:v>
                </c:pt>
                <c:pt idx="24">
                  <c:v>0.70892936010576624</c:v>
                </c:pt>
                <c:pt idx="25">
                  <c:v>0.71345748223763439</c:v>
                </c:pt>
                <c:pt idx="26">
                  <c:v>0.69183551668539545</c:v>
                </c:pt>
                <c:pt idx="27">
                  <c:v>0.67954757168539537</c:v>
                </c:pt>
                <c:pt idx="28">
                  <c:v>0.68467842601123807</c:v>
                </c:pt>
                <c:pt idx="29">
                  <c:v>0.67849768956068868</c:v>
                </c:pt>
                <c:pt idx="30">
                  <c:v>0.70079991642861317</c:v>
                </c:pt>
                <c:pt idx="31">
                  <c:v>0.74113948326084289</c:v>
                </c:pt>
                <c:pt idx="32">
                  <c:v>0.69672207636323191</c:v>
                </c:pt>
                <c:pt idx="33">
                  <c:v>0.68402288517526211</c:v>
                </c:pt>
                <c:pt idx="34">
                  <c:v>0.68466922927203622</c:v>
                </c:pt>
                <c:pt idx="35">
                  <c:v>0.70443591182522758</c:v>
                </c:pt>
                <c:pt idx="36">
                  <c:v>0.67659263298312244</c:v>
                </c:pt>
                <c:pt idx="37">
                  <c:v>0.67290966679607211</c:v>
                </c:pt>
                <c:pt idx="38">
                  <c:v>0.65520847687391648</c:v>
                </c:pt>
                <c:pt idx="39">
                  <c:v>0.65321749588761524</c:v>
                </c:pt>
                <c:pt idx="40">
                  <c:v>0.67177628270069933</c:v>
                </c:pt>
                <c:pt idx="41">
                  <c:v>0.65485585390224965</c:v>
                </c:pt>
                <c:pt idx="42">
                  <c:v>0.66099346899869649</c:v>
                </c:pt>
                <c:pt idx="43">
                  <c:v>0.69793366224869668</c:v>
                </c:pt>
                <c:pt idx="44">
                  <c:v>0.65449263602420682</c:v>
                </c:pt>
                <c:pt idx="45">
                  <c:v>0.62342527202420683</c:v>
                </c:pt>
                <c:pt idx="46">
                  <c:v>0.65389410588134966</c:v>
                </c:pt>
                <c:pt idx="47">
                  <c:v>0.63385577182501174</c:v>
                </c:pt>
                <c:pt idx="48">
                  <c:v>0.63141636572977355</c:v>
                </c:pt>
                <c:pt idx="49">
                  <c:v>0.67085752572977364</c:v>
                </c:pt>
                <c:pt idx="50">
                  <c:v>0.7047019198809763</c:v>
                </c:pt>
                <c:pt idx="51">
                  <c:v>0.67623464005839573</c:v>
                </c:pt>
                <c:pt idx="52">
                  <c:v>0.71196867387754481</c:v>
                </c:pt>
                <c:pt idx="53">
                  <c:v>0.68300370720782011</c:v>
                </c:pt>
                <c:pt idx="54">
                  <c:v>0.69155395694010358</c:v>
                </c:pt>
                <c:pt idx="55">
                  <c:v>0.678822284348366</c:v>
                </c:pt>
                <c:pt idx="56">
                  <c:v>0.66989438842617577</c:v>
                </c:pt>
                <c:pt idx="57">
                  <c:v>0.75103126219385241</c:v>
                </c:pt>
                <c:pt idx="58">
                  <c:v>0.89886294252221077</c:v>
                </c:pt>
                <c:pt idx="59">
                  <c:v>0.6674054569837492</c:v>
                </c:pt>
                <c:pt idx="60">
                  <c:v>0.60277438291406293</c:v>
                </c:pt>
                <c:pt idx="61">
                  <c:v>0.57222665541075157</c:v>
                </c:pt>
                <c:pt idx="62">
                  <c:v>0.57083737260701339</c:v>
                </c:pt>
                <c:pt idx="63">
                  <c:v>0.60303071510525896</c:v>
                </c:pt>
                <c:pt idx="64">
                  <c:v>0.57993737259363121</c:v>
                </c:pt>
                <c:pt idx="65">
                  <c:v>0.59424588434873316</c:v>
                </c:pt>
                <c:pt idx="66">
                  <c:v>0.59424588434873316</c:v>
                </c:pt>
                <c:pt idx="67">
                  <c:v>0.63288437541366793</c:v>
                </c:pt>
                <c:pt idx="68">
                  <c:v>0.61638702061745965</c:v>
                </c:pt>
                <c:pt idx="69">
                  <c:v>0.59665173202922428</c:v>
                </c:pt>
                <c:pt idx="70">
                  <c:v>0.5744062258692243</c:v>
                </c:pt>
                <c:pt idx="71">
                  <c:v>0.60086507397518452</c:v>
                </c:pt>
                <c:pt idx="72">
                  <c:v>0.58137879427461936</c:v>
                </c:pt>
                <c:pt idx="73">
                  <c:v>0.60633035231278731</c:v>
                </c:pt>
                <c:pt idx="74">
                  <c:v>0.58089955924915126</c:v>
                </c:pt>
                <c:pt idx="75">
                  <c:v>0.52428747968177547</c:v>
                </c:pt>
                <c:pt idx="76">
                  <c:v>0.55189458521369017</c:v>
                </c:pt>
                <c:pt idx="77">
                  <c:v>0.5974665277684349</c:v>
                </c:pt>
                <c:pt idx="78">
                  <c:v>0.57231283021536206</c:v>
                </c:pt>
                <c:pt idx="79">
                  <c:v>0.61041770191954214</c:v>
                </c:pt>
                <c:pt idx="80">
                  <c:v>0.65665749943533158</c:v>
                </c:pt>
                <c:pt idx="81">
                  <c:v>0.64625999091681285</c:v>
                </c:pt>
                <c:pt idx="82">
                  <c:v>0.54680166220133175</c:v>
                </c:pt>
                <c:pt idx="83">
                  <c:v>0.51983551205499012</c:v>
                </c:pt>
                <c:pt idx="84">
                  <c:v>0.48817655755123063</c:v>
                </c:pt>
                <c:pt idx="85">
                  <c:v>0.47223894219408791</c:v>
                </c:pt>
                <c:pt idx="86">
                  <c:v>0.49607091435668943</c:v>
                </c:pt>
                <c:pt idx="87">
                  <c:v>0.46044662413219944</c:v>
                </c:pt>
                <c:pt idx="88">
                  <c:v>0.45252310977715077</c:v>
                </c:pt>
                <c:pt idx="89">
                  <c:v>0.45162962907292536</c:v>
                </c:pt>
                <c:pt idx="90">
                  <c:v>0.45886011653055248</c:v>
                </c:pt>
                <c:pt idx="91">
                  <c:v>0.4253334058760071</c:v>
                </c:pt>
                <c:pt idx="92">
                  <c:v>0.35625157483123088</c:v>
                </c:pt>
                <c:pt idx="93">
                  <c:v>0.44945344219242483</c:v>
                </c:pt>
                <c:pt idx="94">
                  <c:v>0.47650938401464704</c:v>
                </c:pt>
                <c:pt idx="95">
                  <c:v>0.45063134742928118</c:v>
                </c:pt>
                <c:pt idx="96">
                  <c:v>0.48490501971499556</c:v>
                </c:pt>
                <c:pt idx="97">
                  <c:v>0.4642619496829955</c:v>
                </c:pt>
                <c:pt idx="98">
                  <c:v>0.49093872608299544</c:v>
                </c:pt>
                <c:pt idx="99">
                  <c:v>0.52419373780094414</c:v>
                </c:pt>
                <c:pt idx="100">
                  <c:v>0.43660995071283837</c:v>
                </c:pt>
                <c:pt idx="101">
                  <c:v>0.52042009691283853</c:v>
                </c:pt>
                <c:pt idx="102">
                  <c:v>0.42440637149283811</c:v>
                </c:pt>
                <c:pt idx="103">
                  <c:v>0.32489276365671782</c:v>
                </c:pt>
                <c:pt idx="104">
                  <c:v>0.34319474481461248</c:v>
                </c:pt>
                <c:pt idx="105">
                  <c:v>0.41198165076217813</c:v>
                </c:pt>
                <c:pt idx="106">
                  <c:v>0.40848165263889047</c:v>
                </c:pt>
                <c:pt idx="107">
                  <c:v>0.42156976624577008</c:v>
                </c:pt>
                <c:pt idx="108">
                  <c:v>0.39330953332478918</c:v>
                </c:pt>
                <c:pt idx="109">
                  <c:v>0.5327245902786355</c:v>
                </c:pt>
                <c:pt idx="110">
                  <c:v>0.78141823767729479</c:v>
                </c:pt>
                <c:pt idx="111">
                  <c:v>0.70086932561965853</c:v>
                </c:pt>
                <c:pt idx="112">
                  <c:v>0.7041464501242457</c:v>
                </c:pt>
                <c:pt idx="113">
                  <c:v>0.7112930086603283</c:v>
                </c:pt>
                <c:pt idx="114">
                  <c:v>0.72799293777537244</c:v>
                </c:pt>
                <c:pt idx="115">
                  <c:v>0.70875069498467469</c:v>
                </c:pt>
                <c:pt idx="116">
                  <c:v>0.66649037237320974</c:v>
                </c:pt>
                <c:pt idx="117">
                  <c:v>0.66839920375349149</c:v>
                </c:pt>
                <c:pt idx="118">
                  <c:v>0.68171440032492003</c:v>
                </c:pt>
                <c:pt idx="119">
                  <c:v>0.65208839769906957</c:v>
                </c:pt>
                <c:pt idx="120">
                  <c:v>0.63587751534906967</c:v>
                </c:pt>
                <c:pt idx="121">
                  <c:v>0.64440679691004532</c:v>
                </c:pt>
                <c:pt idx="122">
                  <c:v>0.68521645053504543</c:v>
                </c:pt>
                <c:pt idx="123">
                  <c:v>0.70516764153504541</c:v>
                </c:pt>
                <c:pt idx="124">
                  <c:v>0.70137641432763775</c:v>
                </c:pt>
                <c:pt idx="125">
                  <c:v>0.70403117591903575</c:v>
                </c:pt>
                <c:pt idx="126">
                  <c:v>0.71587642436109566</c:v>
                </c:pt>
                <c:pt idx="127">
                  <c:v>0.69523084146900938</c:v>
                </c:pt>
                <c:pt idx="128">
                  <c:v>0.65373541272451585</c:v>
                </c:pt>
                <c:pt idx="129">
                  <c:v>0.66934902778182825</c:v>
                </c:pt>
                <c:pt idx="130">
                  <c:v>0.68675156565837137</c:v>
                </c:pt>
                <c:pt idx="131">
                  <c:v>0.69428592362133446</c:v>
                </c:pt>
                <c:pt idx="132">
                  <c:v>0.69068286844892057</c:v>
                </c:pt>
                <c:pt idx="133">
                  <c:v>0.69668853983839429</c:v>
                </c:pt>
                <c:pt idx="134">
                  <c:v>0.70520449479672753</c:v>
                </c:pt>
                <c:pt idx="135">
                  <c:v>0.6932716669967276</c:v>
                </c:pt>
                <c:pt idx="136">
                  <c:v>0.63850739699672765</c:v>
                </c:pt>
                <c:pt idx="137">
                  <c:v>0.57732881838561656</c:v>
                </c:pt>
                <c:pt idx="138">
                  <c:v>0.5624313915944078</c:v>
                </c:pt>
                <c:pt idx="139">
                  <c:v>0.53702763106379559</c:v>
                </c:pt>
                <c:pt idx="140">
                  <c:v>0.57579701924561377</c:v>
                </c:pt>
                <c:pt idx="141">
                  <c:v>0.55314435900318959</c:v>
                </c:pt>
                <c:pt idx="142">
                  <c:v>0.51949454623226443</c:v>
                </c:pt>
                <c:pt idx="143">
                  <c:v>0.53391768872378986</c:v>
                </c:pt>
                <c:pt idx="144">
                  <c:v>0.53133852348079924</c:v>
                </c:pt>
                <c:pt idx="145">
                  <c:v>0.522882424950187</c:v>
                </c:pt>
                <c:pt idx="146">
                  <c:v>0.51538602936618694</c:v>
                </c:pt>
                <c:pt idx="147">
                  <c:v>0.46997532876334996</c:v>
                </c:pt>
                <c:pt idx="148">
                  <c:v>0.58600395315829956</c:v>
                </c:pt>
                <c:pt idx="149">
                  <c:v>0.58211318237689247</c:v>
                </c:pt>
                <c:pt idx="150">
                  <c:v>0.58492766560766174</c:v>
                </c:pt>
                <c:pt idx="151">
                  <c:v>0.61224669390248621</c:v>
                </c:pt>
                <c:pt idx="152">
                  <c:v>0.57713984038635713</c:v>
                </c:pt>
                <c:pt idx="153">
                  <c:v>0.57475579084090267</c:v>
                </c:pt>
                <c:pt idx="154">
                  <c:v>0.53866830724090264</c:v>
                </c:pt>
                <c:pt idx="155">
                  <c:v>0.56967366303460343</c:v>
                </c:pt>
                <c:pt idx="156">
                  <c:v>0.53233112977601182</c:v>
                </c:pt>
                <c:pt idx="157">
                  <c:v>0.57226075710305269</c:v>
                </c:pt>
                <c:pt idx="158">
                  <c:v>0.55089613293914019</c:v>
                </c:pt>
                <c:pt idx="159">
                  <c:v>0.54803538081866232</c:v>
                </c:pt>
                <c:pt idx="160">
                  <c:v>0.56551538632394771</c:v>
                </c:pt>
                <c:pt idx="161">
                  <c:v>0.54637558890764826</c:v>
                </c:pt>
                <c:pt idx="162">
                  <c:v>0.52374903542421514</c:v>
                </c:pt>
                <c:pt idx="163">
                  <c:v>0.52949147472164604</c:v>
                </c:pt>
                <c:pt idx="164">
                  <c:v>0.5700231173871958</c:v>
                </c:pt>
                <c:pt idx="165">
                  <c:v>0.55753529593788087</c:v>
                </c:pt>
                <c:pt idx="166">
                  <c:v>0.53934243304573559</c:v>
                </c:pt>
                <c:pt idx="167">
                  <c:v>0.52149144546646986</c:v>
                </c:pt>
                <c:pt idx="168">
                  <c:v>0.50096014136341638</c:v>
                </c:pt>
                <c:pt idx="169">
                  <c:v>0.51902471487663226</c:v>
                </c:pt>
                <c:pt idx="170">
                  <c:v>0.5301840088502342</c:v>
                </c:pt>
                <c:pt idx="171">
                  <c:v>0.5052316791127105</c:v>
                </c:pt>
                <c:pt idx="172">
                  <c:v>0.49362660404937303</c:v>
                </c:pt>
                <c:pt idx="173">
                  <c:v>0.51495180738326007</c:v>
                </c:pt>
                <c:pt idx="174">
                  <c:v>0.50716395335979436</c:v>
                </c:pt>
                <c:pt idx="175">
                  <c:v>0.51468931785163108</c:v>
                </c:pt>
                <c:pt idx="176">
                  <c:v>0.50029503552370314</c:v>
                </c:pt>
                <c:pt idx="177">
                  <c:v>0.44502645182927902</c:v>
                </c:pt>
                <c:pt idx="178">
                  <c:v>0.51041996800314071</c:v>
                </c:pt>
                <c:pt idx="179">
                  <c:v>0.53234978057479132</c:v>
                </c:pt>
                <c:pt idx="180">
                  <c:v>0.56735260462155368</c:v>
                </c:pt>
                <c:pt idx="181">
                  <c:v>0.57765005798124791</c:v>
                </c:pt>
                <c:pt idx="182">
                  <c:v>0.54386020259289169</c:v>
                </c:pt>
                <c:pt idx="183">
                  <c:v>0.52947929231769786</c:v>
                </c:pt>
                <c:pt idx="184">
                  <c:v>0.54000412840181611</c:v>
                </c:pt>
                <c:pt idx="185">
                  <c:v>0.50996447869993833</c:v>
                </c:pt>
                <c:pt idx="186">
                  <c:v>0.53591293390306338</c:v>
                </c:pt>
                <c:pt idx="187">
                  <c:v>0.5202267068869344</c:v>
                </c:pt>
                <c:pt idx="188">
                  <c:v>0.53696677949931837</c:v>
                </c:pt>
                <c:pt idx="189">
                  <c:v>0.47261592721826007</c:v>
                </c:pt>
                <c:pt idx="190">
                  <c:v>0.45946885697890172</c:v>
                </c:pt>
                <c:pt idx="191">
                  <c:v>0.42065861944204025</c:v>
                </c:pt>
                <c:pt idx="192">
                  <c:v>0.44012067766646823</c:v>
                </c:pt>
                <c:pt idx="193">
                  <c:v>0.46313870343976804</c:v>
                </c:pt>
                <c:pt idx="194">
                  <c:v>0.48138453497123124</c:v>
                </c:pt>
                <c:pt idx="195">
                  <c:v>0.50984914774584067</c:v>
                </c:pt>
                <c:pt idx="196">
                  <c:v>0.57035677460639977</c:v>
                </c:pt>
                <c:pt idx="197">
                  <c:v>0.59908945976423356</c:v>
                </c:pt>
                <c:pt idx="198">
                  <c:v>0.57507440447506697</c:v>
                </c:pt>
                <c:pt idx="199">
                  <c:v>0.59017893389188547</c:v>
                </c:pt>
                <c:pt idx="200">
                  <c:v>0.66142974949188549</c:v>
                </c:pt>
                <c:pt idx="201">
                  <c:v>0.62972801958079672</c:v>
                </c:pt>
                <c:pt idx="202">
                  <c:v>0.62656384166415191</c:v>
                </c:pt>
                <c:pt idx="203">
                  <c:v>0.54758625213871093</c:v>
                </c:pt>
                <c:pt idx="204">
                  <c:v>0.38717588791693186</c:v>
                </c:pt>
                <c:pt idx="205">
                  <c:v>0.366918236585906</c:v>
                </c:pt>
                <c:pt idx="206">
                  <c:v>0.25717270242232387</c:v>
                </c:pt>
                <c:pt idx="207">
                  <c:v>0.3309852559246711</c:v>
                </c:pt>
                <c:pt idx="208">
                  <c:v>0.31401706139182278</c:v>
                </c:pt>
                <c:pt idx="209">
                  <c:v>0.25407229900113776</c:v>
                </c:pt>
                <c:pt idx="210">
                  <c:v>0.30023186894495801</c:v>
                </c:pt>
                <c:pt idx="211">
                  <c:v>0.29082094747323389</c:v>
                </c:pt>
                <c:pt idx="212">
                  <c:v>0.2561985639572863</c:v>
                </c:pt>
                <c:pt idx="213">
                  <c:v>0.23451616129326089</c:v>
                </c:pt>
                <c:pt idx="214">
                  <c:v>0.19607081430759768</c:v>
                </c:pt>
                <c:pt idx="215">
                  <c:v>0.16543276177917141</c:v>
                </c:pt>
                <c:pt idx="216">
                  <c:v>0.13506601233535626</c:v>
                </c:pt>
                <c:pt idx="217">
                  <c:v>0.22092691036769255</c:v>
                </c:pt>
                <c:pt idx="218">
                  <c:v>0.14376491037349085</c:v>
                </c:pt>
                <c:pt idx="219">
                  <c:v>0.10379423184532348</c:v>
                </c:pt>
                <c:pt idx="220">
                  <c:v>4.9302938062654914E-2</c:v>
                </c:pt>
                <c:pt idx="221">
                  <c:v>0.16212271796265493</c:v>
                </c:pt>
                <c:pt idx="222">
                  <c:v>0.15265677509697309</c:v>
                </c:pt>
                <c:pt idx="223">
                  <c:v>0.15996508174737306</c:v>
                </c:pt>
                <c:pt idx="224">
                  <c:v>0.18509466970887145</c:v>
                </c:pt>
                <c:pt idx="225">
                  <c:v>0.20106183762500868</c:v>
                </c:pt>
                <c:pt idx="226">
                  <c:v>0.23758234158953317</c:v>
                </c:pt>
                <c:pt idx="227">
                  <c:v>0.24102280313864566</c:v>
                </c:pt>
                <c:pt idx="228">
                  <c:v>0.21162925347168729</c:v>
                </c:pt>
                <c:pt idx="229">
                  <c:v>0.18812157472896479</c:v>
                </c:pt>
                <c:pt idx="230">
                  <c:v>0.20072017239337586</c:v>
                </c:pt>
                <c:pt idx="231">
                  <c:v>0.24934064591618571</c:v>
                </c:pt>
                <c:pt idx="232">
                  <c:v>0.24989517574454168</c:v>
                </c:pt>
                <c:pt idx="233">
                  <c:v>0.20192646960997088</c:v>
                </c:pt>
                <c:pt idx="234">
                  <c:v>0.16604443679747091</c:v>
                </c:pt>
                <c:pt idx="235">
                  <c:v>0.20532996210008431</c:v>
                </c:pt>
                <c:pt idx="236">
                  <c:v>0.20142048852511901</c:v>
                </c:pt>
                <c:pt idx="237">
                  <c:v>0.22480515900406153</c:v>
                </c:pt>
                <c:pt idx="238">
                  <c:v>0.22450965749258481</c:v>
                </c:pt>
                <c:pt idx="239">
                  <c:v>0.18127788515438253</c:v>
                </c:pt>
                <c:pt idx="240">
                  <c:v>0.17219203356771573</c:v>
                </c:pt>
                <c:pt idx="241">
                  <c:v>0.18031210993085725</c:v>
                </c:pt>
                <c:pt idx="242">
                  <c:v>0.11859986424905729</c:v>
                </c:pt>
                <c:pt idx="243">
                  <c:v>0.10476850410626162</c:v>
                </c:pt>
                <c:pt idx="244">
                  <c:v>0.12585031114356884</c:v>
                </c:pt>
                <c:pt idx="245">
                  <c:v>0.17032318131243721</c:v>
                </c:pt>
                <c:pt idx="246">
                  <c:v>0.18073161234363105</c:v>
                </c:pt>
                <c:pt idx="247">
                  <c:v>0.12661899466471477</c:v>
                </c:pt>
                <c:pt idx="248">
                  <c:v>0.11460742989234146</c:v>
                </c:pt>
                <c:pt idx="249">
                  <c:v>0.21367803429773108</c:v>
                </c:pt>
                <c:pt idx="250">
                  <c:v>0.19231293369293104</c:v>
                </c:pt>
                <c:pt idx="251">
                  <c:v>0.18380515223278879</c:v>
                </c:pt>
                <c:pt idx="252">
                  <c:v>0.19866175342470252</c:v>
                </c:pt>
                <c:pt idx="253">
                  <c:v>0.12992876133904255</c:v>
                </c:pt>
                <c:pt idx="254">
                  <c:v>0.19650453685937472</c:v>
                </c:pt>
                <c:pt idx="255">
                  <c:v>0.20198913108650654</c:v>
                </c:pt>
                <c:pt idx="256">
                  <c:v>0.24632759914468841</c:v>
                </c:pt>
                <c:pt idx="257">
                  <c:v>0.2540051572055867</c:v>
                </c:pt>
                <c:pt idx="258">
                  <c:v>0.27823761736832914</c:v>
                </c:pt>
                <c:pt idx="259">
                  <c:v>0.26263514885499589</c:v>
                </c:pt>
                <c:pt idx="260">
                  <c:v>0.27203294711760195</c:v>
                </c:pt>
                <c:pt idx="261">
                  <c:v>0.33242253531866617</c:v>
                </c:pt>
                <c:pt idx="262">
                  <c:v>0.29469821653609091</c:v>
                </c:pt>
                <c:pt idx="263">
                  <c:v>0.32294031386368771</c:v>
                </c:pt>
                <c:pt idx="264">
                  <c:v>0.31584880390339359</c:v>
                </c:pt>
                <c:pt idx="265">
                  <c:v>0.34248974464659365</c:v>
                </c:pt>
                <c:pt idx="266">
                  <c:v>0.3370656952949691</c:v>
                </c:pt>
                <c:pt idx="267">
                  <c:v>0.35425949817761998</c:v>
                </c:pt>
                <c:pt idx="268">
                  <c:v>0.31033044258521558</c:v>
                </c:pt>
                <c:pt idx="269">
                  <c:v>0.36418860022823191</c:v>
                </c:pt>
                <c:pt idx="270">
                  <c:v>0.39761000616120518</c:v>
                </c:pt>
                <c:pt idx="271">
                  <c:v>0.41381060422921978</c:v>
                </c:pt>
                <c:pt idx="272">
                  <c:v>0.41070144970266381</c:v>
                </c:pt>
                <c:pt idx="273">
                  <c:v>0.38829539154798864</c:v>
                </c:pt>
                <c:pt idx="274">
                  <c:v>0.39639281312396468</c:v>
                </c:pt>
                <c:pt idx="275">
                  <c:v>0.37337665654993762</c:v>
                </c:pt>
                <c:pt idx="276">
                  <c:v>0.33265999535450913</c:v>
                </c:pt>
                <c:pt idx="277">
                  <c:v>0.29937670390647692</c:v>
                </c:pt>
                <c:pt idx="278">
                  <c:v>0.30263344939017334</c:v>
                </c:pt>
                <c:pt idx="279">
                  <c:v>0.33368590276843235</c:v>
                </c:pt>
                <c:pt idx="280">
                  <c:v>0.32300766901115691</c:v>
                </c:pt>
                <c:pt idx="281">
                  <c:v>0.39716188211790637</c:v>
                </c:pt>
                <c:pt idx="282">
                  <c:v>0.44574578228457318</c:v>
                </c:pt>
                <c:pt idx="283">
                  <c:v>0.47304997549871308</c:v>
                </c:pt>
                <c:pt idx="284">
                  <c:v>0.4419801819991146</c:v>
                </c:pt>
                <c:pt idx="285">
                  <c:v>0.45305474196805479</c:v>
                </c:pt>
                <c:pt idx="286">
                  <c:v>0.49016492598089867</c:v>
                </c:pt>
                <c:pt idx="287">
                  <c:v>0.51617001168911847</c:v>
                </c:pt>
                <c:pt idx="288">
                  <c:v>0.46789961490386756</c:v>
                </c:pt>
                <c:pt idx="289">
                  <c:v>0.28802896995788652</c:v>
                </c:pt>
                <c:pt idx="290">
                  <c:v>0.24383946021449565</c:v>
                </c:pt>
                <c:pt idx="291">
                  <c:v>0.24900435995856729</c:v>
                </c:pt>
                <c:pt idx="292">
                  <c:v>0.27635819087856733</c:v>
                </c:pt>
                <c:pt idx="293">
                  <c:v>0.32220979382490877</c:v>
                </c:pt>
                <c:pt idx="294">
                  <c:v>0.34474071486678809</c:v>
                </c:pt>
                <c:pt idx="295">
                  <c:v>0.23750718180706376</c:v>
                </c:pt>
                <c:pt idx="296">
                  <c:v>0.27068717330914843</c:v>
                </c:pt>
                <c:pt idx="297">
                  <c:v>0.575241223133096</c:v>
                </c:pt>
                <c:pt idx="298">
                  <c:v>-0.42963951760178321</c:v>
                </c:pt>
                <c:pt idx="299">
                  <c:v>-0.44322633175794313</c:v>
                </c:pt>
                <c:pt idx="300">
                  <c:v>-0.40914191923147752</c:v>
                </c:pt>
                <c:pt idx="301">
                  <c:v>-0.37942073143061172</c:v>
                </c:pt>
                <c:pt idx="302">
                  <c:v>-0.39210516122745148</c:v>
                </c:pt>
                <c:pt idx="303">
                  <c:v>-0.38841173213071439</c:v>
                </c:pt>
                <c:pt idx="304">
                  <c:v>-0.35954400832183869</c:v>
                </c:pt>
                <c:pt idx="305">
                  <c:v>-0.35281578347260462</c:v>
                </c:pt>
                <c:pt idx="306">
                  <c:v>-0.30733934136950358</c:v>
                </c:pt>
                <c:pt idx="307">
                  <c:v>-0.33160685341393242</c:v>
                </c:pt>
                <c:pt idx="308">
                  <c:v>-0.35555642134448318</c:v>
                </c:pt>
                <c:pt idx="309">
                  <c:v>-0.3766606345190372</c:v>
                </c:pt>
                <c:pt idx="310">
                  <c:v>-0.34798182154454887</c:v>
                </c:pt>
                <c:pt idx="311">
                  <c:v>-0.33280605971446875</c:v>
                </c:pt>
                <c:pt idx="312">
                  <c:v>-0.29316946817988543</c:v>
                </c:pt>
                <c:pt idx="313">
                  <c:v>-0.3126099143333908</c:v>
                </c:pt>
                <c:pt idx="314">
                  <c:v>-0.25598132166291843</c:v>
                </c:pt>
                <c:pt idx="315">
                  <c:v>-0.27224403236435935</c:v>
                </c:pt>
                <c:pt idx="316">
                  <c:v>-0.32654315990242272</c:v>
                </c:pt>
                <c:pt idx="317">
                  <c:v>-0.3682499798457321</c:v>
                </c:pt>
                <c:pt idx="318">
                  <c:v>-0.38908144177973941</c:v>
                </c:pt>
                <c:pt idx="319">
                  <c:v>-0.3831129689102134</c:v>
                </c:pt>
                <c:pt idx="320">
                  <c:v>-0.33176743273733211</c:v>
                </c:pt>
                <c:pt idx="321">
                  <c:v>-0.44452373868400519</c:v>
                </c:pt>
                <c:pt idx="322">
                  <c:v>-0.42778607748021141</c:v>
                </c:pt>
                <c:pt idx="323">
                  <c:v>-0.41888275070055048</c:v>
                </c:pt>
                <c:pt idx="324">
                  <c:v>-0.37331995652630284</c:v>
                </c:pt>
                <c:pt idx="325">
                  <c:v>-0.4108948323348135</c:v>
                </c:pt>
                <c:pt idx="326">
                  <c:v>-0.42689196071381919</c:v>
                </c:pt>
                <c:pt idx="327">
                  <c:v>-0.42886983297294973</c:v>
                </c:pt>
                <c:pt idx="328">
                  <c:v>-0.44112539224763719</c:v>
                </c:pt>
                <c:pt idx="329">
                  <c:v>-0.36365500575963722</c:v>
                </c:pt>
                <c:pt idx="330">
                  <c:v>-0.41049043345006964</c:v>
                </c:pt>
                <c:pt idx="331">
                  <c:v>-0.39762321976359627</c:v>
                </c:pt>
                <c:pt idx="332">
                  <c:v>-0.464872136335025</c:v>
                </c:pt>
                <c:pt idx="333">
                  <c:v>-0.48978770157614177</c:v>
                </c:pt>
                <c:pt idx="334">
                  <c:v>-0.46228166186185599</c:v>
                </c:pt>
                <c:pt idx="335">
                  <c:v>-0.40361571584119665</c:v>
                </c:pt>
                <c:pt idx="336">
                  <c:v>-0.45315178236071169</c:v>
                </c:pt>
                <c:pt idx="337">
                  <c:v>-0.31783175466765884</c:v>
                </c:pt>
                <c:pt idx="338">
                  <c:v>-0.64381390589376264</c:v>
                </c:pt>
                <c:pt idx="339">
                  <c:v>-0.84369810460956507</c:v>
                </c:pt>
                <c:pt idx="340">
                  <c:v>-0.92558434287975699</c:v>
                </c:pt>
                <c:pt idx="341">
                  <c:v>-0.96865063825518793</c:v>
                </c:pt>
                <c:pt idx="342">
                  <c:v>-0.93258368263024405</c:v>
                </c:pt>
                <c:pt idx="343">
                  <c:v>-0.94303069288409025</c:v>
                </c:pt>
                <c:pt idx="344">
                  <c:v>-1.013762710757431</c:v>
                </c:pt>
                <c:pt idx="345">
                  <c:v>-1.0795990098422108</c:v>
                </c:pt>
                <c:pt idx="346">
                  <c:v>-1.0449775855694834</c:v>
                </c:pt>
                <c:pt idx="347">
                  <c:v>-1.0816805898984374</c:v>
                </c:pt>
                <c:pt idx="348">
                  <c:v>-1.0502015822475392</c:v>
                </c:pt>
                <c:pt idx="349">
                  <c:v>-1.0011263590207058</c:v>
                </c:pt>
                <c:pt idx="350">
                  <c:v>-1.0644526480636689</c:v>
                </c:pt>
                <c:pt idx="351">
                  <c:v>-1.2387465539062052</c:v>
                </c:pt>
                <c:pt idx="352">
                  <c:v>-1.3801746769140808</c:v>
                </c:pt>
                <c:pt idx="353">
                  <c:v>-1.0851559819846086</c:v>
                </c:pt>
                <c:pt idx="354">
                  <c:v>-1.133747746255378</c:v>
                </c:pt>
                <c:pt idx="355">
                  <c:v>-1.1984943434941757</c:v>
                </c:pt>
                <c:pt idx="356">
                  <c:v>-1.1127690617685346</c:v>
                </c:pt>
                <c:pt idx="357">
                  <c:v>-1.1654940542116119</c:v>
                </c:pt>
                <c:pt idx="358">
                  <c:v>-1.1636164803762858</c:v>
                </c:pt>
                <c:pt idx="359">
                  <c:v>-1.1057163938429526</c:v>
                </c:pt>
                <c:pt idx="360">
                  <c:v>-1.1508816176467873</c:v>
                </c:pt>
                <c:pt idx="361">
                  <c:v>-1.2253433968132839</c:v>
                </c:pt>
                <c:pt idx="362">
                  <c:v>-1.2203614541662249</c:v>
                </c:pt>
                <c:pt idx="363">
                  <c:v>-1.1980341960786354</c:v>
                </c:pt>
                <c:pt idx="364">
                  <c:v>-1.1812175253253021</c:v>
                </c:pt>
                <c:pt idx="365">
                  <c:v>-1.1908136750222718</c:v>
                </c:pt>
                <c:pt idx="366">
                  <c:v>-1.1525222907519819</c:v>
                </c:pt>
                <c:pt idx="367">
                  <c:v>-1.1717557207166285</c:v>
                </c:pt>
                <c:pt idx="368">
                  <c:v>-1.1123527330230116</c:v>
                </c:pt>
                <c:pt idx="369">
                  <c:v>-1.1120428915728322</c:v>
                </c:pt>
                <c:pt idx="370">
                  <c:v>-1.1145007150455595</c:v>
                </c:pt>
                <c:pt idx="371">
                  <c:v>-1.1369003938513471</c:v>
                </c:pt>
                <c:pt idx="372">
                  <c:v>-1.0741117138160348</c:v>
                </c:pt>
                <c:pt idx="373">
                  <c:v>-1.0613599218638814</c:v>
                </c:pt>
                <c:pt idx="374">
                  <c:v>-1.0660902030089896</c:v>
                </c:pt>
                <c:pt idx="375">
                  <c:v>-1.0276364762682488</c:v>
                </c:pt>
                <c:pt idx="376">
                  <c:v>-1.0230393383335183</c:v>
                </c:pt>
                <c:pt idx="377">
                  <c:v>-0.98263831494269283</c:v>
                </c:pt>
                <c:pt idx="378">
                  <c:v>-1.0032453685392448</c:v>
                </c:pt>
                <c:pt idx="379">
                  <c:v>-0.90334910957703862</c:v>
                </c:pt>
                <c:pt idx="380">
                  <c:v>-0.99164884346996685</c:v>
                </c:pt>
                <c:pt idx="381">
                  <c:v>-0.95587725436236448</c:v>
                </c:pt>
                <c:pt idx="382">
                  <c:v>-1.132631725030967</c:v>
                </c:pt>
                <c:pt idx="383">
                  <c:v>-1.1082842842979301</c:v>
                </c:pt>
                <c:pt idx="384">
                  <c:v>-1.0867153255454303</c:v>
                </c:pt>
                <c:pt idx="385">
                  <c:v>-1.0725206946631445</c:v>
                </c:pt>
                <c:pt idx="386">
                  <c:v>-1.0921429552802246</c:v>
                </c:pt>
                <c:pt idx="387">
                  <c:v>-1.11710552480293</c:v>
                </c:pt>
                <c:pt idx="388">
                  <c:v>-1.1686181866439895</c:v>
                </c:pt>
                <c:pt idx="389">
                  <c:v>-1.2588070398529578</c:v>
                </c:pt>
                <c:pt idx="390">
                  <c:v>-1.2140955699164497</c:v>
                </c:pt>
                <c:pt idx="391">
                  <c:v>-1.2110088347041275</c:v>
                </c:pt>
                <c:pt idx="392">
                  <c:v>-1.2414733517478285</c:v>
                </c:pt>
                <c:pt idx="393">
                  <c:v>-1.2366195156314492</c:v>
                </c:pt>
                <c:pt idx="394">
                  <c:v>-1.1715607270023711</c:v>
                </c:pt>
                <c:pt idx="395">
                  <c:v>-1.216656903754926</c:v>
                </c:pt>
                <c:pt idx="396">
                  <c:v>-1.1533166807237953</c:v>
                </c:pt>
                <c:pt idx="397">
                  <c:v>-1.3170920304598066</c:v>
                </c:pt>
                <c:pt idx="398">
                  <c:v>-1.3589292536963782</c:v>
                </c:pt>
                <c:pt idx="399">
                  <c:v>-1.379598028330286</c:v>
                </c:pt>
                <c:pt idx="400">
                  <c:v>-1.4063401985953532</c:v>
                </c:pt>
                <c:pt idx="401">
                  <c:v>-1.3660327511193531</c:v>
                </c:pt>
                <c:pt idx="402">
                  <c:v>-1.3377893026769072</c:v>
                </c:pt>
                <c:pt idx="403">
                  <c:v>-1.3302230660932253</c:v>
                </c:pt>
                <c:pt idx="404">
                  <c:v>-1.3203550311598919</c:v>
                </c:pt>
                <c:pt idx="405">
                  <c:v>-1.2987888767478919</c:v>
                </c:pt>
                <c:pt idx="406">
                  <c:v>-1.3536165378047726</c:v>
                </c:pt>
                <c:pt idx="407">
                  <c:v>-1.3439192358560548</c:v>
                </c:pt>
                <c:pt idx="408">
                  <c:v>-1.3726697391058458</c:v>
                </c:pt>
                <c:pt idx="409">
                  <c:v>-1.3331293167975122</c:v>
                </c:pt>
                <c:pt idx="410">
                  <c:v>-1.2921698572254194</c:v>
                </c:pt>
                <c:pt idx="411">
                  <c:v>-1.3416094440413429</c:v>
                </c:pt>
                <c:pt idx="412">
                  <c:v>-1.3730250819321965</c:v>
                </c:pt>
                <c:pt idx="413">
                  <c:v>-1.3979141377732223</c:v>
                </c:pt>
                <c:pt idx="414">
                  <c:v>-1.3961776209689598</c:v>
                </c:pt>
                <c:pt idx="415">
                  <c:v>-1.4205984049431535</c:v>
                </c:pt>
                <c:pt idx="416">
                  <c:v>-1.3716653828486356</c:v>
                </c:pt>
                <c:pt idx="417">
                  <c:v>-1.4547616949367377</c:v>
                </c:pt>
                <c:pt idx="418">
                  <c:v>-1.4783399559926516</c:v>
                </c:pt>
                <c:pt idx="419">
                  <c:v>-1.4873883397627812</c:v>
                </c:pt>
                <c:pt idx="420">
                  <c:v>-1.4604930180510693</c:v>
                </c:pt>
                <c:pt idx="421">
                  <c:v>-1.4560152623997873</c:v>
                </c:pt>
                <c:pt idx="422">
                  <c:v>-1.465910935659005</c:v>
                </c:pt>
                <c:pt idx="423">
                  <c:v>-1.4556901269901525</c:v>
                </c:pt>
                <c:pt idx="424">
                  <c:v>-1.4503478219682546</c:v>
                </c:pt>
                <c:pt idx="425">
                  <c:v>-1.4615968918214461</c:v>
                </c:pt>
                <c:pt idx="426">
                  <c:v>-1.4585394145410995</c:v>
                </c:pt>
                <c:pt idx="427">
                  <c:v>-1.4346262967673351</c:v>
                </c:pt>
                <c:pt idx="428">
                  <c:v>-1.5414894634433354</c:v>
                </c:pt>
                <c:pt idx="429">
                  <c:v>-1.559016534755346</c:v>
                </c:pt>
                <c:pt idx="430">
                  <c:v>-1.5533205047704479</c:v>
                </c:pt>
                <c:pt idx="431">
                  <c:v>-1.5803848352901559</c:v>
                </c:pt>
                <c:pt idx="432">
                  <c:v>-1.5709322536791264</c:v>
                </c:pt>
                <c:pt idx="433">
                  <c:v>-1.6221321669791267</c:v>
                </c:pt>
                <c:pt idx="434">
                  <c:v>-1.6708471376201521</c:v>
                </c:pt>
                <c:pt idx="435">
                  <c:v>-1.6040962746006329</c:v>
                </c:pt>
                <c:pt idx="436">
                  <c:v>-1.5794206940712769</c:v>
                </c:pt>
                <c:pt idx="437">
                  <c:v>-1.5808853839018224</c:v>
                </c:pt>
                <c:pt idx="438">
                  <c:v>-1.5827270250421068</c:v>
                </c:pt>
                <c:pt idx="439">
                  <c:v>-1.5493907610092348</c:v>
                </c:pt>
                <c:pt idx="440">
                  <c:v>-1.5346219548347668</c:v>
                </c:pt>
                <c:pt idx="441">
                  <c:v>-1.5653239587388317</c:v>
                </c:pt>
                <c:pt idx="442">
                  <c:v>-1.6975130157527925</c:v>
                </c:pt>
                <c:pt idx="443">
                  <c:v>-1.6666572426281547</c:v>
                </c:pt>
                <c:pt idx="444">
                  <c:v>-1.6847912212839344</c:v>
                </c:pt>
                <c:pt idx="445">
                  <c:v>-1.6755647548344197</c:v>
                </c:pt>
                <c:pt idx="446">
                  <c:v>-1.6952876714570611</c:v>
                </c:pt>
                <c:pt idx="447">
                  <c:v>-1.684441652675182</c:v>
                </c:pt>
                <c:pt idx="448">
                  <c:v>-1.7029875127351821</c:v>
                </c:pt>
                <c:pt idx="449">
                  <c:v>-1.7053024241462931</c:v>
                </c:pt>
                <c:pt idx="450">
                  <c:v>-1.7100604646137931</c:v>
                </c:pt>
                <c:pt idx="451">
                  <c:v>-1.7158298234695721</c:v>
                </c:pt>
                <c:pt idx="452">
                  <c:v>-1.7064532316926488</c:v>
                </c:pt>
                <c:pt idx="453">
                  <c:v>-1.7095597915259821</c:v>
                </c:pt>
                <c:pt idx="454">
                  <c:v>-1.7042626077586025</c:v>
                </c:pt>
                <c:pt idx="455">
                  <c:v>-1.7169531754948524</c:v>
                </c:pt>
                <c:pt idx="456">
                  <c:v>-1.7087471689204721</c:v>
                </c:pt>
                <c:pt idx="457">
                  <c:v>-1.7195063706604721</c:v>
                </c:pt>
                <c:pt idx="458">
                  <c:v>-1.7090627226646389</c:v>
                </c:pt>
                <c:pt idx="459">
                  <c:v>-1.7126708656934979</c:v>
                </c:pt>
                <c:pt idx="460">
                  <c:v>-1.7013818867397346</c:v>
                </c:pt>
                <c:pt idx="461">
                  <c:v>-1.69558410290734</c:v>
                </c:pt>
                <c:pt idx="462">
                  <c:v>-1.6891542082553399</c:v>
                </c:pt>
                <c:pt idx="463">
                  <c:v>-1.6863688343573009</c:v>
                </c:pt>
                <c:pt idx="464">
                  <c:v>-1.6766410763980415</c:v>
                </c:pt>
                <c:pt idx="465">
                  <c:v>-1.6895609576266131</c:v>
                </c:pt>
                <c:pt idx="466">
                  <c:v>-1.6816846872199465</c:v>
                </c:pt>
                <c:pt idx="467">
                  <c:v>-1.6890401274199465</c:v>
                </c:pt>
                <c:pt idx="468">
                  <c:v>-1.6897586453552409</c:v>
                </c:pt>
                <c:pt idx="469">
                  <c:v>-1.6652814109312886</c:v>
                </c:pt>
                <c:pt idx="470">
                  <c:v>-1.6826305837912885</c:v>
                </c:pt>
                <c:pt idx="471">
                  <c:v>-1.6760098197912885</c:v>
                </c:pt>
                <c:pt idx="472">
                  <c:v>-1.6784989666640155</c:v>
                </c:pt>
                <c:pt idx="473">
                  <c:v>-1.677425920934849</c:v>
                </c:pt>
                <c:pt idx="474">
                  <c:v>-1.6778666241289666</c:v>
                </c:pt>
                <c:pt idx="475">
                  <c:v>-1.6623727900337284</c:v>
                </c:pt>
                <c:pt idx="476">
                  <c:v>-1.6710773848862466</c:v>
                </c:pt>
                <c:pt idx="477">
                  <c:v>-1.6795813256040684</c:v>
                </c:pt>
                <c:pt idx="478">
                  <c:v>-1.6933401253307352</c:v>
                </c:pt>
                <c:pt idx="479">
                  <c:v>-1.6778991853996092</c:v>
                </c:pt>
                <c:pt idx="480">
                  <c:v>-1.6726295588281808</c:v>
                </c:pt>
                <c:pt idx="481">
                  <c:v>-1.6740400274692064</c:v>
                </c:pt>
                <c:pt idx="482">
                  <c:v>-1.6801427405559317</c:v>
                </c:pt>
                <c:pt idx="483">
                  <c:v>-1.6872299754975051</c:v>
                </c:pt>
                <c:pt idx="484">
                  <c:v>-1.6853011850294068</c:v>
                </c:pt>
                <c:pt idx="485">
                  <c:v>-1.6729479370475886</c:v>
                </c:pt>
                <c:pt idx="486">
                  <c:v>-1.6819698286624032</c:v>
                </c:pt>
                <c:pt idx="487">
                  <c:v>-1.6655485856830643</c:v>
                </c:pt>
                <c:pt idx="488">
                  <c:v>-1.6693137546754784</c:v>
                </c:pt>
                <c:pt idx="489">
                  <c:v>-1.6523666624266979</c:v>
                </c:pt>
                <c:pt idx="490">
                  <c:v>-1.6652660186644124</c:v>
                </c:pt>
                <c:pt idx="491">
                  <c:v>-1.6951613083995116</c:v>
                </c:pt>
                <c:pt idx="492">
                  <c:v>-1.6611583511280832</c:v>
                </c:pt>
                <c:pt idx="493">
                  <c:v>-1.6216271796920179</c:v>
                </c:pt>
                <c:pt idx="494">
                  <c:v>-1.5996158655625303</c:v>
                </c:pt>
                <c:pt idx="495">
                  <c:v>-1.596063220411903</c:v>
                </c:pt>
                <c:pt idx="496">
                  <c:v>-1.5996121010644577</c:v>
                </c:pt>
                <c:pt idx="497">
                  <c:v>-1.5737834745226074</c:v>
                </c:pt>
                <c:pt idx="498">
                  <c:v>-1.5498832854672882</c:v>
                </c:pt>
                <c:pt idx="499">
                  <c:v>-1.6024273779672884</c:v>
                </c:pt>
                <c:pt idx="500">
                  <c:v>-1.5435375078267881</c:v>
                </c:pt>
                <c:pt idx="501">
                  <c:v>-1.5267698133272798</c:v>
                </c:pt>
                <c:pt idx="502">
                  <c:v>-1.4962343924147796</c:v>
                </c:pt>
                <c:pt idx="503">
                  <c:v>-1.5132909932724308</c:v>
                </c:pt>
                <c:pt idx="504">
                  <c:v>-1.5446704517250622</c:v>
                </c:pt>
                <c:pt idx="505">
                  <c:v>-1.5073215924665719</c:v>
                </c:pt>
                <c:pt idx="506">
                  <c:v>-1.4597182274506515</c:v>
                </c:pt>
                <c:pt idx="507">
                  <c:v>-1.4055551382791509</c:v>
                </c:pt>
                <c:pt idx="508">
                  <c:v>-1.4907520635845273</c:v>
                </c:pt>
                <c:pt idx="509">
                  <c:v>-1.5341733432764348</c:v>
                </c:pt>
                <c:pt idx="510">
                  <c:v>-1.4851429852242262</c:v>
                </c:pt>
                <c:pt idx="511">
                  <c:v>-1.5229656139046976</c:v>
                </c:pt>
                <c:pt idx="512">
                  <c:v>-1.4371284145403784</c:v>
                </c:pt>
                <c:pt idx="513">
                  <c:v>-1.4134849137196885</c:v>
                </c:pt>
                <c:pt idx="514">
                  <c:v>-1.366647452236172</c:v>
                </c:pt>
                <c:pt idx="515">
                  <c:v>-1.3196622826036419</c:v>
                </c:pt>
                <c:pt idx="516">
                  <c:v>-1.306311544825864</c:v>
                </c:pt>
                <c:pt idx="517">
                  <c:v>-1.3034096018185246</c:v>
                </c:pt>
                <c:pt idx="518">
                  <c:v>-1.3036427853368253</c:v>
                </c:pt>
                <c:pt idx="519">
                  <c:v>-1.2998571037368252</c:v>
                </c:pt>
                <c:pt idx="520">
                  <c:v>-1.2509103852029604</c:v>
                </c:pt>
                <c:pt idx="521">
                  <c:v>-1.2276542508273938</c:v>
                </c:pt>
                <c:pt idx="522">
                  <c:v>-1.1802381837203704</c:v>
                </c:pt>
                <c:pt idx="523">
                  <c:v>-1.2011283578008454</c:v>
                </c:pt>
                <c:pt idx="524">
                  <c:v>-1.2265486489299482</c:v>
                </c:pt>
                <c:pt idx="525">
                  <c:v>-1.1157027207444936</c:v>
                </c:pt>
                <c:pt idx="526">
                  <c:v>-1.1594004788304666</c:v>
                </c:pt>
                <c:pt idx="527">
                  <c:v>-1.1514025869242166</c:v>
                </c:pt>
                <c:pt idx="528">
                  <c:v>-1.1604742217813595</c:v>
                </c:pt>
                <c:pt idx="529">
                  <c:v>-1.1357162322388061</c:v>
                </c:pt>
                <c:pt idx="530">
                  <c:v>-1.1076656951311974</c:v>
                </c:pt>
                <c:pt idx="531">
                  <c:v>-1.0684992326339882</c:v>
                </c:pt>
                <c:pt idx="532">
                  <c:v>-1.1342420676833034</c:v>
                </c:pt>
                <c:pt idx="533">
                  <c:v>-1.1476386285747318</c:v>
                </c:pt>
                <c:pt idx="534">
                  <c:v>-1.1859632153218282</c:v>
                </c:pt>
                <c:pt idx="535">
                  <c:v>-1.0992226232718285</c:v>
                </c:pt>
                <c:pt idx="536">
                  <c:v>-1.2206182177062856</c:v>
                </c:pt>
                <c:pt idx="537">
                  <c:v>-1.2215548248961006</c:v>
                </c:pt>
                <c:pt idx="538">
                  <c:v>-1.2976596924886932</c:v>
                </c:pt>
                <c:pt idx="539">
                  <c:v>-1.2787260019451034</c:v>
                </c:pt>
                <c:pt idx="540">
                  <c:v>-1.3163164874848856</c:v>
                </c:pt>
                <c:pt idx="541">
                  <c:v>-1.2997207696179787</c:v>
                </c:pt>
                <c:pt idx="542">
                  <c:v>-1.3476321104860869</c:v>
                </c:pt>
                <c:pt idx="543">
                  <c:v>-1.3536829142650342</c:v>
                </c:pt>
                <c:pt idx="544">
                  <c:v>-1.4096158078367009</c:v>
                </c:pt>
                <c:pt idx="545">
                  <c:v>-1.3676542487835761</c:v>
                </c:pt>
                <c:pt idx="546">
                  <c:v>-1.4078936846053502</c:v>
                </c:pt>
                <c:pt idx="547">
                  <c:v>-1.4050719885240315</c:v>
                </c:pt>
                <c:pt idx="548">
                  <c:v>-1.4062395707172519</c:v>
                </c:pt>
                <c:pt idx="549">
                  <c:v>-1.4442332002733922</c:v>
                </c:pt>
                <c:pt idx="550">
                  <c:v>-1.3553120139638273</c:v>
                </c:pt>
                <c:pt idx="551">
                  <c:v>-1.3199416636476702</c:v>
                </c:pt>
                <c:pt idx="552">
                  <c:v>-1.29479630823392</c:v>
                </c:pt>
                <c:pt idx="553">
                  <c:v>-1.3263206429301817</c:v>
                </c:pt>
                <c:pt idx="554">
                  <c:v>-1.295926937983515</c:v>
                </c:pt>
                <c:pt idx="555">
                  <c:v>-1.2599884196280087</c:v>
                </c:pt>
                <c:pt idx="556">
                  <c:v>-1.3410706735907536</c:v>
                </c:pt>
                <c:pt idx="557">
                  <c:v>-1.3258107826114944</c:v>
                </c:pt>
                <c:pt idx="558">
                  <c:v>-1.3194136574774518</c:v>
                </c:pt>
                <c:pt idx="559">
                  <c:v>-1.3085290013382114</c:v>
                </c:pt>
                <c:pt idx="560">
                  <c:v>-1.3500856566230215</c:v>
                </c:pt>
                <c:pt idx="561">
                  <c:v>-1.3649305478820144</c:v>
                </c:pt>
                <c:pt idx="562">
                  <c:v>-1.3396065958555996</c:v>
                </c:pt>
                <c:pt idx="563">
                  <c:v>-1.3156376782037478</c:v>
                </c:pt>
                <c:pt idx="564">
                  <c:v>-1.2821233901085098</c:v>
                </c:pt>
                <c:pt idx="565">
                  <c:v>-1.2727629387826274</c:v>
                </c:pt>
                <c:pt idx="566">
                  <c:v>-1.2694610662446528</c:v>
                </c:pt>
                <c:pt idx="567">
                  <c:v>-1.25280005742751</c:v>
                </c:pt>
                <c:pt idx="568">
                  <c:v>-1.3043822121660642</c:v>
                </c:pt>
                <c:pt idx="569">
                  <c:v>-1.3408887021626161</c:v>
                </c:pt>
                <c:pt idx="570">
                  <c:v>-1.3358998589495013</c:v>
                </c:pt>
                <c:pt idx="571">
                  <c:v>-1.3704413969686318</c:v>
                </c:pt>
                <c:pt idx="572">
                  <c:v>-1.3652663783257746</c:v>
                </c:pt>
                <c:pt idx="573">
                  <c:v>-1.3641806247912918</c:v>
                </c:pt>
                <c:pt idx="574">
                  <c:v>-1.36306113184324</c:v>
                </c:pt>
                <c:pt idx="575">
                  <c:v>-1.3596014005870418</c:v>
                </c:pt>
                <c:pt idx="576">
                  <c:v>-1.3551631374437583</c:v>
                </c:pt>
                <c:pt idx="577">
                  <c:v>-1.358561976761302</c:v>
                </c:pt>
                <c:pt idx="578">
                  <c:v>-1.3677519827613021</c:v>
                </c:pt>
                <c:pt idx="579">
                  <c:v>-1.3746801074946351</c:v>
                </c:pt>
                <c:pt idx="580">
                  <c:v>-1.3571649894614646</c:v>
                </c:pt>
                <c:pt idx="581">
                  <c:v>-1.3688293740154878</c:v>
                </c:pt>
                <c:pt idx="582">
                  <c:v>-1.3783091463583448</c:v>
                </c:pt>
                <c:pt idx="583">
                  <c:v>-1.3644295882135686</c:v>
                </c:pt>
                <c:pt idx="584">
                  <c:v>-1.3730850066840603</c:v>
                </c:pt>
                <c:pt idx="585">
                  <c:v>-1.3685831791763681</c:v>
                </c:pt>
                <c:pt idx="586">
                  <c:v>-1.3547413472381327</c:v>
                </c:pt>
                <c:pt idx="587">
                  <c:v>-1.3506171888244072</c:v>
                </c:pt>
                <c:pt idx="588">
                  <c:v>-1.3373697793337531</c:v>
                </c:pt>
                <c:pt idx="589">
                  <c:v>-1.3047680958212531</c:v>
                </c:pt>
                <c:pt idx="590">
                  <c:v>-1.3333797092044308</c:v>
                </c:pt>
                <c:pt idx="591">
                  <c:v>-1.3278501389730875</c:v>
                </c:pt>
                <c:pt idx="592">
                  <c:v>-1.3493093192877215</c:v>
                </c:pt>
                <c:pt idx="593">
                  <c:v>-1.3274483394911696</c:v>
                </c:pt>
                <c:pt idx="594">
                  <c:v>-1.3603031370911696</c:v>
                </c:pt>
                <c:pt idx="595">
                  <c:v>-1.3878014453649252</c:v>
                </c:pt>
                <c:pt idx="596">
                  <c:v>-1.3573487119221941</c:v>
                </c:pt>
                <c:pt idx="597">
                  <c:v>-1.3619955160457897</c:v>
                </c:pt>
                <c:pt idx="598">
                  <c:v>-1.3673152048842514</c:v>
                </c:pt>
                <c:pt idx="599">
                  <c:v>-1.383755377399289</c:v>
                </c:pt>
                <c:pt idx="600">
                  <c:v>-1.3883385087265616</c:v>
                </c:pt>
                <c:pt idx="601">
                  <c:v>-1.3699502734451665</c:v>
                </c:pt>
                <c:pt idx="602">
                  <c:v>-1.3417263423826664</c:v>
                </c:pt>
                <c:pt idx="603">
                  <c:v>-1.3626786457251863</c:v>
                </c:pt>
                <c:pt idx="604">
                  <c:v>-1.3835677954089958</c:v>
                </c:pt>
                <c:pt idx="605">
                  <c:v>-1.3945762932503751</c:v>
                </c:pt>
                <c:pt idx="606">
                  <c:v>-1.416482832656917</c:v>
                </c:pt>
                <c:pt idx="607">
                  <c:v>-1.3842557293942053</c:v>
                </c:pt>
                <c:pt idx="608">
                  <c:v>-1.3579111906528258</c:v>
                </c:pt>
                <c:pt idx="609">
                  <c:v>-1.4054836477333945</c:v>
                </c:pt>
                <c:pt idx="610">
                  <c:v>-1.4314101825811967</c:v>
                </c:pt>
                <c:pt idx="611">
                  <c:v>-1.4220428699486383</c:v>
                </c:pt>
                <c:pt idx="612">
                  <c:v>-1.4102154193736383</c:v>
                </c:pt>
                <c:pt idx="613">
                  <c:v>-1.4200627747251535</c:v>
                </c:pt>
                <c:pt idx="614">
                  <c:v>-1.3865370213325607</c:v>
                </c:pt>
                <c:pt idx="615">
                  <c:v>-1.3742768651611323</c:v>
                </c:pt>
                <c:pt idx="616">
                  <c:v>-1.3904509506341054</c:v>
                </c:pt>
                <c:pt idx="617">
                  <c:v>-1.3681402196037131</c:v>
                </c:pt>
                <c:pt idx="618">
                  <c:v>-1.3686079541317133</c:v>
                </c:pt>
                <c:pt idx="619">
                  <c:v>-1.37549820559838</c:v>
                </c:pt>
                <c:pt idx="620">
                  <c:v>-1.3580102024912371</c:v>
                </c:pt>
                <c:pt idx="621">
                  <c:v>-1.3773879318257505</c:v>
                </c:pt>
                <c:pt idx="622">
                  <c:v>-1.3898063438828934</c:v>
                </c:pt>
                <c:pt idx="623">
                  <c:v>-1.377285549339073</c:v>
                </c:pt>
                <c:pt idx="624">
                  <c:v>-1.3820026104962158</c:v>
                </c:pt>
                <c:pt idx="625">
                  <c:v>-1.3889644601903335</c:v>
                </c:pt>
                <c:pt idx="626">
                  <c:v>-1.393320566295813</c:v>
                </c:pt>
                <c:pt idx="627">
                  <c:v>-1.3943313838276312</c:v>
                </c:pt>
                <c:pt idx="628">
                  <c:v>-1.3831493030472659</c:v>
                </c:pt>
                <c:pt idx="629">
                  <c:v>-1.3883424739035157</c:v>
                </c:pt>
                <c:pt idx="630">
                  <c:v>-1.407795960644175</c:v>
                </c:pt>
                <c:pt idx="631">
                  <c:v>-1.4132955944006971</c:v>
                </c:pt>
                <c:pt idx="632">
                  <c:v>-1.3871760876784747</c:v>
                </c:pt>
                <c:pt idx="633">
                  <c:v>-1.3946118869284749</c:v>
                </c:pt>
                <c:pt idx="634">
                  <c:v>-1.3966342200427606</c:v>
                </c:pt>
                <c:pt idx="635">
                  <c:v>-1.3882442996208095</c:v>
                </c:pt>
                <c:pt idx="636">
                  <c:v>-1.38484274935573</c:v>
                </c:pt>
                <c:pt idx="637">
                  <c:v>-1.3899253643437641</c:v>
                </c:pt>
                <c:pt idx="638">
                  <c:v>-1.3722550351234102</c:v>
                </c:pt>
                <c:pt idx="639">
                  <c:v>-1.3731836145145215</c:v>
                </c:pt>
                <c:pt idx="640">
                  <c:v>-1.3726807701367434</c:v>
                </c:pt>
                <c:pt idx="641">
                  <c:v>-1.3665822790117435</c:v>
                </c:pt>
                <c:pt idx="642">
                  <c:v>-1.369193747856571</c:v>
                </c:pt>
                <c:pt idx="643">
                  <c:v>-1.3626906892911863</c:v>
                </c:pt>
                <c:pt idx="644">
                  <c:v>-1.3693959580226824</c:v>
                </c:pt>
                <c:pt idx="645">
                  <c:v>-1.3650427622377113</c:v>
                </c:pt>
                <c:pt idx="646">
                  <c:v>-1.3615749670429058</c:v>
                </c:pt>
                <c:pt idx="647">
                  <c:v>-1.3649666953126733</c:v>
                </c:pt>
                <c:pt idx="648">
                  <c:v>-1.35633915803436</c:v>
                </c:pt>
                <c:pt idx="649">
                  <c:v>-1.355402361776668</c:v>
                </c:pt>
                <c:pt idx="650">
                  <c:v>-1.3612915414338107</c:v>
                </c:pt>
                <c:pt idx="651">
                  <c:v>-1.3574262002538104</c:v>
                </c:pt>
                <c:pt idx="652">
                  <c:v>-1.3696972172497701</c:v>
                </c:pt>
                <c:pt idx="653">
                  <c:v>-1.3596440876620779</c:v>
                </c:pt>
                <c:pt idx="654">
                  <c:v>-1.3632858393539145</c:v>
                </c:pt>
                <c:pt idx="655">
                  <c:v>-1.3660676415396287</c:v>
                </c:pt>
                <c:pt idx="656">
                  <c:v>-1.3580038010011675</c:v>
                </c:pt>
                <c:pt idx="657">
                  <c:v>-1.3558565327134124</c:v>
                </c:pt>
                <c:pt idx="658">
                  <c:v>-1.3430873501269924</c:v>
                </c:pt>
                <c:pt idx="659">
                  <c:v>-1.3327314798625296</c:v>
                </c:pt>
                <c:pt idx="660">
                  <c:v>-1.3315981642482442</c:v>
                </c:pt>
                <c:pt idx="661">
                  <c:v>-1.3297050807034163</c:v>
                </c:pt>
                <c:pt idx="662">
                  <c:v>-1.3435400888862734</c:v>
                </c:pt>
                <c:pt idx="663">
                  <c:v>-1.3424498707262733</c:v>
                </c:pt>
                <c:pt idx="664">
                  <c:v>-1.3516526392228252</c:v>
                </c:pt>
                <c:pt idx="665">
                  <c:v>-1.3352637991579601</c:v>
                </c:pt>
                <c:pt idx="666">
                  <c:v>-1.3060879442364788</c:v>
                </c:pt>
                <c:pt idx="667">
                  <c:v>-1.3177928937193357</c:v>
                </c:pt>
                <c:pt idx="668">
                  <c:v>-1.3072717214238812</c:v>
                </c:pt>
                <c:pt idx="669">
                  <c:v>-1.312774802213809</c:v>
                </c:pt>
                <c:pt idx="670">
                  <c:v>-1.3041604622908924</c:v>
                </c:pt>
                <c:pt idx="671">
                  <c:v>-1.3097102827227107</c:v>
                </c:pt>
                <c:pt idx="672">
                  <c:v>-1.2355426255227107</c:v>
                </c:pt>
                <c:pt idx="673">
                  <c:v>-1.2333928959227105</c:v>
                </c:pt>
                <c:pt idx="674">
                  <c:v>-1.2300604323227105</c:v>
                </c:pt>
                <c:pt idx="675">
                  <c:v>-1.2251352957102106</c:v>
                </c:pt>
                <c:pt idx="676">
                  <c:v>-1.2296692294368774</c:v>
                </c:pt>
                <c:pt idx="677">
                  <c:v>-1.2058870683440568</c:v>
                </c:pt>
                <c:pt idx="678">
                  <c:v>-1.2072039537617041</c:v>
                </c:pt>
                <c:pt idx="679">
                  <c:v>-1.1908023985969154</c:v>
                </c:pt>
                <c:pt idx="680">
                  <c:v>-1.2133484063273501</c:v>
                </c:pt>
                <c:pt idx="681">
                  <c:v>-1.2237692013468904</c:v>
                </c:pt>
                <c:pt idx="682">
                  <c:v>-1.2332363914802236</c:v>
                </c:pt>
                <c:pt idx="683">
                  <c:v>-1.233621376901729</c:v>
                </c:pt>
                <c:pt idx="684">
                  <c:v>-1.2158504345017291</c:v>
                </c:pt>
                <c:pt idx="685">
                  <c:v>-1.1936238142213822</c:v>
                </c:pt>
                <c:pt idx="686">
                  <c:v>-1.2124632976613425</c:v>
                </c:pt>
                <c:pt idx="687">
                  <c:v>-1.1522203101942372</c:v>
                </c:pt>
                <c:pt idx="688">
                  <c:v>-1.1046852822757101</c:v>
                </c:pt>
                <c:pt idx="689">
                  <c:v>-1.1268497577074341</c:v>
                </c:pt>
                <c:pt idx="690">
                  <c:v>-1.1348977023271947</c:v>
                </c:pt>
                <c:pt idx="691">
                  <c:v>-1.1199150193415488</c:v>
                </c:pt>
                <c:pt idx="692">
                  <c:v>-1.1091867906406139</c:v>
                </c:pt>
                <c:pt idx="693">
                  <c:v>-1.0935485169040549</c:v>
                </c:pt>
                <c:pt idx="694">
                  <c:v>-1.076632175915166</c:v>
                </c:pt>
                <c:pt idx="695">
                  <c:v>-1.0949574297839832</c:v>
                </c:pt>
                <c:pt idx="696">
                  <c:v>-1.0944990142526856</c:v>
                </c:pt>
                <c:pt idx="697">
                  <c:v>-1.1051437856142241</c:v>
                </c:pt>
                <c:pt idx="698">
                  <c:v>-1.0984792488400306</c:v>
                </c:pt>
                <c:pt idx="699">
                  <c:v>-1.0842113771450306</c:v>
                </c:pt>
                <c:pt idx="700">
                  <c:v>-1.081062069468989</c:v>
                </c:pt>
                <c:pt idx="701">
                  <c:v>-1.0765266987184514</c:v>
                </c:pt>
                <c:pt idx="702">
                  <c:v>-1.0650900048184513</c:v>
                </c:pt>
                <c:pt idx="703">
                  <c:v>-1.0634152729902069</c:v>
                </c:pt>
                <c:pt idx="704">
                  <c:v>-1.0434851922213182</c:v>
                </c:pt>
                <c:pt idx="705">
                  <c:v>-1.0397229454863011</c:v>
                </c:pt>
                <c:pt idx="706">
                  <c:v>-1.040459857320009</c:v>
                </c:pt>
                <c:pt idx="707">
                  <c:v>-1.0319960520009612</c:v>
                </c:pt>
                <c:pt idx="708">
                  <c:v>-1.039670020494794</c:v>
                </c:pt>
                <c:pt idx="709">
                  <c:v>-1.0276194166328891</c:v>
                </c:pt>
                <c:pt idx="710">
                  <c:v>-1.043157464993012</c:v>
                </c:pt>
                <c:pt idx="711">
                  <c:v>-1.0450549099962552</c:v>
                </c:pt>
                <c:pt idx="712">
                  <c:v>-1.0271641702151058</c:v>
                </c:pt>
                <c:pt idx="713">
                  <c:v>-0.98067938431139345</c:v>
                </c:pt>
                <c:pt idx="714">
                  <c:v>-0.94945435239954323</c:v>
                </c:pt>
                <c:pt idx="715">
                  <c:v>-0.89880791421954309</c:v>
                </c:pt>
                <c:pt idx="716">
                  <c:v>-0.77528467400780032</c:v>
                </c:pt>
                <c:pt idx="717">
                  <c:v>-0.80527289532693469</c:v>
                </c:pt>
                <c:pt idx="718">
                  <c:v>-0.78997057867026788</c:v>
                </c:pt>
                <c:pt idx="719">
                  <c:v>-0.78676415434998959</c:v>
                </c:pt>
                <c:pt idx="720">
                  <c:v>-0.78158939618401935</c:v>
                </c:pt>
                <c:pt idx="721">
                  <c:v>-0.61005024709311051</c:v>
                </c:pt>
                <c:pt idx="722">
                  <c:v>-0.64803675117877002</c:v>
                </c:pt>
                <c:pt idx="723">
                  <c:v>-0.63900926146277004</c:v>
                </c:pt>
                <c:pt idx="724">
                  <c:v>-0.65494618589414255</c:v>
                </c:pt>
                <c:pt idx="725">
                  <c:v>-0.6666046763765987</c:v>
                </c:pt>
                <c:pt idx="726">
                  <c:v>-0.66377893891826534</c:v>
                </c:pt>
                <c:pt idx="727">
                  <c:v>-0.66631082243177886</c:v>
                </c:pt>
                <c:pt idx="728">
                  <c:v>-0.67258314280677878</c:v>
                </c:pt>
                <c:pt idx="729">
                  <c:v>-0.66710203528677881</c:v>
                </c:pt>
                <c:pt idx="730">
                  <c:v>-0.65842763516370184</c:v>
                </c:pt>
                <c:pt idx="731">
                  <c:v>-0.65678553221481295</c:v>
                </c:pt>
                <c:pt idx="732">
                  <c:v>-0.66014182393416787</c:v>
                </c:pt>
                <c:pt idx="733">
                  <c:v>-0.66420364383416786</c:v>
                </c:pt>
                <c:pt idx="734">
                  <c:v>-0.65812799883416795</c:v>
                </c:pt>
                <c:pt idx="735">
                  <c:v>-0.6595994289398015</c:v>
                </c:pt>
                <c:pt idx="736">
                  <c:v>-0.65131304405897972</c:v>
                </c:pt>
                <c:pt idx="737">
                  <c:v>-0.64928261559163269</c:v>
                </c:pt>
                <c:pt idx="738">
                  <c:v>-0.64441444713163276</c:v>
                </c:pt>
                <c:pt idx="739">
                  <c:v>-0.64668533305163267</c:v>
                </c:pt>
                <c:pt idx="740">
                  <c:v>-0.65913568930271182</c:v>
                </c:pt>
                <c:pt idx="741">
                  <c:v>-0.65218176512973891</c:v>
                </c:pt>
                <c:pt idx="742">
                  <c:v>-0.66269176945231945</c:v>
                </c:pt>
                <c:pt idx="743">
                  <c:v>-0.66952654329231953</c:v>
                </c:pt>
                <c:pt idx="744">
                  <c:v>-0.66053640996155027</c:v>
                </c:pt>
                <c:pt idx="745">
                  <c:v>-0.66424449076155023</c:v>
                </c:pt>
                <c:pt idx="746">
                  <c:v>-0.6555104845896752</c:v>
                </c:pt>
                <c:pt idx="747">
                  <c:v>-0.66238644363634192</c:v>
                </c:pt>
                <c:pt idx="748">
                  <c:v>-0.6565247629626576</c:v>
                </c:pt>
                <c:pt idx="749">
                  <c:v>-0.6581833462293244</c:v>
                </c:pt>
                <c:pt idx="750">
                  <c:v>-0.64734638813463408</c:v>
                </c:pt>
                <c:pt idx="751">
                  <c:v>-0.63322080015568671</c:v>
                </c:pt>
                <c:pt idx="752">
                  <c:v>-0.6265053887670502</c:v>
                </c:pt>
                <c:pt idx="753">
                  <c:v>-0.62347083192866648</c:v>
                </c:pt>
                <c:pt idx="754">
                  <c:v>-0.61967281861785561</c:v>
                </c:pt>
                <c:pt idx="755">
                  <c:v>-0.61662518807731515</c:v>
                </c:pt>
                <c:pt idx="756">
                  <c:v>-0.62536805600373024</c:v>
                </c:pt>
                <c:pt idx="757">
                  <c:v>-0.59658725137645741</c:v>
                </c:pt>
                <c:pt idx="758">
                  <c:v>-0.60011561943145741</c:v>
                </c:pt>
                <c:pt idx="759">
                  <c:v>-0.5925041793933622</c:v>
                </c:pt>
                <c:pt idx="760">
                  <c:v>-0.59129204914193356</c:v>
                </c:pt>
                <c:pt idx="761">
                  <c:v>-0.56970731051064871</c:v>
                </c:pt>
                <c:pt idx="762">
                  <c:v>-0.56593422071064881</c:v>
                </c:pt>
                <c:pt idx="763">
                  <c:v>-0.55414989819721594</c:v>
                </c:pt>
                <c:pt idx="764">
                  <c:v>-0.52912161592135398</c:v>
                </c:pt>
                <c:pt idx="765">
                  <c:v>-0.50754981639155261</c:v>
                </c:pt>
                <c:pt idx="766">
                  <c:v>-0.49063622962149911</c:v>
                </c:pt>
                <c:pt idx="767">
                  <c:v>-0.46543825104306774</c:v>
                </c:pt>
                <c:pt idx="768">
                  <c:v>-0.48217216645341254</c:v>
                </c:pt>
                <c:pt idx="769">
                  <c:v>-0.45943947196577201</c:v>
                </c:pt>
                <c:pt idx="770">
                  <c:v>-0.41719509661871312</c:v>
                </c:pt>
                <c:pt idx="771">
                  <c:v>-0.47730063501871306</c:v>
                </c:pt>
                <c:pt idx="772">
                  <c:v>-0.50236627807578116</c:v>
                </c:pt>
                <c:pt idx="773">
                  <c:v>-0.49705820003656548</c:v>
                </c:pt>
                <c:pt idx="774">
                  <c:v>-0.48219766669404585</c:v>
                </c:pt>
                <c:pt idx="775">
                  <c:v>-0.48747557861539409</c:v>
                </c:pt>
                <c:pt idx="776">
                  <c:v>-0.48245681746833524</c:v>
                </c:pt>
                <c:pt idx="777">
                  <c:v>-0.47349250591698394</c:v>
                </c:pt>
                <c:pt idx="778">
                  <c:v>-0.46254635468302169</c:v>
                </c:pt>
                <c:pt idx="779">
                  <c:v>-0.4577989214139308</c:v>
                </c:pt>
                <c:pt idx="780">
                  <c:v>-0.4488770563908539</c:v>
                </c:pt>
                <c:pt idx="781">
                  <c:v>-0.43189528195529836</c:v>
                </c:pt>
                <c:pt idx="782">
                  <c:v>-0.4451638319729454</c:v>
                </c:pt>
                <c:pt idx="783">
                  <c:v>-0.43523109330355764</c:v>
                </c:pt>
                <c:pt idx="784">
                  <c:v>-0.4450631733035576</c:v>
                </c:pt>
                <c:pt idx="785">
                  <c:v>-0.44144989038152377</c:v>
                </c:pt>
                <c:pt idx="786">
                  <c:v>-0.43130269253009523</c:v>
                </c:pt>
                <c:pt idx="787">
                  <c:v>-0.42349724695866658</c:v>
                </c:pt>
                <c:pt idx="788">
                  <c:v>-0.41624643867091149</c:v>
                </c:pt>
                <c:pt idx="789">
                  <c:v>-0.41331154615891147</c:v>
                </c:pt>
                <c:pt idx="790">
                  <c:v>-0.40493171202254785</c:v>
                </c:pt>
                <c:pt idx="791">
                  <c:v>-0.40129169609397641</c:v>
                </c:pt>
                <c:pt idx="792">
                  <c:v>-0.38811378598826207</c:v>
                </c:pt>
                <c:pt idx="793">
                  <c:v>-0.39682886605492879</c:v>
                </c:pt>
                <c:pt idx="794">
                  <c:v>-0.40288909358826203</c:v>
                </c:pt>
                <c:pt idx="795">
                  <c:v>-0.40617458023354508</c:v>
                </c:pt>
                <c:pt idx="796">
                  <c:v>-0.36505597546769142</c:v>
                </c:pt>
                <c:pt idx="797">
                  <c:v>-0.37038014012243597</c:v>
                </c:pt>
                <c:pt idx="798">
                  <c:v>-0.35343568505576928</c:v>
                </c:pt>
                <c:pt idx="799">
                  <c:v>-0.33456752826127389</c:v>
                </c:pt>
                <c:pt idx="800">
                  <c:v>-0.32488523230443933</c:v>
                </c:pt>
                <c:pt idx="801">
                  <c:v>-0.31410548230195484</c:v>
                </c:pt>
                <c:pt idx="802">
                  <c:v>-0.30456324101104576</c:v>
                </c:pt>
                <c:pt idx="803">
                  <c:v>-0.29727019184559117</c:v>
                </c:pt>
                <c:pt idx="804">
                  <c:v>-0.2838247498455912</c:v>
                </c:pt>
                <c:pt idx="805">
                  <c:v>-0.30927911837462352</c:v>
                </c:pt>
                <c:pt idx="806">
                  <c:v>-0.29489021715431096</c:v>
                </c:pt>
                <c:pt idx="807">
                  <c:v>-0.29521719727155238</c:v>
                </c:pt>
                <c:pt idx="808">
                  <c:v>-0.29491556853434303</c:v>
                </c:pt>
                <c:pt idx="809">
                  <c:v>-0.28745757189148591</c:v>
                </c:pt>
                <c:pt idx="810">
                  <c:v>-0.26486459853552258</c:v>
                </c:pt>
                <c:pt idx="811">
                  <c:v>-0.23935670225524089</c:v>
                </c:pt>
                <c:pt idx="812">
                  <c:v>-0.26459294778438891</c:v>
                </c:pt>
                <c:pt idx="813">
                  <c:v>-0.30547920176734855</c:v>
                </c:pt>
                <c:pt idx="814">
                  <c:v>-0.26304830562564813</c:v>
                </c:pt>
                <c:pt idx="815">
                  <c:v>-0.2707587881715498</c:v>
                </c:pt>
                <c:pt idx="816">
                  <c:v>-0.18679987925653257</c:v>
                </c:pt>
                <c:pt idx="817">
                  <c:v>-0.21507867983106219</c:v>
                </c:pt>
                <c:pt idx="818">
                  <c:v>-0.21576547531078244</c:v>
                </c:pt>
                <c:pt idx="819">
                  <c:v>-0.2121544460822109</c:v>
                </c:pt>
                <c:pt idx="820">
                  <c:v>-0.19880984760721082</c:v>
                </c:pt>
                <c:pt idx="821">
                  <c:v>-0.18256227312836465</c:v>
                </c:pt>
                <c:pt idx="822">
                  <c:v>-0.16435561279503125</c:v>
                </c:pt>
                <c:pt idx="823">
                  <c:v>-0.11158393645280913</c:v>
                </c:pt>
                <c:pt idx="824">
                  <c:v>-5.6584559568146557E-2</c:v>
                </c:pt>
                <c:pt idx="825">
                  <c:v>3.907529549733333E-2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8E-48CB-B374-25E00D30E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40768"/>
        <c:axId val="628236464"/>
      </c:lineChart>
      <c:dateAx>
        <c:axId val="527640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36464"/>
        <c:crosses val="autoZero"/>
        <c:auto val="1"/>
        <c:lblOffset val="100"/>
        <c:baseTimeUnit val="days"/>
      </c:dateAx>
      <c:valAx>
        <c:axId val="6282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4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DEAFB96-C9F8-4A64-8059-634302F6F234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29CDD3-16BC-459D-82E4-369A933A9EA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3.2559999999999998</v>
      </c>
      <c r="D2" s="4">
        <f>MIN(D3:D1912)</f>
        <v>4.2999999999999997E-2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1.3759999999999999</v>
      </c>
      <c r="C5">
        <v>1.425</v>
      </c>
      <c r="D5">
        <v>1.343</v>
      </c>
      <c r="E5">
        <v>1.343</v>
      </c>
      <c r="F5">
        <v>333106.8</v>
      </c>
      <c r="G5">
        <v>1.343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-333106.8</v>
      </c>
      <c r="R5">
        <f t="shared" ref="R5" si="2">R6+Q5</f>
        <v>39591431.642117284</v>
      </c>
      <c r="S5">
        <f t="shared" ref="S5" si="3">R5/100000</f>
        <v>395.91431642117283</v>
      </c>
      <c r="T5">
        <f t="shared" ref="T5" si="4">S5/1000</f>
        <v>0.39591431642117281</v>
      </c>
    </row>
    <row r="6" spans="1:20" x14ac:dyDescent="0.25">
      <c r="A6" s="5">
        <v>44587</v>
      </c>
      <c r="B6">
        <v>1.357</v>
      </c>
      <c r="C6">
        <v>1.532</v>
      </c>
      <c r="D6">
        <v>1.3220000000000001</v>
      </c>
      <c r="E6">
        <v>1.3759999999999999</v>
      </c>
      <c r="F6">
        <v>5957581.2999999998</v>
      </c>
      <c r="G6">
        <v>1.3759999999999999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-0.48571428571428726</v>
      </c>
      <c r="Q6">
        <f t="shared" ref="Q6" si="6">F6*P6</f>
        <v>-2893682.3457142948</v>
      </c>
      <c r="R6">
        <f t="shared" ref="R6" si="7">R7+Q6</f>
        <v>39924538.442117281</v>
      </c>
      <c r="S6">
        <f t="shared" ref="S6" si="8">R6/100000</f>
        <v>399.24538442117279</v>
      </c>
      <c r="T6">
        <f t="shared" ref="T6" si="9">S6/1000</f>
        <v>0.3992453844211728</v>
      </c>
    </row>
    <row r="7" spans="1:20" x14ac:dyDescent="0.25">
      <c r="A7" s="5">
        <v>44586</v>
      </c>
      <c r="B7">
        <v>1.3580000000000001</v>
      </c>
      <c r="C7">
        <v>1.3879999999999999</v>
      </c>
      <c r="D7">
        <v>1.2490000000000001</v>
      </c>
      <c r="E7">
        <v>1.3560000000000001</v>
      </c>
      <c r="F7">
        <v>5026694.2</v>
      </c>
      <c r="G7">
        <v>1.3560000000000001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0.53956834532374309</v>
      </c>
      <c r="Q7">
        <f t="shared" ref="Q7" si="11">F7*P7</f>
        <v>2712245.0719424565</v>
      </c>
      <c r="R7">
        <f t="shared" ref="R7" si="12">R8+Q7</f>
        <v>42818220.787831575</v>
      </c>
      <c r="S7">
        <f t="shared" ref="S7" si="13">R7/100000</f>
        <v>428.18220787831575</v>
      </c>
      <c r="T7">
        <f t="shared" ref="T7" si="14">S7/1000</f>
        <v>0.42818220787831573</v>
      </c>
    </row>
    <row r="8" spans="1:20" x14ac:dyDescent="0.25">
      <c r="A8" s="5">
        <v>44585</v>
      </c>
      <c r="B8">
        <v>1.4630000000000001</v>
      </c>
      <c r="C8">
        <v>1.466</v>
      </c>
      <c r="D8">
        <v>1.1779999999999999</v>
      </c>
      <c r="E8">
        <v>1.357</v>
      </c>
      <c r="F8">
        <v>9586475</v>
      </c>
      <c r="G8">
        <v>1.357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0.24305555555555575</v>
      </c>
      <c r="Q8">
        <f t="shared" ref="Q8" si="16">F8*P8</f>
        <v>2330046.0069444464</v>
      </c>
      <c r="R8">
        <f t="shared" ref="R8" si="17">R9+Q8</f>
        <v>40105975.715889119</v>
      </c>
      <c r="S8">
        <f t="shared" ref="S8" si="18">R8/100000</f>
        <v>401.05975715889116</v>
      </c>
      <c r="T8">
        <f t="shared" ref="T8" si="19">S8/1000</f>
        <v>0.40105975715889114</v>
      </c>
    </row>
    <row r="9" spans="1:20" x14ac:dyDescent="0.25">
      <c r="A9" s="5">
        <v>44584</v>
      </c>
      <c r="B9">
        <v>1.409</v>
      </c>
      <c r="C9">
        <v>1.486</v>
      </c>
      <c r="D9">
        <v>1.355</v>
      </c>
      <c r="E9">
        <v>1.466</v>
      </c>
      <c r="F9">
        <v>4750256.3</v>
      </c>
      <c r="G9">
        <v>1.466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0.69465648854961803</v>
      </c>
      <c r="Q9">
        <f t="shared" ref="Q9" si="21">F9*P9</f>
        <v>3299796.3610687009</v>
      </c>
      <c r="R9">
        <f t="shared" ref="R9" si="22">R10+Q9</f>
        <v>37775929.708944671</v>
      </c>
      <c r="S9">
        <f t="shared" ref="S9" si="23">R9/100000</f>
        <v>377.7592970894467</v>
      </c>
      <c r="T9">
        <f t="shared" ref="T9" si="24">S9/1000</f>
        <v>0.37775929708944672</v>
      </c>
    </row>
    <row r="10" spans="1:20" x14ac:dyDescent="0.25">
      <c r="A10" s="5">
        <v>44583</v>
      </c>
      <c r="B10">
        <v>1.6659999999999999</v>
      </c>
      <c r="C10">
        <v>1.698</v>
      </c>
      <c r="D10">
        <v>1.254</v>
      </c>
      <c r="E10">
        <v>1.409</v>
      </c>
      <c r="F10">
        <v>9625340.6999999993</v>
      </c>
      <c r="G10">
        <v>1.409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-0.30180180180180161</v>
      </c>
      <c r="Q10">
        <f t="shared" ref="Q10" si="26">F10*P10</f>
        <v>-2904945.1662162142</v>
      </c>
      <c r="R10">
        <f t="shared" ref="R10" si="27">R11+Q10</f>
        <v>34476133.347875968</v>
      </c>
      <c r="S10">
        <f t="shared" ref="S10" si="28">R10/100000</f>
        <v>344.7613334787597</v>
      </c>
      <c r="T10">
        <f t="shared" ref="T10" si="29">S10/1000</f>
        <v>0.3447613334787597</v>
      </c>
    </row>
    <row r="11" spans="1:20" x14ac:dyDescent="0.25">
      <c r="A11" s="5">
        <v>44582</v>
      </c>
      <c r="B11">
        <v>1.919</v>
      </c>
      <c r="C11">
        <v>1.9510000000000001</v>
      </c>
      <c r="D11">
        <v>1.6279999999999999</v>
      </c>
      <c r="E11">
        <v>1.667</v>
      </c>
      <c r="F11">
        <v>9294366.5999999996</v>
      </c>
      <c r="G11">
        <v>1.667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-0.7585139318885441</v>
      </c>
      <c r="Q11">
        <f t="shared" ref="Q11" si="31">F11*P11</f>
        <v>-7049906.5541795585</v>
      </c>
      <c r="R11">
        <f t="shared" ref="R11" si="32">R12+Q11</f>
        <v>37381078.514092185</v>
      </c>
      <c r="S11">
        <f t="shared" ref="S11" si="33">R11/100000</f>
        <v>373.81078514092184</v>
      </c>
      <c r="T11">
        <f t="shared" ref="T11" si="34">S11/1000</f>
        <v>0.37381078514092186</v>
      </c>
    </row>
    <row r="12" spans="1:20" x14ac:dyDescent="0.25">
      <c r="A12" s="5">
        <v>44581</v>
      </c>
      <c r="B12">
        <v>2.0579999999999998</v>
      </c>
      <c r="C12">
        <v>2.2050000000000001</v>
      </c>
      <c r="D12">
        <v>1.91</v>
      </c>
      <c r="E12">
        <v>1.92</v>
      </c>
      <c r="F12">
        <v>9693063</v>
      </c>
      <c r="G12">
        <v>1.92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-0.93220338983050843</v>
      </c>
      <c r="Q12">
        <f t="shared" ref="Q12" si="36">F12*P12</f>
        <v>-9035906.1864406783</v>
      </c>
      <c r="R12">
        <f t="shared" ref="R12" si="37">R13+Q12</f>
        <v>44430985.068271741</v>
      </c>
      <c r="S12">
        <f t="shared" ref="S12" si="38">R12/100000</f>
        <v>444.30985068271741</v>
      </c>
      <c r="T12">
        <f t="shared" ref="T12" si="39">S12/1000</f>
        <v>0.44430985068271739</v>
      </c>
    </row>
    <row r="13" spans="1:20" x14ac:dyDescent="0.25">
      <c r="A13" s="5">
        <v>44580</v>
      </c>
      <c r="B13">
        <v>2.3290000000000002</v>
      </c>
      <c r="C13">
        <v>2.48</v>
      </c>
      <c r="D13">
        <v>2.0409999999999999</v>
      </c>
      <c r="E13">
        <v>2.0590000000000002</v>
      </c>
      <c r="F13">
        <v>18456613</v>
      </c>
      <c r="G13">
        <v>2.0590000000000002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-0.91799544419134294</v>
      </c>
      <c r="Q13">
        <f t="shared" ref="Q13" si="41">F13*P13</f>
        <v>-16943086.649202716</v>
      </c>
      <c r="R13">
        <f t="shared" ref="R13" si="42">R14+Q13</f>
        <v>53466891.254712418</v>
      </c>
      <c r="S13">
        <f t="shared" ref="S13" si="43">R13/100000</f>
        <v>534.66891254712414</v>
      </c>
      <c r="T13">
        <f t="shared" ref="T13" si="44">S13/1000</f>
        <v>0.53466891254712412</v>
      </c>
    </row>
    <row r="14" spans="1:20" x14ac:dyDescent="0.25">
      <c r="A14" s="5">
        <v>44579</v>
      </c>
      <c r="B14">
        <v>2.073</v>
      </c>
      <c r="C14">
        <v>2.9</v>
      </c>
      <c r="D14">
        <v>1.944</v>
      </c>
      <c r="E14">
        <v>2.33</v>
      </c>
      <c r="F14">
        <v>28574990.100000001</v>
      </c>
      <c r="G14">
        <v>2.33</v>
      </c>
      <c r="L14" t="s">
        <v>7</v>
      </c>
      <c r="M14" t="s">
        <v>8</v>
      </c>
      <c r="N14" t="s">
        <v>8</v>
      </c>
      <c r="P14">
        <f t="shared" ref="P14" si="45">IF(C14=D14,0,((E14-D14)-(C14-E14))/(C14-D14))</f>
        <v>-0.19246861924686165</v>
      </c>
      <c r="Q14">
        <f t="shared" ref="Q14" si="46">F14*P14</f>
        <v>-5499788.889539741</v>
      </c>
      <c r="R14">
        <f t="shared" ref="R14" si="47">R15+Q14</f>
        <v>70409977.903915137</v>
      </c>
      <c r="S14">
        <f t="shared" ref="S14" si="48">R14/100000</f>
        <v>704.09977903915137</v>
      </c>
      <c r="T14">
        <f t="shared" ref="T14" si="49">S14/1000</f>
        <v>0.70409977903915133</v>
      </c>
    </row>
    <row r="15" spans="1:20" x14ac:dyDescent="0.25">
      <c r="A15" s="5">
        <v>44578</v>
      </c>
      <c r="B15">
        <v>2.133</v>
      </c>
      <c r="C15">
        <v>2.1659999999999999</v>
      </c>
      <c r="D15">
        <v>2.0169999999999999</v>
      </c>
      <c r="E15">
        <v>2.0739999999999998</v>
      </c>
      <c r="F15">
        <v>3501092.5</v>
      </c>
      <c r="G15">
        <v>2.0739999999999998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-0.23489932885906131</v>
      </c>
      <c r="Q15">
        <f t="shared" ref="Q15" si="51">F15*P15</f>
        <v>-822404.27852349309</v>
      </c>
      <c r="R15">
        <f t="shared" ref="R15" si="52">R16+Q15</f>
        <v>75909766.793454871</v>
      </c>
      <c r="S15">
        <f t="shared" ref="S15" si="53">R15/100000</f>
        <v>759.09766793454867</v>
      </c>
      <c r="T15">
        <f t="shared" ref="T15" si="54">S15/1000</f>
        <v>0.75909766793454869</v>
      </c>
    </row>
    <row r="16" spans="1:20" x14ac:dyDescent="0.25">
      <c r="A16" s="5">
        <v>44577</v>
      </c>
      <c r="B16">
        <v>2.1360000000000001</v>
      </c>
      <c r="C16">
        <v>2.1560000000000001</v>
      </c>
      <c r="D16">
        <v>2.1019999999999999</v>
      </c>
      <c r="E16">
        <v>2.1309999999999998</v>
      </c>
      <c r="F16">
        <v>1247223.5</v>
      </c>
      <c r="G16">
        <v>2.1309999999999998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7.4074074074065549E-2</v>
      </c>
      <c r="Q16">
        <f t="shared" ref="Q16" si="56">F16*P16</f>
        <v>92386.92592591529</v>
      </c>
      <c r="R16">
        <f t="shared" ref="R16" si="57">R17+Q16</f>
        <v>76732171.07197836</v>
      </c>
      <c r="S16">
        <f t="shared" ref="S16" si="58">R16/100000</f>
        <v>767.3217107197836</v>
      </c>
      <c r="T16">
        <f t="shared" ref="T16" si="59">S16/1000</f>
        <v>0.76732171071978361</v>
      </c>
    </row>
    <row r="17" spans="1:20" x14ac:dyDescent="0.25">
      <c r="A17" s="5">
        <v>44576</v>
      </c>
      <c r="B17">
        <v>2.0880000000000001</v>
      </c>
      <c r="C17">
        <v>2.173</v>
      </c>
      <c r="D17">
        <v>2.081</v>
      </c>
      <c r="E17">
        <v>2.137</v>
      </c>
      <c r="F17">
        <v>1805029.5</v>
      </c>
      <c r="G17">
        <v>2.137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0.21739130434782608</v>
      </c>
      <c r="Q17">
        <f t="shared" ref="Q17" si="61">F17*P17</f>
        <v>392397.71739130432</v>
      </c>
      <c r="R17">
        <f t="shared" ref="R17" si="62">R18+Q17</f>
        <v>76639784.14605245</v>
      </c>
      <c r="S17">
        <f t="shared" ref="S17" si="63">R17/100000</f>
        <v>766.39784146052455</v>
      </c>
      <c r="T17">
        <f t="shared" ref="T17" si="64">S17/1000</f>
        <v>0.76639784146052459</v>
      </c>
    </row>
    <row r="18" spans="1:20" x14ac:dyDescent="0.25">
      <c r="A18" s="5">
        <v>44575</v>
      </c>
      <c r="B18">
        <v>2.048</v>
      </c>
      <c r="C18">
        <v>2.129</v>
      </c>
      <c r="D18">
        <v>1.988</v>
      </c>
      <c r="E18">
        <v>2.0880000000000001</v>
      </c>
      <c r="F18">
        <v>2013785.2</v>
      </c>
      <c r="G18">
        <v>2.0880000000000001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0.41843971631205784</v>
      </c>
      <c r="Q18">
        <f t="shared" ref="Q18" si="66">F18*P18</f>
        <v>842647.70780142059</v>
      </c>
      <c r="R18">
        <f t="shared" ref="R18" si="67">R19+Q18</f>
        <v>76247386.428661153</v>
      </c>
      <c r="S18">
        <f t="shared" ref="S18" si="68">R18/100000</f>
        <v>762.4738642866115</v>
      </c>
      <c r="T18">
        <f t="shared" ref="T18" si="69">S18/1000</f>
        <v>0.76247386428661146</v>
      </c>
    </row>
    <row r="19" spans="1:20" x14ac:dyDescent="0.25">
      <c r="A19" s="5">
        <v>44574</v>
      </c>
      <c r="B19">
        <v>2.1659999999999999</v>
      </c>
      <c r="C19">
        <v>2.1920000000000002</v>
      </c>
      <c r="D19">
        <v>2.0409999999999999</v>
      </c>
      <c r="E19">
        <v>2.0459999999999998</v>
      </c>
      <c r="F19">
        <v>2032344.9</v>
      </c>
      <c r="G19">
        <v>2.0459999999999998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-0.93377483443708764</v>
      </c>
      <c r="Q19">
        <f t="shared" ref="Q19" si="71">F19*P19</f>
        <v>-1897752.5225165593</v>
      </c>
      <c r="R19">
        <f t="shared" ref="R19" si="72">R20+Q19</f>
        <v>75404738.720859736</v>
      </c>
      <c r="S19">
        <f t="shared" ref="S19" si="73">R19/100000</f>
        <v>754.04738720859734</v>
      </c>
      <c r="T19">
        <f t="shared" ref="T19" si="74">S19/1000</f>
        <v>0.75404738720859732</v>
      </c>
    </row>
    <row r="20" spans="1:20" x14ac:dyDescent="0.25">
      <c r="A20" s="5">
        <v>44573</v>
      </c>
      <c r="B20">
        <v>2.0979999999999999</v>
      </c>
      <c r="C20">
        <v>2.1819999999999999</v>
      </c>
      <c r="D20">
        <v>2.0489999999999999</v>
      </c>
      <c r="E20">
        <v>2.165</v>
      </c>
      <c r="F20">
        <v>2726785.8</v>
      </c>
      <c r="G20">
        <v>2.165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0.74436090225564056</v>
      </c>
      <c r="Q20">
        <f t="shared" ref="Q20" si="76">F20*P20</f>
        <v>2029712.7383458684</v>
      </c>
      <c r="R20">
        <f t="shared" ref="R20" si="77">R21+Q20</f>
        <v>77302491.2433763</v>
      </c>
      <c r="S20">
        <f t="shared" ref="S20" si="78">R20/100000</f>
        <v>773.02491243376301</v>
      </c>
      <c r="T20">
        <f t="shared" ref="T20" si="79">S20/1000</f>
        <v>0.77302491243376303</v>
      </c>
    </row>
    <row r="21" spans="1:20" x14ac:dyDescent="0.25">
      <c r="A21" s="5">
        <v>44572</v>
      </c>
      <c r="B21">
        <v>1.982</v>
      </c>
      <c r="C21">
        <v>2.1030000000000002</v>
      </c>
      <c r="D21">
        <v>1.88</v>
      </c>
      <c r="E21">
        <v>2.0960000000000001</v>
      </c>
      <c r="F21">
        <v>2761823.7</v>
      </c>
      <c r="G21">
        <v>2.0960000000000001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0.93721973094170308</v>
      </c>
      <c r="Q21">
        <f t="shared" ref="Q21" si="81">F21*P21</f>
        <v>2588435.6650224188</v>
      </c>
      <c r="R21">
        <f t="shared" ref="R21" si="82">R22+Q21</f>
        <v>75272778.505030438</v>
      </c>
      <c r="S21">
        <f t="shared" ref="S21" si="83">R21/100000</f>
        <v>752.72778505030442</v>
      </c>
      <c r="T21">
        <f t="shared" ref="T21" si="84">S21/1000</f>
        <v>0.75272778505030447</v>
      </c>
    </row>
    <row r="22" spans="1:20" x14ac:dyDescent="0.25">
      <c r="A22" s="5">
        <v>44571</v>
      </c>
      <c r="B22">
        <v>2.0619999999999998</v>
      </c>
      <c r="C22">
        <v>2.0779999999999998</v>
      </c>
      <c r="D22">
        <v>1.843</v>
      </c>
      <c r="E22">
        <v>1.982</v>
      </c>
      <c r="F22">
        <v>4516385.3</v>
      </c>
      <c r="G22">
        <v>1.982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0.18297872340425606</v>
      </c>
      <c r="Q22">
        <f t="shared" ref="Q22" si="86">F22*P22</f>
        <v>826402.41659574793</v>
      </c>
      <c r="R22">
        <f t="shared" ref="R22" si="87">R23+Q22</f>
        <v>72684342.84000802</v>
      </c>
      <c r="S22">
        <f t="shared" ref="S22" si="88">R22/100000</f>
        <v>726.84342840008026</v>
      </c>
      <c r="T22">
        <f t="shared" ref="T22" si="89">S22/1000</f>
        <v>0.7268434284000802</v>
      </c>
    </row>
    <row r="23" spans="1:20" x14ac:dyDescent="0.25">
      <c r="A23" s="5">
        <v>44570</v>
      </c>
      <c r="B23">
        <v>2.048</v>
      </c>
      <c r="C23">
        <v>2.0979999999999999</v>
      </c>
      <c r="D23">
        <v>2</v>
      </c>
      <c r="E23">
        <v>2.0640000000000001</v>
      </c>
      <c r="F23">
        <v>1997205.3</v>
      </c>
      <c r="G23">
        <v>2.0640000000000001</v>
      </c>
      <c r="L23" t="s">
        <v>8</v>
      </c>
      <c r="M23" t="s">
        <v>7</v>
      </c>
      <c r="N23" t="s">
        <v>8</v>
      </c>
      <c r="P23">
        <f t="shared" ref="P23" si="90">IF(C23=D23,0,((E23-D23)-(C23-E23))/(C23-D23))</f>
        <v>0.30612244897959479</v>
      </c>
      <c r="Q23">
        <f t="shared" ref="Q23" si="91">F23*P23</f>
        <v>611389.37755102629</v>
      </c>
      <c r="R23">
        <f t="shared" ref="R23" si="92">R24+Q23</f>
        <v>71857940.423412278</v>
      </c>
      <c r="S23">
        <f t="shared" ref="S23" si="93">R23/100000</f>
        <v>718.57940423412276</v>
      </c>
      <c r="T23">
        <f t="shared" ref="T23" si="94">S23/1000</f>
        <v>0.71857940423412281</v>
      </c>
    </row>
    <row r="24" spans="1:20" x14ac:dyDescent="0.25">
      <c r="A24" s="5">
        <v>44569</v>
      </c>
      <c r="B24">
        <v>2.0960000000000001</v>
      </c>
      <c r="C24">
        <v>2.1440000000000001</v>
      </c>
      <c r="D24">
        <v>1.954</v>
      </c>
      <c r="E24">
        <v>2.048</v>
      </c>
      <c r="F24">
        <v>3311858.1</v>
      </c>
      <c r="G24">
        <v>2.048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-1.0526315789473684E-2</v>
      </c>
      <c r="Q24">
        <f t="shared" ref="Q24" si="96">F24*P24</f>
        <v>-34861.664210526316</v>
      </c>
      <c r="R24">
        <f t="shared" ref="R24" si="97">R25+Q24</f>
        <v>71246551.045861259</v>
      </c>
      <c r="S24">
        <f t="shared" ref="S24" si="98">R24/100000</f>
        <v>712.46551045861258</v>
      </c>
      <c r="T24">
        <f t="shared" ref="T24" si="99">S24/1000</f>
        <v>0.71246551045861262</v>
      </c>
    </row>
    <row r="25" spans="1:20" x14ac:dyDescent="0.25">
      <c r="A25" s="5">
        <v>44568</v>
      </c>
      <c r="B25">
        <v>2.1869999999999998</v>
      </c>
      <c r="C25">
        <v>2.1920000000000002</v>
      </c>
      <c r="D25">
        <v>1.9950000000000001</v>
      </c>
      <c r="E25">
        <v>2.0950000000000002</v>
      </c>
      <c r="F25">
        <v>4711801.8</v>
      </c>
      <c r="G25">
        <v>2.0950000000000002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1.5228426395939659E-2</v>
      </c>
      <c r="Q25">
        <f t="shared" ref="Q25" si="101">F25*P25</f>
        <v>71753.326903555993</v>
      </c>
      <c r="R25">
        <f t="shared" ref="R25" si="102">R26+Q25</f>
        <v>71281412.710071787</v>
      </c>
      <c r="S25">
        <f t="shared" ref="S25" si="103">R25/100000</f>
        <v>712.81412710071788</v>
      </c>
      <c r="T25">
        <f t="shared" ref="T25" si="104">S25/1000</f>
        <v>0.7128141271007179</v>
      </c>
    </row>
    <row r="26" spans="1:20" x14ac:dyDescent="0.25">
      <c r="A26" s="5">
        <v>44567</v>
      </c>
      <c r="B26">
        <v>2.242</v>
      </c>
      <c r="C26">
        <v>2.2589999999999999</v>
      </c>
      <c r="D26">
        <v>2.0640000000000001</v>
      </c>
      <c r="E26">
        <v>2.19</v>
      </c>
      <c r="F26">
        <v>4341639.5</v>
      </c>
      <c r="G26">
        <v>2.19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0.29230769230769221</v>
      </c>
      <c r="Q26">
        <f t="shared" ref="Q26" si="106">F26*P26</f>
        <v>1269094.6230769227</v>
      </c>
      <c r="R26">
        <f t="shared" ref="R26" si="107">R27+Q26</f>
        <v>71209659.383168235</v>
      </c>
      <c r="S26">
        <f t="shared" ref="S26" si="108">R26/100000</f>
        <v>712.0965938316823</v>
      </c>
      <c r="T26">
        <f t="shared" ref="T26" si="109">S26/1000</f>
        <v>0.71209659383168233</v>
      </c>
    </row>
    <row r="27" spans="1:20" x14ac:dyDescent="0.25">
      <c r="A27" s="5">
        <v>44566</v>
      </c>
      <c r="B27">
        <v>2.3410000000000002</v>
      </c>
      <c r="C27">
        <v>2.4710000000000001</v>
      </c>
      <c r="D27">
        <v>2.093</v>
      </c>
      <c r="E27">
        <v>2.238</v>
      </c>
      <c r="F27">
        <v>6081187.9000000004</v>
      </c>
      <c r="G27">
        <v>2.238</v>
      </c>
      <c r="L27" t="s">
        <v>8</v>
      </c>
      <c r="M27" t="s">
        <v>8</v>
      </c>
      <c r="N27" t="s">
        <v>8</v>
      </c>
      <c r="P27">
        <f t="shared" ref="P27" si="110">IF(C27=D27,0,((E27-D27)-(C27-E27))/(C27-D27))</f>
        <v>-0.23280423280423293</v>
      </c>
      <c r="Q27">
        <f t="shared" ref="Q27" si="111">F27*P27</f>
        <v>-1415726.2835978845</v>
      </c>
      <c r="R27">
        <f t="shared" ref="R27" si="112">R28+Q27</f>
        <v>69940564.76009132</v>
      </c>
      <c r="S27">
        <f t="shared" ref="S27" si="113">R27/100000</f>
        <v>699.4056476009132</v>
      </c>
      <c r="T27">
        <f t="shared" ref="T27" si="114">S27/1000</f>
        <v>0.69940564760091317</v>
      </c>
    </row>
    <row r="28" spans="1:20" x14ac:dyDescent="0.25">
      <c r="A28" s="5">
        <v>44565</v>
      </c>
      <c r="B28">
        <v>2.294</v>
      </c>
      <c r="C28">
        <v>2.4049999999999998</v>
      </c>
      <c r="D28">
        <v>2.254</v>
      </c>
      <c r="E28">
        <v>2.3420000000000001</v>
      </c>
      <c r="F28">
        <v>2798664.4</v>
      </c>
      <c r="G28">
        <v>2.3420000000000001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0.16556291390728733</v>
      </c>
      <c r="Q28">
        <f t="shared" ref="Q28" si="116">F28*P28</f>
        <v>463355.03311258997</v>
      </c>
      <c r="R28">
        <f t="shared" ref="R28" si="117">R29+Q28</f>
        <v>71356291.043689206</v>
      </c>
      <c r="S28">
        <f t="shared" ref="S28" si="118">R28/100000</f>
        <v>713.56291043689203</v>
      </c>
      <c r="T28">
        <f t="shared" ref="T28" si="119">S28/1000</f>
        <v>0.71356291043689202</v>
      </c>
    </row>
    <row r="29" spans="1:20" x14ac:dyDescent="0.25">
      <c r="A29" s="5">
        <v>44564</v>
      </c>
      <c r="B29">
        <v>2.3980000000000001</v>
      </c>
      <c r="C29">
        <v>2.399</v>
      </c>
      <c r="D29">
        <v>2.2170000000000001</v>
      </c>
      <c r="E29">
        <v>2.29</v>
      </c>
      <c r="F29">
        <v>2289217.2999999998</v>
      </c>
      <c r="G29">
        <v>2.29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-0.19780219780219804</v>
      </c>
      <c r="Q29">
        <f t="shared" ref="Q29" si="121">F29*P29</f>
        <v>-452812.21318681369</v>
      </c>
      <c r="R29">
        <f t="shared" ref="R29" si="122">R30+Q29</f>
        <v>70892936.010576621</v>
      </c>
      <c r="S29">
        <f t="shared" ref="S29" si="123">R29/100000</f>
        <v>708.92936010576625</v>
      </c>
      <c r="T29">
        <f t="shared" ref="T29" si="124">S29/1000</f>
        <v>0.70892936010576624</v>
      </c>
    </row>
    <row r="30" spans="1:20" x14ac:dyDescent="0.25">
      <c r="A30" s="5">
        <v>44563</v>
      </c>
      <c r="B30">
        <v>2.2810000000000001</v>
      </c>
      <c r="C30">
        <v>2.4129999999999998</v>
      </c>
      <c r="D30">
        <v>2.2789999999999999</v>
      </c>
      <c r="E30">
        <v>2.3980000000000001</v>
      </c>
      <c r="F30">
        <v>2785907.1</v>
      </c>
      <c r="G30">
        <v>2.3980000000000001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0.7761194029850792</v>
      </c>
      <c r="Q30">
        <f t="shared" ref="Q30" si="126">F30*P30</f>
        <v>2162196.5552238934</v>
      </c>
      <c r="R30">
        <f t="shared" ref="R30" si="127">R31+Q30</f>
        <v>71345748.223763436</v>
      </c>
      <c r="S30">
        <f t="shared" ref="S30" si="128">R30/100000</f>
        <v>713.45748223763439</v>
      </c>
      <c r="T30">
        <f t="shared" ref="T30" si="129">S30/1000</f>
        <v>0.71345748223763439</v>
      </c>
    </row>
    <row r="31" spans="1:20" x14ac:dyDescent="0.25">
      <c r="A31" s="5">
        <v>44562</v>
      </c>
      <c r="B31">
        <v>2.1669999999999998</v>
      </c>
      <c r="C31">
        <v>2.2959999999999998</v>
      </c>
      <c r="D31">
        <v>2.1640000000000001</v>
      </c>
      <c r="E31">
        <v>2.2850000000000001</v>
      </c>
      <c r="F31">
        <v>1474553.4</v>
      </c>
      <c r="G31">
        <v>2.2850000000000001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0.83333333333333781</v>
      </c>
      <c r="Q31">
        <f t="shared" ref="Q31" si="131">F31*P31</f>
        <v>1228794.5000000065</v>
      </c>
      <c r="R31">
        <f t="shared" ref="R31" si="132">R32+Q31</f>
        <v>69183551.668539539</v>
      </c>
      <c r="S31">
        <f t="shared" ref="S31" si="133">R31/100000</f>
        <v>691.83551668539542</v>
      </c>
      <c r="T31">
        <f t="shared" ref="T31" si="134">S31/1000</f>
        <v>0.69183551668539545</v>
      </c>
    </row>
    <row r="32" spans="1:20" x14ac:dyDescent="0.25">
      <c r="A32" s="5">
        <v>44561</v>
      </c>
      <c r="B32">
        <v>2.2000000000000002</v>
      </c>
      <c r="C32">
        <v>2.2839999999999998</v>
      </c>
      <c r="D32">
        <v>2.1059999999999999</v>
      </c>
      <c r="E32">
        <v>2.1659999999999999</v>
      </c>
      <c r="F32">
        <v>1574641.5</v>
      </c>
      <c r="G32">
        <v>2.1659999999999999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-0.32584269662921267</v>
      </c>
      <c r="Q32">
        <f t="shared" ref="Q32" si="136">F32*P32</f>
        <v>-513085.43258426839</v>
      </c>
      <c r="R32">
        <f t="shared" ref="R32" si="137">R33+Q32</f>
        <v>67954757.168539539</v>
      </c>
      <c r="S32">
        <f t="shared" ref="S32" si="138">R32/100000</f>
        <v>679.54757168539538</v>
      </c>
      <c r="T32">
        <f t="shared" ref="T32" si="139">S32/1000</f>
        <v>0.67954757168539537</v>
      </c>
    </row>
    <row r="33" spans="1:20" x14ac:dyDescent="0.25">
      <c r="A33" s="5">
        <v>44560</v>
      </c>
      <c r="B33">
        <v>2.1320000000000001</v>
      </c>
      <c r="C33">
        <v>2.258</v>
      </c>
      <c r="D33">
        <v>2.0760000000000001</v>
      </c>
      <c r="E33">
        <v>2.2000000000000002</v>
      </c>
      <c r="F33">
        <v>1704384.9</v>
      </c>
      <c r="G33">
        <v>2.2000000000000002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0.36263736263736429</v>
      </c>
      <c r="Q33">
        <f t="shared" ref="Q33" si="141">F33*P33</f>
        <v>618073.64505494782</v>
      </c>
      <c r="R33">
        <f t="shared" ref="R33" si="142">R34+Q33</f>
        <v>68467842.60112381</v>
      </c>
      <c r="S33">
        <f t="shared" ref="S33" si="143">R33/100000</f>
        <v>684.67842601123812</v>
      </c>
      <c r="T33">
        <f t="shared" ref="T33" si="144">S33/1000</f>
        <v>0.68467842601123807</v>
      </c>
    </row>
    <row r="34" spans="1:20" x14ac:dyDescent="0.25">
      <c r="A34" s="5">
        <v>44559</v>
      </c>
      <c r="B34">
        <v>2.274</v>
      </c>
      <c r="C34">
        <v>2.3090000000000002</v>
      </c>
      <c r="D34">
        <v>2.097</v>
      </c>
      <c r="E34">
        <v>2.1339999999999999</v>
      </c>
      <c r="F34">
        <v>3426139.2</v>
      </c>
      <c r="G34">
        <v>2.1339999999999999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-0.65094339622641617</v>
      </c>
      <c r="Q34">
        <f t="shared" ref="Q34" si="146">F34*P34</f>
        <v>-2230222.6867924565</v>
      </c>
      <c r="R34">
        <f t="shared" ref="R34" si="147">R35+Q34</f>
        <v>67849768.956068859</v>
      </c>
      <c r="S34">
        <f t="shared" ref="S34" si="148">R34/100000</f>
        <v>678.49768956068863</v>
      </c>
      <c r="T34">
        <f t="shared" ref="T34" si="149">S34/1000</f>
        <v>0.67849768956068868</v>
      </c>
    </row>
    <row r="35" spans="1:20" x14ac:dyDescent="0.25">
      <c r="A35" s="5">
        <v>44558</v>
      </c>
      <c r="B35">
        <v>2.613</v>
      </c>
      <c r="C35">
        <v>2.7</v>
      </c>
      <c r="D35">
        <v>2.2469999999999999</v>
      </c>
      <c r="E35">
        <v>2.2759999999999998</v>
      </c>
      <c r="F35">
        <v>4626284.5</v>
      </c>
      <c r="G35">
        <v>2.2759999999999998</v>
      </c>
      <c r="L35" t="s">
        <v>8</v>
      </c>
      <c r="M35" t="s">
        <v>8</v>
      </c>
      <c r="N35" t="s">
        <v>8</v>
      </c>
      <c r="P35">
        <f t="shared" ref="P35" si="150">IF(C35=D35,0,((E35-D35)-(C35-E35))/(C35-D35))</f>
        <v>-0.87196467991170024</v>
      </c>
      <c r="Q35">
        <f t="shared" ref="Q35" si="151">F35*P35</f>
        <v>-4033956.6832229602</v>
      </c>
      <c r="R35">
        <f t="shared" ref="R35" si="152">R36+Q35</f>
        <v>70079991.642861322</v>
      </c>
      <c r="S35">
        <f t="shared" ref="S35" si="153">R35/100000</f>
        <v>700.79991642861319</v>
      </c>
      <c r="T35">
        <f t="shared" ref="T35" si="154">S35/1000</f>
        <v>0.70079991642861317</v>
      </c>
    </row>
    <row r="36" spans="1:20" x14ac:dyDescent="0.25">
      <c r="A36" s="5">
        <v>44557</v>
      </c>
      <c r="B36">
        <v>2.351</v>
      </c>
      <c r="C36">
        <v>2.64</v>
      </c>
      <c r="D36">
        <v>2.347</v>
      </c>
      <c r="E36">
        <v>2.613</v>
      </c>
      <c r="F36">
        <v>5445313.9000000004</v>
      </c>
      <c r="G36">
        <v>2.613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0.81569965870307082</v>
      </c>
      <c r="Q36">
        <f t="shared" ref="Q36" si="156">F36*P36</f>
        <v>4441740.6897610882</v>
      </c>
      <c r="R36">
        <f t="shared" ref="R36" si="157">R37+Q36</f>
        <v>74113948.326084286</v>
      </c>
      <c r="S36">
        <f t="shared" ref="S36" si="158">R36/100000</f>
        <v>741.13948326084289</v>
      </c>
      <c r="T36">
        <f t="shared" ref="T36" si="159">S36/1000</f>
        <v>0.74113948326084289</v>
      </c>
    </row>
    <row r="37" spans="1:20" x14ac:dyDescent="0.25">
      <c r="A37" s="5">
        <v>44556</v>
      </c>
      <c r="B37">
        <v>2.302</v>
      </c>
      <c r="C37">
        <v>2.3620000000000001</v>
      </c>
      <c r="D37">
        <v>2.2290000000000001</v>
      </c>
      <c r="E37">
        <v>2.351</v>
      </c>
      <c r="F37">
        <v>1521614.8</v>
      </c>
      <c r="G37">
        <v>2.351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0.83458646616541177</v>
      </c>
      <c r="Q37">
        <f t="shared" ref="Q37" si="161">F37*P37</f>
        <v>1269919.1187969898</v>
      </c>
      <c r="R37">
        <f t="shared" ref="R37" si="162">R38+Q37</f>
        <v>69672207.636323199</v>
      </c>
      <c r="S37">
        <f t="shared" ref="S37" si="163">R37/100000</f>
        <v>696.72207636323196</v>
      </c>
      <c r="T37">
        <f t="shared" ref="T37" si="164">S37/1000</f>
        <v>0.69672207636323191</v>
      </c>
    </row>
    <row r="38" spans="1:20" x14ac:dyDescent="0.25">
      <c r="A38" s="5">
        <v>44555</v>
      </c>
      <c r="B38">
        <v>2.25</v>
      </c>
      <c r="C38">
        <v>2.4</v>
      </c>
      <c r="D38">
        <v>2.214</v>
      </c>
      <c r="E38">
        <v>2.3039999999999998</v>
      </c>
      <c r="F38">
        <v>2003666.7</v>
      </c>
      <c r="G38">
        <v>2.3039999999999998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-3.2258064516130266E-2</v>
      </c>
      <c r="Q38">
        <f t="shared" ref="Q38" si="166">F38*P38</f>
        <v>-64634.409677421827</v>
      </c>
      <c r="R38">
        <f t="shared" ref="R38" si="167">R39+Q38</f>
        <v>68402288.517526209</v>
      </c>
      <c r="S38">
        <f t="shared" ref="S38" si="168">R38/100000</f>
        <v>684.0228851752621</v>
      </c>
      <c r="T38">
        <f t="shared" ref="T38" si="169">S38/1000</f>
        <v>0.68402288517526211</v>
      </c>
    </row>
    <row r="39" spans="1:20" x14ac:dyDescent="0.25">
      <c r="A39" s="5">
        <v>44554</v>
      </c>
      <c r="B39">
        <v>2.3439999999999999</v>
      </c>
      <c r="C39">
        <v>2.407</v>
      </c>
      <c r="D39">
        <v>2.2189999999999999</v>
      </c>
      <c r="E39">
        <v>2.2480000000000002</v>
      </c>
      <c r="F39">
        <v>2858566.4</v>
      </c>
      <c r="G39">
        <v>2.2480000000000002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-0.69148936170212416</v>
      </c>
      <c r="Q39">
        <f t="shared" ref="Q39" si="171">F39*P39</f>
        <v>-1976668.2553191388</v>
      </c>
      <c r="R39">
        <f t="shared" ref="R39" si="172">R40+Q39</f>
        <v>68466922.927203625</v>
      </c>
      <c r="S39">
        <f t="shared" ref="S39" si="173">R39/100000</f>
        <v>684.6692292720362</v>
      </c>
      <c r="T39">
        <f t="shared" ref="T39" si="174">S39/1000</f>
        <v>0.68466922927203622</v>
      </c>
    </row>
    <row r="40" spans="1:20" x14ac:dyDescent="0.25">
      <c r="A40" s="5">
        <v>44553</v>
      </c>
      <c r="B40">
        <v>2.1859999999999999</v>
      </c>
      <c r="C40">
        <v>2.3730000000000002</v>
      </c>
      <c r="D40">
        <v>2.145</v>
      </c>
      <c r="E40">
        <v>2.343</v>
      </c>
      <c r="F40">
        <v>3778730.7</v>
      </c>
      <c r="G40">
        <v>2.343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0.73684210526315597</v>
      </c>
      <c r="Q40">
        <f t="shared" ref="Q40" si="176">F40*P40</f>
        <v>2784327.884210519</v>
      </c>
      <c r="R40">
        <f t="shared" ref="R40" si="177">R41+Q40</f>
        <v>70443591.182522759</v>
      </c>
      <c r="S40">
        <f t="shared" ref="S40" si="178">R40/100000</f>
        <v>704.43591182522755</v>
      </c>
      <c r="T40">
        <f t="shared" ref="T40" si="179">S40/1000</f>
        <v>0.70443591182522758</v>
      </c>
    </row>
    <row r="41" spans="1:20" x14ac:dyDescent="0.25">
      <c r="A41" s="5">
        <v>44552</v>
      </c>
      <c r="B41">
        <v>2.1280000000000001</v>
      </c>
      <c r="C41">
        <v>2.25</v>
      </c>
      <c r="D41">
        <v>2.1110000000000002</v>
      </c>
      <c r="E41">
        <v>2.1880000000000002</v>
      </c>
      <c r="F41">
        <v>3412882</v>
      </c>
      <c r="G41">
        <v>2.1880000000000002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0.10791366906474927</v>
      </c>
      <c r="Q41">
        <f t="shared" ref="Q41" si="181">F41*P41</f>
        <v>368296.61870503961</v>
      </c>
      <c r="R41">
        <f t="shared" ref="R41" si="182">R42+Q41</f>
        <v>67659263.298312247</v>
      </c>
      <c r="S41">
        <f t="shared" ref="S41" si="183">R41/100000</f>
        <v>676.59263298312248</v>
      </c>
      <c r="T41">
        <f t="shared" ref="T41" si="184">S41/1000</f>
        <v>0.67659263298312244</v>
      </c>
    </row>
    <row r="42" spans="1:20" x14ac:dyDescent="0.25">
      <c r="A42" s="5">
        <v>44551</v>
      </c>
      <c r="B42">
        <v>2.0169999999999999</v>
      </c>
      <c r="C42">
        <v>2.14</v>
      </c>
      <c r="D42">
        <v>1.9730000000000001</v>
      </c>
      <c r="E42">
        <v>2.1280000000000001</v>
      </c>
      <c r="F42">
        <v>2067201.9</v>
      </c>
      <c r="G42">
        <v>2.1280000000000001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0.85628742514970047</v>
      </c>
      <c r="Q42">
        <f t="shared" ref="Q42" si="186">F42*P42</f>
        <v>1770118.9922155684</v>
      </c>
      <c r="R42">
        <f t="shared" ref="R42" si="187">R43+Q42</f>
        <v>67290966.679607213</v>
      </c>
      <c r="S42">
        <f t="shared" ref="S42" si="188">R42/100000</f>
        <v>672.90966679607209</v>
      </c>
      <c r="T42">
        <f t="shared" ref="T42" si="189">S42/1000</f>
        <v>0.67290966679607211</v>
      </c>
    </row>
    <row r="43" spans="1:20" x14ac:dyDescent="0.25">
      <c r="A43" s="5">
        <v>44550</v>
      </c>
      <c r="B43">
        <v>2.0649999999999999</v>
      </c>
      <c r="C43">
        <v>2.0840000000000001</v>
      </c>
      <c r="D43">
        <v>1.9379999999999999</v>
      </c>
      <c r="E43">
        <v>2.0169999999999999</v>
      </c>
      <c r="F43">
        <v>2422360.2000000002</v>
      </c>
      <c r="G43">
        <v>2.0169999999999999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8.2191780821916291E-2</v>
      </c>
      <c r="Q43">
        <f t="shared" ref="Q43" si="191">F43*P43</f>
        <v>199098.09863013332</v>
      </c>
      <c r="R43">
        <f t="shared" ref="R43" si="192">R44+Q43</f>
        <v>65520847.687391646</v>
      </c>
      <c r="S43">
        <f t="shared" ref="S43" si="193">R43/100000</f>
        <v>655.20847687391642</v>
      </c>
      <c r="T43">
        <f t="shared" ref="T43" si="194">S43/1000</f>
        <v>0.65520847687391648</v>
      </c>
    </row>
    <row r="44" spans="1:20" x14ac:dyDescent="0.25">
      <c r="A44" s="5">
        <v>44549</v>
      </c>
      <c r="B44">
        <v>2.089</v>
      </c>
      <c r="C44">
        <v>2.1619999999999999</v>
      </c>
      <c r="D44">
        <v>2.0550000000000002</v>
      </c>
      <c r="E44">
        <v>2.0670000000000002</v>
      </c>
      <c r="F44">
        <v>2392518.2999999998</v>
      </c>
      <c r="G44">
        <v>2.0670000000000002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-0.77570093457943856</v>
      </c>
      <c r="Q44">
        <f t="shared" ref="Q44" si="196">F44*P44</f>
        <v>-1855878.6813084094</v>
      </c>
      <c r="R44">
        <f t="shared" ref="R44" si="197">R45+Q44</f>
        <v>65321749.588761516</v>
      </c>
      <c r="S44">
        <f t="shared" ref="S44" si="198">R44/100000</f>
        <v>653.2174958876152</v>
      </c>
      <c r="T44">
        <f t="shared" ref="T44" si="199">S44/1000</f>
        <v>0.65321749588761524</v>
      </c>
    </row>
    <row r="45" spans="1:20" x14ac:dyDescent="0.25">
      <c r="A45" s="5">
        <v>44548</v>
      </c>
      <c r="B45">
        <v>2.0499999999999998</v>
      </c>
      <c r="C45">
        <v>2.1120000000000001</v>
      </c>
      <c r="D45">
        <v>1.9830000000000001</v>
      </c>
      <c r="E45">
        <v>2.09</v>
      </c>
      <c r="F45">
        <v>2567923.9</v>
      </c>
      <c r="G45">
        <v>2.09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0.65891472868216683</v>
      </c>
      <c r="Q45">
        <f t="shared" ref="Q45" si="201">F45*P45</f>
        <v>1692042.8798449517</v>
      </c>
      <c r="R45">
        <f t="shared" ref="R45" si="202">R46+Q45</f>
        <v>67177628.270069927</v>
      </c>
      <c r="S45">
        <f t="shared" ref="S45" si="203">R45/100000</f>
        <v>671.77628270069931</v>
      </c>
      <c r="T45">
        <f t="shared" ref="T45" si="204">S45/1000</f>
        <v>0.67177628270069933</v>
      </c>
    </row>
    <row r="46" spans="1:20" x14ac:dyDescent="0.25">
      <c r="A46" s="5">
        <v>44547</v>
      </c>
      <c r="B46">
        <v>2.1339999999999999</v>
      </c>
      <c r="C46">
        <v>2.1640000000000001</v>
      </c>
      <c r="D46">
        <v>1.9670000000000001</v>
      </c>
      <c r="E46">
        <v>2.0499999999999998</v>
      </c>
      <c r="F46">
        <v>3900355.4</v>
      </c>
      <c r="G46">
        <v>2.0499999999999998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-0.15736040609137347</v>
      </c>
      <c r="Q46">
        <f t="shared" ref="Q46" si="206">F46*P46</f>
        <v>-613761.50964468135</v>
      </c>
      <c r="R46">
        <f t="shared" ref="R46" si="207">R47+Q46</f>
        <v>65485585.390224971</v>
      </c>
      <c r="S46">
        <f t="shared" ref="S46" si="208">R46/100000</f>
        <v>654.85585390224969</v>
      </c>
      <c r="T46">
        <f t="shared" ref="T46" si="209">S46/1000</f>
        <v>0.65485585390224965</v>
      </c>
    </row>
    <row r="47" spans="1:20" x14ac:dyDescent="0.25">
      <c r="A47" s="5">
        <v>44546</v>
      </c>
      <c r="B47">
        <v>2.2130000000000001</v>
      </c>
      <c r="C47">
        <v>2.2949999999999999</v>
      </c>
      <c r="D47">
        <v>2.1110000000000002</v>
      </c>
      <c r="E47">
        <v>2.1339999999999999</v>
      </c>
      <c r="F47">
        <v>4925359.0999999996</v>
      </c>
      <c r="G47">
        <v>2.1339999999999999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-0.750000000000003</v>
      </c>
      <c r="Q47">
        <f t="shared" ref="Q47" si="211">F47*P47</f>
        <v>-3694019.3250000146</v>
      </c>
      <c r="R47">
        <f t="shared" ref="R47" si="212">R48+Q47</f>
        <v>66099346.899869651</v>
      </c>
      <c r="S47">
        <f t="shared" ref="S47" si="213">R47/100000</f>
        <v>660.99346899869647</v>
      </c>
      <c r="T47">
        <f t="shared" ref="T47" si="214">S47/1000</f>
        <v>0.66099346899869649</v>
      </c>
    </row>
    <row r="48" spans="1:20" x14ac:dyDescent="0.25">
      <c r="A48" s="5">
        <v>44545</v>
      </c>
      <c r="B48">
        <v>1.956</v>
      </c>
      <c r="C48">
        <v>2.25</v>
      </c>
      <c r="D48">
        <v>1.8089999999999999</v>
      </c>
      <c r="E48">
        <v>2.2120000000000002</v>
      </c>
      <c r="F48">
        <v>5248628.0999999996</v>
      </c>
      <c r="G48">
        <v>2.2120000000000002</v>
      </c>
      <c r="L48" t="s">
        <v>8</v>
      </c>
      <c r="M48" t="s">
        <v>8</v>
      </c>
      <c r="N48" t="s">
        <v>8</v>
      </c>
      <c r="P48">
        <f t="shared" ref="P48" si="215">IF(C48=D48,0,((E48-D48)-(C48-E48))/(C48-D48))</f>
        <v>0.8276643990929714</v>
      </c>
      <c r="Q48">
        <f t="shared" ref="Q48" si="216">F48*P48</f>
        <v>4344102.6224489836</v>
      </c>
      <c r="R48">
        <f t="shared" ref="R48" si="217">R49+Q48</f>
        <v>69793366.224869668</v>
      </c>
      <c r="S48">
        <f t="shared" ref="S48" si="218">R48/100000</f>
        <v>697.93366224869669</v>
      </c>
      <c r="T48">
        <f t="shared" ref="T48" si="219">S48/1000</f>
        <v>0.69793366224869668</v>
      </c>
    </row>
    <row r="49" spans="1:20" x14ac:dyDescent="0.25">
      <c r="A49" s="5">
        <v>44544</v>
      </c>
      <c r="B49">
        <v>1.86</v>
      </c>
      <c r="C49">
        <v>1.9710000000000001</v>
      </c>
      <c r="D49">
        <v>1.7749999999999999</v>
      </c>
      <c r="E49">
        <v>1.9570000000000001</v>
      </c>
      <c r="F49">
        <v>3624525.8</v>
      </c>
      <c r="G49">
        <v>1.9570000000000001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0.8571428571428571</v>
      </c>
      <c r="Q49">
        <f t="shared" ref="Q49" si="221">F49*P49</f>
        <v>3106736.3999999994</v>
      </c>
      <c r="R49">
        <f t="shared" ref="R49" si="222">R50+Q49</f>
        <v>65449263.60242068</v>
      </c>
      <c r="S49">
        <f t="shared" ref="S49" si="223">R49/100000</f>
        <v>654.49263602420683</v>
      </c>
      <c r="T49">
        <f t="shared" ref="T49" si="224">S49/1000</f>
        <v>0.65449263602420682</v>
      </c>
    </row>
    <row r="50" spans="1:20" x14ac:dyDescent="0.25">
      <c r="A50" s="5">
        <v>44543</v>
      </c>
      <c r="B50">
        <v>2.1269999999999998</v>
      </c>
      <c r="C50">
        <v>2.1309999999999998</v>
      </c>
      <c r="D50">
        <v>1.851</v>
      </c>
      <c r="E50">
        <v>1.857</v>
      </c>
      <c r="F50">
        <v>3183311</v>
      </c>
      <c r="G50">
        <v>1.857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-0.95714285714285707</v>
      </c>
      <c r="Q50">
        <f t="shared" ref="Q50" si="226">F50*P50</f>
        <v>-3046883.3857142855</v>
      </c>
      <c r="R50">
        <f t="shared" ref="R50" si="227">R51+Q50</f>
        <v>62342527.202420682</v>
      </c>
      <c r="S50">
        <f t="shared" ref="S50" si="228">R50/100000</f>
        <v>623.42527202420683</v>
      </c>
      <c r="T50">
        <f t="shared" ref="T50" si="229">S50/1000</f>
        <v>0.62342527202420683</v>
      </c>
    </row>
    <row r="51" spans="1:20" x14ac:dyDescent="0.25">
      <c r="A51" s="5">
        <v>44542</v>
      </c>
      <c r="B51">
        <v>2.1389999999999998</v>
      </c>
      <c r="C51">
        <v>2.145</v>
      </c>
      <c r="D51">
        <v>2.0030000000000001</v>
      </c>
      <c r="E51">
        <v>2.1269999999999998</v>
      </c>
      <c r="F51">
        <v>2684380.6</v>
      </c>
      <c r="G51">
        <v>2.1269999999999998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0.74647887323943307</v>
      </c>
      <c r="Q51">
        <f t="shared" ref="Q51" si="231">F51*P51</f>
        <v>2003833.4056337934</v>
      </c>
      <c r="R51">
        <f t="shared" ref="R51" si="232">R52+Q51</f>
        <v>65389410.588134967</v>
      </c>
      <c r="S51">
        <f t="shared" ref="S51" si="233">R51/100000</f>
        <v>653.89410588134967</v>
      </c>
      <c r="T51">
        <f t="shared" ref="T51" si="234">S51/1000</f>
        <v>0.65389410588134966</v>
      </c>
    </row>
    <row r="52" spans="1:20" x14ac:dyDescent="0.25">
      <c r="A52" s="5">
        <v>44541</v>
      </c>
      <c r="B52">
        <v>1.9630000000000001</v>
      </c>
      <c r="C52">
        <v>2.0529999999999999</v>
      </c>
      <c r="D52">
        <v>1.948</v>
      </c>
      <c r="E52">
        <v>2.0430000000000001</v>
      </c>
      <c r="F52">
        <v>301338.40000000002</v>
      </c>
      <c r="G52">
        <v>2.0430000000000001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0.80952380952381353</v>
      </c>
      <c r="Q52">
        <f t="shared" ref="Q52" si="236">F52*P52</f>
        <v>243940.60952381074</v>
      </c>
      <c r="R52">
        <f t="shared" ref="R52" si="237">R53+Q52</f>
        <v>63385577.182501175</v>
      </c>
      <c r="S52">
        <f t="shared" ref="S52" si="238">R52/100000</f>
        <v>633.85577182501174</v>
      </c>
      <c r="T52">
        <f t="shared" ref="T52" si="239">S52/1000</f>
        <v>0.63385577182501174</v>
      </c>
    </row>
    <row r="53" spans="1:20" x14ac:dyDescent="0.25">
      <c r="A53" s="5">
        <v>44540</v>
      </c>
      <c r="B53">
        <v>2.1139999999999999</v>
      </c>
      <c r="C53">
        <v>2.2040000000000002</v>
      </c>
      <c r="D53">
        <v>1.946</v>
      </c>
      <c r="E53">
        <v>1.9650000000000001</v>
      </c>
      <c r="F53">
        <v>4625372.4000000004</v>
      </c>
      <c r="G53">
        <v>1.9650000000000001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-0.85271317829457283</v>
      </c>
      <c r="Q53">
        <f t="shared" ref="Q53" si="241">F53*P53</f>
        <v>-3944115.9999999967</v>
      </c>
      <c r="R53">
        <f t="shared" ref="R53" si="242">R54+Q53</f>
        <v>63141636.572977364</v>
      </c>
      <c r="S53">
        <f t="shared" ref="S53" si="243">R53/100000</f>
        <v>631.41636572977359</v>
      </c>
      <c r="T53">
        <f t="shared" ref="T53" si="244">S53/1000</f>
        <v>0.63141636572977355</v>
      </c>
    </row>
    <row r="54" spans="1:20" x14ac:dyDescent="0.25">
      <c r="A54" s="5">
        <v>44539</v>
      </c>
      <c r="B54">
        <v>2.3119999999999998</v>
      </c>
      <c r="C54">
        <v>2.371</v>
      </c>
      <c r="D54">
        <v>2.08</v>
      </c>
      <c r="E54">
        <v>2.1150000000000002</v>
      </c>
      <c r="F54">
        <v>4456433.8</v>
      </c>
      <c r="G54">
        <v>2.1150000000000002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-0.75945017182130481</v>
      </c>
      <c r="Q54">
        <f t="shared" ref="Q54" si="246">F54*P54</f>
        <v>-3384439.4151202701</v>
      </c>
      <c r="R54">
        <f t="shared" ref="R54" si="247">R55+Q54</f>
        <v>67085752.572977364</v>
      </c>
      <c r="S54">
        <f t="shared" ref="S54" si="248">R54/100000</f>
        <v>670.85752572977367</v>
      </c>
      <c r="T54">
        <f t="shared" ref="T54" si="249">S54/1000</f>
        <v>0.67085752572977364</v>
      </c>
    </row>
    <row r="55" spans="1:20" x14ac:dyDescent="0.25">
      <c r="A55" s="5">
        <v>44538</v>
      </c>
      <c r="B55">
        <v>2.2869999999999999</v>
      </c>
      <c r="C55">
        <v>2.3479999999999999</v>
      </c>
      <c r="D55">
        <v>2.1</v>
      </c>
      <c r="E55">
        <v>2.3109999999999999</v>
      </c>
      <c r="F55">
        <v>4057405.4</v>
      </c>
      <c r="G55">
        <v>2.3109999999999999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0.70161290322580683</v>
      </c>
      <c r="Q55">
        <f t="shared" ref="Q55" si="251">F55*P55</f>
        <v>2846727.9822580661</v>
      </c>
      <c r="R55">
        <f t="shared" ref="R55" si="252">R56+Q55</f>
        <v>70470191.988097638</v>
      </c>
      <c r="S55">
        <f t="shared" ref="S55" si="253">R55/100000</f>
        <v>704.70191988097633</v>
      </c>
      <c r="T55">
        <f t="shared" ref="T55" si="254">S55/1000</f>
        <v>0.7047019198809763</v>
      </c>
    </row>
    <row r="56" spans="1:20" x14ac:dyDescent="0.25">
      <c r="A56" s="5">
        <v>44537</v>
      </c>
      <c r="B56">
        <v>2.2669999999999999</v>
      </c>
      <c r="C56">
        <v>2.4319999999999999</v>
      </c>
      <c r="D56">
        <v>2.2440000000000002</v>
      </c>
      <c r="E56">
        <v>2.2869999999999999</v>
      </c>
      <c r="F56">
        <v>6586272.9000000004</v>
      </c>
      <c r="G56">
        <v>2.2869999999999999</v>
      </c>
      <c r="L56" t="s">
        <v>7</v>
      </c>
      <c r="M56" t="s">
        <v>8</v>
      </c>
      <c r="N56" t="s">
        <v>8</v>
      </c>
      <c r="P56">
        <f t="shared" ref="P56" si="255">IF(C56=D56,0,((E56-D56)-(C56-E56))/(C56-D56))</f>
        <v>-0.54255319148936421</v>
      </c>
      <c r="Q56">
        <f t="shared" ref="Q56" si="256">F56*P56</f>
        <v>-3573403.3819149104</v>
      </c>
      <c r="R56">
        <f t="shared" ref="R56" si="257">R57+Q56</f>
        <v>67623464.005839571</v>
      </c>
      <c r="S56">
        <f t="shared" ref="S56" si="258">R56/100000</f>
        <v>676.23464005839571</v>
      </c>
      <c r="T56">
        <f t="shared" ref="T56" si="259">S56/1000</f>
        <v>0.67623464005839573</v>
      </c>
    </row>
    <row r="57" spans="1:20" x14ac:dyDescent="0.25">
      <c r="A57" s="5">
        <v>44536</v>
      </c>
      <c r="B57">
        <v>2.0720000000000001</v>
      </c>
      <c r="C57">
        <v>2.4300000000000002</v>
      </c>
      <c r="D57">
        <v>1.994</v>
      </c>
      <c r="E57">
        <v>2.27</v>
      </c>
      <c r="F57">
        <v>10886832.300000001</v>
      </c>
      <c r="G57">
        <v>2.27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0.26605504587155926</v>
      </c>
      <c r="Q57">
        <f t="shared" ref="Q57" si="261">F57*P57</f>
        <v>2896496.6669724733</v>
      </c>
      <c r="R57">
        <f t="shared" ref="R57" si="262">R58+Q57</f>
        <v>71196867.387754485</v>
      </c>
      <c r="S57">
        <f t="shared" ref="S57" si="263">R57/100000</f>
        <v>711.9686738775448</v>
      </c>
      <c r="T57">
        <f t="shared" ref="T57" si="264">S57/1000</f>
        <v>0.71196867387754481</v>
      </c>
    </row>
    <row r="58" spans="1:20" x14ac:dyDescent="0.25">
      <c r="A58" s="5">
        <v>44535</v>
      </c>
      <c r="B58">
        <v>2.23</v>
      </c>
      <c r="C58">
        <v>2.302</v>
      </c>
      <c r="D58">
        <v>1.921</v>
      </c>
      <c r="E58">
        <v>2.0750000000000002</v>
      </c>
      <c r="F58">
        <v>4462527.5999999996</v>
      </c>
      <c r="G58">
        <v>2.0750000000000002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-0.19160104986876569</v>
      </c>
      <c r="Q58">
        <f t="shared" ref="Q58" si="266">F58*P58</f>
        <v>-855024.97322834318</v>
      </c>
      <c r="R58">
        <f t="shared" ref="R58" si="267">R59+Q58</f>
        <v>68300370.720782012</v>
      </c>
      <c r="S58">
        <f t="shared" ref="S58" si="268">R58/100000</f>
        <v>683.00370720782007</v>
      </c>
      <c r="T58">
        <f t="shared" ref="T58" si="269">S58/1000</f>
        <v>0.68300370720782011</v>
      </c>
    </row>
    <row r="59" spans="1:20" x14ac:dyDescent="0.25">
      <c r="A59" s="5">
        <v>44534</v>
      </c>
      <c r="B59">
        <v>2.544</v>
      </c>
      <c r="C59">
        <v>2.581</v>
      </c>
      <c r="D59">
        <v>1.758</v>
      </c>
      <c r="E59">
        <v>2.2280000000000002</v>
      </c>
      <c r="F59">
        <v>8955697.9000000004</v>
      </c>
      <c r="G59">
        <v>2.2280000000000002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0.14216281895504307</v>
      </c>
      <c r="Q59">
        <f t="shared" ref="Q59" si="271">F59*P59</f>
        <v>1273167.2591737595</v>
      </c>
      <c r="R59">
        <f t="shared" ref="R59" si="272">R60+Q59</f>
        <v>69155395.694010362</v>
      </c>
      <c r="S59">
        <f t="shared" ref="S59" si="273">R59/100000</f>
        <v>691.5539569401036</v>
      </c>
      <c r="T59">
        <f t="shared" ref="T59" si="274">S59/1000</f>
        <v>0.69155395694010358</v>
      </c>
    </row>
    <row r="60" spans="1:20" x14ac:dyDescent="0.25">
      <c r="A60" s="5">
        <v>44533</v>
      </c>
      <c r="B60">
        <v>2.5470000000000002</v>
      </c>
      <c r="C60">
        <v>2.6960000000000002</v>
      </c>
      <c r="D60">
        <v>2.3490000000000002</v>
      </c>
      <c r="E60">
        <v>2.5430000000000001</v>
      </c>
      <c r="F60">
        <v>7556048.5</v>
      </c>
      <c r="G60">
        <v>2.5430000000000001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0.11815561959654158</v>
      </c>
      <c r="Q60">
        <f t="shared" ref="Q60" si="276">F60*P60</f>
        <v>892789.59221901861</v>
      </c>
      <c r="R60">
        <f t="shared" ref="R60" si="277">R61+Q60</f>
        <v>67882228.434836596</v>
      </c>
      <c r="S60">
        <f t="shared" ref="S60" si="278">R60/100000</f>
        <v>678.822284348366</v>
      </c>
      <c r="T60">
        <f t="shared" ref="T60" si="279">S60/1000</f>
        <v>0.678822284348366</v>
      </c>
    </row>
    <row r="61" spans="1:20" x14ac:dyDescent="0.25">
      <c r="A61" s="5">
        <v>44532</v>
      </c>
      <c r="B61">
        <v>2.8740000000000001</v>
      </c>
      <c r="C61">
        <v>3.0329999999999999</v>
      </c>
      <c r="D61">
        <v>2.5379999999999998</v>
      </c>
      <c r="E61">
        <v>2.5430000000000001</v>
      </c>
      <c r="F61">
        <v>8280979.9000000004</v>
      </c>
      <c r="G61">
        <v>2.5430000000000001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-0.97979797979797845</v>
      </c>
      <c r="Q61">
        <f t="shared" ref="Q61" si="281">F61*P61</f>
        <v>-8113687.3767676661</v>
      </c>
      <c r="R61">
        <f t="shared" ref="R61" si="282">R62+Q61</f>
        <v>66989438.842617571</v>
      </c>
      <c r="S61">
        <f t="shared" ref="S61" si="283">R61/100000</f>
        <v>669.89438842617574</v>
      </c>
      <c r="T61">
        <f t="shared" ref="T61" si="284">S61/1000</f>
        <v>0.66989438842617577</v>
      </c>
    </row>
    <row r="62" spans="1:20" x14ac:dyDescent="0.25">
      <c r="A62" s="5">
        <v>44531</v>
      </c>
      <c r="B62">
        <v>2.7719999999999998</v>
      </c>
      <c r="C62">
        <v>3.2559999999999998</v>
      </c>
      <c r="D62">
        <v>2.72</v>
      </c>
      <c r="E62">
        <v>2.8719999999999999</v>
      </c>
      <c r="F62">
        <v>34154215.799999997</v>
      </c>
      <c r="G62">
        <v>2.8719999999999999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-0.43283582089552308</v>
      </c>
      <c r="Q62">
        <f t="shared" ref="Q62" si="286">F62*P62</f>
        <v>-14783168.032835843</v>
      </c>
      <c r="R62">
        <f t="shared" ref="R62" si="287">R63+Q62</f>
        <v>75103126.219385237</v>
      </c>
      <c r="S62">
        <f t="shared" ref="S62" si="288">R62/100000</f>
        <v>751.0312621938524</v>
      </c>
      <c r="T62">
        <f t="shared" ref="T62" si="289">S62/1000</f>
        <v>0.75103126219385241</v>
      </c>
    </row>
    <row r="63" spans="1:20" x14ac:dyDescent="0.25">
      <c r="A63" s="5">
        <v>44530</v>
      </c>
      <c r="B63">
        <v>2.16</v>
      </c>
      <c r="C63">
        <v>2.83</v>
      </c>
      <c r="D63">
        <v>2.1280000000000001</v>
      </c>
      <c r="E63">
        <v>2.7730000000000001</v>
      </c>
      <c r="F63">
        <v>27633189.600000001</v>
      </c>
      <c r="G63">
        <v>2.7730000000000001</v>
      </c>
      <c r="L63" t="s">
        <v>8</v>
      </c>
      <c r="M63" t="s">
        <v>8</v>
      </c>
      <c r="N63" t="s">
        <v>8</v>
      </c>
      <c r="P63">
        <f t="shared" ref="P63" si="290">IF(C63=D63,0,((E63-D63)-(C63-E63))/(C63-D63))</f>
        <v>0.83760683760683774</v>
      </c>
      <c r="Q63">
        <f t="shared" ref="Q63" si="291">F63*P63</f>
        <v>23145748.553846158</v>
      </c>
      <c r="R63">
        <f t="shared" ref="R63" si="292">R64+Q63</f>
        <v>89886294.252221078</v>
      </c>
      <c r="S63">
        <f t="shared" ref="S63" si="293">R63/100000</f>
        <v>898.8629425222108</v>
      </c>
      <c r="T63">
        <f t="shared" ref="T63" si="294">S63/1000</f>
        <v>0.89886294252221077</v>
      </c>
    </row>
    <row r="64" spans="1:20" x14ac:dyDescent="0.25">
      <c r="A64" s="5">
        <v>44529</v>
      </c>
      <c r="B64">
        <v>1.927</v>
      </c>
      <c r="C64">
        <v>2.1960000000000002</v>
      </c>
      <c r="D64">
        <v>1.909</v>
      </c>
      <c r="E64">
        <v>2.157</v>
      </c>
      <c r="F64">
        <v>8875176.1999999993</v>
      </c>
      <c r="G64">
        <v>2.157</v>
      </c>
      <c r="L64" t="s">
        <v>8</v>
      </c>
      <c r="M64" t="s">
        <v>8</v>
      </c>
      <c r="N64" t="s">
        <v>8</v>
      </c>
      <c r="P64">
        <f t="shared" ref="P64" si="295">IF(C64=D64,0,((E64-D64)-(C64-E64))/(C64-D64))</f>
        <v>0.72822299651567857</v>
      </c>
      <c r="Q64">
        <f t="shared" ref="Q64" si="296">F64*P64</f>
        <v>6463107.4069686327</v>
      </c>
      <c r="R64">
        <f t="shared" ref="R64" si="297">R65+Q64</f>
        <v>66740545.698374927</v>
      </c>
      <c r="S64">
        <f t="shared" ref="S64" si="298">R64/100000</f>
        <v>667.40545698374922</v>
      </c>
      <c r="T64">
        <f t="shared" ref="T64" si="299">S64/1000</f>
        <v>0.6674054569837492</v>
      </c>
    </row>
    <row r="65" spans="1:20" x14ac:dyDescent="0.25">
      <c r="A65" s="5">
        <v>44528</v>
      </c>
      <c r="B65">
        <v>1.8740000000000001</v>
      </c>
      <c r="C65">
        <v>1.9319999999999999</v>
      </c>
      <c r="D65">
        <v>1.7809999999999999</v>
      </c>
      <c r="E65">
        <v>1.927</v>
      </c>
      <c r="F65">
        <v>3271423.3</v>
      </c>
      <c r="G65">
        <v>1.927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0.93377483443708753</v>
      </c>
      <c r="Q65">
        <f t="shared" ref="Q65" si="301">F65*P65</f>
        <v>3054772.7503311303</v>
      </c>
      <c r="R65">
        <f t="shared" ref="R65" si="302">R66+Q65</f>
        <v>60277438.291406296</v>
      </c>
      <c r="S65">
        <f t="shared" ref="S65" si="303">R65/100000</f>
        <v>602.77438291406293</v>
      </c>
      <c r="T65">
        <f t="shared" ref="T65" si="304">S65/1000</f>
        <v>0.60277438291406293</v>
      </c>
    </row>
    <row r="66" spans="1:20" x14ac:dyDescent="0.25">
      <c r="A66" s="5">
        <v>44527</v>
      </c>
      <c r="B66">
        <v>1.833</v>
      </c>
      <c r="C66">
        <v>1.927</v>
      </c>
      <c r="D66">
        <v>1.82</v>
      </c>
      <c r="E66">
        <v>1.8759999999999999</v>
      </c>
      <c r="F66">
        <v>2973065.2</v>
      </c>
      <c r="G66">
        <v>1.8759999999999999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4.6728971962613761E-2</v>
      </c>
      <c r="Q66">
        <f t="shared" ref="Q66" si="306">F66*P66</f>
        <v>138928.28037382269</v>
      </c>
      <c r="R66">
        <f t="shared" ref="R66" si="307">R67+Q66</f>
        <v>57222665.541075163</v>
      </c>
      <c r="S66">
        <f t="shared" ref="S66" si="308">R66/100000</f>
        <v>572.22665541075162</v>
      </c>
      <c r="T66">
        <f t="shared" ref="T66" si="309">S66/1000</f>
        <v>0.57222665541075157</v>
      </c>
    </row>
    <row r="67" spans="1:20" x14ac:dyDescent="0.25">
      <c r="A67" s="5">
        <v>44526</v>
      </c>
      <c r="B67">
        <v>2.0579999999999998</v>
      </c>
      <c r="C67">
        <v>2.0619999999999998</v>
      </c>
      <c r="D67">
        <v>1.7769999999999999</v>
      </c>
      <c r="E67">
        <v>1.835</v>
      </c>
      <c r="F67">
        <v>5429054.7999999998</v>
      </c>
      <c r="G67">
        <v>1.835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-0.59298245614035039</v>
      </c>
      <c r="Q67">
        <f t="shared" ref="Q67" si="311">F67*P67</f>
        <v>-3219334.2498245589</v>
      </c>
      <c r="R67">
        <f t="shared" ref="R67" si="312">R68+Q67</f>
        <v>57083737.260701343</v>
      </c>
      <c r="S67">
        <f t="shared" ref="S67" si="313">R67/100000</f>
        <v>570.83737260701344</v>
      </c>
      <c r="T67">
        <f t="shared" ref="T67" si="314">S67/1000</f>
        <v>0.57083737260701339</v>
      </c>
    </row>
    <row r="68" spans="1:20" x14ac:dyDescent="0.25">
      <c r="A68" s="5">
        <v>44525</v>
      </c>
      <c r="B68">
        <v>1.97</v>
      </c>
      <c r="C68">
        <v>2.1019999999999999</v>
      </c>
      <c r="D68">
        <v>1.93</v>
      </c>
      <c r="E68">
        <v>2.0579999999999998</v>
      </c>
      <c r="F68">
        <v>4728636.8</v>
      </c>
      <c r="G68">
        <v>2.0579999999999998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0.48837209302325513</v>
      </c>
      <c r="Q68">
        <f t="shared" ref="Q68" si="316">F68*P68</f>
        <v>2309334.2511627874</v>
      </c>
      <c r="R68">
        <f t="shared" ref="R68" si="317">R69+Q68</f>
        <v>60303071.510525905</v>
      </c>
      <c r="S68">
        <f t="shared" ref="S68" si="318">R68/100000</f>
        <v>603.03071510525899</v>
      </c>
      <c r="T68">
        <f t="shared" ref="T68" si="319">S68/1000</f>
        <v>0.60303071510525896</v>
      </c>
    </row>
    <row r="69" spans="1:20" x14ac:dyDescent="0.25">
      <c r="A69" s="5">
        <v>44524</v>
      </c>
      <c r="B69">
        <v>2.0640000000000001</v>
      </c>
      <c r="C69">
        <v>2.0840000000000001</v>
      </c>
      <c r="D69">
        <v>1.9370000000000001</v>
      </c>
      <c r="E69">
        <v>1.95</v>
      </c>
      <c r="F69">
        <v>1738306.8</v>
      </c>
      <c r="G69">
        <v>1.95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-0.82312925170068163</v>
      </c>
      <c r="Q69">
        <f t="shared" ref="Q69" si="321">F69*P69</f>
        <v>-1430851.1755102065</v>
      </c>
      <c r="R69">
        <f t="shared" ref="R69" si="322">R70+Q69</f>
        <v>57993737.259363115</v>
      </c>
      <c r="S69">
        <f t="shared" ref="S69" si="323">R69/100000</f>
        <v>579.93737259363115</v>
      </c>
      <c r="T69">
        <f t="shared" ref="T69" si="324">S69/1000</f>
        <v>0.57993737259363121</v>
      </c>
    </row>
    <row r="70" spans="1:20" x14ac:dyDescent="0.25">
      <c r="A70" s="5">
        <v>44523</v>
      </c>
      <c r="B70">
        <v>2.1139999999999999</v>
      </c>
      <c r="C70">
        <v>2.1269999999999998</v>
      </c>
      <c r="D70">
        <v>1.9930000000000001</v>
      </c>
      <c r="E70">
        <v>2.06</v>
      </c>
      <c r="F70">
        <v>4182333.4</v>
      </c>
      <c r="G70">
        <v>2.06</v>
      </c>
      <c r="L70" t="s">
        <v>7</v>
      </c>
      <c r="M70" t="s">
        <v>8</v>
      </c>
      <c r="N70" t="s">
        <v>8</v>
      </c>
      <c r="P70">
        <f t="shared" ref="P70" si="325">IF(C70=D70,0,((E70-D70)-(C70-E70))/(C70-D70))</f>
        <v>1.6570492904853123E-15</v>
      </c>
      <c r="Q70">
        <f t="shared" ref="Q70" si="326">F70*P70</f>
        <v>6.9303325930430239E-9</v>
      </c>
      <c r="R70">
        <f t="shared" ref="R70" si="327">R71+Q70</f>
        <v>59424588.43487332</v>
      </c>
      <c r="S70">
        <f t="shared" ref="S70" si="328">R70/100000</f>
        <v>594.24588434873317</v>
      </c>
      <c r="T70">
        <f t="shared" ref="T70" si="329">S70/1000</f>
        <v>0.59424588434873316</v>
      </c>
    </row>
    <row r="71" spans="1:20" x14ac:dyDescent="0.25">
      <c r="A71" s="5">
        <v>44522</v>
      </c>
      <c r="B71">
        <v>2.1560000000000001</v>
      </c>
      <c r="C71">
        <v>2.2599999999999998</v>
      </c>
      <c r="D71">
        <v>2.1059999999999999</v>
      </c>
      <c r="E71">
        <v>2.1150000000000002</v>
      </c>
      <c r="F71">
        <v>4375240.9000000004</v>
      </c>
      <c r="G71">
        <v>2.1150000000000002</v>
      </c>
      <c r="L71" t="s">
        <v>8</v>
      </c>
      <c r="M71" t="s">
        <v>8</v>
      </c>
      <c r="N71" t="s">
        <v>8</v>
      </c>
      <c r="P71">
        <f t="shared" ref="P71" si="330">IF(C71=D71,0,((E71-D71)-(C71-E71))/(C71-D71))</f>
        <v>-0.88311688311687864</v>
      </c>
      <c r="Q71">
        <f t="shared" ref="Q71" si="331">F71*P71</f>
        <v>-3863849.106493487</v>
      </c>
      <c r="R71">
        <f t="shared" ref="R71" si="332">R72+Q71</f>
        <v>59424588.434873313</v>
      </c>
      <c r="S71">
        <f t="shared" ref="S71" si="333">R71/100000</f>
        <v>594.24588434873317</v>
      </c>
      <c r="T71">
        <f t="shared" ref="T71" si="334">S71/1000</f>
        <v>0.59424588434873316</v>
      </c>
    </row>
    <row r="72" spans="1:20" x14ac:dyDescent="0.25">
      <c r="A72" s="5">
        <v>44521</v>
      </c>
      <c r="B72">
        <v>2.117</v>
      </c>
      <c r="C72">
        <v>2.2210000000000001</v>
      </c>
      <c r="D72">
        <v>2.0099999999999998</v>
      </c>
      <c r="E72">
        <v>2.1589999999999998</v>
      </c>
      <c r="F72">
        <v>4001082.6</v>
      </c>
      <c r="G72">
        <v>2.1589999999999998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0.41232227488151479</v>
      </c>
      <c r="Q72">
        <f t="shared" ref="Q72" si="336">F72*P72</f>
        <v>1649735.479620846</v>
      </c>
      <c r="R72">
        <f t="shared" ref="R72" si="337">R73+Q72</f>
        <v>63288437.541366801</v>
      </c>
      <c r="S72">
        <f t="shared" ref="S72" si="338">R72/100000</f>
        <v>632.88437541366795</v>
      </c>
      <c r="T72">
        <f t="shared" ref="T72" si="339">S72/1000</f>
        <v>0.63288437541366793</v>
      </c>
    </row>
    <row r="73" spans="1:20" x14ac:dyDescent="0.25">
      <c r="A73" s="5">
        <v>44520</v>
      </c>
      <c r="B73">
        <v>2.048</v>
      </c>
      <c r="C73">
        <v>2.129</v>
      </c>
      <c r="D73">
        <v>1.9930000000000001</v>
      </c>
      <c r="E73">
        <v>2.117</v>
      </c>
      <c r="F73">
        <v>2396427.9</v>
      </c>
      <c r="G73">
        <v>2.117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0.82352941176470562</v>
      </c>
      <c r="Q73">
        <f t="shared" ref="Q73" si="341">F73*P73</f>
        <v>1973528.8588235287</v>
      </c>
      <c r="R73">
        <f t="shared" ref="R73" si="342">R74+Q73</f>
        <v>61638702.061745957</v>
      </c>
      <c r="S73">
        <f t="shared" ref="S73" si="343">R73/100000</f>
        <v>616.3870206174596</v>
      </c>
      <c r="T73">
        <f t="shared" ref="T73" si="344">S73/1000</f>
        <v>0.61638702061745965</v>
      </c>
    </row>
    <row r="74" spans="1:20" x14ac:dyDescent="0.25">
      <c r="A74" s="5">
        <v>44519</v>
      </c>
      <c r="B74">
        <v>1.9239999999999999</v>
      </c>
      <c r="C74">
        <v>2.08</v>
      </c>
      <c r="D74">
        <v>1.88</v>
      </c>
      <c r="E74">
        <v>2.0470000000000002</v>
      </c>
      <c r="F74">
        <v>3320224.8</v>
      </c>
      <c r="G74">
        <v>2.0470000000000002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0.67000000000000115</v>
      </c>
      <c r="Q74">
        <f t="shared" ref="Q74" si="346">F74*P74</f>
        <v>2224550.6160000036</v>
      </c>
      <c r="R74">
        <f t="shared" ref="R74" si="347">R75+Q74</f>
        <v>59665173.202922426</v>
      </c>
      <c r="S74">
        <f t="shared" ref="S74" si="348">R74/100000</f>
        <v>596.65173202922426</v>
      </c>
      <c r="T74">
        <f t="shared" ref="T74" si="349">S74/1000</f>
        <v>0.59665173202922428</v>
      </c>
    </row>
    <row r="75" spans="1:20" x14ac:dyDescent="0.25">
      <c r="A75" s="5">
        <v>44518</v>
      </c>
      <c r="B75">
        <v>2.14</v>
      </c>
      <c r="C75">
        <v>2.153</v>
      </c>
      <c r="D75">
        <v>1.851</v>
      </c>
      <c r="E75">
        <v>1.925</v>
      </c>
      <c r="F75">
        <v>5188683.2</v>
      </c>
      <c r="G75">
        <v>1.925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-0.50993377483443669</v>
      </c>
      <c r="Q75">
        <f t="shared" ref="Q75" si="351">F75*P75</f>
        <v>-2645884.8105960246</v>
      </c>
      <c r="R75">
        <f t="shared" ref="R75" si="352">R76+Q75</f>
        <v>57440622.586922422</v>
      </c>
      <c r="S75">
        <f t="shared" ref="S75" si="353">R75/100000</f>
        <v>574.40622586922427</v>
      </c>
      <c r="T75">
        <f t="shared" ref="T75" si="354">S75/1000</f>
        <v>0.5744062258692243</v>
      </c>
    </row>
    <row r="76" spans="1:20" x14ac:dyDescent="0.25">
      <c r="A76" s="5">
        <v>44517</v>
      </c>
      <c r="B76">
        <v>2.161</v>
      </c>
      <c r="C76">
        <v>2.1930000000000001</v>
      </c>
      <c r="D76">
        <v>2.016</v>
      </c>
      <c r="E76">
        <v>2.1440000000000001</v>
      </c>
      <c r="F76">
        <v>4365913.3</v>
      </c>
      <c r="G76">
        <v>2.1440000000000001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0.44632768361582009</v>
      </c>
      <c r="Q76">
        <f t="shared" ref="Q76" si="356">F76*P76</f>
        <v>1948627.970056501</v>
      </c>
      <c r="R76">
        <f t="shared" ref="R76" si="357">R77+Q76</f>
        <v>60086507.397518449</v>
      </c>
      <c r="S76">
        <f t="shared" ref="S76" si="358">R76/100000</f>
        <v>600.86507397518449</v>
      </c>
      <c r="T76">
        <f t="shared" ref="T76" si="359">S76/1000</f>
        <v>0.60086507397518452</v>
      </c>
    </row>
    <row r="77" spans="1:20" x14ac:dyDescent="0.25">
      <c r="A77" s="5">
        <v>44516</v>
      </c>
      <c r="B77">
        <v>2.42</v>
      </c>
      <c r="C77">
        <v>2.4279999999999999</v>
      </c>
      <c r="D77">
        <v>2.0350000000000001</v>
      </c>
      <c r="E77">
        <v>2.16</v>
      </c>
      <c r="F77">
        <v>6857316.2999999998</v>
      </c>
      <c r="G77">
        <v>2.16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-0.36386768447837115</v>
      </c>
      <c r="Q77">
        <f t="shared" ref="Q77" si="361">F77*P77</f>
        <v>-2495155.8038167912</v>
      </c>
      <c r="R77">
        <f t="shared" ref="R77" si="362">R78+Q77</f>
        <v>58137879.427461945</v>
      </c>
      <c r="S77">
        <f t="shared" ref="S77" si="363">R77/100000</f>
        <v>581.37879427461939</v>
      </c>
      <c r="T77">
        <f t="shared" ref="T77" si="364">S77/1000</f>
        <v>0.58137879427461936</v>
      </c>
    </row>
    <row r="78" spans="1:20" x14ac:dyDescent="0.25">
      <c r="A78" s="5">
        <v>44515</v>
      </c>
      <c r="B78">
        <v>2.3319999999999999</v>
      </c>
      <c r="C78">
        <v>2.4900000000000002</v>
      </c>
      <c r="D78">
        <v>2.27</v>
      </c>
      <c r="E78">
        <v>2.4209999999999998</v>
      </c>
      <c r="F78">
        <v>6822895.7000000002</v>
      </c>
      <c r="G78">
        <v>2.4209999999999998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0.37272727272726969</v>
      </c>
      <c r="Q78">
        <f t="shared" ref="Q78" si="366">F78*P78</f>
        <v>2543079.3063636157</v>
      </c>
      <c r="R78">
        <f t="shared" ref="R78" si="367">R79+Q78</f>
        <v>60633035.231278732</v>
      </c>
      <c r="S78">
        <f t="shared" ref="S78" si="368">R78/100000</f>
        <v>606.33035231278734</v>
      </c>
      <c r="T78">
        <f t="shared" ref="T78" si="369">S78/1000</f>
        <v>0.60633035231278731</v>
      </c>
    </row>
    <row r="79" spans="1:20" x14ac:dyDescent="0.25">
      <c r="A79" s="5">
        <v>44514</v>
      </c>
      <c r="B79">
        <v>2.3050000000000002</v>
      </c>
      <c r="C79">
        <v>2.3370000000000002</v>
      </c>
      <c r="D79">
        <v>2.1960000000000002</v>
      </c>
      <c r="E79">
        <v>2.335</v>
      </c>
      <c r="F79">
        <v>5826498.7000000002</v>
      </c>
      <c r="G79">
        <v>2.335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0.97163120567375572</v>
      </c>
      <c r="Q79">
        <f t="shared" ref="Q79" si="371">F79*P79</f>
        <v>5661207.9567375705</v>
      </c>
      <c r="R79">
        <f t="shared" ref="R79" si="372">R80+Q79</f>
        <v>58089955.92491512</v>
      </c>
      <c r="S79">
        <f t="shared" ref="S79" si="373">R79/100000</f>
        <v>580.89955924915125</v>
      </c>
      <c r="T79">
        <f t="shared" ref="T79" si="374">S79/1000</f>
        <v>0.58089955924915126</v>
      </c>
    </row>
    <row r="80" spans="1:20" x14ac:dyDescent="0.25">
      <c r="A80" s="5">
        <v>44513</v>
      </c>
      <c r="B80">
        <v>2.2509999999999999</v>
      </c>
      <c r="C80">
        <v>2.4390000000000001</v>
      </c>
      <c r="D80">
        <v>2.2509999999999999</v>
      </c>
      <c r="E80">
        <v>2.3050000000000002</v>
      </c>
      <c r="F80">
        <v>6487669.7999999998</v>
      </c>
      <c r="G80">
        <v>2.3050000000000002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-0.42553191489361464</v>
      </c>
      <c r="Q80">
        <f t="shared" ref="Q80" si="376">F80*P80</f>
        <v>-2760710.5531914737</v>
      </c>
      <c r="R80">
        <f t="shared" ref="R80" si="377">R81+Q80</f>
        <v>52428747.96817755</v>
      </c>
      <c r="S80">
        <f t="shared" ref="S80" si="378">R80/100000</f>
        <v>524.28747968177549</v>
      </c>
      <c r="T80">
        <f t="shared" ref="T80" si="379">S80/1000</f>
        <v>0.52428747968177547</v>
      </c>
    </row>
    <row r="81" spans="1:20" x14ac:dyDescent="0.25">
      <c r="A81" s="5">
        <v>44512</v>
      </c>
      <c r="B81">
        <v>2.2109999999999999</v>
      </c>
      <c r="C81">
        <v>2.4430000000000001</v>
      </c>
      <c r="D81">
        <v>2.169</v>
      </c>
      <c r="E81">
        <v>2.2509999999999999</v>
      </c>
      <c r="F81">
        <v>11351556.6</v>
      </c>
      <c r="G81">
        <v>2.2509999999999999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-0.40145985401459966</v>
      </c>
      <c r="Q81">
        <f t="shared" ref="Q81" si="381">F81*P81</f>
        <v>-4557194.255474465</v>
      </c>
      <c r="R81">
        <f t="shared" ref="R81" si="382">R82+Q81</f>
        <v>55189458.521369025</v>
      </c>
      <c r="S81">
        <f t="shared" ref="S81" si="383">R81/100000</f>
        <v>551.89458521369022</v>
      </c>
      <c r="T81">
        <f t="shared" ref="T81" si="384">S81/1000</f>
        <v>0.55189458521369017</v>
      </c>
    </row>
    <row r="82" spans="1:20" x14ac:dyDescent="0.25">
      <c r="A82" s="5">
        <v>44511</v>
      </c>
      <c r="B82">
        <v>2.0960000000000001</v>
      </c>
      <c r="C82">
        <v>2.2749999999999999</v>
      </c>
      <c r="D82">
        <v>2.0960000000000001</v>
      </c>
      <c r="E82">
        <v>2.2120000000000002</v>
      </c>
      <c r="F82">
        <v>8495305.4000000004</v>
      </c>
      <c r="G82">
        <v>2.2120000000000002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0.29608938547486274</v>
      </c>
      <c r="Q82">
        <f t="shared" ref="Q82" si="386">F82*P82</f>
        <v>2515369.7553072833</v>
      </c>
      <c r="R82">
        <f t="shared" ref="R82" si="387">R83+Q82</f>
        <v>59746652.776843488</v>
      </c>
      <c r="S82">
        <f t="shared" ref="S82" si="388">R82/100000</f>
        <v>597.46652776843484</v>
      </c>
      <c r="T82">
        <f t="shared" ref="T82" si="389">S82/1000</f>
        <v>0.5974665277684349</v>
      </c>
    </row>
    <row r="83" spans="1:20" x14ac:dyDescent="0.25">
      <c r="A83" s="5">
        <v>44510</v>
      </c>
      <c r="B83">
        <v>2.2170000000000001</v>
      </c>
      <c r="C83">
        <v>2.3260000000000001</v>
      </c>
      <c r="D83">
        <v>2.0150000000000001</v>
      </c>
      <c r="E83">
        <v>2.0979999999999999</v>
      </c>
      <c r="F83">
        <v>8172838</v>
      </c>
      <c r="G83">
        <v>2.0979999999999999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-0.46623794212218805</v>
      </c>
      <c r="Q83">
        <f t="shared" ref="Q83" si="391">F83*P83</f>
        <v>-3810487.1704180189</v>
      </c>
      <c r="R83">
        <f t="shared" ref="R83" si="392">R84+Q83</f>
        <v>57231283.021536201</v>
      </c>
      <c r="S83">
        <f t="shared" ref="S83" si="393">R83/100000</f>
        <v>572.31283021536206</v>
      </c>
      <c r="T83">
        <f t="shared" ref="T83" si="394">S83/1000</f>
        <v>0.57231283021536206</v>
      </c>
    </row>
    <row r="84" spans="1:20" x14ac:dyDescent="0.25">
      <c r="A84" s="5">
        <v>44509</v>
      </c>
      <c r="B84">
        <v>2.3090000000000002</v>
      </c>
      <c r="C84">
        <v>2.3769999999999998</v>
      </c>
      <c r="D84">
        <v>2.1869999999999998</v>
      </c>
      <c r="E84">
        <v>2.2149999999999999</v>
      </c>
      <c r="F84">
        <v>6556389.2000000002</v>
      </c>
      <c r="G84">
        <v>2.2149999999999999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-0.70526315789473648</v>
      </c>
      <c r="Q84">
        <f t="shared" ref="Q84" si="396">F84*P84</f>
        <v>-4623979.7515789447</v>
      </c>
      <c r="R84">
        <f t="shared" ref="R84" si="397">R85+Q84</f>
        <v>61041770.191954218</v>
      </c>
      <c r="S84">
        <f t="shared" ref="S84" si="398">R84/100000</f>
        <v>610.4177019195422</v>
      </c>
      <c r="T84">
        <f t="shared" ref="T84" si="399">S84/1000</f>
        <v>0.61041770191954214</v>
      </c>
    </row>
    <row r="85" spans="1:20" x14ac:dyDescent="0.25">
      <c r="A85" s="5">
        <v>44508</v>
      </c>
      <c r="B85">
        <v>2.2069999999999999</v>
      </c>
      <c r="C85">
        <v>2.4449999999999998</v>
      </c>
      <c r="D85">
        <v>2.1480000000000001</v>
      </c>
      <c r="E85">
        <v>2.3050000000000002</v>
      </c>
      <c r="F85">
        <v>18165059</v>
      </c>
      <c r="G85">
        <v>2.3050000000000002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5.723905723905847E-2</v>
      </c>
      <c r="Q85">
        <f t="shared" ref="Q85" si="401">F85*P85</f>
        <v>1039750.8518518743</v>
      </c>
      <c r="R85">
        <f t="shared" ref="R85" si="402">R86+Q85</f>
        <v>65665749.94353316</v>
      </c>
      <c r="S85">
        <f t="shared" ref="S85" si="403">R85/100000</f>
        <v>656.6574994353316</v>
      </c>
      <c r="T85">
        <f t="shared" ref="T85" si="404">S85/1000</f>
        <v>0.65665749943533158</v>
      </c>
    </row>
    <row r="86" spans="1:20" x14ac:dyDescent="0.25">
      <c r="A86" s="5">
        <v>44507</v>
      </c>
      <c r="B86">
        <v>1.9970000000000001</v>
      </c>
      <c r="C86">
        <v>2.21</v>
      </c>
      <c r="D86">
        <v>1.9710000000000001</v>
      </c>
      <c r="E86">
        <v>2.206</v>
      </c>
      <c r="F86">
        <v>10290277.300000001</v>
      </c>
      <c r="G86">
        <v>2.206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0.96652719665271958</v>
      </c>
      <c r="Q86">
        <f t="shared" ref="Q86" si="406">F86*P86</f>
        <v>9945832.8715481162</v>
      </c>
      <c r="R86">
        <f t="shared" ref="R86" si="407">R87+Q86</f>
        <v>64625999.091681287</v>
      </c>
      <c r="S86">
        <f t="shared" ref="S86" si="408">R86/100000</f>
        <v>646.25999091681285</v>
      </c>
      <c r="T86">
        <f t="shared" ref="T86" si="409">S86/1000</f>
        <v>0.64625999091681285</v>
      </c>
    </row>
    <row r="87" spans="1:20" x14ac:dyDescent="0.25">
      <c r="A87" s="5">
        <v>44506</v>
      </c>
      <c r="B87">
        <v>1.9930000000000001</v>
      </c>
      <c r="C87">
        <v>2.0219999999999998</v>
      </c>
      <c r="D87">
        <v>1.899</v>
      </c>
      <c r="E87">
        <v>1.9970000000000001</v>
      </c>
      <c r="F87">
        <v>4543611.5999999996</v>
      </c>
      <c r="G87">
        <v>1.9970000000000001</v>
      </c>
      <c r="L87" t="s">
        <v>8</v>
      </c>
      <c r="M87" t="s">
        <v>8</v>
      </c>
      <c r="N87" t="s">
        <v>7</v>
      </c>
      <c r="P87">
        <f t="shared" ref="P87" si="410">IF(C87=D87,0,((E87-D87)-(C87-E87))/(C87-D87))</f>
        <v>0.59349593495935393</v>
      </c>
      <c r="Q87">
        <f t="shared" ref="Q87" si="411">F87*P87</f>
        <v>2696615.0146341659</v>
      </c>
      <c r="R87">
        <f t="shared" ref="R87" si="412">R88+Q87</f>
        <v>54680166.22013317</v>
      </c>
      <c r="S87">
        <f t="shared" ref="S87" si="413">R87/100000</f>
        <v>546.80166220133174</v>
      </c>
      <c r="T87">
        <f t="shared" ref="T87" si="414">S87/1000</f>
        <v>0.54680166220133175</v>
      </c>
    </row>
    <row r="88" spans="1:20" x14ac:dyDescent="0.25">
      <c r="A88" s="5">
        <v>44505</v>
      </c>
      <c r="B88">
        <v>1.9359999999999999</v>
      </c>
      <c r="C88">
        <v>2.0230000000000001</v>
      </c>
      <c r="D88">
        <v>1.89</v>
      </c>
      <c r="E88">
        <v>1.9930000000000001</v>
      </c>
      <c r="F88">
        <v>5768001.2999999998</v>
      </c>
      <c r="G88">
        <v>1.9930000000000001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0.54887218045112818</v>
      </c>
      <c r="Q88">
        <f t="shared" ref="Q88" si="416">F88*P88</f>
        <v>3165895.4503759416</v>
      </c>
      <c r="R88">
        <f t="shared" ref="R88" si="417">R89+Q88</f>
        <v>51983551.205499008</v>
      </c>
      <c r="S88">
        <f t="shared" ref="S88" si="418">R88/100000</f>
        <v>519.83551205499009</v>
      </c>
      <c r="T88">
        <f t="shared" ref="T88" si="419">S88/1000</f>
        <v>0.51983551205499012</v>
      </c>
    </row>
    <row r="89" spans="1:20" x14ac:dyDescent="0.25">
      <c r="A89" s="5">
        <v>44504</v>
      </c>
      <c r="B89">
        <v>1.9590000000000001</v>
      </c>
      <c r="C89">
        <v>1.9610000000000001</v>
      </c>
      <c r="D89">
        <v>1.877</v>
      </c>
      <c r="E89">
        <v>1.9359999999999999</v>
      </c>
      <c r="F89">
        <v>3937528.5</v>
      </c>
      <c r="G89">
        <v>1.9359999999999999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0.4047619047619021</v>
      </c>
      <c r="Q89">
        <f t="shared" ref="Q89" si="421">F89*P89</f>
        <v>1593761.5357142752</v>
      </c>
      <c r="R89">
        <f t="shared" ref="R89" si="422">R90+Q89</f>
        <v>48817655.755123064</v>
      </c>
      <c r="S89">
        <f t="shared" ref="S89" si="423">R89/100000</f>
        <v>488.17655755123064</v>
      </c>
      <c r="T89">
        <f t="shared" ref="T89" si="424">S89/1000</f>
        <v>0.48817655755123063</v>
      </c>
    </row>
    <row r="90" spans="1:20" x14ac:dyDescent="0.25">
      <c r="A90" s="5">
        <v>44503</v>
      </c>
      <c r="B90">
        <v>1.974</v>
      </c>
      <c r="C90">
        <v>2.11</v>
      </c>
      <c r="D90">
        <v>1.8640000000000001</v>
      </c>
      <c r="E90">
        <v>1.9550000000000001</v>
      </c>
      <c r="F90">
        <v>9160414.3000000007</v>
      </c>
      <c r="G90">
        <v>1.9550000000000001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-0.26016260162601584</v>
      </c>
      <c r="Q90">
        <f t="shared" ref="Q90" si="426">F90*P90</f>
        <v>-2383197.2162601589</v>
      </c>
      <c r="R90">
        <f t="shared" ref="R90" si="427">R91+Q90</f>
        <v>47223894.219408788</v>
      </c>
      <c r="S90">
        <f t="shared" ref="S90" si="428">R90/100000</f>
        <v>472.23894219408788</v>
      </c>
      <c r="T90">
        <f t="shared" ref="T90" si="429">S90/1000</f>
        <v>0.47223894219408791</v>
      </c>
    </row>
    <row r="91" spans="1:20" x14ac:dyDescent="0.25">
      <c r="A91" s="5">
        <v>44502</v>
      </c>
      <c r="B91">
        <v>1.948</v>
      </c>
      <c r="C91">
        <v>2.0019999999999998</v>
      </c>
      <c r="D91">
        <v>1.9039999999999999</v>
      </c>
      <c r="E91">
        <v>1.976</v>
      </c>
      <c r="F91">
        <v>7589522.7000000002</v>
      </c>
      <c r="G91">
        <v>1.976</v>
      </c>
      <c r="L91" t="s">
        <v>7</v>
      </c>
      <c r="M91" t="s">
        <v>8</v>
      </c>
      <c r="N91" t="s">
        <v>7</v>
      </c>
      <c r="P91">
        <f t="shared" ref="P91" si="430">IF(C91=D91,0,((E91-D91)-(C91-E91))/(C91-D91))</f>
        <v>0.46938775510204417</v>
      </c>
      <c r="Q91">
        <f t="shared" ref="Q91" si="431">F91*P91</f>
        <v>3562429.0224490049</v>
      </c>
      <c r="R91">
        <f t="shared" ref="R91" si="432">R92+Q91</f>
        <v>49607091.435668945</v>
      </c>
      <c r="S91">
        <f t="shared" ref="S91" si="433">R91/100000</f>
        <v>496.07091435668946</v>
      </c>
      <c r="T91">
        <f t="shared" ref="T91" si="434">S91/1000</f>
        <v>0.49607091435668943</v>
      </c>
    </row>
    <row r="92" spans="1:20" x14ac:dyDescent="0.25">
      <c r="A92" s="5">
        <v>44501</v>
      </c>
      <c r="B92">
        <v>1.843</v>
      </c>
      <c r="C92">
        <v>2.0950000000000002</v>
      </c>
      <c r="D92">
        <v>1.788</v>
      </c>
      <c r="E92">
        <v>1.948</v>
      </c>
      <c r="F92">
        <v>18711683.899999999</v>
      </c>
      <c r="G92">
        <v>1.948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4.2345276872963099E-2</v>
      </c>
      <c r="Q92">
        <f t="shared" ref="Q92" si="436">F92*P92</f>
        <v>792351.43550486595</v>
      </c>
      <c r="R92">
        <f t="shared" ref="R92" si="437">R93+Q92</f>
        <v>46044662.413219944</v>
      </c>
      <c r="S92">
        <f t="shared" ref="S92" si="438">R92/100000</f>
        <v>460.44662413219942</v>
      </c>
      <c r="T92">
        <f t="shared" ref="T92" si="439">S92/1000</f>
        <v>0.46044662413219944</v>
      </c>
    </row>
    <row r="93" spans="1:20" x14ac:dyDescent="0.25">
      <c r="A93" s="5">
        <v>44500</v>
      </c>
      <c r="B93">
        <v>1.913</v>
      </c>
      <c r="C93">
        <v>1.913</v>
      </c>
      <c r="D93">
        <v>1.7709999999999999</v>
      </c>
      <c r="E93">
        <v>1.843</v>
      </c>
      <c r="F93">
        <v>6343713</v>
      </c>
      <c r="G93">
        <v>1.843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1.4084507042253521E-2</v>
      </c>
      <c r="Q93">
        <f t="shared" ref="Q93" si="441">F93*P93</f>
        <v>89348.070422535209</v>
      </c>
      <c r="R93">
        <f t="shared" ref="R93" si="442">R94+Q93</f>
        <v>45252310.977715075</v>
      </c>
      <c r="S93">
        <f t="shared" ref="S93" si="443">R93/100000</f>
        <v>452.52310977715075</v>
      </c>
      <c r="T93">
        <f t="shared" ref="T93" si="444">S93/1000</f>
        <v>0.45252310977715077</v>
      </c>
    </row>
    <row r="94" spans="1:20" x14ac:dyDescent="0.25">
      <c r="A94" s="5">
        <v>44499</v>
      </c>
      <c r="B94">
        <v>1.984</v>
      </c>
      <c r="C94">
        <v>1.986</v>
      </c>
      <c r="D94">
        <v>1.8680000000000001</v>
      </c>
      <c r="E94">
        <v>1.913</v>
      </c>
      <c r="F94">
        <v>3047134</v>
      </c>
      <c r="G94">
        <v>1.913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-0.23728813559322079</v>
      </c>
      <c r="Q94">
        <f t="shared" ref="Q94" si="446">F94*P94</f>
        <v>-723048.74576271325</v>
      </c>
      <c r="R94">
        <f t="shared" ref="R94" si="447">R95+Q94</f>
        <v>45162962.907292537</v>
      </c>
      <c r="S94">
        <f t="shared" ref="S94" si="448">R94/100000</f>
        <v>451.62962907292535</v>
      </c>
      <c r="T94">
        <f t="shared" ref="T94" si="449">S94/1000</f>
        <v>0.45162962907292536</v>
      </c>
    </row>
    <row r="95" spans="1:20" x14ac:dyDescent="0.25">
      <c r="A95" s="5">
        <v>44498</v>
      </c>
      <c r="B95">
        <v>1.9370000000000001</v>
      </c>
      <c r="C95">
        <v>1.998</v>
      </c>
      <c r="D95">
        <v>1.8879999999999999</v>
      </c>
      <c r="E95">
        <v>1.986</v>
      </c>
      <c r="F95">
        <v>4288300.2</v>
      </c>
      <c r="G95">
        <v>1.986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0.78181818181818186</v>
      </c>
      <c r="Q95">
        <f t="shared" ref="Q95" si="451">F95*P95</f>
        <v>3352671.0654545459</v>
      </c>
      <c r="R95">
        <f t="shared" ref="R95" si="452">R96+Q95</f>
        <v>45886011.653055251</v>
      </c>
      <c r="S95">
        <f t="shared" ref="S95" si="453">R95/100000</f>
        <v>458.86011653055249</v>
      </c>
      <c r="T95">
        <f t="shared" ref="T95" si="454">S95/1000</f>
        <v>0.45886011653055248</v>
      </c>
    </row>
    <row r="96" spans="1:20" x14ac:dyDescent="0.25">
      <c r="A96" s="5">
        <v>44497</v>
      </c>
      <c r="B96">
        <v>1.863</v>
      </c>
      <c r="C96">
        <v>1.944</v>
      </c>
      <c r="D96">
        <v>1.81</v>
      </c>
      <c r="E96">
        <v>1.9370000000000001</v>
      </c>
      <c r="F96">
        <v>7714137.7999999998</v>
      </c>
      <c r="G96">
        <v>1.9370000000000001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0.89552238805970297</v>
      </c>
      <c r="Q96">
        <f t="shared" ref="Q96" si="456">F96*P96</f>
        <v>6908183.1044776235</v>
      </c>
      <c r="R96">
        <f t="shared" ref="R96" si="457">R97+Q96</f>
        <v>42533340.587600708</v>
      </c>
      <c r="S96">
        <f t="shared" ref="S96" si="458">R96/100000</f>
        <v>425.33340587600708</v>
      </c>
      <c r="T96">
        <f t="shared" ref="T96" si="459">S96/1000</f>
        <v>0.4253334058760071</v>
      </c>
    </row>
    <row r="97" spans="1:20" x14ac:dyDescent="0.25">
      <c r="A97" s="5">
        <v>44496</v>
      </c>
      <c r="B97">
        <v>2.1549999999999998</v>
      </c>
      <c r="C97">
        <v>2.1739999999999999</v>
      </c>
      <c r="D97">
        <v>1.839</v>
      </c>
      <c r="E97">
        <v>1.86</v>
      </c>
      <c r="F97">
        <v>10656186.199999999</v>
      </c>
      <c r="G97">
        <v>1.86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-0.87462686567164105</v>
      </c>
      <c r="Q97">
        <f t="shared" ref="Q97" si="461">F97*P97</f>
        <v>-9320186.7361193951</v>
      </c>
      <c r="R97">
        <f t="shared" ref="R97" si="462">R98+Q97</f>
        <v>35625157.483123086</v>
      </c>
      <c r="S97">
        <f t="shared" ref="S97" si="463">R97/100000</f>
        <v>356.25157483123087</v>
      </c>
      <c r="T97">
        <f t="shared" ref="T97" si="464">S97/1000</f>
        <v>0.35625157483123088</v>
      </c>
    </row>
    <row r="98" spans="1:20" x14ac:dyDescent="0.25">
      <c r="A98" s="5">
        <v>44495</v>
      </c>
      <c r="B98">
        <v>2.2189999999999999</v>
      </c>
      <c r="C98">
        <v>2.226</v>
      </c>
      <c r="D98">
        <v>2.1360000000000001</v>
      </c>
      <c r="E98">
        <v>2.1520000000000001</v>
      </c>
      <c r="F98">
        <v>4198335.8</v>
      </c>
      <c r="G98">
        <v>2.1520000000000001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-0.6444444444444436</v>
      </c>
      <c r="Q98">
        <f t="shared" ref="Q98" si="466">F98*P98</f>
        <v>-2705594.1822222187</v>
      </c>
      <c r="R98">
        <f t="shared" ref="R98" si="467">R99+Q98</f>
        <v>44945344.219242483</v>
      </c>
      <c r="S98">
        <f t="shared" ref="S98" si="468">R98/100000</f>
        <v>449.45344219242486</v>
      </c>
      <c r="T98">
        <f t="shared" ref="T98" si="469">S98/1000</f>
        <v>0.44945344219242483</v>
      </c>
    </row>
    <row r="99" spans="1:20" x14ac:dyDescent="0.25">
      <c r="A99" s="5">
        <v>44494</v>
      </c>
      <c r="B99">
        <v>2.2029999999999998</v>
      </c>
      <c r="C99">
        <v>2.2349999999999999</v>
      </c>
      <c r="D99">
        <v>2.153</v>
      </c>
      <c r="E99">
        <v>2.2189999999999999</v>
      </c>
      <c r="F99">
        <v>4243998</v>
      </c>
      <c r="G99">
        <v>2.2189999999999999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0.6097560975609746</v>
      </c>
      <c r="Q99">
        <f t="shared" ref="Q99" si="471">F99*P99</f>
        <v>2587803.6585365809</v>
      </c>
      <c r="R99">
        <f t="shared" ref="R99" si="472">R100+Q99</f>
        <v>47650938.401464701</v>
      </c>
      <c r="S99">
        <f t="shared" ref="S99" si="473">R99/100000</f>
        <v>476.50938401464703</v>
      </c>
      <c r="T99">
        <f t="shared" ref="T99" si="474">S99/1000</f>
        <v>0.47650938401464704</v>
      </c>
    </row>
    <row r="100" spans="1:20" x14ac:dyDescent="0.25">
      <c r="A100" s="5">
        <v>44493</v>
      </c>
      <c r="B100">
        <v>2.2160000000000002</v>
      </c>
      <c r="C100">
        <v>2.3879999999999999</v>
      </c>
      <c r="D100">
        <v>2.129</v>
      </c>
      <c r="E100">
        <v>2.2029999999999998</v>
      </c>
      <c r="F100">
        <v>7997190.2000000002</v>
      </c>
      <c r="G100">
        <v>2.2029999999999998</v>
      </c>
      <c r="L100" t="s">
        <v>8</v>
      </c>
      <c r="M100" t="s">
        <v>7</v>
      </c>
      <c r="N100" t="s">
        <v>8</v>
      </c>
      <c r="P100">
        <f t="shared" ref="P100" si="475">IF(C100=D100,0,((E100-D100)-(C100-E100))/(C100-D100))</f>
        <v>-0.42857142857142955</v>
      </c>
      <c r="Q100">
        <f t="shared" ref="Q100" si="476">F100*P100</f>
        <v>-3427367.2285714364</v>
      </c>
      <c r="R100">
        <f t="shared" ref="R100" si="477">R101+Q100</f>
        <v>45063134.742928118</v>
      </c>
      <c r="S100">
        <f t="shared" ref="S100" si="478">R100/100000</f>
        <v>450.63134742928116</v>
      </c>
      <c r="T100">
        <f t="shared" ref="T100" si="479">S100/1000</f>
        <v>0.45063134742928118</v>
      </c>
    </row>
    <row r="101" spans="1:20" x14ac:dyDescent="0.25">
      <c r="A101" s="5">
        <v>44492</v>
      </c>
      <c r="B101">
        <v>2.194</v>
      </c>
      <c r="C101">
        <v>2.2450000000000001</v>
      </c>
      <c r="D101">
        <v>2.12</v>
      </c>
      <c r="E101">
        <v>2.2170000000000001</v>
      </c>
      <c r="F101">
        <v>3739686.6</v>
      </c>
      <c r="G101">
        <v>2.2170000000000001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0.5519999999999996</v>
      </c>
      <c r="Q101">
        <f t="shared" ref="Q101" si="481">F101*P101</f>
        <v>2064307.0031999985</v>
      </c>
      <c r="R101">
        <f t="shared" ref="R101" si="482">R102+Q101</f>
        <v>48490501.971499555</v>
      </c>
      <c r="S101">
        <f t="shared" ref="S101" si="483">R101/100000</f>
        <v>484.90501971499555</v>
      </c>
      <c r="T101">
        <f t="shared" ref="T101" si="484">S101/1000</f>
        <v>0.48490501971499556</v>
      </c>
    </row>
    <row r="102" spans="1:20" x14ac:dyDescent="0.25">
      <c r="A102" s="5">
        <v>44491</v>
      </c>
      <c r="B102">
        <v>2.294</v>
      </c>
      <c r="C102">
        <v>2.3199999999999998</v>
      </c>
      <c r="D102">
        <v>2.16</v>
      </c>
      <c r="E102">
        <v>2.1920000000000002</v>
      </c>
      <c r="F102">
        <v>4446129.4000000004</v>
      </c>
      <c r="G102">
        <v>2.1920000000000002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-0.59999999999999887</v>
      </c>
      <c r="Q102">
        <f t="shared" ref="Q102" si="486">F102*P102</f>
        <v>-2667677.639999995</v>
      </c>
      <c r="R102">
        <f t="shared" ref="R102" si="487">R103+Q102</f>
        <v>46426194.968299553</v>
      </c>
      <c r="S102">
        <f t="shared" ref="S102" si="488">R102/100000</f>
        <v>464.26194968299552</v>
      </c>
      <c r="T102">
        <f t="shared" ref="T102" si="489">S102/1000</f>
        <v>0.4642619496829955</v>
      </c>
    </row>
    <row r="103" spans="1:20" x14ac:dyDescent="0.25">
      <c r="A103" s="5">
        <v>44490</v>
      </c>
      <c r="B103">
        <v>2.4039999999999999</v>
      </c>
      <c r="C103">
        <v>2.4590000000000001</v>
      </c>
      <c r="D103">
        <v>2.2250000000000001</v>
      </c>
      <c r="E103">
        <v>2.2890000000000001</v>
      </c>
      <c r="F103">
        <v>7341200.7000000002</v>
      </c>
      <c r="G103">
        <v>2.2890000000000001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-0.45299145299145249</v>
      </c>
      <c r="Q103">
        <f t="shared" ref="Q103" si="491">F103*P103</f>
        <v>-3325501.1717948681</v>
      </c>
      <c r="R103">
        <f t="shared" ref="R103" si="492">R104+Q103</f>
        <v>49093872.608299546</v>
      </c>
      <c r="S103">
        <f t="shared" ref="S103" si="493">R103/100000</f>
        <v>490.93872608299546</v>
      </c>
      <c r="T103">
        <f t="shared" ref="T103" si="494">S103/1000</f>
        <v>0.49093872608299544</v>
      </c>
    </row>
    <row r="104" spans="1:20" x14ac:dyDescent="0.25">
      <c r="A104" s="5">
        <v>44489</v>
      </c>
      <c r="B104">
        <v>2.335</v>
      </c>
      <c r="C104">
        <v>2.4300000000000002</v>
      </c>
      <c r="D104">
        <v>2.2029999999999998</v>
      </c>
      <c r="E104">
        <v>2.41</v>
      </c>
      <c r="F104">
        <v>10631828.699999999</v>
      </c>
      <c r="G104">
        <v>2.41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0.82378854625550668</v>
      </c>
      <c r="Q104">
        <f t="shared" ref="Q104" si="496">F104*P104</f>
        <v>8758378.7088105734</v>
      </c>
      <c r="R104">
        <f t="shared" ref="R104" si="497">R105+Q104</f>
        <v>52419373.780094415</v>
      </c>
      <c r="S104">
        <f t="shared" ref="S104" si="498">R104/100000</f>
        <v>524.19373780094418</v>
      </c>
      <c r="T104">
        <f t="shared" ref="T104" si="499">S104/1000</f>
        <v>0.52419373780094414</v>
      </c>
    </row>
    <row r="105" spans="1:20" x14ac:dyDescent="0.25">
      <c r="A105" s="5">
        <v>44488</v>
      </c>
      <c r="B105">
        <v>2.57</v>
      </c>
      <c r="C105">
        <v>2.65</v>
      </c>
      <c r="D105">
        <v>2.29</v>
      </c>
      <c r="E105">
        <v>2.3319999999999999</v>
      </c>
      <c r="F105">
        <v>10931758.199999999</v>
      </c>
      <c r="G105">
        <v>2.3319999999999999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-0.76666666666666761</v>
      </c>
      <c r="Q105">
        <f t="shared" ref="Q105" si="501">F105*P105</f>
        <v>-8381014.6200000094</v>
      </c>
      <c r="R105">
        <f t="shared" ref="R105" si="502">R106+Q105</f>
        <v>43660995.07128384</v>
      </c>
      <c r="S105">
        <f t="shared" ref="S105" si="503">R105/100000</f>
        <v>436.60995071283838</v>
      </c>
      <c r="T105">
        <f t="shared" ref="T105" si="504">S105/1000</f>
        <v>0.43660995071283837</v>
      </c>
    </row>
    <row r="106" spans="1:20" x14ac:dyDescent="0.25">
      <c r="A106" s="5">
        <v>44487</v>
      </c>
      <c r="B106">
        <v>2.1970000000000001</v>
      </c>
      <c r="C106">
        <v>2.8149999999999999</v>
      </c>
      <c r="D106">
        <v>2.1949999999999998</v>
      </c>
      <c r="E106">
        <v>2.5670000000000002</v>
      </c>
      <c r="F106">
        <v>48006862.710000001</v>
      </c>
      <c r="G106">
        <v>2.5670000000000002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0.20000000000000087</v>
      </c>
      <c r="Q106">
        <f t="shared" ref="Q106" si="506">F106*P106</f>
        <v>9601372.5420000423</v>
      </c>
      <c r="R106">
        <f t="shared" ref="R106" si="507">R107+Q106</f>
        <v>52042009.691283852</v>
      </c>
      <c r="S106">
        <f t="shared" ref="S106" si="508">R106/100000</f>
        <v>520.42009691283852</v>
      </c>
      <c r="T106">
        <f t="shared" ref="T106" si="509">S106/1000</f>
        <v>0.52042009691283853</v>
      </c>
    </row>
    <row r="107" spans="1:20" x14ac:dyDescent="0.25">
      <c r="A107" s="5">
        <v>44486</v>
      </c>
      <c r="B107">
        <v>1.962</v>
      </c>
      <c r="C107">
        <v>2.2400000000000002</v>
      </c>
      <c r="D107">
        <v>1.9410000000000001</v>
      </c>
      <c r="E107">
        <v>2.1970000000000001</v>
      </c>
      <c r="F107">
        <v>13969281.1</v>
      </c>
      <c r="G107">
        <v>2.1970000000000001</v>
      </c>
      <c r="L107" t="s">
        <v>8</v>
      </c>
      <c r="M107" t="s">
        <v>7</v>
      </c>
      <c r="N107" t="s">
        <v>7</v>
      </c>
      <c r="P107">
        <f t="shared" ref="P107" si="510">IF(C107=D107,0,((E107-D107)-(C107-E107))/(C107-D107))</f>
        <v>0.71237458193979852</v>
      </c>
      <c r="Q107">
        <f t="shared" ref="Q107" si="511">F107*P107</f>
        <v>9951360.7836120278</v>
      </c>
      <c r="R107">
        <f t="shared" ref="R107" si="512">R108+Q107</f>
        <v>42440637.149283811</v>
      </c>
      <c r="S107">
        <f t="shared" ref="S107" si="513">R107/100000</f>
        <v>424.4063714928381</v>
      </c>
      <c r="T107">
        <f t="shared" ref="T107" si="514">S107/1000</f>
        <v>0.42440637149283811</v>
      </c>
    </row>
    <row r="108" spans="1:20" x14ac:dyDescent="0.25">
      <c r="A108" s="5">
        <v>44485</v>
      </c>
      <c r="B108">
        <v>1.988</v>
      </c>
      <c r="C108">
        <v>2.0539999999999998</v>
      </c>
      <c r="D108">
        <v>1.921</v>
      </c>
      <c r="E108">
        <v>1.9630000000000001</v>
      </c>
      <c r="F108">
        <v>4967680.5999999996</v>
      </c>
      <c r="G108">
        <v>1.9630000000000001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-0.36842105263157737</v>
      </c>
      <c r="Q108">
        <f t="shared" ref="Q108" si="516">F108*P108</f>
        <v>-1830198.1157894658</v>
      </c>
      <c r="R108">
        <f t="shared" ref="R108" si="517">R109+Q108</f>
        <v>32489276.365671784</v>
      </c>
      <c r="S108">
        <f t="shared" ref="S108" si="518">R108/100000</f>
        <v>324.89276365671782</v>
      </c>
      <c r="T108">
        <f t="shared" ref="T108" si="519">S108/1000</f>
        <v>0.32489276365671782</v>
      </c>
    </row>
    <row r="109" spans="1:20" x14ac:dyDescent="0.25">
      <c r="A109" s="5">
        <v>44484</v>
      </c>
      <c r="B109">
        <v>2.214</v>
      </c>
      <c r="C109">
        <v>2.246</v>
      </c>
      <c r="D109">
        <v>1.9790000000000001</v>
      </c>
      <c r="E109">
        <v>1.986</v>
      </c>
      <c r="F109">
        <v>7259329.5999999996</v>
      </c>
      <c r="G109">
        <v>1.986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-0.94756554307116181</v>
      </c>
      <c r="Q109">
        <f t="shared" ref="Q109" si="521">F109*P109</f>
        <v>-6878690.5947565595</v>
      </c>
      <c r="R109">
        <f t="shared" ref="R109" si="522">R110+Q109</f>
        <v>34319474.481461249</v>
      </c>
      <c r="S109">
        <f t="shared" ref="S109" si="523">R109/100000</f>
        <v>343.19474481461248</v>
      </c>
      <c r="T109">
        <f t="shared" ref="T109" si="524">S109/1000</f>
        <v>0.34319474481461248</v>
      </c>
    </row>
    <row r="110" spans="1:20" x14ac:dyDescent="0.25">
      <c r="A110" s="5">
        <v>44483</v>
      </c>
      <c r="B110">
        <v>2.2229999999999999</v>
      </c>
      <c r="C110">
        <v>2.319</v>
      </c>
      <c r="D110">
        <v>2.1</v>
      </c>
      <c r="E110">
        <v>2.214</v>
      </c>
      <c r="F110">
        <v>8516662.0999999996</v>
      </c>
      <c r="G110">
        <v>2.214</v>
      </c>
      <c r="L110" t="s">
        <v>7</v>
      </c>
      <c r="M110" t="s">
        <v>8</v>
      </c>
      <c r="N110" t="s">
        <v>7</v>
      </c>
      <c r="P110">
        <f t="shared" ref="P110" si="525">IF(C110=D110,0,((E110-D110)-(C110-E110))/(C110-D110))</f>
        <v>4.1095890410958458E-2</v>
      </c>
      <c r="Q110">
        <f t="shared" ref="Q110" si="526">F110*P110</f>
        <v>349999.81232876331</v>
      </c>
      <c r="R110">
        <f t="shared" ref="R110" si="527">R111+Q110</f>
        <v>41198165.076217808</v>
      </c>
      <c r="S110">
        <f t="shared" ref="S110" si="528">R110/100000</f>
        <v>411.98165076217811</v>
      </c>
      <c r="T110">
        <f t="shared" ref="T110" si="529">S110/1000</f>
        <v>0.41198165076217813</v>
      </c>
    </row>
    <row r="111" spans="1:20" x14ac:dyDescent="0.25">
      <c r="A111" s="5">
        <v>44482</v>
      </c>
      <c r="B111">
        <v>2.0470000000000002</v>
      </c>
      <c r="C111">
        <v>2.44</v>
      </c>
      <c r="D111">
        <v>2.0329999999999999</v>
      </c>
      <c r="E111">
        <v>2.2229999999999999</v>
      </c>
      <c r="F111">
        <v>19729119.399999999</v>
      </c>
      <c r="G111">
        <v>2.2229999999999999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-6.6339066339066666E-2</v>
      </c>
      <c r="Q111">
        <f t="shared" ref="Q111" si="531">F111*P111</f>
        <v>-1308811.3606879669</v>
      </c>
      <c r="R111">
        <f t="shared" ref="R111" si="532">R112+Q111</f>
        <v>40848165.263889045</v>
      </c>
      <c r="S111">
        <f t="shared" ref="S111" si="533">R111/100000</f>
        <v>408.48165263889047</v>
      </c>
      <c r="T111">
        <f t="shared" ref="T111" si="534">S111/1000</f>
        <v>0.40848165263889047</v>
      </c>
    </row>
    <row r="112" spans="1:20" x14ac:dyDescent="0.25">
      <c r="A112" s="5">
        <v>44481</v>
      </c>
      <c r="B112">
        <v>1.913</v>
      </c>
      <c r="C112">
        <v>2.2000000000000002</v>
      </c>
      <c r="D112">
        <v>1.833</v>
      </c>
      <c r="E112">
        <v>2.052</v>
      </c>
      <c r="F112">
        <v>14607754.199999999</v>
      </c>
      <c r="G112">
        <v>2.052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0.19346049046321501</v>
      </c>
      <c r="Q112">
        <f t="shared" ref="Q112" si="536">F112*P112</f>
        <v>2826023.2920980887</v>
      </c>
      <c r="R112">
        <f t="shared" ref="R112" si="537">R113+Q112</f>
        <v>42156976.624577008</v>
      </c>
      <c r="S112">
        <f t="shared" ref="S112" si="538">R112/100000</f>
        <v>421.5697662457701</v>
      </c>
      <c r="T112">
        <f t="shared" ref="T112" si="539">S112/1000</f>
        <v>0.42156976624577008</v>
      </c>
    </row>
    <row r="113" spans="1:20" x14ac:dyDescent="0.25">
      <c r="A113" s="5">
        <v>44480</v>
      </c>
      <c r="B113">
        <v>2.0289999999999999</v>
      </c>
      <c r="C113">
        <v>2.25</v>
      </c>
      <c r="D113">
        <v>1.86</v>
      </c>
      <c r="E113">
        <v>1.917</v>
      </c>
      <c r="F113">
        <v>19699953.699999999</v>
      </c>
      <c r="G113">
        <v>1.917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-0.70769230769230795</v>
      </c>
      <c r="Q113">
        <f t="shared" ref="Q113" si="541">F113*P113</f>
        <v>-13941505.69538462</v>
      </c>
      <c r="R113">
        <f t="shared" ref="R113" si="542">R114+Q113</f>
        <v>39330953.332478918</v>
      </c>
      <c r="S113">
        <f t="shared" ref="S113" si="543">R113/100000</f>
        <v>393.30953332478919</v>
      </c>
      <c r="T113">
        <f t="shared" ref="T113" si="544">S113/1000</f>
        <v>0.39330953332478918</v>
      </c>
    </row>
    <row r="114" spans="1:20" x14ac:dyDescent="0.25">
      <c r="A114" s="5">
        <v>44479</v>
      </c>
      <c r="B114">
        <v>1.8680000000000001</v>
      </c>
      <c r="C114">
        <v>2.6179999999999999</v>
      </c>
      <c r="D114">
        <v>1.7230000000000001</v>
      </c>
      <c r="E114">
        <v>2.0289999999999999</v>
      </c>
      <c r="F114">
        <v>78650464.459999993</v>
      </c>
      <c r="G114">
        <v>2.0289999999999999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-0.31620111731843598</v>
      </c>
      <c r="Q114">
        <f t="shared" ref="Q114" si="546">F114*P114</f>
        <v>-24869364.739865936</v>
      </c>
      <c r="R114">
        <f t="shared" ref="R114" si="547">R115+Q114</f>
        <v>53272459.02786354</v>
      </c>
      <c r="S114">
        <f t="shared" ref="S114" si="548">R114/100000</f>
        <v>532.72459027863545</v>
      </c>
      <c r="T114">
        <f t="shared" ref="T114" si="549">S114/1000</f>
        <v>0.5327245902786355</v>
      </c>
    </row>
    <row r="115" spans="1:20" x14ac:dyDescent="0.25">
      <c r="A115" s="5">
        <v>44478</v>
      </c>
      <c r="B115">
        <v>1.431</v>
      </c>
      <c r="C115">
        <v>2.165</v>
      </c>
      <c r="D115">
        <v>1.4119999999999999</v>
      </c>
      <c r="E115">
        <v>1.87</v>
      </c>
      <c r="F115">
        <v>37210632.380000003</v>
      </c>
      <c r="G115">
        <v>1.87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0.21646746347941598</v>
      </c>
      <c r="Q115">
        <f t="shared" ref="Q115" si="551">F115*P115</f>
        <v>8054891.205763624</v>
      </c>
      <c r="R115">
        <f t="shared" ref="R115" si="552">R116+Q115</f>
        <v>78141823.767729476</v>
      </c>
      <c r="S115">
        <f t="shared" ref="S115" si="553">R115/100000</f>
        <v>781.41823767729477</v>
      </c>
      <c r="T115">
        <f t="shared" ref="T115" si="554">S115/1000</f>
        <v>0.78141823767729479</v>
      </c>
    </row>
    <row r="116" spans="1:20" x14ac:dyDescent="0.25">
      <c r="A116" s="5">
        <v>44477</v>
      </c>
      <c r="B116">
        <v>1.389</v>
      </c>
      <c r="C116">
        <v>1.4890000000000001</v>
      </c>
      <c r="D116">
        <v>1.38</v>
      </c>
      <c r="E116">
        <v>1.43</v>
      </c>
      <c r="F116">
        <v>3968961.9</v>
      </c>
      <c r="G116">
        <v>1.43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-8.2568807339450476E-2</v>
      </c>
      <c r="Q116">
        <f t="shared" ref="Q116" si="556">F116*P116</f>
        <v>-327712.45045871928</v>
      </c>
      <c r="R116">
        <f t="shared" ref="R116" si="557">R117+Q116</f>
        <v>70086932.561965853</v>
      </c>
      <c r="S116">
        <f t="shared" ref="S116" si="558">R116/100000</f>
        <v>700.86932561965853</v>
      </c>
      <c r="T116">
        <f t="shared" ref="T116" si="559">S116/1000</f>
        <v>0.70086932561965853</v>
      </c>
    </row>
    <row r="117" spans="1:20" x14ac:dyDescent="0.25">
      <c r="A117" s="5">
        <v>44476</v>
      </c>
      <c r="B117">
        <v>1.3740000000000001</v>
      </c>
      <c r="C117">
        <v>1.4450000000000001</v>
      </c>
      <c r="D117">
        <v>1.3480000000000001</v>
      </c>
      <c r="E117">
        <v>1.387</v>
      </c>
      <c r="F117">
        <v>3648506.2</v>
      </c>
      <c r="G117">
        <v>1.387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-0.19587628865979517</v>
      </c>
      <c r="Q117">
        <f t="shared" ref="Q117" si="561">F117*P117</f>
        <v>-714655.85360825236</v>
      </c>
      <c r="R117">
        <f t="shared" ref="R117" si="562">R118+Q117</f>
        <v>70414645.012424573</v>
      </c>
      <c r="S117">
        <f t="shared" ref="S117" si="563">R117/100000</f>
        <v>704.14645012424569</v>
      </c>
      <c r="T117">
        <f t="shared" ref="T117" si="564">S117/1000</f>
        <v>0.7041464501242457</v>
      </c>
    </row>
    <row r="118" spans="1:20" x14ac:dyDescent="0.25">
      <c r="A118" s="5">
        <v>44475</v>
      </c>
      <c r="B118">
        <v>1.405</v>
      </c>
      <c r="C118">
        <v>1.448</v>
      </c>
      <c r="D118">
        <v>1.335</v>
      </c>
      <c r="E118">
        <v>1.3740000000000001</v>
      </c>
      <c r="F118">
        <v>5391691.4000000004</v>
      </c>
      <c r="G118">
        <v>1.3740000000000001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-0.30973451327433366</v>
      </c>
      <c r="Q118">
        <f t="shared" ref="Q118" si="566">F118*P118</f>
        <v>-1669992.9115044107</v>
      </c>
      <c r="R118">
        <f t="shared" ref="R118" si="567">R119+Q118</f>
        <v>71129300.866032824</v>
      </c>
      <c r="S118">
        <f t="shared" ref="S118" si="568">R118/100000</f>
        <v>711.29300866032827</v>
      </c>
      <c r="T118">
        <f t="shared" ref="T118" si="569">S118/1000</f>
        <v>0.7112930086603283</v>
      </c>
    </row>
    <row r="119" spans="1:20" x14ac:dyDescent="0.25">
      <c r="A119" s="5">
        <v>44474</v>
      </c>
      <c r="B119">
        <v>1.415</v>
      </c>
      <c r="C119">
        <v>1.4239999999999999</v>
      </c>
      <c r="D119">
        <v>1.3380000000000001</v>
      </c>
      <c r="E119">
        <v>1.405</v>
      </c>
      <c r="F119">
        <v>3447568.5</v>
      </c>
      <c r="G119">
        <v>1.405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0.55813953488372237</v>
      </c>
      <c r="Q119">
        <f t="shared" ref="Q119" si="571">F119*P119</f>
        <v>1924224.2790697725</v>
      </c>
      <c r="R119">
        <f t="shared" ref="R119" si="572">R120+Q119</f>
        <v>72799293.777537242</v>
      </c>
      <c r="S119">
        <f t="shared" ref="S119" si="573">R119/100000</f>
        <v>727.99293777537241</v>
      </c>
      <c r="T119">
        <f t="shared" ref="T119" si="574">S119/1000</f>
        <v>0.72799293777537244</v>
      </c>
    </row>
    <row r="120" spans="1:20" x14ac:dyDescent="0.25">
      <c r="A120" s="5">
        <v>44473</v>
      </c>
      <c r="B120">
        <v>1.331</v>
      </c>
      <c r="C120">
        <v>1.4339999999999999</v>
      </c>
      <c r="D120">
        <v>1.2769999999999999</v>
      </c>
      <c r="E120">
        <v>1.423</v>
      </c>
      <c r="F120">
        <v>4914719</v>
      </c>
      <c r="G120">
        <v>1.423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0.85987261146496952</v>
      </c>
      <c r="Q120">
        <f t="shared" ref="Q120" si="576">F120*P120</f>
        <v>4226032.2611465035</v>
      </c>
      <c r="R120">
        <f t="shared" ref="R120" si="577">R121+Q120</f>
        <v>70875069.498467475</v>
      </c>
      <c r="S120">
        <f t="shared" ref="S120" si="578">R120/100000</f>
        <v>708.75069498467474</v>
      </c>
      <c r="T120">
        <f t="shared" ref="T120" si="579">S120/1000</f>
        <v>0.70875069498467469</v>
      </c>
    </row>
    <row r="121" spans="1:20" x14ac:dyDescent="0.25">
      <c r="A121" s="5">
        <v>44472</v>
      </c>
      <c r="B121">
        <v>1.3220000000000001</v>
      </c>
      <c r="C121">
        <v>1.3660000000000001</v>
      </c>
      <c r="D121">
        <v>1.2949999999999999</v>
      </c>
      <c r="E121">
        <v>1.327</v>
      </c>
      <c r="F121">
        <v>1936100.4</v>
      </c>
      <c r="G121">
        <v>1.327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-9.8591549295776057E-2</v>
      </c>
      <c r="Q121">
        <f t="shared" ref="Q121" si="581">F121*P121</f>
        <v>-190883.13802817173</v>
      </c>
      <c r="R121">
        <f t="shared" ref="R121" si="582">R122+Q121</f>
        <v>66649037.237320974</v>
      </c>
      <c r="S121">
        <f t="shared" ref="S121" si="583">R121/100000</f>
        <v>666.49037237320977</v>
      </c>
      <c r="T121">
        <f t="shared" ref="T121" si="584">S121/1000</f>
        <v>0.66649037237320974</v>
      </c>
    </row>
    <row r="122" spans="1:20" x14ac:dyDescent="0.25">
      <c r="A122" s="5">
        <v>44471</v>
      </c>
      <c r="B122">
        <v>1.3220000000000001</v>
      </c>
      <c r="C122">
        <v>1.377</v>
      </c>
      <c r="D122">
        <v>1.3069999999999999</v>
      </c>
      <c r="E122">
        <v>1.3220000000000001</v>
      </c>
      <c r="F122">
        <v>2330159.4</v>
      </c>
      <c r="G122">
        <v>1.3220000000000001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-0.57142857142856829</v>
      </c>
      <c r="Q122">
        <f t="shared" ref="Q122" si="586">F122*P122</f>
        <v>-1331519.6571428499</v>
      </c>
      <c r="R122">
        <f t="shared" ref="R122" si="587">R123+Q122</f>
        <v>66839920.375349149</v>
      </c>
      <c r="S122">
        <f t="shared" ref="S122" si="588">R122/100000</f>
        <v>668.39920375349152</v>
      </c>
      <c r="T122">
        <f t="shared" ref="T122" si="589">S122/1000</f>
        <v>0.66839920375349149</v>
      </c>
    </row>
    <row r="123" spans="1:20" x14ac:dyDescent="0.25">
      <c r="A123" s="5">
        <v>44470</v>
      </c>
      <c r="B123">
        <v>1.2</v>
      </c>
      <c r="C123">
        <v>1.321</v>
      </c>
      <c r="D123">
        <v>1.1739999999999999</v>
      </c>
      <c r="E123">
        <v>1.319</v>
      </c>
      <c r="F123">
        <v>3045470.2</v>
      </c>
      <c r="G123">
        <v>1.319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0.97278911564625847</v>
      </c>
      <c r="Q123">
        <f t="shared" ref="Q123" si="591">F123*P123</f>
        <v>2962600.2625850341</v>
      </c>
      <c r="R123">
        <f t="shared" ref="R123" si="592">R124+Q123</f>
        <v>68171440.032491997</v>
      </c>
      <c r="S123">
        <f t="shared" ref="S123" si="593">R123/100000</f>
        <v>681.71440032492001</v>
      </c>
      <c r="T123">
        <f t="shared" ref="T123" si="594">S123/1000</f>
        <v>0.68171440032492003</v>
      </c>
    </row>
    <row r="124" spans="1:20" x14ac:dyDescent="0.25">
      <c r="A124" s="5">
        <v>44469</v>
      </c>
      <c r="B124">
        <v>1.1399999999999999</v>
      </c>
      <c r="C124">
        <v>1.2130000000000001</v>
      </c>
      <c r="D124">
        <v>1.133</v>
      </c>
      <c r="E124">
        <v>1.2</v>
      </c>
      <c r="F124">
        <v>2401612.2000000002</v>
      </c>
      <c r="G124">
        <v>1.2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0.67499999999999727</v>
      </c>
      <c r="Q124">
        <f t="shared" ref="Q124" si="596">F124*P124</f>
        <v>1621088.2349999936</v>
      </c>
      <c r="R124">
        <f t="shared" ref="R124" si="597">R125+Q124</f>
        <v>65208839.76990696</v>
      </c>
      <c r="S124">
        <f t="shared" ref="S124" si="598">R124/100000</f>
        <v>652.08839769906956</v>
      </c>
      <c r="T124">
        <f t="shared" ref="T124" si="599">S124/1000</f>
        <v>0.65208839769906957</v>
      </c>
    </row>
    <row r="125" spans="1:20" x14ac:dyDescent="0.25">
      <c r="A125" s="5">
        <v>44468</v>
      </c>
      <c r="B125">
        <v>1.1319999999999999</v>
      </c>
      <c r="C125">
        <v>1.1879999999999999</v>
      </c>
      <c r="D125">
        <v>1.1060000000000001</v>
      </c>
      <c r="E125">
        <v>1.139</v>
      </c>
      <c r="F125">
        <v>4371256.8</v>
      </c>
      <c r="G125">
        <v>1.139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-0.19512195121951273</v>
      </c>
      <c r="Q125">
        <f t="shared" ref="Q125" si="601">F125*P125</f>
        <v>-852928.15609756322</v>
      </c>
      <c r="R125">
        <f t="shared" ref="R125" si="602">R126+Q125</f>
        <v>63587751.534906968</v>
      </c>
      <c r="S125">
        <f t="shared" ref="S125" si="603">R125/100000</f>
        <v>635.87751534906965</v>
      </c>
      <c r="T125">
        <f t="shared" ref="T125" si="604">S125/1000</f>
        <v>0.63587751534906967</v>
      </c>
    </row>
    <row r="126" spans="1:20" x14ac:dyDescent="0.25">
      <c r="A126" s="5">
        <v>44467</v>
      </c>
      <c r="B126">
        <v>1.196</v>
      </c>
      <c r="C126">
        <v>1.22</v>
      </c>
      <c r="D126">
        <v>1.1240000000000001</v>
      </c>
      <c r="E126">
        <v>1.133</v>
      </c>
      <c r="F126">
        <v>5022726.5999999996</v>
      </c>
      <c r="G126">
        <v>1.133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-0.81250000000000189</v>
      </c>
      <c r="Q126">
        <f t="shared" ref="Q126" si="606">F126*P126</f>
        <v>-4080965.3625000091</v>
      </c>
      <c r="R126">
        <f t="shared" ref="R126" si="607">R127+Q126</f>
        <v>64440679.69100453</v>
      </c>
      <c r="S126">
        <f t="shared" ref="S126" si="608">R126/100000</f>
        <v>644.40679691004527</v>
      </c>
      <c r="T126">
        <f t="shared" ref="T126" si="609">S126/1000</f>
        <v>0.64440679691004532</v>
      </c>
    </row>
    <row r="127" spans="1:20" x14ac:dyDescent="0.25">
      <c r="A127" s="5">
        <v>44466</v>
      </c>
      <c r="B127">
        <v>1.236</v>
      </c>
      <c r="C127">
        <v>1.302</v>
      </c>
      <c r="D127">
        <v>1.194</v>
      </c>
      <c r="E127">
        <v>1.194</v>
      </c>
      <c r="F127">
        <v>1995119.1</v>
      </c>
      <c r="G127">
        <v>1.194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-1</v>
      </c>
      <c r="Q127">
        <f t="shared" ref="Q127" si="611">F127*P127</f>
        <v>-1995119.1</v>
      </c>
      <c r="R127">
        <f t="shared" ref="R127" si="612">R128+Q127</f>
        <v>68521645.053504542</v>
      </c>
      <c r="S127">
        <f t="shared" ref="S127" si="613">R127/100000</f>
        <v>685.2164505350454</v>
      </c>
      <c r="T127">
        <f t="shared" ref="T127" si="614">S127/1000</f>
        <v>0.68521645053504543</v>
      </c>
    </row>
    <row r="128" spans="1:20" x14ac:dyDescent="0.25">
      <c r="A128" s="5">
        <v>44465</v>
      </c>
      <c r="B128">
        <v>1.2470000000000001</v>
      </c>
      <c r="C128">
        <v>1.2949999999999999</v>
      </c>
      <c r="D128">
        <v>1.1599999999999999</v>
      </c>
      <c r="E128">
        <v>1.2370000000000001</v>
      </c>
      <c r="F128">
        <v>2693766.7</v>
      </c>
      <c r="G128">
        <v>1.2370000000000001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0.14074074074074333</v>
      </c>
      <c r="Q128">
        <f t="shared" ref="Q128" si="616">F128*P128</f>
        <v>379122.72074074775</v>
      </c>
      <c r="R128">
        <f t="shared" ref="R128" si="617">R129+Q128</f>
        <v>70516764.153504536</v>
      </c>
      <c r="S128">
        <f t="shared" ref="S128" si="618">R128/100000</f>
        <v>705.16764153504539</v>
      </c>
      <c r="T128">
        <f t="shared" ref="T128" si="619">S128/1000</f>
        <v>0.70516764153504541</v>
      </c>
    </row>
    <row r="129" spans="1:20" x14ac:dyDescent="0.25">
      <c r="A129" s="5">
        <v>44464</v>
      </c>
      <c r="B129">
        <v>1.2729999999999999</v>
      </c>
      <c r="C129">
        <v>1.2989999999999999</v>
      </c>
      <c r="D129">
        <v>1.206</v>
      </c>
      <c r="E129">
        <v>1.246</v>
      </c>
      <c r="F129">
        <v>1899175.6</v>
      </c>
      <c r="G129">
        <v>1.246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-0.1397849462365581</v>
      </c>
      <c r="Q129">
        <f t="shared" ref="Q129" si="621">F129*P129</f>
        <v>-265476.15913978301</v>
      </c>
      <c r="R129">
        <f t="shared" ref="R129" si="622">R130+Q129</f>
        <v>70137641.432763785</v>
      </c>
      <c r="S129">
        <f t="shared" ref="S129" si="623">R129/100000</f>
        <v>701.3764143276378</v>
      </c>
      <c r="T129">
        <f t="shared" ref="T129" si="624">S129/1000</f>
        <v>0.70137641432763775</v>
      </c>
    </row>
    <row r="130" spans="1:20" x14ac:dyDescent="0.25">
      <c r="A130" s="5">
        <v>44463</v>
      </c>
      <c r="B130">
        <v>1.399</v>
      </c>
      <c r="C130">
        <v>1.4179999999999999</v>
      </c>
      <c r="D130">
        <v>1.1850000000000001</v>
      </c>
      <c r="E130">
        <v>1.272</v>
      </c>
      <c r="F130">
        <v>4677869.3</v>
      </c>
      <c r="G130">
        <v>1.272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-0.25321888412017157</v>
      </c>
      <c r="Q130">
        <f t="shared" ref="Q130" si="626">F130*P130</f>
        <v>-1184524.8442060081</v>
      </c>
      <c r="R130">
        <f t="shared" ref="R130" si="627">R131+Q130</f>
        <v>70403117.591903567</v>
      </c>
      <c r="S130">
        <f t="shared" ref="S130" si="628">R130/100000</f>
        <v>704.03117591903572</v>
      </c>
      <c r="T130">
        <f t="shared" ref="T130" si="629">S130/1000</f>
        <v>0.70403117591903575</v>
      </c>
    </row>
    <row r="131" spans="1:20" x14ac:dyDescent="0.25">
      <c r="A131" s="5">
        <v>44462</v>
      </c>
      <c r="B131">
        <v>1.3660000000000001</v>
      </c>
      <c r="C131">
        <v>1.44</v>
      </c>
      <c r="D131">
        <v>1.3009999999999999</v>
      </c>
      <c r="E131">
        <v>1.399</v>
      </c>
      <c r="F131">
        <v>5034624.5999999996</v>
      </c>
      <c r="G131">
        <v>1.399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0.41007194244604428</v>
      </c>
      <c r="Q131">
        <f t="shared" ref="Q131" si="631">F131*P131</f>
        <v>2064558.2892086385</v>
      </c>
      <c r="R131">
        <f t="shared" ref="R131" si="632">R132+Q131</f>
        <v>71587642.436109573</v>
      </c>
      <c r="S131">
        <f t="shared" ref="S131" si="633">R131/100000</f>
        <v>715.8764243610957</v>
      </c>
      <c r="T131">
        <f t="shared" ref="T131" si="634">S131/1000</f>
        <v>0.71587642436109566</v>
      </c>
    </row>
    <row r="132" spans="1:20" x14ac:dyDescent="0.25">
      <c r="A132" s="5">
        <v>44461</v>
      </c>
      <c r="B132">
        <v>1.2070000000000001</v>
      </c>
      <c r="C132">
        <v>1.3839999999999999</v>
      </c>
      <c r="D132">
        <v>1.157</v>
      </c>
      <c r="E132">
        <v>1.3680000000000001</v>
      </c>
      <c r="F132">
        <v>4830493.5</v>
      </c>
      <c r="G132">
        <v>1.3680000000000001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0.85903083700440708</v>
      </c>
      <c r="Q132">
        <f t="shared" ref="Q132" si="636">F132*P132</f>
        <v>4149542.8744493481</v>
      </c>
      <c r="R132">
        <f t="shared" ref="R132" si="637">R133+Q132</f>
        <v>69523084.146900937</v>
      </c>
      <c r="S132">
        <f t="shared" ref="S132" si="638">R132/100000</f>
        <v>695.23084146900942</v>
      </c>
      <c r="T132">
        <f t="shared" ref="T132" si="639">S132/1000</f>
        <v>0.69523084146900938</v>
      </c>
    </row>
    <row r="133" spans="1:20" x14ac:dyDescent="0.25">
      <c r="A133" s="5">
        <v>44460</v>
      </c>
      <c r="B133">
        <v>1.1970000000000001</v>
      </c>
      <c r="C133">
        <v>1.357</v>
      </c>
      <c r="D133">
        <v>1.1040000000000001</v>
      </c>
      <c r="E133">
        <v>1.21</v>
      </c>
      <c r="F133">
        <v>9634742.9499999993</v>
      </c>
      <c r="G133">
        <v>1.21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-0.16205533596838009</v>
      </c>
      <c r="Q133">
        <f t="shared" ref="Q133" si="641">F133*P133</f>
        <v>-1561361.5057312313</v>
      </c>
      <c r="R133">
        <f t="shared" ref="R133" si="642">R134+Q133</f>
        <v>65373541.272451587</v>
      </c>
      <c r="S133">
        <f t="shared" ref="S133" si="643">R133/100000</f>
        <v>653.73541272451587</v>
      </c>
      <c r="T133">
        <f t="shared" ref="T133" si="644">S133/1000</f>
        <v>0.65373541272451585</v>
      </c>
    </row>
    <row r="134" spans="1:20" x14ac:dyDescent="0.25">
      <c r="A134" s="5">
        <v>44459</v>
      </c>
      <c r="B134">
        <v>1.403</v>
      </c>
      <c r="C134">
        <v>1.4059999999999999</v>
      </c>
      <c r="D134">
        <v>1.244</v>
      </c>
      <c r="E134">
        <v>1.2689999999999999</v>
      </c>
      <c r="F134">
        <v>2517152.7999999998</v>
      </c>
      <c r="G134">
        <v>1.2689999999999999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-0.69135802469135899</v>
      </c>
      <c r="Q134">
        <f t="shared" ref="Q134" si="646">F134*P134</f>
        <v>-1740253.7876543233</v>
      </c>
      <c r="R134">
        <f t="shared" ref="R134" si="647">R135+Q134</f>
        <v>66934902.778182819</v>
      </c>
      <c r="S134">
        <f t="shared" ref="S134" si="648">R134/100000</f>
        <v>669.34902778182823</v>
      </c>
      <c r="T134">
        <f t="shared" ref="T134" si="649">S134/1000</f>
        <v>0.66934902778182825</v>
      </c>
    </row>
    <row r="135" spans="1:20" x14ac:dyDescent="0.25">
      <c r="A135" s="5">
        <v>44458</v>
      </c>
      <c r="B135">
        <v>1.4630000000000001</v>
      </c>
      <c r="C135">
        <v>1.4630000000000001</v>
      </c>
      <c r="D135">
        <v>1.3819999999999999</v>
      </c>
      <c r="E135">
        <v>1.4039999999999999</v>
      </c>
      <c r="F135">
        <v>1649413.5</v>
      </c>
      <c r="G135">
        <v>1.4039999999999999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-0.45679012345679088</v>
      </c>
      <c r="Q135">
        <f t="shared" ref="Q135" si="651">F135*P135</f>
        <v>-753435.79629629757</v>
      </c>
      <c r="R135">
        <f t="shared" ref="R135" si="652">R136+Q135</f>
        <v>68675156.565837145</v>
      </c>
      <c r="S135">
        <f t="shared" ref="S135" si="653">R135/100000</f>
        <v>686.75156565837142</v>
      </c>
      <c r="T135">
        <f t="shared" ref="T135" si="654">S135/1000</f>
        <v>0.68675156565837137</v>
      </c>
    </row>
    <row r="136" spans="1:20" x14ac:dyDescent="0.25">
      <c r="A136" s="5">
        <v>44457</v>
      </c>
      <c r="B136">
        <v>1.45</v>
      </c>
      <c r="C136">
        <v>1.484</v>
      </c>
      <c r="D136">
        <v>1.4259999999999999</v>
      </c>
      <c r="E136">
        <v>1.4630000000000001</v>
      </c>
      <c r="F136">
        <v>1306107.5</v>
      </c>
      <c r="G136">
        <v>1.4630000000000001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0.27586206896552107</v>
      </c>
      <c r="Q136">
        <f t="shared" ref="Q136" si="656">F136*P136</f>
        <v>360305.51724138431</v>
      </c>
      <c r="R136">
        <f t="shared" ref="R136" si="657">R137+Q136</f>
        <v>69428592.362133443</v>
      </c>
      <c r="S136">
        <f t="shared" ref="S136" si="658">R136/100000</f>
        <v>694.2859236213344</v>
      </c>
      <c r="T136">
        <f t="shared" ref="T136" si="659">S136/1000</f>
        <v>0.69428592362133446</v>
      </c>
    </row>
    <row r="137" spans="1:20" x14ac:dyDescent="0.25">
      <c r="A137" s="5">
        <v>44456</v>
      </c>
      <c r="B137">
        <v>1.5089999999999999</v>
      </c>
      <c r="C137">
        <v>1.51</v>
      </c>
      <c r="D137">
        <v>1.415</v>
      </c>
      <c r="E137">
        <v>1.4510000000000001</v>
      </c>
      <c r="F137">
        <v>2480603.4</v>
      </c>
      <c r="G137">
        <v>1.4510000000000001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-0.24210526315789385</v>
      </c>
      <c r="Q137">
        <f t="shared" ref="Q137" si="661">F137*P137</f>
        <v>-600567.13894736615</v>
      </c>
      <c r="R137">
        <f t="shared" ref="R137" si="662">R138+Q137</f>
        <v>69068286.844892055</v>
      </c>
      <c r="S137">
        <f t="shared" ref="S137" si="663">R137/100000</f>
        <v>690.68286844892054</v>
      </c>
      <c r="T137">
        <f t="shared" ref="T137" si="664">S137/1000</f>
        <v>0.69068286844892057</v>
      </c>
    </row>
    <row r="138" spans="1:20" x14ac:dyDescent="0.25">
      <c r="A138" s="5">
        <v>44455</v>
      </c>
      <c r="B138">
        <v>1.569</v>
      </c>
      <c r="C138">
        <v>1.57</v>
      </c>
      <c r="D138">
        <v>1.474</v>
      </c>
      <c r="E138">
        <v>1.5089999999999999</v>
      </c>
      <c r="F138">
        <v>3144352.6</v>
      </c>
      <c r="G138">
        <v>1.5089999999999999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-0.27083333333333565</v>
      </c>
      <c r="Q138">
        <f t="shared" ref="Q138" si="666">F138*P138</f>
        <v>-851595.49583334068</v>
      </c>
      <c r="R138">
        <f t="shared" ref="R138" si="667">R139+Q138</f>
        <v>69668853.983839422</v>
      </c>
      <c r="S138">
        <f t="shared" ref="S138" si="668">R138/100000</f>
        <v>696.68853983839426</v>
      </c>
      <c r="T138">
        <f t="shared" ref="T138" si="669">S138/1000</f>
        <v>0.69668853983839429</v>
      </c>
    </row>
    <row r="139" spans="1:20" x14ac:dyDescent="0.25">
      <c r="A139" s="5">
        <v>44454</v>
      </c>
      <c r="B139">
        <v>1.5669999999999999</v>
      </c>
      <c r="C139">
        <v>1.5820000000000001</v>
      </c>
      <c r="D139">
        <v>1.512</v>
      </c>
      <c r="E139">
        <v>1.57</v>
      </c>
      <c r="F139">
        <v>1815865.1</v>
      </c>
      <c r="G139">
        <v>1.57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0.65714285714285714</v>
      </c>
      <c r="Q139">
        <f t="shared" ref="Q139" si="671">F139*P139</f>
        <v>1193282.78</v>
      </c>
      <c r="R139">
        <f t="shared" ref="R139" si="672">R140+Q139</f>
        <v>70520449.47967276</v>
      </c>
      <c r="S139">
        <f t="shared" ref="S139" si="673">R139/100000</f>
        <v>705.20449479672754</v>
      </c>
      <c r="T139">
        <f t="shared" ref="T139" si="674">S139/1000</f>
        <v>0.70520449479672753</v>
      </c>
    </row>
    <row r="140" spans="1:20" x14ac:dyDescent="0.25">
      <c r="A140" s="5">
        <v>44453</v>
      </c>
      <c r="B140">
        <v>1.532</v>
      </c>
      <c r="C140">
        <v>1.569</v>
      </c>
      <c r="D140">
        <v>1.45</v>
      </c>
      <c r="E140">
        <v>1.569</v>
      </c>
      <c r="F140">
        <v>5476427</v>
      </c>
      <c r="G140">
        <v>1.569</v>
      </c>
      <c r="L140" t="s">
        <v>7</v>
      </c>
      <c r="M140" t="s">
        <v>8</v>
      </c>
      <c r="N140" t="s">
        <v>7</v>
      </c>
      <c r="P140">
        <f t="shared" ref="P140" si="675">IF(C140=D140,0,((E140-D140)-(C140-E140))/(C140-D140))</f>
        <v>1</v>
      </c>
      <c r="Q140">
        <f t="shared" ref="Q140" si="676">F140*P140</f>
        <v>5476427</v>
      </c>
      <c r="R140">
        <f t="shared" ref="R140" si="677">R141+Q140</f>
        <v>69327166.699672759</v>
      </c>
      <c r="S140">
        <f t="shared" ref="S140" si="678">R140/100000</f>
        <v>693.27166699672762</v>
      </c>
      <c r="T140">
        <f t="shared" ref="T140" si="679">S140/1000</f>
        <v>0.6932716669967276</v>
      </c>
    </row>
    <row r="141" spans="1:20" x14ac:dyDescent="0.25">
      <c r="A141" s="5">
        <v>44452</v>
      </c>
      <c r="B141">
        <v>1.4319999999999999</v>
      </c>
      <c r="C141">
        <v>1.569</v>
      </c>
      <c r="D141">
        <v>1.353</v>
      </c>
      <c r="E141">
        <v>1.5309999999999999</v>
      </c>
      <c r="F141">
        <v>9438980.6999999993</v>
      </c>
      <c r="G141">
        <v>1.5309999999999999</v>
      </c>
      <c r="L141" t="s">
        <v>8</v>
      </c>
      <c r="M141" t="s">
        <v>8</v>
      </c>
      <c r="N141" t="s">
        <v>7</v>
      </c>
      <c r="P141">
        <f t="shared" ref="P141" si="680">IF(C141=D141,0,((E141-D141)-(C141-E141))/(C141-D141))</f>
        <v>0.64814814814814781</v>
      </c>
      <c r="Q141">
        <f t="shared" ref="Q141" si="681">F141*P141</f>
        <v>6117857.8611111073</v>
      </c>
      <c r="R141">
        <f t="shared" ref="R141" si="682">R142+Q141</f>
        <v>63850739.699672766</v>
      </c>
      <c r="S141">
        <f t="shared" ref="S141" si="683">R141/100000</f>
        <v>638.50739699672761</v>
      </c>
      <c r="T141">
        <f t="shared" ref="T141" si="684">S141/1000</f>
        <v>0.63850739699672765</v>
      </c>
    </row>
    <row r="142" spans="1:20" x14ac:dyDescent="0.25">
      <c r="A142" s="5">
        <v>44451</v>
      </c>
      <c r="B142">
        <v>1.4139999999999999</v>
      </c>
      <c r="C142">
        <v>1.454</v>
      </c>
      <c r="D142">
        <v>1.363</v>
      </c>
      <c r="E142">
        <v>1.4319999999999999</v>
      </c>
      <c r="F142">
        <v>2884395.4</v>
      </c>
      <c r="G142">
        <v>1.4319999999999999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0.51648351648351587</v>
      </c>
      <c r="Q142">
        <f t="shared" ref="Q142" si="686">F142*P142</f>
        <v>1489742.6791208773</v>
      </c>
      <c r="R142">
        <f t="shared" ref="R142" si="687">R143+Q142</f>
        <v>57732881.838561662</v>
      </c>
      <c r="S142">
        <f t="shared" ref="S142" si="688">R142/100000</f>
        <v>577.32881838561661</v>
      </c>
      <c r="T142">
        <f t="shared" ref="T142" si="689">S142/1000</f>
        <v>0.57732881838561656</v>
      </c>
    </row>
    <row r="143" spans="1:20" x14ac:dyDescent="0.25">
      <c r="A143" s="5">
        <v>44450</v>
      </c>
      <c r="B143">
        <v>1.3480000000000001</v>
      </c>
      <c r="C143">
        <v>1.4279999999999999</v>
      </c>
      <c r="D143">
        <v>1.33</v>
      </c>
      <c r="E143">
        <v>1.4159999999999999</v>
      </c>
      <c r="F143">
        <v>3364281.8</v>
      </c>
      <c r="G143">
        <v>1.4159999999999999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0.75510204081632593</v>
      </c>
      <c r="Q143">
        <f t="shared" ref="Q143" si="691">F143*P143</f>
        <v>2540376.0530612222</v>
      </c>
      <c r="R143">
        <f t="shared" ref="R143" si="692">R144+Q143</f>
        <v>56243139.159440786</v>
      </c>
      <c r="S143">
        <f t="shared" ref="S143" si="693">R143/100000</f>
        <v>562.43139159440784</v>
      </c>
      <c r="T143">
        <f t="shared" ref="T143" si="694">S143/1000</f>
        <v>0.5624313915944078</v>
      </c>
    </row>
    <row r="144" spans="1:20" x14ac:dyDescent="0.25">
      <c r="A144" s="5">
        <v>44449</v>
      </c>
      <c r="B144">
        <v>1.407</v>
      </c>
      <c r="C144">
        <v>1.526</v>
      </c>
      <c r="D144">
        <v>1.3169999999999999</v>
      </c>
      <c r="E144">
        <v>1.349</v>
      </c>
      <c r="F144">
        <v>5588139.4000000004</v>
      </c>
      <c r="G144">
        <v>1.349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-0.69377990430621994</v>
      </c>
      <c r="Q144">
        <f t="shared" ref="Q144" si="696">F144*P144</f>
        <v>-3876938.8181818174</v>
      </c>
      <c r="R144">
        <f t="shared" ref="R144" si="697">R145+Q144</f>
        <v>53702763.106379561</v>
      </c>
      <c r="S144">
        <f t="shared" ref="S144" si="698">R144/100000</f>
        <v>537.02763106379564</v>
      </c>
      <c r="T144">
        <f t="shared" ref="T144" si="699">S144/1000</f>
        <v>0.53702763106379559</v>
      </c>
    </row>
    <row r="145" spans="1:20" x14ac:dyDescent="0.25">
      <c r="A145" s="5">
        <v>44448</v>
      </c>
      <c r="B145">
        <v>1.3580000000000001</v>
      </c>
      <c r="C145">
        <v>1.4690000000000001</v>
      </c>
      <c r="D145">
        <v>1.2709999999999999</v>
      </c>
      <c r="E145">
        <v>1.407</v>
      </c>
      <c r="F145">
        <v>6061117.2000000002</v>
      </c>
      <c r="G145">
        <v>1.407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0.37373737373737376</v>
      </c>
      <c r="Q145">
        <f t="shared" ref="Q145" si="701">F145*P145</f>
        <v>2265266.0242424244</v>
      </c>
      <c r="R145">
        <f t="shared" ref="R145" si="702">R146+Q145</f>
        <v>57579701.924561381</v>
      </c>
      <c r="S145">
        <f t="shared" ref="S145" si="703">R145/100000</f>
        <v>575.7970192456138</v>
      </c>
      <c r="T145">
        <f t="shared" ref="T145" si="704">S145/1000</f>
        <v>0.57579701924561377</v>
      </c>
    </row>
    <row r="146" spans="1:20" x14ac:dyDescent="0.25">
      <c r="A146" s="5">
        <v>44447</v>
      </c>
      <c r="B146">
        <v>1.329</v>
      </c>
      <c r="C146">
        <v>1.397</v>
      </c>
      <c r="D146">
        <v>1.17</v>
      </c>
      <c r="E146">
        <v>1.3580000000000001</v>
      </c>
      <c r="F146">
        <v>5126515.0999999996</v>
      </c>
      <c r="G146">
        <v>1.3580000000000001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0.65638766519823866</v>
      </c>
      <c r="Q146">
        <f t="shared" ref="Q146" si="706">F146*P146</f>
        <v>3364981.2770925146</v>
      </c>
      <c r="R146">
        <f t="shared" ref="R146" si="707">R147+Q146</f>
        <v>55314435.900318958</v>
      </c>
      <c r="S146">
        <f t="shared" ref="S146" si="708">R146/100000</f>
        <v>553.14435900318961</v>
      </c>
      <c r="T146">
        <f t="shared" ref="T146" si="709">S146/1000</f>
        <v>0.55314435900318959</v>
      </c>
    </row>
    <row r="147" spans="1:20" x14ac:dyDescent="0.25">
      <c r="A147" s="5">
        <v>44446</v>
      </c>
      <c r="B147">
        <v>1.671</v>
      </c>
      <c r="C147">
        <v>1.671</v>
      </c>
      <c r="D147">
        <v>1.1399999999999999</v>
      </c>
      <c r="E147">
        <v>1.3280000000000001</v>
      </c>
      <c r="F147">
        <v>4941089.46</v>
      </c>
      <c r="G147">
        <v>1.3280000000000001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-0.29190207156308806</v>
      </c>
      <c r="Q147">
        <f t="shared" ref="Q147" si="711">F147*P147</f>
        <v>-1442314.2491525402</v>
      </c>
      <c r="R147">
        <f t="shared" ref="R147" si="712">R148+Q147</f>
        <v>51949454.623226441</v>
      </c>
      <c r="S147">
        <f t="shared" ref="S147" si="713">R147/100000</f>
        <v>519.49454623226438</v>
      </c>
      <c r="T147">
        <f t="shared" ref="T147" si="714">S147/1000</f>
        <v>0.51949454623226443</v>
      </c>
    </row>
    <row r="148" spans="1:20" x14ac:dyDescent="0.25">
      <c r="A148" s="5">
        <v>44445</v>
      </c>
      <c r="B148">
        <v>1.675</v>
      </c>
      <c r="C148">
        <v>1.7170000000000001</v>
      </c>
      <c r="D148">
        <v>1.61</v>
      </c>
      <c r="E148">
        <v>1.6679999999999999</v>
      </c>
      <c r="F148">
        <v>3066340.9</v>
      </c>
      <c r="G148">
        <v>1.6679999999999999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8.411214953270725E-2</v>
      </c>
      <c r="Q148">
        <f t="shared" ref="Q148" si="716">F148*P148</f>
        <v>257916.52429905612</v>
      </c>
      <c r="R148">
        <f t="shared" ref="R148" si="717">R149+Q148</f>
        <v>53391768.872378983</v>
      </c>
      <c r="S148">
        <f t="shared" ref="S148" si="718">R148/100000</f>
        <v>533.91768872378987</v>
      </c>
      <c r="T148">
        <f t="shared" ref="T148" si="719">S148/1000</f>
        <v>0.53391768872378986</v>
      </c>
    </row>
    <row r="149" spans="1:20" x14ac:dyDescent="0.25">
      <c r="A149" s="5">
        <v>44444</v>
      </c>
      <c r="B149">
        <v>1.669</v>
      </c>
      <c r="C149">
        <v>1.712</v>
      </c>
      <c r="D149">
        <v>1.6140000000000001</v>
      </c>
      <c r="E149">
        <v>1.675</v>
      </c>
      <c r="F149">
        <v>3452906.9</v>
      </c>
      <c r="G149">
        <v>1.675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0.24489795918367402</v>
      </c>
      <c r="Q149">
        <f t="shared" ref="Q149" si="721">F149*P149</f>
        <v>845609.85306122631</v>
      </c>
      <c r="R149">
        <f t="shared" ref="R149" si="722">R150+Q149</f>
        <v>53133852.348079927</v>
      </c>
      <c r="S149">
        <f t="shared" ref="S149" si="723">R149/100000</f>
        <v>531.33852348079927</v>
      </c>
      <c r="T149">
        <f t="shared" ref="T149" si="724">S149/1000</f>
        <v>0.53133852348079924</v>
      </c>
    </row>
    <row r="150" spans="1:20" x14ac:dyDescent="0.25">
      <c r="A150" s="5">
        <v>44443</v>
      </c>
      <c r="B150">
        <v>1.635</v>
      </c>
      <c r="C150">
        <v>1.72</v>
      </c>
      <c r="D150">
        <v>1.595</v>
      </c>
      <c r="E150">
        <v>1.667</v>
      </c>
      <c r="F150">
        <v>4931839.2</v>
      </c>
      <c r="G150">
        <v>1.667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0.15200000000000102</v>
      </c>
      <c r="Q150">
        <f t="shared" ref="Q150" si="726">F150*P150</f>
        <v>749639.5584000051</v>
      </c>
      <c r="R150">
        <f t="shared" ref="R150" si="727">R151+Q150</f>
        <v>52288242.495018698</v>
      </c>
      <c r="S150">
        <f t="shared" ref="S150" si="728">R150/100000</f>
        <v>522.88242495018699</v>
      </c>
      <c r="T150">
        <f t="shared" ref="T150" si="729">S150/1000</f>
        <v>0.522882424950187</v>
      </c>
    </row>
    <row r="151" spans="1:20" x14ac:dyDescent="0.25">
      <c r="A151" s="5">
        <v>44442</v>
      </c>
      <c r="B151">
        <v>1.5529999999999999</v>
      </c>
      <c r="C151">
        <v>1.66</v>
      </c>
      <c r="D151">
        <v>1.5189999999999999</v>
      </c>
      <c r="E151">
        <v>1.635</v>
      </c>
      <c r="F151">
        <v>7036163.5</v>
      </c>
      <c r="G151">
        <v>1.635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0.64539007092198708</v>
      </c>
      <c r="Q151">
        <f t="shared" ref="Q151" si="731">F151*P151</f>
        <v>4541070.0602836972</v>
      </c>
      <c r="R151">
        <f t="shared" ref="R151" si="732">R152+Q151</f>
        <v>51538602.936618693</v>
      </c>
      <c r="S151">
        <f t="shared" ref="S151" si="733">R151/100000</f>
        <v>515.3860293661869</v>
      </c>
      <c r="T151">
        <f t="shared" ref="T151" si="734">S151/1000</f>
        <v>0.51538602936618694</v>
      </c>
    </row>
    <row r="152" spans="1:20" x14ac:dyDescent="0.25">
      <c r="A152" s="5">
        <v>44441</v>
      </c>
      <c r="B152">
        <v>1.5029999999999999</v>
      </c>
      <c r="C152">
        <v>1.7749999999999999</v>
      </c>
      <c r="D152">
        <v>1.478</v>
      </c>
      <c r="E152">
        <v>1.5529999999999999</v>
      </c>
      <c r="F152">
        <v>23442517.989999998</v>
      </c>
      <c r="G152">
        <v>1.5529999999999999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-0.49494949494949514</v>
      </c>
      <c r="Q152">
        <f t="shared" ref="Q152" si="736">F152*P152</f>
        <v>-11602862.439494953</v>
      </c>
      <c r="R152">
        <f t="shared" ref="R152" si="737">R153+Q152</f>
        <v>46997532.876334995</v>
      </c>
      <c r="S152">
        <f t="shared" ref="S152" si="738">R152/100000</f>
        <v>469.97532876334998</v>
      </c>
      <c r="T152">
        <f t="shared" ref="T152" si="739">S152/1000</f>
        <v>0.46997532876334996</v>
      </c>
    </row>
    <row r="153" spans="1:20" x14ac:dyDescent="0.25">
      <c r="A153" s="5">
        <v>44440</v>
      </c>
      <c r="B153">
        <v>1.4319999999999999</v>
      </c>
      <c r="C153">
        <v>1.599</v>
      </c>
      <c r="D153">
        <v>1.4</v>
      </c>
      <c r="E153">
        <v>1.5049999999999999</v>
      </c>
      <c r="F153">
        <v>7038758.0499999998</v>
      </c>
      <c r="G153">
        <v>1.5049999999999999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5.5276381909547215E-2</v>
      </c>
      <c r="Q153">
        <f t="shared" ref="Q153" si="741">F153*P153</f>
        <v>389077.07814069983</v>
      </c>
      <c r="R153">
        <f t="shared" ref="R153" si="742">R154+Q153</f>
        <v>58600395.315829948</v>
      </c>
      <c r="S153">
        <f t="shared" ref="S153" si="743">R153/100000</f>
        <v>586.00395315829951</v>
      </c>
      <c r="T153">
        <f t="shared" ref="T153" si="744">S153/1000</f>
        <v>0.58600395315829956</v>
      </c>
    </row>
    <row r="154" spans="1:20" x14ac:dyDescent="0.25">
      <c r="A154" s="5">
        <v>44439</v>
      </c>
      <c r="B154">
        <v>1.409</v>
      </c>
      <c r="C154">
        <v>1.486</v>
      </c>
      <c r="D154">
        <v>1.3819999999999999</v>
      </c>
      <c r="E154">
        <v>1.43</v>
      </c>
      <c r="F154">
        <v>3658828.2</v>
      </c>
      <c r="G154">
        <v>1.43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-7.6923076923076927E-2</v>
      </c>
      <c r="Q154">
        <f t="shared" ref="Q154" si="746">F154*P154</f>
        <v>-281448.32307692309</v>
      </c>
      <c r="R154">
        <f t="shared" ref="R154" si="747">R155+Q154</f>
        <v>58211318.237689249</v>
      </c>
      <c r="S154">
        <f t="shared" ref="S154" si="748">R154/100000</f>
        <v>582.1131823768925</v>
      </c>
      <c r="T154">
        <f t="shared" ref="T154" si="749">S154/1000</f>
        <v>0.58211318237689247</v>
      </c>
    </row>
    <row r="155" spans="1:20" x14ac:dyDescent="0.25">
      <c r="A155" s="5">
        <v>44438</v>
      </c>
      <c r="B155">
        <v>1.482</v>
      </c>
      <c r="C155">
        <v>1.5092000000000001</v>
      </c>
      <c r="D155">
        <v>1.401</v>
      </c>
      <c r="E155">
        <v>1.409</v>
      </c>
      <c r="F155">
        <v>3205985.75</v>
      </c>
      <c r="G155">
        <v>1.409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-0.85212569316081332</v>
      </c>
      <c r="Q155">
        <f t="shared" ref="Q155" si="751">F155*P155</f>
        <v>-2731902.8294824399</v>
      </c>
      <c r="R155">
        <f t="shared" ref="R155" si="752">R156+Q155</f>
        <v>58492766.560766175</v>
      </c>
      <c r="S155">
        <f t="shared" ref="S155" si="753">R155/100000</f>
        <v>584.92766560766177</v>
      </c>
      <c r="T155">
        <f t="shared" ref="T155" si="754">S155/1000</f>
        <v>0.58492766560766174</v>
      </c>
    </row>
    <row r="156" spans="1:20" x14ac:dyDescent="0.25">
      <c r="A156" s="5">
        <v>44437</v>
      </c>
      <c r="B156">
        <v>1.415</v>
      </c>
      <c r="C156">
        <v>1.49</v>
      </c>
      <c r="D156">
        <v>1.3660000000000001</v>
      </c>
      <c r="E156">
        <v>1.48</v>
      </c>
      <c r="F156">
        <v>4185817.15</v>
      </c>
      <c r="G156">
        <v>1.48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0.83870967741935454</v>
      </c>
      <c r="Q156">
        <f t="shared" ref="Q156" si="756">F156*P156</f>
        <v>3510685.3516129018</v>
      </c>
      <c r="R156">
        <f t="shared" ref="R156" si="757">R157+Q156</f>
        <v>61224669.390248619</v>
      </c>
      <c r="S156">
        <f t="shared" ref="S156" si="758">R156/100000</f>
        <v>612.24669390248619</v>
      </c>
      <c r="T156">
        <f t="shared" ref="T156" si="759">S156/1000</f>
        <v>0.61224669390248621</v>
      </c>
    </row>
    <row r="157" spans="1:20" x14ac:dyDescent="0.25">
      <c r="A157" s="5">
        <v>44436</v>
      </c>
      <c r="B157">
        <v>1.4295</v>
      </c>
      <c r="C157">
        <v>1.4330000000000001</v>
      </c>
      <c r="D157">
        <v>1.389</v>
      </c>
      <c r="E157">
        <v>1.4139999999999999</v>
      </c>
      <c r="F157">
        <v>1748303</v>
      </c>
      <c r="G157">
        <v>1.4139999999999999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0.13636363636363133</v>
      </c>
      <c r="Q157">
        <f t="shared" ref="Q157" si="761">F157*P157</f>
        <v>238404.95454544574</v>
      </c>
      <c r="R157">
        <f t="shared" ref="R157" si="762">R158+Q157</f>
        <v>57713984.038635716</v>
      </c>
      <c r="S157">
        <f t="shared" ref="S157" si="763">R157/100000</f>
        <v>577.13984038635715</v>
      </c>
      <c r="T157">
        <f t="shared" ref="T157" si="764">S157/1000</f>
        <v>0.57713984038635713</v>
      </c>
    </row>
    <row r="158" spans="1:20" x14ac:dyDescent="0.25">
      <c r="A158" s="5">
        <v>44435</v>
      </c>
      <c r="B158">
        <v>1.3620000000000001</v>
      </c>
      <c r="C158">
        <v>1.4295</v>
      </c>
      <c r="D158">
        <v>1.3160000000000001</v>
      </c>
      <c r="E158">
        <v>1.4295</v>
      </c>
      <c r="F158">
        <v>3608748.36</v>
      </c>
      <c r="G158">
        <v>1.4295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1</v>
      </c>
      <c r="Q158">
        <f t="shared" ref="Q158" si="766">F158*P158</f>
        <v>3608748.36</v>
      </c>
      <c r="R158">
        <f t="shared" ref="R158" si="767">R159+Q158</f>
        <v>57475579.08409027</v>
      </c>
      <c r="S158">
        <f t="shared" ref="S158" si="768">R158/100000</f>
        <v>574.7557908409027</v>
      </c>
      <c r="T158">
        <f t="shared" ref="T158" si="769">S158/1000</f>
        <v>0.57475579084090267</v>
      </c>
    </row>
    <row r="159" spans="1:20" x14ac:dyDescent="0.25">
      <c r="A159" s="5">
        <v>44434</v>
      </c>
      <c r="B159">
        <v>1.4851000000000001</v>
      </c>
      <c r="C159">
        <v>1.4897</v>
      </c>
      <c r="D159">
        <v>1.35</v>
      </c>
      <c r="E159">
        <v>1.361</v>
      </c>
      <c r="F159">
        <v>3680074.94</v>
      </c>
      <c r="G159">
        <v>1.361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-0.84251968503937147</v>
      </c>
      <c r="Q159">
        <f t="shared" ref="Q159" si="771">F159*P159</f>
        <v>-3100535.5793700838</v>
      </c>
      <c r="R159">
        <f t="shared" ref="R159" si="772">R160+Q159</f>
        <v>53866830.724090271</v>
      </c>
      <c r="S159">
        <f t="shared" ref="S159" si="773">R159/100000</f>
        <v>538.66830724090266</v>
      </c>
      <c r="T159">
        <f t="shared" ref="T159" si="774">S159/1000</f>
        <v>0.53866830724090264</v>
      </c>
    </row>
    <row r="160" spans="1:20" x14ac:dyDescent="0.25">
      <c r="A160" s="5">
        <v>44433</v>
      </c>
      <c r="B160">
        <v>1.4114</v>
      </c>
      <c r="C160">
        <v>1.5366</v>
      </c>
      <c r="D160">
        <v>1.3591</v>
      </c>
      <c r="E160">
        <v>1.4831000000000001</v>
      </c>
      <c r="F160">
        <v>9401843.4800000004</v>
      </c>
      <c r="G160">
        <v>1.4831000000000001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0.3971830985915506</v>
      </c>
      <c r="Q160">
        <f t="shared" ref="Q160" si="776">F160*P160</f>
        <v>3734253.3258591671</v>
      </c>
      <c r="R160">
        <f t="shared" ref="R160" si="777">R161+Q160</f>
        <v>56967366.303460352</v>
      </c>
      <c r="S160">
        <f t="shared" ref="S160" si="778">R160/100000</f>
        <v>569.67366303460346</v>
      </c>
      <c r="T160">
        <f t="shared" ref="T160" si="779">S160/1000</f>
        <v>0.56967366303460343</v>
      </c>
    </row>
    <row r="161" spans="1:20" x14ac:dyDescent="0.25">
      <c r="A161" s="5">
        <v>44432</v>
      </c>
      <c r="B161">
        <v>1.5034000000000001</v>
      </c>
      <c r="C161">
        <v>1.59</v>
      </c>
      <c r="D161">
        <v>1.3939999999999999</v>
      </c>
      <c r="E161">
        <v>1.4175</v>
      </c>
      <c r="F161">
        <v>5252487.8899999997</v>
      </c>
      <c r="G161">
        <v>1.4175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-0.76020408163265252</v>
      </c>
      <c r="Q161">
        <f t="shared" ref="Q161" si="781">F161*P161</f>
        <v>-3992962.7327040783</v>
      </c>
      <c r="R161">
        <f t="shared" ref="R161" si="782">R162+Q161</f>
        <v>53233112.977601185</v>
      </c>
      <c r="S161">
        <f t="shared" ref="S161" si="783">R161/100000</f>
        <v>532.33112977601184</v>
      </c>
      <c r="T161">
        <f t="shared" ref="T161" si="784">S161/1000</f>
        <v>0.53233112977601182</v>
      </c>
    </row>
    <row r="162" spans="1:20" x14ac:dyDescent="0.25">
      <c r="A162" s="5">
        <v>44431</v>
      </c>
      <c r="B162">
        <v>1.4523999999999999</v>
      </c>
      <c r="C162">
        <v>1.5114000000000001</v>
      </c>
      <c r="D162">
        <v>1.4291</v>
      </c>
      <c r="E162">
        <v>1.5023</v>
      </c>
      <c r="F162">
        <v>2743071.09</v>
      </c>
      <c r="G162">
        <v>1.5023</v>
      </c>
      <c r="L162" t="s">
        <v>8</v>
      </c>
      <c r="M162" t="s">
        <v>7</v>
      </c>
      <c r="N162" t="s">
        <v>8</v>
      </c>
      <c r="P162">
        <f t="shared" ref="P162" si="785">IF(C162=D162,0,((E162-D162)-(C162-E162))/(C162-D162))</f>
        <v>0.7788578371810424</v>
      </c>
      <c r="Q162">
        <f t="shared" ref="Q162" si="786">F162*P162</f>
        <v>2136462.4163912442</v>
      </c>
      <c r="R162">
        <f t="shared" ref="R162" si="787">R163+Q162</f>
        <v>57226075.710305266</v>
      </c>
      <c r="S162">
        <f t="shared" ref="S162" si="788">R162/100000</f>
        <v>572.2607571030527</v>
      </c>
      <c r="T162">
        <f t="shared" ref="T162" si="789">S162/1000</f>
        <v>0.57226075710305269</v>
      </c>
    </row>
    <row r="163" spans="1:20" x14ac:dyDescent="0.25">
      <c r="A163" s="5">
        <v>44430</v>
      </c>
      <c r="B163">
        <v>1.4516</v>
      </c>
      <c r="C163">
        <v>1.4698</v>
      </c>
      <c r="D163">
        <v>1.4404999999999999</v>
      </c>
      <c r="E163">
        <v>1.4635</v>
      </c>
      <c r="F163">
        <v>501916.39</v>
      </c>
      <c r="G163">
        <v>1.4635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0.56996587030717061</v>
      </c>
      <c r="Q163">
        <f t="shared" ref="Q163" si="791">F163*P163</f>
        <v>286075.21204778325</v>
      </c>
      <c r="R163">
        <f t="shared" ref="R163" si="792">R164+Q163</f>
        <v>55089613.29391402</v>
      </c>
      <c r="S163">
        <f t="shared" ref="S163" si="793">R163/100000</f>
        <v>550.89613293914022</v>
      </c>
      <c r="T163">
        <f t="shared" ref="T163" si="794">S163/1000</f>
        <v>0.55089613293914019</v>
      </c>
    </row>
    <row r="164" spans="1:20" x14ac:dyDescent="0.25">
      <c r="A164" s="5">
        <v>44429</v>
      </c>
      <c r="B164">
        <v>1.4392</v>
      </c>
      <c r="C164">
        <v>1.524</v>
      </c>
      <c r="D164">
        <v>1.4294</v>
      </c>
      <c r="E164">
        <v>1.4510000000000001</v>
      </c>
      <c r="F164">
        <v>3217137.2</v>
      </c>
      <c r="G164">
        <v>1.4510000000000001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-0.54334038054968159</v>
      </c>
      <c r="Q164">
        <f t="shared" ref="Q164" si="796">F164*P164</f>
        <v>-1748000.5505285372</v>
      </c>
      <c r="R164">
        <f t="shared" ref="R164" si="797">R165+Q164</f>
        <v>54803538.081866235</v>
      </c>
      <c r="S164">
        <f t="shared" ref="S164" si="798">R164/100000</f>
        <v>548.03538081866236</v>
      </c>
      <c r="T164">
        <f t="shared" ref="T164" si="799">S164/1000</f>
        <v>0.54803538081866232</v>
      </c>
    </row>
    <row r="165" spans="1:20" x14ac:dyDescent="0.25">
      <c r="A165" s="5">
        <v>44428</v>
      </c>
      <c r="B165">
        <v>1.3894</v>
      </c>
      <c r="C165">
        <v>1.4668000000000001</v>
      </c>
      <c r="D165">
        <v>1.3759999999999999</v>
      </c>
      <c r="E165">
        <v>1.4404999999999999</v>
      </c>
      <c r="F165">
        <v>4549459.7</v>
      </c>
      <c r="G165">
        <v>1.4404999999999999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0.42070484581497469</v>
      </c>
      <c r="Q165">
        <f t="shared" ref="Q165" si="801">F165*P165</f>
        <v>1913979.7416299412</v>
      </c>
      <c r="R165">
        <f t="shared" ref="R165" si="802">R166+Q165</f>
        <v>56551538.632394768</v>
      </c>
      <c r="S165">
        <f t="shared" ref="S165" si="803">R165/100000</f>
        <v>565.51538632394772</v>
      </c>
      <c r="T165">
        <f t="shared" ref="T165" si="804">S165/1000</f>
        <v>0.56551538632394771</v>
      </c>
    </row>
    <row r="166" spans="1:20" x14ac:dyDescent="0.25">
      <c r="A166" s="5">
        <v>44427</v>
      </c>
      <c r="B166">
        <v>1.3539000000000001</v>
      </c>
      <c r="C166">
        <v>1.3911</v>
      </c>
      <c r="D166">
        <v>1.2908999999999999</v>
      </c>
      <c r="E166">
        <v>1.3894</v>
      </c>
      <c r="F166">
        <v>2342128.7799999998</v>
      </c>
      <c r="G166">
        <v>1.3894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0.96606786427145641</v>
      </c>
      <c r="Q166">
        <f t="shared" ref="Q166" si="806">F166*P166</f>
        <v>2262655.3483433118</v>
      </c>
      <c r="R166">
        <f t="shared" ref="R166" si="807">R167+Q166</f>
        <v>54637558.890764825</v>
      </c>
      <c r="S166">
        <f t="shared" ref="S166" si="808">R166/100000</f>
        <v>546.37558890764831</v>
      </c>
      <c r="T166">
        <f t="shared" ref="T166" si="809">S166/1000</f>
        <v>0.54637558890764826</v>
      </c>
    </row>
    <row r="167" spans="1:20" x14ac:dyDescent="0.25">
      <c r="A167" s="5">
        <v>44426</v>
      </c>
      <c r="B167">
        <v>1.3736999999999999</v>
      </c>
      <c r="C167">
        <v>1.4138999999999999</v>
      </c>
      <c r="D167">
        <v>1.3127</v>
      </c>
      <c r="E167">
        <v>1.3537999999999999</v>
      </c>
      <c r="F167">
        <v>3058604.51</v>
      </c>
      <c r="G167">
        <v>1.3537999999999999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-0.18774703557312386</v>
      </c>
      <c r="Q167">
        <f t="shared" ref="Q167" si="811">F167*P167</f>
        <v>-574243.92974308704</v>
      </c>
      <c r="R167">
        <f t="shared" ref="R167" si="812">R168+Q167</f>
        <v>52374903.542421512</v>
      </c>
      <c r="S167">
        <f t="shared" ref="S167" si="813">R167/100000</f>
        <v>523.74903542421509</v>
      </c>
      <c r="T167">
        <f t="shared" ref="T167" si="814">S167/1000</f>
        <v>0.52374903542421514</v>
      </c>
    </row>
    <row r="168" spans="1:20" x14ac:dyDescent="0.25">
      <c r="A168" s="5">
        <v>44425</v>
      </c>
      <c r="B168">
        <v>1.4976</v>
      </c>
      <c r="C168">
        <v>1.5549999999999999</v>
      </c>
      <c r="D168">
        <v>1.3640000000000001</v>
      </c>
      <c r="E168">
        <v>1.3738999999999999</v>
      </c>
      <c r="F168">
        <v>4521929.76</v>
      </c>
      <c r="G168">
        <v>1.3738999999999999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-0.89633507853403349</v>
      </c>
      <c r="Q168">
        <f t="shared" ref="Q168" si="816">F168*P168</f>
        <v>-4053164.2665549829</v>
      </c>
      <c r="R168">
        <f t="shared" ref="R168" si="817">R169+Q168</f>
        <v>52949147.472164601</v>
      </c>
      <c r="S168">
        <f t="shared" ref="S168" si="818">R168/100000</f>
        <v>529.491474721646</v>
      </c>
      <c r="T168">
        <f t="shared" ref="T168" si="819">S168/1000</f>
        <v>0.52949147472164604</v>
      </c>
    </row>
    <row r="169" spans="1:20" x14ac:dyDescent="0.25">
      <c r="A169" s="5">
        <v>44424</v>
      </c>
      <c r="B169">
        <v>1.4225000000000001</v>
      </c>
      <c r="C169">
        <v>1.5599000000000001</v>
      </c>
      <c r="D169">
        <v>1.4066000000000001</v>
      </c>
      <c r="E169">
        <v>1.4976</v>
      </c>
      <c r="F169">
        <v>6670324.1399999997</v>
      </c>
      <c r="G169">
        <v>1.4976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0.18721461187214578</v>
      </c>
      <c r="Q169">
        <f t="shared" ref="Q169" si="821">F169*P169</f>
        <v>1248782.1449315045</v>
      </c>
      <c r="R169">
        <f t="shared" ref="R169" si="822">R170+Q169</f>
        <v>57002311.738719583</v>
      </c>
      <c r="S169">
        <f t="shared" ref="S169" si="823">R169/100000</f>
        <v>570.02311738719584</v>
      </c>
      <c r="T169">
        <f t="shared" ref="T169" si="824">S169/1000</f>
        <v>0.5700231173871958</v>
      </c>
    </row>
    <row r="170" spans="1:20" x14ac:dyDescent="0.25">
      <c r="A170" s="5">
        <v>44423</v>
      </c>
      <c r="B170">
        <v>1.4274</v>
      </c>
      <c r="C170">
        <v>1.4327000000000001</v>
      </c>
      <c r="D170">
        <v>1.3473999999999999</v>
      </c>
      <c r="E170">
        <v>1.4222999999999999</v>
      </c>
      <c r="F170">
        <v>2405970.86</v>
      </c>
      <c r="G170">
        <v>1.4222999999999999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0.75615474794841342</v>
      </c>
      <c r="Q170">
        <f t="shared" ref="Q170" si="826">F170*P170</f>
        <v>1819286.2892145275</v>
      </c>
      <c r="R170">
        <f t="shared" ref="R170" si="827">R171+Q170</f>
        <v>55753529.59378808</v>
      </c>
      <c r="S170">
        <f t="shared" ref="S170" si="828">R170/100000</f>
        <v>557.53529593788085</v>
      </c>
      <c r="T170">
        <f t="shared" ref="T170" si="829">S170/1000</f>
        <v>0.55753529593788087</v>
      </c>
    </row>
    <row r="171" spans="1:20" x14ac:dyDescent="0.25">
      <c r="A171" s="5">
        <v>44422</v>
      </c>
      <c r="B171">
        <v>1.4161999999999999</v>
      </c>
      <c r="C171">
        <v>1.4495</v>
      </c>
      <c r="D171">
        <v>1.3569</v>
      </c>
      <c r="E171">
        <v>1.4266000000000001</v>
      </c>
      <c r="F171">
        <v>3532054.38</v>
      </c>
      <c r="G171">
        <v>1.4266000000000001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0.50539956803455899</v>
      </c>
      <c r="Q171">
        <f t="shared" ref="Q171" si="831">F171*P171</f>
        <v>1785098.7579265721</v>
      </c>
      <c r="R171">
        <f t="shared" ref="R171" si="832">R172+Q171</f>
        <v>53934243.304573551</v>
      </c>
      <c r="S171">
        <f t="shared" ref="S171" si="833">R171/100000</f>
        <v>539.34243304573556</v>
      </c>
      <c r="T171">
        <f t="shared" ref="T171" si="834">S171/1000</f>
        <v>0.53934243304573559</v>
      </c>
    </row>
    <row r="172" spans="1:20" x14ac:dyDescent="0.25">
      <c r="A172" s="5">
        <v>44421</v>
      </c>
      <c r="B172">
        <v>1.3467</v>
      </c>
      <c r="C172">
        <v>1.4182999999999999</v>
      </c>
      <c r="D172">
        <v>1.3266</v>
      </c>
      <c r="E172">
        <v>1.4161999999999999</v>
      </c>
      <c r="F172">
        <v>2151680.67</v>
      </c>
      <c r="G172">
        <v>1.4161999999999999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0.95419847328244289</v>
      </c>
      <c r="Q172">
        <f t="shared" ref="Q172" si="836">F172*P172</f>
        <v>2053130.4103053438</v>
      </c>
      <c r="R172">
        <f t="shared" ref="R172" si="837">R173+Q172</f>
        <v>52149144.546646982</v>
      </c>
      <c r="S172">
        <f t="shared" ref="S172" si="838">R172/100000</f>
        <v>521.49144546646983</v>
      </c>
      <c r="T172">
        <f t="shared" ref="T172" si="839">S172/1000</f>
        <v>0.52149144546646986</v>
      </c>
    </row>
    <row r="173" spans="1:20" x14ac:dyDescent="0.25">
      <c r="A173" s="5">
        <v>44420</v>
      </c>
      <c r="B173">
        <v>1.4311</v>
      </c>
      <c r="C173">
        <v>1.47</v>
      </c>
      <c r="D173">
        <v>1.3110999999999999</v>
      </c>
      <c r="E173">
        <v>1.3468</v>
      </c>
      <c r="F173">
        <v>3280526.55</v>
      </c>
      <c r="G173">
        <v>1.3468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-0.55066079295154113</v>
      </c>
      <c r="Q173">
        <f t="shared" ref="Q173" si="841">F173*P173</f>
        <v>-1806457.3513215834</v>
      </c>
      <c r="R173">
        <f t="shared" ref="R173" si="842">R174+Q173</f>
        <v>50096014.136341639</v>
      </c>
      <c r="S173">
        <f t="shared" ref="S173" si="843">R173/100000</f>
        <v>500.96014136341637</v>
      </c>
      <c r="T173">
        <f t="shared" ref="T173" si="844">S173/1000</f>
        <v>0.50096014136341638</v>
      </c>
    </row>
    <row r="174" spans="1:20" x14ac:dyDescent="0.25">
      <c r="A174" s="5">
        <v>44419</v>
      </c>
      <c r="B174">
        <v>1.4165000000000001</v>
      </c>
      <c r="C174">
        <v>1.4804999999999999</v>
      </c>
      <c r="D174">
        <v>1.4036</v>
      </c>
      <c r="E174">
        <v>1.4297</v>
      </c>
      <c r="F174">
        <v>3474290.31</v>
      </c>
      <c r="G174">
        <v>1.4297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-0.32119635890767173</v>
      </c>
      <c r="Q174">
        <f t="shared" ref="Q174" si="846">F174*P174</f>
        <v>-1115929.3973602061</v>
      </c>
      <c r="R174">
        <f t="shared" ref="R174" si="847">R175+Q174</f>
        <v>51902471.487663224</v>
      </c>
      <c r="S174">
        <f t="shared" ref="S174" si="848">R174/100000</f>
        <v>519.02471487663229</v>
      </c>
      <c r="T174">
        <f t="shared" ref="T174" si="849">S174/1000</f>
        <v>0.51902471487663226</v>
      </c>
    </row>
    <row r="175" spans="1:20" x14ac:dyDescent="0.25">
      <c r="A175" s="5">
        <v>44418</v>
      </c>
      <c r="B175">
        <v>1.3435999999999999</v>
      </c>
      <c r="C175">
        <v>1.4252</v>
      </c>
      <c r="D175">
        <v>1.3202</v>
      </c>
      <c r="E175">
        <v>1.417</v>
      </c>
      <c r="F175">
        <v>2957104.54</v>
      </c>
      <c r="G175">
        <v>1.417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0.84380952380952412</v>
      </c>
      <c r="Q175">
        <f t="shared" ref="Q175" si="851">F175*P175</f>
        <v>2495232.9737523817</v>
      </c>
      <c r="R175">
        <f t="shared" ref="R175" si="852">R176+Q175</f>
        <v>53018400.88502343</v>
      </c>
      <c r="S175">
        <f t="shared" ref="S175" si="853">R175/100000</f>
        <v>530.18400885023425</v>
      </c>
      <c r="T175">
        <f t="shared" ref="T175" si="854">S175/1000</f>
        <v>0.5301840088502342</v>
      </c>
    </row>
    <row r="176" spans="1:20" x14ac:dyDescent="0.25">
      <c r="A176" s="5">
        <v>44417</v>
      </c>
      <c r="B176">
        <v>1.2997000000000001</v>
      </c>
      <c r="C176">
        <v>1.3577999999999999</v>
      </c>
      <c r="D176">
        <v>1.2757000000000001</v>
      </c>
      <c r="E176">
        <v>1.3440000000000001</v>
      </c>
      <c r="F176">
        <v>1748214.06</v>
      </c>
      <c r="G176">
        <v>1.3440000000000001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0.66382460414129507</v>
      </c>
      <c r="Q176">
        <f t="shared" ref="Q176" si="856">F176*P176</f>
        <v>1160507.5063337462</v>
      </c>
      <c r="R176">
        <f t="shared" ref="R176" si="857">R177+Q176</f>
        <v>50523167.911271051</v>
      </c>
      <c r="S176">
        <f t="shared" ref="S176" si="858">R176/100000</f>
        <v>505.23167911271048</v>
      </c>
      <c r="T176">
        <f t="shared" ref="T176" si="859">S176/1000</f>
        <v>0.5052316791127105</v>
      </c>
    </row>
    <row r="177" spans="1:20" x14ac:dyDescent="0.25">
      <c r="A177" s="5">
        <v>44416</v>
      </c>
      <c r="B177">
        <v>1.3843000000000001</v>
      </c>
      <c r="C177">
        <v>1.4036</v>
      </c>
      <c r="D177">
        <v>1.2831999999999999</v>
      </c>
      <c r="E177">
        <v>1.2963</v>
      </c>
      <c r="F177">
        <v>2725641.7</v>
      </c>
      <c r="G177">
        <v>1.2963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-0.78239202657807139</v>
      </c>
      <c r="Q177">
        <f t="shared" ref="Q177" si="861">F177*P177</f>
        <v>-2132520.3333886997</v>
      </c>
      <c r="R177">
        <f t="shared" ref="R177" si="862">R178+Q177</f>
        <v>49362660.404937305</v>
      </c>
      <c r="S177">
        <f t="shared" ref="S177" si="863">R177/100000</f>
        <v>493.62660404937304</v>
      </c>
      <c r="T177">
        <f t="shared" ref="T177" si="864">S177/1000</f>
        <v>0.49362660404937303</v>
      </c>
    </row>
    <row r="178" spans="1:20" x14ac:dyDescent="0.25">
      <c r="A178" s="5">
        <v>44415</v>
      </c>
      <c r="B178">
        <v>1.3522000000000001</v>
      </c>
      <c r="C178">
        <v>1.4348000000000001</v>
      </c>
      <c r="D178">
        <v>1.3240000000000001</v>
      </c>
      <c r="E178">
        <v>1.3848</v>
      </c>
      <c r="F178">
        <v>7989761.3499999996</v>
      </c>
      <c r="G178">
        <v>1.3848</v>
      </c>
      <c r="L178" t="s">
        <v>8</v>
      </c>
      <c r="M178" t="s">
        <v>7</v>
      </c>
      <c r="N178" t="s">
        <v>8</v>
      </c>
      <c r="P178">
        <f t="shared" ref="P178" si="865">IF(C178=D178,0,((E178-D178)-(C178-E178))/(C178-D178))</f>
        <v>9.7472924187724908E-2</v>
      </c>
      <c r="Q178">
        <f t="shared" ref="Q178" si="866">F178*P178</f>
        <v>778785.40234656457</v>
      </c>
      <c r="R178">
        <f t="shared" ref="R178" si="867">R179+Q178</f>
        <v>51495180.738326006</v>
      </c>
      <c r="S178">
        <f t="shared" ref="S178" si="868">R178/100000</f>
        <v>514.95180738326007</v>
      </c>
      <c r="T178">
        <f t="shared" ref="T178" si="869">S178/1000</f>
        <v>0.51495180738326007</v>
      </c>
    </row>
    <row r="179" spans="1:20" x14ac:dyDescent="0.25">
      <c r="A179" s="5">
        <v>44414</v>
      </c>
      <c r="B179">
        <v>1.3388</v>
      </c>
      <c r="C179">
        <v>1.4179999999999999</v>
      </c>
      <c r="D179">
        <v>1.3052999999999999</v>
      </c>
      <c r="E179">
        <v>1.3512999999999999</v>
      </c>
      <c r="F179">
        <v>4097142.89</v>
      </c>
      <c r="G179">
        <v>1.3512999999999999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-0.18367346938775453</v>
      </c>
      <c r="Q179">
        <f t="shared" ref="Q179" si="871">F179*P179</f>
        <v>-752536.44918367115</v>
      </c>
      <c r="R179">
        <f t="shared" ref="R179" si="872">R180+Q179</f>
        <v>50716395.335979439</v>
      </c>
      <c r="S179">
        <f t="shared" ref="S179" si="873">R179/100000</f>
        <v>507.16395335979439</v>
      </c>
      <c r="T179">
        <f t="shared" ref="T179" si="874">S179/1000</f>
        <v>0.50716395335979436</v>
      </c>
    </row>
    <row r="180" spans="1:20" x14ac:dyDescent="0.25">
      <c r="A180" s="5">
        <v>44413</v>
      </c>
      <c r="B180">
        <v>1.3664000000000001</v>
      </c>
      <c r="C180">
        <v>1.3698999999999999</v>
      </c>
      <c r="D180">
        <v>1.27</v>
      </c>
      <c r="E180">
        <v>1.3364</v>
      </c>
      <c r="F180">
        <v>4370786.6399999997</v>
      </c>
      <c r="G180">
        <v>1.3364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0.32932932932933123</v>
      </c>
      <c r="Q180">
        <f t="shared" ref="Q180" si="876">F180*P180</f>
        <v>1439428.232792801</v>
      </c>
      <c r="R180">
        <f t="shared" ref="R180" si="877">R181+Q180</f>
        <v>51468931.785163112</v>
      </c>
      <c r="S180">
        <f t="shared" ref="S180" si="878">R180/100000</f>
        <v>514.68931785163113</v>
      </c>
      <c r="T180">
        <f t="shared" ref="T180" si="879">S180/1000</f>
        <v>0.51468931785163108</v>
      </c>
    </row>
    <row r="181" spans="1:20" x14ac:dyDescent="0.25">
      <c r="A181" s="5">
        <v>44412</v>
      </c>
      <c r="B181">
        <v>1.3422000000000001</v>
      </c>
      <c r="C181">
        <v>1.3755999999999999</v>
      </c>
      <c r="D181">
        <v>1.268</v>
      </c>
      <c r="E181">
        <v>1.3640000000000001</v>
      </c>
      <c r="F181">
        <v>7046089.5800000001</v>
      </c>
      <c r="G181">
        <v>1.3640000000000001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0.78438661710037472</v>
      </c>
      <c r="Q181">
        <f t="shared" ref="Q181" si="881">F181*P181</f>
        <v>5526858.3694424005</v>
      </c>
      <c r="R181">
        <f t="shared" ref="R181" si="882">R182+Q181</f>
        <v>50029503.55237031</v>
      </c>
      <c r="S181">
        <f t="shared" ref="S181" si="883">R181/100000</f>
        <v>500.29503552370312</v>
      </c>
      <c r="T181">
        <f t="shared" ref="T181" si="884">S181/1000</f>
        <v>0.50029503552370314</v>
      </c>
    </row>
    <row r="182" spans="1:20" x14ac:dyDescent="0.25">
      <c r="A182" s="5">
        <v>44411</v>
      </c>
      <c r="B182">
        <v>1.254</v>
      </c>
      <c r="C182">
        <v>1.55</v>
      </c>
      <c r="D182">
        <v>1.2535000000000001</v>
      </c>
      <c r="E182">
        <v>1.3422000000000001</v>
      </c>
      <c r="F182">
        <v>16279746.050000001</v>
      </c>
      <c r="G182">
        <v>1.3422000000000001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-0.40168634064080938</v>
      </c>
      <c r="Q182">
        <f t="shared" ref="Q182" si="886">F182*P182</f>
        <v>-6539351.6173861716</v>
      </c>
      <c r="R182">
        <f t="shared" ref="R182" si="887">R183+Q182</f>
        <v>44502645.182927907</v>
      </c>
      <c r="S182">
        <f t="shared" ref="S182" si="888">R182/100000</f>
        <v>445.02645182927904</v>
      </c>
      <c r="T182">
        <f t="shared" ref="T182" si="889">S182/1000</f>
        <v>0.44502645182927902</v>
      </c>
    </row>
    <row r="183" spans="1:20" x14ac:dyDescent="0.25">
      <c r="A183" s="5">
        <v>44410</v>
      </c>
      <c r="B183">
        <v>1.2027000000000001</v>
      </c>
      <c r="C183">
        <v>1.3535999999999999</v>
      </c>
      <c r="D183">
        <v>1.1991000000000001</v>
      </c>
      <c r="E183">
        <v>1.2543</v>
      </c>
      <c r="F183">
        <v>7682893.5199999996</v>
      </c>
      <c r="G183">
        <v>1.2543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-0.28543689320388393</v>
      </c>
      <c r="Q183">
        <f t="shared" ref="Q183" si="891">F183*P183</f>
        <v>-2192981.257165052</v>
      </c>
      <c r="R183">
        <f t="shared" ref="R183" si="892">R184+Q183</f>
        <v>51041996.800314076</v>
      </c>
      <c r="S183">
        <f t="shared" ref="S183" si="893">R183/100000</f>
        <v>510.41996800314075</v>
      </c>
      <c r="T183">
        <f t="shared" ref="T183" si="894">S183/1000</f>
        <v>0.51041996800314071</v>
      </c>
    </row>
    <row r="184" spans="1:20" x14ac:dyDescent="0.25">
      <c r="A184" s="5">
        <v>44409</v>
      </c>
      <c r="B184">
        <v>1.2661</v>
      </c>
      <c r="C184">
        <v>1.268</v>
      </c>
      <c r="D184">
        <v>1.1984999999999999</v>
      </c>
      <c r="E184">
        <v>1.2015</v>
      </c>
      <c r="F184">
        <v>3831017.75</v>
      </c>
      <c r="G184">
        <v>1.2015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-0.91366906474819831</v>
      </c>
      <c r="Q184">
        <f t="shared" ref="Q184" si="896">F184*P184</f>
        <v>-3500282.4046762469</v>
      </c>
      <c r="R184">
        <f t="shared" ref="R184" si="897">R185+Q184</f>
        <v>53234978.057479128</v>
      </c>
      <c r="S184">
        <f t="shared" ref="S184" si="898">R184/100000</f>
        <v>532.34978057479134</v>
      </c>
      <c r="T184">
        <f t="shared" ref="T184" si="899">S184/1000</f>
        <v>0.53234978057479132</v>
      </c>
    </row>
    <row r="185" spans="1:20" x14ac:dyDescent="0.25">
      <c r="A185" s="5">
        <v>44408</v>
      </c>
      <c r="B185">
        <v>1.2386999999999999</v>
      </c>
      <c r="C185">
        <v>1.3482000000000001</v>
      </c>
      <c r="D185">
        <v>1.2042999999999999</v>
      </c>
      <c r="E185">
        <v>1.2661</v>
      </c>
      <c r="F185">
        <v>7299524.8200000003</v>
      </c>
      <c r="G185">
        <v>1.2661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-0.14107018763029858</v>
      </c>
      <c r="Q185">
        <f t="shared" ref="Q185" si="901">F185*P185</f>
        <v>-1029745.3359694214</v>
      </c>
      <c r="R185">
        <f t="shared" ref="R185" si="902">R186+Q185</f>
        <v>56735260.462155372</v>
      </c>
      <c r="S185">
        <f t="shared" ref="S185" si="903">R185/100000</f>
        <v>567.35260462155372</v>
      </c>
      <c r="T185">
        <f t="shared" ref="T185" si="904">S185/1000</f>
        <v>0.56735260462155368</v>
      </c>
    </row>
    <row r="186" spans="1:20" x14ac:dyDescent="0.25">
      <c r="A186" s="5">
        <v>44407</v>
      </c>
      <c r="B186">
        <v>1.1465000000000001</v>
      </c>
      <c r="C186">
        <v>1.3128</v>
      </c>
      <c r="D186">
        <v>1.0791999999999999</v>
      </c>
      <c r="E186">
        <v>1.2396</v>
      </c>
      <c r="F186">
        <v>9051961.2599999998</v>
      </c>
      <c r="G186">
        <v>1.2396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0.37328767123287737</v>
      </c>
      <c r="Q186">
        <f t="shared" ref="Q186" si="906">F186*P186</f>
        <v>3378985.5388356224</v>
      </c>
      <c r="R186">
        <f t="shared" ref="R186" si="907">R187+Q186</f>
        <v>57765005.79812479</v>
      </c>
      <c r="S186">
        <f t="shared" ref="S186" si="908">R186/100000</f>
        <v>577.65005798124787</v>
      </c>
      <c r="T186">
        <f t="shared" ref="T186" si="909">S186/1000</f>
        <v>0.57765005798124791</v>
      </c>
    </row>
    <row r="187" spans="1:20" x14ac:dyDescent="0.25">
      <c r="A187" s="5">
        <v>44406</v>
      </c>
      <c r="B187">
        <v>1.1241000000000001</v>
      </c>
      <c r="C187">
        <v>1.1492</v>
      </c>
      <c r="D187">
        <v>1.0975999999999999</v>
      </c>
      <c r="E187">
        <v>1.1445000000000001</v>
      </c>
      <c r="F187">
        <v>1758424.1</v>
      </c>
      <c r="G187">
        <v>1.1445000000000001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0.8178294573643442</v>
      </c>
      <c r="Q187">
        <f t="shared" ref="Q187" si="911">F187*P187</f>
        <v>1438091.0275193853</v>
      </c>
      <c r="R187">
        <f t="shared" ref="R187" si="912">R188+Q187</f>
        <v>54386020.259289168</v>
      </c>
      <c r="S187">
        <f t="shared" ref="S187" si="913">R187/100000</f>
        <v>543.86020259289171</v>
      </c>
      <c r="T187">
        <f t="shared" ref="T187" si="914">S187/1000</f>
        <v>0.54386020259289169</v>
      </c>
    </row>
    <row r="188" spans="1:20" x14ac:dyDescent="0.25">
      <c r="A188" s="5">
        <v>44405</v>
      </c>
      <c r="B188">
        <v>1.1634</v>
      </c>
      <c r="C188">
        <v>1.1713</v>
      </c>
      <c r="D188">
        <v>1.097</v>
      </c>
      <c r="E188">
        <v>1.1222000000000001</v>
      </c>
      <c r="F188">
        <v>3271946.95</v>
      </c>
      <c r="G188">
        <v>1.1222000000000001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-0.32166890982503094</v>
      </c>
      <c r="Q188">
        <f t="shared" ref="Q188" si="916">F188*P188</f>
        <v>-1052483.608411835</v>
      </c>
      <c r="R188">
        <f t="shared" ref="R188" si="917">R189+Q188</f>
        <v>52947929.231769785</v>
      </c>
      <c r="S188">
        <f t="shared" ref="S188" si="918">R188/100000</f>
        <v>529.47929231769785</v>
      </c>
      <c r="T188">
        <f t="shared" ref="T188" si="919">S188/1000</f>
        <v>0.52947929231769786</v>
      </c>
    </row>
    <row r="189" spans="1:20" x14ac:dyDescent="0.25">
      <c r="A189" s="5">
        <v>44404</v>
      </c>
      <c r="B189">
        <v>1.1445000000000001</v>
      </c>
      <c r="C189">
        <v>1.1788000000000001</v>
      </c>
      <c r="D189">
        <v>1.0509999999999999</v>
      </c>
      <c r="E189">
        <v>1.1634</v>
      </c>
      <c r="F189">
        <v>3957801.27</v>
      </c>
      <c r="G189">
        <v>1.1634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0.75899843505477205</v>
      </c>
      <c r="Q189">
        <f t="shared" ref="Q189" si="921">F189*P189</f>
        <v>3003964.9701877893</v>
      </c>
      <c r="R189">
        <f t="shared" ref="R189" si="922">R190+Q189</f>
        <v>54000412.840181619</v>
      </c>
      <c r="S189">
        <f t="shared" ref="S189" si="923">R189/100000</f>
        <v>540.00412840181616</v>
      </c>
      <c r="T189">
        <f t="shared" ref="T189" si="924">S189/1000</f>
        <v>0.54000412840181611</v>
      </c>
    </row>
    <row r="190" spans="1:20" x14ac:dyDescent="0.25">
      <c r="A190" s="5">
        <v>44403</v>
      </c>
      <c r="B190">
        <v>1.1890000000000001</v>
      </c>
      <c r="C190">
        <v>1.2128000000000001</v>
      </c>
      <c r="D190">
        <v>1.1168</v>
      </c>
      <c r="E190">
        <v>1.1473</v>
      </c>
      <c r="F190">
        <v>7117290.5700000003</v>
      </c>
      <c r="G190">
        <v>1.1473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-0.36458333333333448</v>
      </c>
      <c r="Q190">
        <f t="shared" ref="Q190" si="926">F190*P190</f>
        <v>-2594845.5203125081</v>
      </c>
      <c r="R190">
        <f t="shared" ref="R190" si="927">R191+Q190</f>
        <v>50996447.869993828</v>
      </c>
      <c r="S190">
        <f t="shared" ref="S190" si="928">R190/100000</f>
        <v>509.9644786999383</v>
      </c>
      <c r="T190">
        <f t="shared" ref="T190" si="929">S190/1000</f>
        <v>0.50996447869993833</v>
      </c>
    </row>
    <row r="191" spans="1:20" x14ac:dyDescent="0.25">
      <c r="A191" s="5">
        <v>44402</v>
      </c>
      <c r="B191">
        <v>1.212</v>
      </c>
      <c r="C191">
        <v>1.23</v>
      </c>
      <c r="D191">
        <v>1.1153</v>
      </c>
      <c r="E191">
        <v>1.1914</v>
      </c>
      <c r="F191">
        <v>4797893.97</v>
      </c>
      <c r="G191">
        <v>1.1914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0.32693984306887602</v>
      </c>
      <c r="Q191">
        <f t="shared" ref="Q191" si="931">F191*P191</f>
        <v>1568622.7016129065</v>
      </c>
      <c r="R191">
        <f t="shared" ref="R191" si="932">R192+Q191</f>
        <v>53591293.390306339</v>
      </c>
      <c r="S191">
        <f t="shared" ref="S191" si="933">R191/100000</f>
        <v>535.91293390306339</v>
      </c>
      <c r="T191">
        <f t="shared" ref="T191:T197" si="934">S191/1000</f>
        <v>0.53591293390306338</v>
      </c>
    </row>
    <row r="192" spans="1:20" x14ac:dyDescent="0.25">
      <c r="A192" s="5">
        <v>44401</v>
      </c>
      <c r="B192">
        <v>1.1679999999999999</v>
      </c>
      <c r="C192">
        <v>1.2938000000000001</v>
      </c>
      <c r="D192">
        <v>1.1646000000000001</v>
      </c>
      <c r="E192">
        <v>1.212</v>
      </c>
      <c r="F192">
        <v>6287259.8300000001</v>
      </c>
      <c r="G192">
        <v>1.212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-0.26625386996904188</v>
      </c>
      <c r="Q192">
        <f t="shared" ref="Q192" si="936">F192*P192</f>
        <v>-1674007.2612384004</v>
      </c>
      <c r="R192">
        <f t="shared" ref="R192" si="937">R193+Q192</f>
        <v>52022670.688693434</v>
      </c>
      <c r="S192">
        <f t="shared" ref="S192" si="938">R192/100000</f>
        <v>520.22670688693438</v>
      </c>
      <c r="T192">
        <f t="shared" si="934"/>
        <v>0.5202267068869344</v>
      </c>
    </row>
    <row r="193" spans="1:20" x14ac:dyDescent="0.25">
      <c r="A193" s="5">
        <v>44400</v>
      </c>
      <c r="B193">
        <v>1.0407</v>
      </c>
      <c r="C193">
        <v>1.1896</v>
      </c>
      <c r="D193">
        <v>1.0233000000000001</v>
      </c>
      <c r="E193">
        <v>1.1675</v>
      </c>
      <c r="F193">
        <v>8764575.5399999991</v>
      </c>
      <c r="G193">
        <v>1.1675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0.73421527360192396</v>
      </c>
      <c r="Q193">
        <f t="shared" ref="Q193" si="940">F193*P193</f>
        <v>6435085.22810583</v>
      </c>
      <c r="R193">
        <f t="shared" ref="R193" si="941">R194+Q193</f>
        <v>53696677.949931838</v>
      </c>
      <c r="S193">
        <f t="shared" ref="S193" si="942">R193/100000</f>
        <v>536.96677949931836</v>
      </c>
      <c r="T193">
        <f t="shared" si="934"/>
        <v>0.53696677949931837</v>
      </c>
    </row>
    <row r="194" spans="1:20" x14ac:dyDescent="0.25">
      <c r="A194" s="5">
        <v>44399</v>
      </c>
      <c r="B194">
        <v>0.95050000000000001</v>
      </c>
      <c r="C194">
        <v>1.1086</v>
      </c>
      <c r="D194">
        <v>0.94650000000000001</v>
      </c>
      <c r="E194">
        <v>1.0402</v>
      </c>
      <c r="F194">
        <v>8423478.5999999996</v>
      </c>
      <c r="G194">
        <v>1.0402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0.15607649599012946</v>
      </c>
      <c r="Q194">
        <f t="shared" ref="Q194" si="944">F194*P194</f>
        <v>1314707.0239358412</v>
      </c>
      <c r="R194">
        <f t="shared" ref="R194" si="945">R195+Q194</f>
        <v>47261592.721826009</v>
      </c>
      <c r="S194">
        <f t="shared" ref="S194" si="946">R194/100000</f>
        <v>472.61592721826008</v>
      </c>
      <c r="T194">
        <f t="shared" si="934"/>
        <v>0.47261592721826007</v>
      </c>
    </row>
    <row r="195" spans="1:20" x14ac:dyDescent="0.25">
      <c r="A195" s="5">
        <v>44398</v>
      </c>
      <c r="B195">
        <v>0.81179999999999997</v>
      </c>
      <c r="C195">
        <v>0.97960000000000003</v>
      </c>
      <c r="D195">
        <v>0.78969999999999996</v>
      </c>
      <c r="E195">
        <v>0.94889999999999997</v>
      </c>
      <c r="F195">
        <v>5735458.4500000002</v>
      </c>
      <c r="G195">
        <v>0.94889999999999997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0.6766719325961027</v>
      </c>
      <c r="Q195">
        <f t="shared" ref="Q195" si="948">F195*P195</f>
        <v>3881023.7536861477</v>
      </c>
      <c r="R195">
        <f t="shared" ref="R195" si="949">R196+Q195</f>
        <v>45946885.69789017</v>
      </c>
      <c r="S195">
        <f t="shared" ref="S195" si="950">R195/100000</f>
        <v>459.46885697890173</v>
      </c>
      <c r="T195">
        <f t="shared" si="934"/>
        <v>0.45946885697890172</v>
      </c>
    </row>
    <row r="196" spans="1:20" x14ac:dyDescent="0.25">
      <c r="A196" s="5">
        <v>44397</v>
      </c>
      <c r="B196">
        <v>0.90539999999999998</v>
      </c>
      <c r="C196">
        <v>0.90549999999999997</v>
      </c>
      <c r="D196">
        <v>0.77</v>
      </c>
      <c r="E196">
        <v>0.81230000000000002</v>
      </c>
      <c r="F196">
        <v>5180960.49</v>
      </c>
      <c r="G196">
        <v>0.81230000000000002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-0.37564575645756432</v>
      </c>
      <c r="Q196">
        <f t="shared" ref="Q196" si="952">F196*P196</f>
        <v>-1946205.8224428031</v>
      </c>
      <c r="R196">
        <f t="shared" ref="R196" si="953">R197+Q196</f>
        <v>42065861.944204025</v>
      </c>
      <c r="S196">
        <f t="shared" ref="S196" si="954">R196/100000</f>
        <v>420.65861944204028</v>
      </c>
      <c r="T196">
        <f t="shared" si="934"/>
        <v>0.42065861944204025</v>
      </c>
    </row>
    <row r="197" spans="1:20" x14ac:dyDescent="0.25">
      <c r="A197" s="5">
        <v>44396</v>
      </c>
      <c r="B197">
        <v>1.0185</v>
      </c>
      <c r="C197">
        <v>1.0204</v>
      </c>
      <c r="D197">
        <v>0.86160000000000003</v>
      </c>
      <c r="E197">
        <v>0.90339999999999998</v>
      </c>
      <c r="F197">
        <v>4860721.4000000004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-0.47355163727959743</v>
      </c>
      <c r="Q197">
        <f t="shared" ref="Q197" si="956">F197*P197</f>
        <v>-2301802.5773299769</v>
      </c>
      <c r="R197">
        <f t="shared" ref="R197" si="957">R198+Q197</f>
        <v>44012067.766646825</v>
      </c>
      <c r="S197">
        <f t="shared" ref="S197" si="958">R197/100000</f>
        <v>440.12067766646823</v>
      </c>
      <c r="T197">
        <f t="shared" si="934"/>
        <v>0.44012067766646823</v>
      </c>
    </row>
    <row r="198" spans="1:20" x14ac:dyDescent="0.25">
      <c r="A198" s="5">
        <v>44395</v>
      </c>
      <c r="B198">
        <v>1.0165</v>
      </c>
      <c r="C198">
        <v>1.1120000000000001</v>
      </c>
      <c r="D198">
        <v>0.98009999999999997</v>
      </c>
      <c r="E198">
        <v>1.0198</v>
      </c>
      <c r="F198">
        <v>4584047.96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-0.39802880970432097</v>
      </c>
      <c r="Q198">
        <f t="shared" ref="Q198:Q261" si="960">F198*P198</f>
        <v>-1824583.1531463207</v>
      </c>
      <c r="R198">
        <f t="shared" ref="R198:R261" si="961">R199+Q198</f>
        <v>46313870.343976803</v>
      </c>
      <c r="S198">
        <f t="shared" ref="S198:S261" si="962">R198/100000</f>
        <v>463.13870343976805</v>
      </c>
      <c r="T198">
        <f t="shared" ref="T198:T261" si="963">S198/1000</f>
        <v>0.46313870343976804</v>
      </c>
    </row>
    <row r="199" spans="1:20" x14ac:dyDescent="0.25">
      <c r="A199" s="5">
        <v>44394</v>
      </c>
      <c r="B199">
        <v>1.0921000000000001</v>
      </c>
      <c r="C199">
        <v>1.0975999999999999</v>
      </c>
      <c r="D199">
        <v>0.99519999999999997</v>
      </c>
      <c r="E199">
        <v>1.0190999999999999</v>
      </c>
      <c r="F199">
        <v>5338418.22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-0.53320312500000122</v>
      </c>
      <c r="Q199">
        <f t="shared" si="960"/>
        <v>-2846461.2774609439</v>
      </c>
      <c r="R199">
        <f t="shared" si="961"/>
        <v>48138453.497123122</v>
      </c>
      <c r="S199">
        <f t="shared" si="962"/>
        <v>481.38453497123123</v>
      </c>
      <c r="T199">
        <f t="shared" si="963"/>
        <v>0.48138453497123124</v>
      </c>
    </row>
    <row r="200" spans="1:20" x14ac:dyDescent="0.25">
      <c r="A200" s="5">
        <v>44393</v>
      </c>
      <c r="B200">
        <v>1.2551000000000001</v>
      </c>
      <c r="C200">
        <v>1.3312999999999999</v>
      </c>
      <c r="D200">
        <v>1.0737000000000001</v>
      </c>
      <c r="E200">
        <v>1.0949</v>
      </c>
      <c r="F200">
        <v>7242920.3899999997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-0.83540372670807528</v>
      </c>
      <c r="Q200">
        <f t="shared" si="960"/>
        <v>-6050762.6860559061</v>
      </c>
      <c r="R200">
        <f t="shared" si="961"/>
        <v>50984914.77458407</v>
      </c>
      <c r="S200">
        <f t="shared" si="962"/>
        <v>509.8491477458407</v>
      </c>
      <c r="T200">
        <f t="shared" si="963"/>
        <v>0.50984914774584067</v>
      </c>
    </row>
    <row r="201" spans="1:20" x14ac:dyDescent="0.25">
      <c r="A201" s="5">
        <v>44392</v>
      </c>
      <c r="B201">
        <v>1.2326999999999999</v>
      </c>
      <c r="C201">
        <v>1.3765000000000001</v>
      </c>
      <c r="D201">
        <v>1.1779999999999999</v>
      </c>
      <c r="E201">
        <v>1.2524</v>
      </c>
      <c r="F201">
        <v>11475730.390000001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-0.25037783375314887</v>
      </c>
      <c r="Q201">
        <f t="shared" si="960"/>
        <v>-2873268.5157833784</v>
      </c>
      <c r="R201">
        <f t="shared" si="961"/>
        <v>57035677.460639976</v>
      </c>
      <c r="S201">
        <f t="shared" si="962"/>
        <v>570.35677460639977</v>
      </c>
      <c r="T201">
        <f t="shared" si="963"/>
        <v>0.57035677460639977</v>
      </c>
    </row>
    <row r="202" spans="1:20" x14ac:dyDescent="0.25">
      <c r="A202" s="5">
        <v>44391</v>
      </c>
      <c r="B202">
        <v>1.1731</v>
      </c>
      <c r="C202">
        <v>1.2873000000000001</v>
      </c>
      <c r="D202">
        <v>1.1433</v>
      </c>
      <c r="E202">
        <v>1.23</v>
      </c>
      <c r="F202">
        <v>11762476.060000001</v>
      </c>
      <c r="G202">
        <v>0</v>
      </c>
      <c r="L202" t="s">
        <v>8</v>
      </c>
      <c r="M202" t="s">
        <v>7</v>
      </c>
      <c r="N202" t="s">
        <v>8</v>
      </c>
      <c r="P202">
        <f t="shared" si="959"/>
        <v>0.20416666666666558</v>
      </c>
      <c r="Q202">
        <f t="shared" si="960"/>
        <v>2401505.5289166542</v>
      </c>
      <c r="R202">
        <f t="shared" si="961"/>
        <v>59908945.976423353</v>
      </c>
      <c r="S202">
        <f t="shared" si="962"/>
        <v>599.08945976423354</v>
      </c>
      <c r="T202">
        <f t="shared" si="963"/>
        <v>0.59908945976423356</v>
      </c>
    </row>
    <row r="203" spans="1:20" x14ac:dyDescent="0.25">
      <c r="A203" s="5">
        <v>44390</v>
      </c>
      <c r="B203">
        <v>1.1842999999999999</v>
      </c>
      <c r="C203">
        <v>1.2428999999999999</v>
      </c>
      <c r="D203">
        <v>1.1222000000000001</v>
      </c>
      <c r="E203">
        <v>1.1707000000000001</v>
      </c>
      <c r="F203">
        <v>7692475.5300000003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-0.196354598177298</v>
      </c>
      <c r="Q203">
        <f t="shared" si="960"/>
        <v>-1510452.9416818474</v>
      </c>
      <c r="R203">
        <f t="shared" si="961"/>
        <v>57507440.447506696</v>
      </c>
      <c r="S203">
        <f t="shared" si="962"/>
        <v>575.07440447506701</v>
      </c>
      <c r="T203">
        <f t="shared" si="963"/>
        <v>0.57507440447506697</v>
      </c>
    </row>
    <row r="204" spans="1:20" x14ac:dyDescent="0.25">
      <c r="A204" s="5">
        <v>44389</v>
      </c>
      <c r="B204">
        <v>1.3752</v>
      </c>
      <c r="C204">
        <v>1.3753</v>
      </c>
      <c r="D204">
        <v>1.1842999999999999</v>
      </c>
      <c r="E204">
        <v>1.1842999999999999</v>
      </c>
      <c r="F204">
        <v>7125081.5599999996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-1</v>
      </c>
      <c r="Q204">
        <f t="shared" si="960"/>
        <v>-7125081.5599999996</v>
      </c>
      <c r="R204">
        <f t="shared" si="961"/>
        <v>59017893.389188543</v>
      </c>
      <c r="S204">
        <f t="shared" si="962"/>
        <v>590.17893389188544</v>
      </c>
      <c r="T204">
        <f t="shared" si="963"/>
        <v>0.59017893389188547</v>
      </c>
    </row>
    <row r="205" spans="1:20" x14ac:dyDescent="0.25">
      <c r="A205" s="5">
        <v>44388</v>
      </c>
      <c r="B205">
        <v>1.228</v>
      </c>
      <c r="C205">
        <v>1.4709000000000001</v>
      </c>
      <c r="D205">
        <v>1.222</v>
      </c>
      <c r="E205">
        <v>1.3753</v>
      </c>
      <c r="F205">
        <v>13675148.310000001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0.23182000803535491</v>
      </c>
      <c r="Q205">
        <f t="shared" si="960"/>
        <v>3170172.9911088701</v>
      </c>
      <c r="R205">
        <f t="shared" si="961"/>
        <v>66142974.949188545</v>
      </c>
      <c r="S205">
        <f t="shared" si="962"/>
        <v>661.42974949188545</v>
      </c>
      <c r="T205">
        <f t="shared" si="963"/>
        <v>0.66142974949188549</v>
      </c>
    </row>
    <row r="206" spans="1:20" x14ac:dyDescent="0.25">
      <c r="A206" s="5">
        <v>44387</v>
      </c>
      <c r="B206">
        <v>1.1845000000000001</v>
      </c>
      <c r="C206">
        <v>1.3418000000000001</v>
      </c>
      <c r="D206">
        <v>1.1105</v>
      </c>
      <c r="E206">
        <v>1.2287999999999999</v>
      </c>
      <c r="F206">
        <v>13808950.039999999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2.2913964548204224E-2</v>
      </c>
      <c r="Q206">
        <f t="shared" si="960"/>
        <v>316417.79166448326</v>
      </c>
      <c r="R206">
        <f t="shared" si="961"/>
        <v>62972801.958079673</v>
      </c>
      <c r="S206">
        <f t="shared" si="962"/>
        <v>629.72801958079674</v>
      </c>
      <c r="T206">
        <f t="shared" si="963"/>
        <v>0.62972801958079672</v>
      </c>
    </row>
    <row r="207" spans="1:20" x14ac:dyDescent="0.25">
      <c r="A207" s="5">
        <v>44386</v>
      </c>
      <c r="B207">
        <v>1.2168000000000001</v>
      </c>
      <c r="C207">
        <v>1.2387999999999999</v>
      </c>
      <c r="D207">
        <v>1.0005999999999999</v>
      </c>
      <c r="E207">
        <v>1.1811</v>
      </c>
      <c r="F207">
        <v>15319594.32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0.51553316540722194</v>
      </c>
      <c r="Q207">
        <f t="shared" si="960"/>
        <v>7897758.9525440978</v>
      </c>
      <c r="R207">
        <f t="shared" si="961"/>
        <v>62656384.166415192</v>
      </c>
      <c r="S207">
        <f t="shared" si="962"/>
        <v>626.56384166415194</v>
      </c>
      <c r="T207">
        <f t="shared" si="963"/>
        <v>0.62656384166415191</v>
      </c>
    </row>
    <row r="208" spans="1:20" x14ac:dyDescent="0.25">
      <c r="A208" s="5">
        <v>44385</v>
      </c>
      <c r="B208">
        <v>0.97430000000000005</v>
      </c>
      <c r="C208">
        <v>1.28</v>
      </c>
      <c r="D208">
        <v>0.97419999999999995</v>
      </c>
      <c r="E208">
        <v>1.2132000000000001</v>
      </c>
      <c r="F208">
        <v>28486346.91</v>
      </c>
      <c r="G208">
        <v>0</v>
      </c>
      <c r="L208" t="s">
        <v>8</v>
      </c>
      <c r="M208" t="s">
        <v>8</v>
      </c>
      <c r="N208" t="s">
        <v>8</v>
      </c>
      <c r="P208">
        <f t="shared" si="959"/>
        <v>0.56311314584695904</v>
      </c>
      <c r="Q208">
        <f t="shared" si="960"/>
        <v>16041036.422177901</v>
      </c>
      <c r="R208">
        <f t="shared" si="961"/>
        <v>54758625.213871092</v>
      </c>
      <c r="S208">
        <f t="shared" si="962"/>
        <v>547.58625213871096</v>
      </c>
      <c r="T208">
        <f t="shared" si="963"/>
        <v>0.54758625213871093</v>
      </c>
    </row>
    <row r="209" spans="1:20" x14ac:dyDescent="0.25">
      <c r="A209" s="5">
        <v>44384</v>
      </c>
      <c r="B209">
        <v>0.877</v>
      </c>
      <c r="C209">
        <v>1.0331999999999999</v>
      </c>
      <c r="D209">
        <v>0.87429999999999997</v>
      </c>
      <c r="E209">
        <v>0.97550000000000003</v>
      </c>
      <c r="F209">
        <v>7399863.9000000004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0.27375707992448223</v>
      </c>
      <c r="Q209">
        <f t="shared" si="960"/>
        <v>2025765.1331025909</v>
      </c>
      <c r="R209">
        <f t="shared" si="961"/>
        <v>38717588.791693188</v>
      </c>
      <c r="S209">
        <f t="shared" si="962"/>
        <v>387.17588791693186</v>
      </c>
      <c r="T209">
        <f t="shared" si="963"/>
        <v>0.38717588791693186</v>
      </c>
    </row>
    <row r="210" spans="1:20" x14ac:dyDescent="0.25">
      <c r="A210" s="5">
        <v>44383</v>
      </c>
      <c r="B210">
        <v>0.8115</v>
      </c>
      <c r="C210">
        <v>0.87719999999999998</v>
      </c>
      <c r="D210">
        <v>0.81020000000000003</v>
      </c>
      <c r="E210">
        <v>0.874</v>
      </c>
      <c r="F210">
        <v>12133582.16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0.90447761194029896</v>
      </c>
      <c r="Q210">
        <f t="shared" si="960"/>
        <v>10974553.416358214</v>
      </c>
      <c r="R210">
        <f t="shared" si="961"/>
        <v>36691823.6585906</v>
      </c>
      <c r="S210">
        <f t="shared" si="962"/>
        <v>366.91823658590602</v>
      </c>
      <c r="T210">
        <f t="shared" si="963"/>
        <v>0.366918236585906</v>
      </c>
    </row>
    <row r="211" spans="1:20" x14ac:dyDescent="0.25">
      <c r="A211" s="5">
        <v>44382</v>
      </c>
      <c r="B211">
        <v>0.85619999999999996</v>
      </c>
      <c r="C211">
        <v>0.87060000000000004</v>
      </c>
      <c r="D211">
        <v>0.78539999999999999</v>
      </c>
      <c r="E211">
        <v>0.81200000000000006</v>
      </c>
      <c r="F211">
        <v>19652592.370000001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-0.37558685446009271</v>
      </c>
      <c r="Q211">
        <f t="shared" si="960"/>
        <v>-7381255.350234719</v>
      </c>
      <c r="R211">
        <f t="shared" si="961"/>
        <v>25717270.24223239</v>
      </c>
      <c r="S211">
        <f t="shared" si="962"/>
        <v>257.17270242232388</v>
      </c>
      <c r="T211">
        <f t="shared" si="963"/>
        <v>0.25717270242232387</v>
      </c>
    </row>
    <row r="212" spans="1:20" x14ac:dyDescent="0.25">
      <c r="A212" s="5">
        <v>44381</v>
      </c>
      <c r="B212">
        <v>0.84660000000000002</v>
      </c>
      <c r="C212">
        <v>0.90049999999999997</v>
      </c>
      <c r="D212">
        <v>0.80430000000000001</v>
      </c>
      <c r="E212">
        <v>0.85970000000000002</v>
      </c>
      <c r="F212">
        <v>11180413.109999999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0.15176715176715244</v>
      </c>
      <c r="Q212">
        <f t="shared" si="960"/>
        <v>1696819.4532848308</v>
      </c>
      <c r="R212">
        <f t="shared" si="961"/>
        <v>33098525.592467107</v>
      </c>
      <c r="S212">
        <f t="shared" si="962"/>
        <v>330.98525592467109</v>
      </c>
      <c r="T212">
        <f t="shared" si="963"/>
        <v>0.3309852559246711</v>
      </c>
    </row>
    <row r="213" spans="1:20" x14ac:dyDescent="0.25">
      <c r="A213" s="5">
        <v>44380</v>
      </c>
      <c r="B213">
        <v>0.80579999999999996</v>
      </c>
      <c r="C213">
        <v>0.84970000000000001</v>
      </c>
      <c r="D213">
        <v>0.77669999999999995</v>
      </c>
      <c r="E213">
        <v>0.84730000000000005</v>
      </c>
      <c r="F213">
        <v>6416374.8600000003</v>
      </c>
      <c r="G213">
        <v>0</v>
      </c>
      <c r="L213" t="s">
        <v>7</v>
      </c>
      <c r="M213" t="s">
        <v>8</v>
      </c>
      <c r="N213" t="s">
        <v>8</v>
      </c>
      <c r="P213">
        <f t="shared" si="959"/>
        <v>0.93424657534246702</v>
      </c>
      <c r="Q213">
        <f t="shared" si="960"/>
        <v>5994476.2390685016</v>
      </c>
      <c r="R213">
        <f t="shared" si="961"/>
        <v>31401706.139182277</v>
      </c>
      <c r="S213">
        <f t="shared" si="962"/>
        <v>314.01706139182278</v>
      </c>
      <c r="T213">
        <f t="shared" si="963"/>
        <v>0.31401706139182278</v>
      </c>
    </row>
    <row r="214" spans="1:20" x14ac:dyDescent="0.25">
      <c r="A214" s="5">
        <v>44379</v>
      </c>
      <c r="B214">
        <v>0.77490000000000003</v>
      </c>
      <c r="C214">
        <v>0.89670000000000005</v>
      </c>
      <c r="D214">
        <v>0.77210000000000001</v>
      </c>
      <c r="E214">
        <v>0.80430000000000001</v>
      </c>
      <c r="F214">
        <v>9553957.5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-0.48314606741573041</v>
      </c>
      <c r="Q214">
        <f t="shared" si="960"/>
        <v>-4615956.9943820229</v>
      </c>
      <c r="R214">
        <f t="shared" si="961"/>
        <v>25407229.900113776</v>
      </c>
      <c r="S214">
        <f t="shared" si="962"/>
        <v>254.07229900113776</v>
      </c>
      <c r="T214">
        <f t="shared" si="963"/>
        <v>0.25407229900113776</v>
      </c>
    </row>
    <row r="215" spans="1:20" x14ac:dyDescent="0.25">
      <c r="A215" s="5">
        <v>44378</v>
      </c>
      <c r="B215">
        <v>0.7913</v>
      </c>
      <c r="C215">
        <v>0.80330000000000001</v>
      </c>
      <c r="D215">
        <v>0.73080000000000001</v>
      </c>
      <c r="E215">
        <v>0.77629999999999999</v>
      </c>
      <c r="F215">
        <v>3688063.82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0.2551724137931029</v>
      </c>
      <c r="Q215">
        <f t="shared" si="960"/>
        <v>941092.14717241179</v>
      </c>
      <c r="R215">
        <f t="shared" si="961"/>
        <v>30023186.8944958</v>
      </c>
      <c r="S215">
        <f t="shared" si="962"/>
        <v>300.23186894495802</v>
      </c>
      <c r="T215">
        <f t="shared" si="963"/>
        <v>0.30023186894495801</v>
      </c>
    </row>
    <row r="216" spans="1:20" x14ac:dyDescent="0.25">
      <c r="A216" s="5">
        <v>44377</v>
      </c>
      <c r="B216">
        <v>0.75339999999999996</v>
      </c>
      <c r="C216">
        <v>0.8</v>
      </c>
      <c r="D216">
        <v>0.72350000000000003</v>
      </c>
      <c r="E216">
        <v>0.78969999999999996</v>
      </c>
      <c r="F216">
        <v>4738125.83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0.73071895424836375</v>
      </c>
      <c r="Q216">
        <f t="shared" si="960"/>
        <v>3462238.3515947605</v>
      </c>
      <c r="R216">
        <f t="shared" si="961"/>
        <v>29082094.74732339</v>
      </c>
      <c r="S216">
        <f t="shared" si="962"/>
        <v>290.8209474732339</v>
      </c>
      <c r="T216">
        <f t="shared" si="963"/>
        <v>0.29082094747323389</v>
      </c>
    </row>
    <row r="217" spans="1:20" x14ac:dyDescent="0.25">
      <c r="A217" s="5">
        <v>44376</v>
      </c>
      <c r="B217">
        <v>0.71089999999999998</v>
      </c>
      <c r="C217">
        <v>0.76349999999999996</v>
      </c>
      <c r="D217">
        <v>0.70040000000000002</v>
      </c>
      <c r="E217">
        <v>0.751</v>
      </c>
      <c r="F217">
        <v>3590970.1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0.60380348652931959</v>
      </c>
      <c r="Q217">
        <f t="shared" si="960"/>
        <v>2168240.2664025393</v>
      </c>
      <c r="R217">
        <f t="shared" si="961"/>
        <v>25619856.395728629</v>
      </c>
      <c r="S217">
        <f t="shared" si="962"/>
        <v>256.1985639572863</v>
      </c>
      <c r="T217">
        <f t="shared" si="963"/>
        <v>0.2561985639572863</v>
      </c>
    </row>
    <row r="218" spans="1:20" x14ac:dyDescent="0.25">
      <c r="A218" s="5">
        <v>44375</v>
      </c>
      <c r="B218">
        <v>0.68740000000000001</v>
      </c>
      <c r="C218">
        <v>0.71989999999999998</v>
      </c>
      <c r="D218">
        <v>0.66410000000000002</v>
      </c>
      <c r="E218">
        <v>0.71020000000000005</v>
      </c>
      <c r="F218">
        <v>5893544.9500000002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0.65232974910394492</v>
      </c>
      <c r="Q218">
        <f t="shared" si="960"/>
        <v>3844534.6985663217</v>
      </c>
      <c r="R218">
        <f t="shared" si="961"/>
        <v>23451616.12932609</v>
      </c>
      <c r="S218">
        <f t="shared" si="962"/>
        <v>234.51616129326089</v>
      </c>
      <c r="T218">
        <f t="shared" si="963"/>
        <v>0.23451616129326089</v>
      </c>
    </row>
    <row r="219" spans="1:20" x14ac:dyDescent="0.25">
      <c r="A219" s="5">
        <v>44374</v>
      </c>
      <c r="B219">
        <v>0.64729999999999999</v>
      </c>
      <c r="C219">
        <v>0.7117</v>
      </c>
      <c r="D219">
        <v>0.63290000000000002</v>
      </c>
      <c r="E219">
        <v>0.68899999999999995</v>
      </c>
      <c r="F219">
        <v>7228378.8600000003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0.42385786802030306</v>
      </c>
      <c r="Q219">
        <f t="shared" si="960"/>
        <v>3063805.2528426289</v>
      </c>
      <c r="R219">
        <f t="shared" si="961"/>
        <v>19607081.430759769</v>
      </c>
      <c r="S219">
        <f t="shared" si="962"/>
        <v>196.07081430759769</v>
      </c>
      <c r="T219">
        <f t="shared" si="963"/>
        <v>0.19607081430759768</v>
      </c>
    </row>
    <row r="220" spans="1:20" x14ac:dyDescent="0.25">
      <c r="A220" s="5">
        <v>44373</v>
      </c>
      <c r="B220">
        <v>0.64</v>
      </c>
      <c r="C220">
        <v>0.66569999999999996</v>
      </c>
      <c r="D220">
        <v>0.59860000000000002</v>
      </c>
      <c r="E220">
        <v>0.64759999999999995</v>
      </c>
      <c r="F220">
        <v>6594203.5199999996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0.46050670640834512</v>
      </c>
      <c r="Q220">
        <f t="shared" si="960"/>
        <v>3036674.944381516</v>
      </c>
      <c r="R220">
        <f t="shared" si="961"/>
        <v>16543276.177917141</v>
      </c>
      <c r="S220">
        <f t="shared" si="962"/>
        <v>165.43276177917141</v>
      </c>
      <c r="T220">
        <f t="shared" si="963"/>
        <v>0.16543276177917141</v>
      </c>
    </row>
    <row r="221" spans="1:20" x14ac:dyDescent="0.25">
      <c r="A221" s="5">
        <v>44372</v>
      </c>
      <c r="B221">
        <v>0.72389999999999999</v>
      </c>
      <c r="C221">
        <v>0.75880000000000003</v>
      </c>
      <c r="D221">
        <v>0.6351</v>
      </c>
      <c r="E221">
        <v>0.64019999999999999</v>
      </c>
      <c r="F221">
        <v>9357703.1600000001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-0.91754244139046093</v>
      </c>
      <c r="Q221">
        <f t="shared" si="960"/>
        <v>-8586089.803233631</v>
      </c>
      <c r="R221">
        <f t="shared" si="961"/>
        <v>13506601.233535625</v>
      </c>
      <c r="S221">
        <f t="shared" si="962"/>
        <v>135.06601233535625</v>
      </c>
      <c r="T221">
        <f t="shared" si="963"/>
        <v>0.13506601233535626</v>
      </c>
    </row>
    <row r="222" spans="1:20" x14ac:dyDescent="0.25">
      <c r="A222" s="5">
        <v>44371</v>
      </c>
      <c r="B222">
        <v>0.64690000000000003</v>
      </c>
      <c r="C222">
        <v>0.73360000000000003</v>
      </c>
      <c r="D222">
        <v>0.60770000000000002</v>
      </c>
      <c r="E222">
        <v>0.72350000000000003</v>
      </c>
      <c r="F222">
        <v>9190819.1099999994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0.8395552025416998</v>
      </c>
      <c r="Q222">
        <f t="shared" si="960"/>
        <v>7716199.9994201744</v>
      </c>
      <c r="R222">
        <f t="shared" si="961"/>
        <v>22092691.036769256</v>
      </c>
      <c r="S222">
        <f t="shared" si="962"/>
        <v>220.92691036769256</v>
      </c>
      <c r="T222">
        <f t="shared" si="963"/>
        <v>0.22092691036769255</v>
      </c>
    </row>
    <row r="223" spans="1:20" x14ac:dyDescent="0.25">
      <c r="A223" s="5">
        <v>44370</v>
      </c>
      <c r="B223">
        <v>0.60460000000000003</v>
      </c>
      <c r="C223">
        <v>0.65849999999999997</v>
      </c>
      <c r="D223">
        <v>0.57720000000000005</v>
      </c>
      <c r="E223">
        <v>0.64690000000000003</v>
      </c>
      <c r="F223">
        <v>5593143.1399999997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0.7146371463714648</v>
      </c>
      <c r="Q223">
        <f t="shared" si="960"/>
        <v>3997067.852816734</v>
      </c>
      <c r="R223">
        <f t="shared" si="961"/>
        <v>14376491.037349083</v>
      </c>
      <c r="S223">
        <f t="shared" si="962"/>
        <v>143.76491037349084</v>
      </c>
      <c r="T223">
        <f t="shared" si="963"/>
        <v>0.14376491037349085</v>
      </c>
    </row>
    <row r="224" spans="1:20" x14ac:dyDescent="0.25">
      <c r="A224" s="5">
        <v>44369</v>
      </c>
      <c r="B224">
        <v>0.58760000000000001</v>
      </c>
      <c r="C224">
        <v>0.64539999999999997</v>
      </c>
      <c r="D224">
        <v>0.5</v>
      </c>
      <c r="E224">
        <v>0.60270000000000001</v>
      </c>
      <c r="F224">
        <v>13205056.859999999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0.41265474552957404</v>
      </c>
      <c r="Q224">
        <f t="shared" si="960"/>
        <v>5449129.3782668561</v>
      </c>
      <c r="R224">
        <f t="shared" si="961"/>
        <v>10379423.184532348</v>
      </c>
      <c r="S224">
        <f t="shared" si="962"/>
        <v>103.79423184532348</v>
      </c>
      <c r="T224">
        <f t="shared" si="963"/>
        <v>0.10379423184532348</v>
      </c>
    </row>
    <row r="225" spans="1:20" x14ac:dyDescent="0.25">
      <c r="A225" s="5">
        <v>44368</v>
      </c>
      <c r="B225">
        <v>0.79579999999999995</v>
      </c>
      <c r="C225">
        <v>0.80010000000000003</v>
      </c>
      <c r="D225">
        <v>0.58689999999999998</v>
      </c>
      <c r="E225">
        <v>0.58689999999999998</v>
      </c>
      <c r="F225">
        <v>11281977.99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-1</v>
      </c>
      <c r="Q225">
        <f t="shared" si="960"/>
        <v>-11281977.99</v>
      </c>
      <c r="R225">
        <f t="shared" si="961"/>
        <v>4930293.806265492</v>
      </c>
      <c r="S225">
        <f t="shared" si="962"/>
        <v>49.302938062654917</v>
      </c>
      <c r="T225">
        <f t="shared" si="963"/>
        <v>4.9302938062654914E-2</v>
      </c>
    </row>
    <row r="226" spans="1:20" x14ac:dyDescent="0.25">
      <c r="A226" s="5">
        <v>44367</v>
      </c>
      <c r="B226">
        <v>0.81540000000000001</v>
      </c>
      <c r="C226">
        <v>0.83120000000000005</v>
      </c>
      <c r="D226">
        <v>0.74319999999999997</v>
      </c>
      <c r="E226">
        <v>0.79730000000000001</v>
      </c>
      <c r="F226">
        <v>4123777.09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0.2295454545454543</v>
      </c>
      <c r="Q226">
        <f t="shared" si="960"/>
        <v>946594.28656818077</v>
      </c>
      <c r="R226">
        <f t="shared" si="961"/>
        <v>16212271.796265492</v>
      </c>
      <c r="S226">
        <f t="shared" si="962"/>
        <v>162.12271796265492</v>
      </c>
      <c r="T226">
        <f t="shared" si="963"/>
        <v>0.16212271796265493</v>
      </c>
    </row>
    <row r="227" spans="1:20" x14ac:dyDescent="0.25">
      <c r="A227" s="5">
        <v>44366</v>
      </c>
      <c r="B227">
        <v>0.82669999999999999</v>
      </c>
      <c r="C227">
        <v>0.84009999999999996</v>
      </c>
      <c r="D227">
        <v>0.80259999999999998</v>
      </c>
      <c r="E227">
        <v>0.81540000000000001</v>
      </c>
      <c r="F227">
        <v>2303037.81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-0.31733333333333114</v>
      </c>
      <c r="Q227">
        <f t="shared" si="960"/>
        <v>-730830.66503999499</v>
      </c>
      <c r="R227">
        <f t="shared" si="961"/>
        <v>15265677.509697311</v>
      </c>
      <c r="S227">
        <f t="shared" si="962"/>
        <v>152.65677509697309</v>
      </c>
      <c r="T227">
        <f t="shared" si="963"/>
        <v>0.15265677509697309</v>
      </c>
    </row>
    <row r="228" spans="1:20" x14ac:dyDescent="0.25">
      <c r="A228" s="5">
        <v>44365</v>
      </c>
      <c r="B228">
        <v>0.89870000000000005</v>
      </c>
      <c r="C228">
        <v>0.89870000000000005</v>
      </c>
      <c r="D228">
        <v>0.80259999999999998</v>
      </c>
      <c r="E228">
        <v>0.82840000000000003</v>
      </c>
      <c r="F228">
        <v>5426861.5800000001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-0.46305931321540011</v>
      </c>
      <c r="Q228">
        <f t="shared" si="960"/>
        <v>-2512958.796149841</v>
      </c>
      <c r="R228">
        <f t="shared" si="961"/>
        <v>15996508.174737306</v>
      </c>
      <c r="S228">
        <f t="shared" si="962"/>
        <v>159.96508174737306</v>
      </c>
      <c r="T228">
        <f t="shared" si="963"/>
        <v>0.15996508174737306</v>
      </c>
    </row>
    <row r="229" spans="1:20" x14ac:dyDescent="0.25">
      <c r="A229" s="5">
        <v>44364</v>
      </c>
      <c r="B229">
        <v>0.93289999999999995</v>
      </c>
      <c r="C229">
        <v>0.9587</v>
      </c>
      <c r="D229">
        <v>0.88</v>
      </c>
      <c r="E229">
        <v>0.89810000000000001</v>
      </c>
      <c r="F229">
        <v>2956743.8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-0.54002541296060969</v>
      </c>
      <c r="Q229">
        <f t="shared" si="960"/>
        <v>-1596716.7916137222</v>
      </c>
      <c r="R229">
        <f t="shared" si="961"/>
        <v>18509466.970887147</v>
      </c>
      <c r="S229">
        <f t="shared" si="962"/>
        <v>185.09466970887146</v>
      </c>
      <c r="T229">
        <f t="shared" si="963"/>
        <v>0.18509466970887145</v>
      </c>
    </row>
    <row r="230" spans="1:20" x14ac:dyDescent="0.25">
      <c r="A230" s="5">
        <v>44363</v>
      </c>
      <c r="B230">
        <v>0.88980000000000004</v>
      </c>
      <c r="C230">
        <v>1.0409999999999999</v>
      </c>
      <c r="D230">
        <v>0.88849999999999996</v>
      </c>
      <c r="E230">
        <v>0.93530000000000002</v>
      </c>
      <c r="F230">
        <v>9455648.3100000005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-0.38622950819672036</v>
      </c>
      <c r="Q230">
        <f t="shared" si="960"/>
        <v>-3652050.3964524502</v>
      </c>
      <c r="R230">
        <f t="shared" si="961"/>
        <v>20106183.762500867</v>
      </c>
      <c r="S230">
        <f t="shared" si="962"/>
        <v>201.06183762500868</v>
      </c>
      <c r="T230">
        <f t="shared" si="963"/>
        <v>0.20106183762500868</v>
      </c>
    </row>
    <row r="231" spans="1:20" x14ac:dyDescent="0.25">
      <c r="A231" s="5">
        <v>44362</v>
      </c>
      <c r="B231">
        <v>0.89590000000000003</v>
      </c>
      <c r="C231">
        <v>0.91749999999999998</v>
      </c>
      <c r="D231">
        <v>0.86680000000000001</v>
      </c>
      <c r="E231">
        <v>0.88959999999999995</v>
      </c>
      <c r="F231">
        <v>3420223.54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-0.10059171597633348</v>
      </c>
      <c r="Q231">
        <f t="shared" si="960"/>
        <v>-344046.15491124988</v>
      </c>
      <c r="R231">
        <f t="shared" si="961"/>
        <v>23758234.158953317</v>
      </c>
      <c r="S231">
        <f t="shared" si="962"/>
        <v>237.58234158953317</v>
      </c>
      <c r="T231">
        <f t="shared" si="963"/>
        <v>0.23758234158953317</v>
      </c>
    </row>
    <row r="232" spans="1:20" x14ac:dyDescent="0.25">
      <c r="A232" s="5">
        <v>44361</v>
      </c>
      <c r="B232">
        <v>0.89490000000000003</v>
      </c>
      <c r="C232">
        <v>0.90620000000000001</v>
      </c>
      <c r="D232">
        <v>0.86050000000000004</v>
      </c>
      <c r="E232">
        <v>0.89629999999999999</v>
      </c>
      <c r="F232">
        <v>5186429.42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0.56673960612691343</v>
      </c>
      <c r="Q232">
        <f t="shared" si="960"/>
        <v>2939354.9666958358</v>
      </c>
      <c r="R232">
        <f t="shared" si="961"/>
        <v>24102280.313864566</v>
      </c>
      <c r="S232">
        <f t="shared" si="962"/>
        <v>241.02280313864566</v>
      </c>
      <c r="T232">
        <f t="shared" si="963"/>
        <v>0.24102280313864566</v>
      </c>
    </row>
    <row r="233" spans="1:20" x14ac:dyDescent="0.25">
      <c r="A233" s="5">
        <v>44360</v>
      </c>
      <c r="B233">
        <v>0.83789999999999998</v>
      </c>
      <c r="C233">
        <v>0.91700000000000004</v>
      </c>
      <c r="D233">
        <v>0.82150000000000001</v>
      </c>
      <c r="E233">
        <v>0.89590000000000003</v>
      </c>
      <c r="F233">
        <v>4211976.21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0.55811518324607323</v>
      </c>
      <c r="Q233">
        <f t="shared" si="960"/>
        <v>2350767.874272251</v>
      </c>
      <c r="R233">
        <f t="shared" si="961"/>
        <v>21162925.347168729</v>
      </c>
      <c r="S233">
        <f t="shared" si="962"/>
        <v>211.62925347168729</v>
      </c>
      <c r="T233">
        <f t="shared" si="963"/>
        <v>0.21162925347168729</v>
      </c>
    </row>
    <row r="234" spans="1:20" x14ac:dyDescent="0.25">
      <c r="A234" s="5">
        <v>44359</v>
      </c>
      <c r="B234">
        <v>0.88670000000000004</v>
      </c>
      <c r="C234">
        <v>0.89</v>
      </c>
      <c r="D234">
        <v>0.81020000000000003</v>
      </c>
      <c r="E234">
        <v>0.83799999999999997</v>
      </c>
      <c r="F234">
        <v>4154413.61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-0.30325814536340995</v>
      </c>
      <c r="Q234">
        <f t="shared" si="960"/>
        <v>-1259859.7664411087</v>
      </c>
      <c r="R234">
        <f t="shared" si="961"/>
        <v>18812157.472896479</v>
      </c>
      <c r="S234">
        <f t="shared" si="962"/>
        <v>188.12157472896479</v>
      </c>
      <c r="T234">
        <f t="shared" si="963"/>
        <v>0.18812157472896479</v>
      </c>
    </row>
    <row r="235" spans="1:20" x14ac:dyDescent="0.25">
      <c r="A235" s="5">
        <v>44358</v>
      </c>
      <c r="B235">
        <v>0.91610000000000003</v>
      </c>
      <c r="C235">
        <v>1.0044999999999999</v>
      </c>
      <c r="D235">
        <v>0.87780000000000002</v>
      </c>
      <c r="E235">
        <v>0.88649999999999995</v>
      </c>
      <c r="F235">
        <v>5636060.3799999999</v>
      </c>
      <c r="G235">
        <v>0</v>
      </c>
      <c r="L235" t="s">
        <v>8</v>
      </c>
      <c r="M235" t="s">
        <v>8</v>
      </c>
      <c r="N235" t="s">
        <v>7</v>
      </c>
      <c r="P235">
        <f t="shared" si="959"/>
        <v>-0.86266771902131123</v>
      </c>
      <c r="Q235">
        <f t="shared" si="960"/>
        <v>-4862047.3522809846</v>
      </c>
      <c r="R235">
        <f t="shared" si="961"/>
        <v>20072017.239337586</v>
      </c>
      <c r="S235">
        <f t="shared" si="962"/>
        <v>200.72017239337586</v>
      </c>
      <c r="T235">
        <f t="shared" si="963"/>
        <v>0.20072017239337586</v>
      </c>
    </row>
    <row r="236" spans="1:20" x14ac:dyDescent="0.25">
      <c r="A236" s="5">
        <v>44357</v>
      </c>
      <c r="B236">
        <v>0.93110000000000004</v>
      </c>
      <c r="C236">
        <v>0.94889999999999997</v>
      </c>
      <c r="D236">
        <v>0.88260000000000005</v>
      </c>
      <c r="E236">
        <v>0.91539999999999999</v>
      </c>
      <c r="F236">
        <v>5252189.66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-1.0558069381599318E-2</v>
      </c>
      <c r="Q236">
        <f t="shared" si="960"/>
        <v>-55452.98283559853</v>
      </c>
      <c r="R236">
        <f t="shared" si="961"/>
        <v>24934064.591618571</v>
      </c>
      <c r="S236">
        <f t="shared" si="962"/>
        <v>249.34064591618571</v>
      </c>
      <c r="T236">
        <f t="shared" si="963"/>
        <v>0.24934064591618571</v>
      </c>
    </row>
    <row r="237" spans="1:20" x14ac:dyDescent="0.25">
      <c r="A237" s="5">
        <v>44356</v>
      </c>
      <c r="B237">
        <v>0.90890000000000004</v>
      </c>
      <c r="C237">
        <v>0.94269999999999998</v>
      </c>
      <c r="D237">
        <v>0.85650000000000004</v>
      </c>
      <c r="E237">
        <v>0.93100000000000005</v>
      </c>
      <c r="F237">
        <v>6584239.5999999996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0.72853828306264634</v>
      </c>
      <c r="Q237">
        <f t="shared" si="960"/>
        <v>4796870.6134570846</v>
      </c>
      <c r="R237">
        <f t="shared" si="961"/>
        <v>24989517.57445417</v>
      </c>
      <c r="S237">
        <f t="shared" si="962"/>
        <v>249.89517574454169</v>
      </c>
      <c r="T237">
        <f t="shared" si="963"/>
        <v>0.24989517574454168</v>
      </c>
    </row>
    <row r="238" spans="1:20" x14ac:dyDescent="0.25">
      <c r="A238" s="5">
        <v>44355</v>
      </c>
      <c r="B238">
        <v>0.92669999999999997</v>
      </c>
      <c r="C238">
        <v>0.93700000000000006</v>
      </c>
      <c r="D238">
        <v>0.82179999999999997</v>
      </c>
      <c r="E238">
        <v>0.90939999999999999</v>
      </c>
      <c r="F238">
        <v>6889350.2999999998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0.52083333333333248</v>
      </c>
      <c r="Q238">
        <f t="shared" si="960"/>
        <v>3588203.2812499939</v>
      </c>
      <c r="R238">
        <f t="shared" si="961"/>
        <v>20192646.960997086</v>
      </c>
      <c r="S238">
        <f t="shared" si="962"/>
        <v>201.92646960997087</v>
      </c>
      <c r="T238">
        <f t="shared" si="963"/>
        <v>0.20192646960997088</v>
      </c>
    </row>
    <row r="239" spans="1:20" x14ac:dyDescent="0.25">
      <c r="A239" s="5">
        <v>44354</v>
      </c>
      <c r="B239">
        <v>1</v>
      </c>
      <c r="C239">
        <v>1.0417000000000001</v>
      </c>
      <c r="D239">
        <v>0.91159999999999997</v>
      </c>
      <c r="E239">
        <v>0.92559999999999998</v>
      </c>
      <c r="F239">
        <v>5005922.47</v>
      </c>
      <c r="G239">
        <v>0</v>
      </c>
      <c r="L239" t="s">
        <v>8</v>
      </c>
      <c r="M239" t="s">
        <v>8</v>
      </c>
      <c r="N239" t="s">
        <v>7</v>
      </c>
      <c r="P239">
        <f t="shared" si="959"/>
        <v>-0.78478093774019986</v>
      </c>
      <c r="Q239">
        <f t="shared" si="960"/>
        <v>-3928552.5302613373</v>
      </c>
      <c r="R239">
        <f t="shared" si="961"/>
        <v>16604443.679747093</v>
      </c>
      <c r="S239">
        <f t="shared" si="962"/>
        <v>166.04443679747092</v>
      </c>
      <c r="T239">
        <f t="shared" si="963"/>
        <v>0.16604443679747091</v>
      </c>
    </row>
    <row r="240" spans="1:20" x14ac:dyDescent="0.25">
      <c r="A240" s="5">
        <v>44353</v>
      </c>
      <c r="B240">
        <v>0.97140000000000004</v>
      </c>
      <c r="C240">
        <v>1.0328999999999999</v>
      </c>
      <c r="D240">
        <v>0.96099999999999997</v>
      </c>
      <c r="E240">
        <v>1</v>
      </c>
      <c r="F240">
        <v>4608051.6399999997</v>
      </c>
      <c r="G240">
        <v>0</v>
      </c>
      <c r="L240" t="s">
        <v>8</v>
      </c>
      <c r="M240" t="s">
        <v>8</v>
      </c>
      <c r="N240" t="s">
        <v>7</v>
      </c>
      <c r="P240">
        <f t="shared" si="959"/>
        <v>8.4840055632824873E-2</v>
      </c>
      <c r="Q240">
        <f t="shared" si="960"/>
        <v>390947.35749652988</v>
      </c>
      <c r="R240">
        <f t="shared" si="961"/>
        <v>20532996.210008431</v>
      </c>
      <c r="S240">
        <f t="shared" si="962"/>
        <v>205.32996210008432</v>
      </c>
      <c r="T240">
        <f t="shared" si="963"/>
        <v>0.20532996210008431</v>
      </c>
    </row>
    <row r="241" spans="1:20" x14ac:dyDescent="0.25">
      <c r="A241" s="5">
        <v>44352</v>
      </c>
      <c r="B241">
        <v>1.0265</v>
      </c>
      <c r="C241">
        <v>1.0490999999999999</v>
      </c>
      <c r="D241">
        <v>0.93940000000000001</v>
      </c>
      <c r="E241">
        <v>0.96930000000000005</v>
      </c>
      <c r="F241">
        <v>5140878.46</v>
      </c>
      <c r="G241">
        <v>0</v>
      </c>
      <c r="L241" t="s">
        <v>7</v>
      </c>
      <c r="M241" t="s">
        <v>8</v>
      </c>
      <c r="N241" t="s">
        <v>7</v>
      </c>
      <c r="P241">
        <f t="shared" si="959"/>
        <v>-0.45487693710118393</v>
      </c>
      <c r="Q241">
        <f t="shared" si="960"/>
        <v>-2338467.0478942511</v>
      </c>
      <c r="R241">
        <f t="shared" si="961"/>
        <v>20142048.852511901</v>
      </c>
      <c r="S241">
        <f t="shared" si="962"/>
        <v>201.42048852511903</v>
      </c>
      <c r="T241">
        <f t="shared" si="963"/>
        <v>0.20142048852511901</v>
      </c>
    </row>
    <row r="242" spans="1:20" x14ac:dyDescent="0.25">
      <c r="A242" s="5">
        <v>44351</v>
      </c>
      <c r="B242">
        <v>1.0481</v>
      </c>
      <c r="C242">
        <v>1.0893999999999999</v>
      </c>
      <c r="D242">
        <v>0.9587</v>
      </c>
      <c r="E242">
        <v>1.0243</v>
      </c>
      <c r="F242">
        <v>7724409.5099999998</v>
      </c>
      <c r="G242">
        <v>0</v>
      </c>
      <c r="L242" t="s">
        <v>8</v>
      </c>
      <c r="M242" t="s">
        <v>8</v>
      </c>
      <c r="N242" t="s">
        <v>7</v>
      </c>
      <c r="P242">
        <f t="shared" si="959"/>
        <v>3.825554705432718E-3</v>
      </c>
      <c r="Q242">
        <f t="shared" si="960"/>
        <v>29550.151147669734</v>
      </c>
      <c r="R242">
        <f t="shared" si="961"/>
        <v>22480515.900406152</v>
      </c>
      <c r="S242">
        <f t="shared" si="962"/>
        <v>224.80515900406152</v>
      </c>
      <c r="T242">
        <f t="shared" si="963"/>
        <v>0.22480515900406153</v>
      </c>
    </row>
    <row r="243" spans="1:20" x14ac:dyDescent="0.25">
      <c r="A243" s="5">
        <v>44350</v>
      </c>
      <c r="B243">
        <v>1.0065</v>
      </c>
      <c r="C243">
        <v>1.0512999999999999</v>
      </c>
      <c r="D243">
        <v>0.98899999999999999</v>
      </c>
      <c r="E243">
        <v>1.0491999999999999</v>
      </c>
      <c r="F243">
        <v>4635696.07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0.93258426966292152</v>
      </c>
      <c r="Q243">
        <f t="shared" si="960"/>
        <v>4323177.233820226</v>
      </c>
      <c r="R243">
        <f t="shared" si="961"/>
        <v>22450965.749258481</v>
      </c>
      <c r="S243">
        <f t="shared" si="962"/>
        <v>224.50965749258481</v>
      </c>
      <c r="T243">
        <f t="shared" si="963"/>
        <v>0.22450965749258481</v>
      </c>
    </row>
    <row r="244" spans="1:20" x14ac:dyDescent="0.25">
      <c r="A244" s="5">
        <v>44349</v>
      </c>
      <c r="B244">
        <v>0.9738</v>
      </c>
      <c r="C244">
        <v>1.0385</v>
      </c>
      <c r="D244">
        <v>0.96350000000000002</v>
      </c>
      <c r="E244">
        <v>1.0071000000000001</v>
      </c>
      <c r="F244">
        <v>5585564.5</v>
      </c>
      <c r="G244">
        <v>0</v>
      </c>
      <c r="L244" t="s">
        <v>8</v>
      </c>
      <c r="M244" t="s">
        <v>7</v>
      </c>
      <c r="N244" t="s">
        <v>7</v>
      </c>
      <c r="P244">
        <f t="shared" si="959"/>
        <v>0.16266666666666957</v>
      </c>
      <c r="Q244">
        <f t="shared" si="960"/>
        <v>908585.1586666829</v>
      </c>
      <c r="R244">
        <f t="shared" si="961"/>
        <v>18127788.515438255</v>
      </c>
      <c r="S244">
        <f t="shared" si="962"/>
        <v>181.27788515438255</v>
      </c>
      <c r="T244">
        <f t="shared" si="963"/>
        <v>0.18127788515438253</v>
      </c>
    </row>
    <row r="245" spans="1:20" x14ac:dyDescent="0.25">
      <c r="A245" s="5">
        <v>44348</v>
      </c>
      <c r="B245">
        <v>0.99829999999999997</v>
      </c>
      <c r="C245">
        <v>1.0096000000000001</v>
      </c>
      <c r="D245">
        <v>0.94530000000000003</v>
      </c>
      <c r="E245">
        <v>0.97230000000000005</v>
      </c>
      <c r="F245">
        <v>5069135.05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-0.1601866251944008</v>
      </c>
      <c r="Q245">
        <f t="shared" si="960"/>
        <v>-812007.63631415018</v>
      </c>
      <c r="R245">
        <f t="shared" si="961"/>
        <v>17219203.356771573</v>
      </c>
      <c r="S245">
        <f t="shared" si="962"/>
        <v>172.19203356771573</v>
      </c>
      <c r="T245">
        <f t="shared" si="963"/>
        <v>0.17219203356771573</v>
      </c>
    </row>
    <row r="246" spans="1:20" x14ac:dyDescent="0.25">
      <c r="A246" s="5">
        <v>44347</v>
      </c>
      <c r="B246">
        <v>0.96540000000000004</v>
      </c>
      <c r="C246">
        <v>1</v>
      </c>
      <c r="D246">
        <v>0.9</v>
      </c>
      <c r="E246">
        <v>0.99829999999999997</v>
      </c>
      <c r="F246">
        <v>6388431.2300000004</v>
      </c>
      <c r="G246">
        <v>0</v>
      </c>
      <c r="L246" t="s">
        <v>7</v>
      </c>
      <c r="M246" t="s">
        <v>7</v>
      </c>
      <c r="N246" t="s">
        <v>7</v>
      </c>
      <c r="P246">
        <f t="shared" si="959"/>
        <v>0.9659999999999993</v>
      </c>
      <c r="Q246">
        <f t="shared" si="960"/>
        <v>6171224.5681799958</v>
      </c>
      <c r="R246">
        <f t="shared" si="961"/>
        <v>18031210.993085723</v>
      </c>
      <c r="S246">
        <f t="shared" si="962"/>
        <v>180.31210993085725</v>
      </c>
      <c r="T246">
        <f t="shared" si="963"/>
        <v>0.18031210993085725</v>
      </c>
    </row>
    <row r="247" spans="1:20" x14ac:dyDescent="0.25">
      <c r="A247" s="5">
        <v>44346</v>
      </c>
      <c r="B247">
        <v>0.97009999999999996</v>
      </c>
      <c r="C247">
        <v>1.0092000000000001</v>
      </c>
      <c r="D247">
        <v>0.91620000000000001</v>
      </c>
      <c r="E247">
        <v>0.96830000000000005</v>
      </c>
      <c r="F247">
        <v>11484968.689999999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0.12043010752688148</v>
      </c>
      <c r="Q247">
        <f t="shared" si="960"/>
        <v>1383136.0142795669</v>
      </c>
      <c r="R247">
        <f t="shared" si="961"/>
        <v>11859986.424905729</v>
      </c>
      <c r="S247">
        <f t="shared" si="962"/>
        <v>118.59986424905729</v>
      </c>
      <c r="T247">
        <f t="shared" si="963"/>
        <v>0.11859986424905729</v>
      </c>
    </row>
    <row r="248" spans="1:20" x14ac:dyDescent="0.25">
      <c r="A248" s="5">
        <v>44345</v>
      </c>
      <c r="B248">
        <v>0.96360000000000001</v>
      </c>
      <c r="C248">
        <v>1.0580000000000001</v>
      </c>
      <c r="D248">
        <v>0.91539999999999999</v>
      </c>
      <c r="E248">
        <v>0.96909999999999996</v>
      </c>
      <c r="F248">
        <v>8540527.5099999998</v>
      </c>
      <c r="G248">
        <v>0</v>
      </c>
      <c r="L248" t="s">
        <v>8</v>
      </c>
      <c r="M248" t="s">
        <v>7</v>
      </c>
      <c r="N248" t="s">
        <v>7</v>
      </c>
      <c r="P248">
        <f t="shared" si="959"/>
        <v>-0.24684431977559682</v>
      </c>
      <c r="Q248">
        <f t="shared" si="960"/>
        <v>-2108180.7037307215</v>
      </c>
      <c r="R248">
        <f t="shared" si="961"/>
        <v>10476850.410626162</v>
      </c>
      <c r="S248">
        <f t="shared" si="962"/>
        <v>104.76850410626162</v>
      </c>
      <c r="T248">
        <f t="shared" si="963"/>
        <v>0.10476850410626162</v>
      </c>
    </row>
    <row r="249" spans="1:20" x14ac:dyDescent="0.25">
      <c r="A249" s="5">
        <v>44344</v>
      </c>
      <c r="B249">
        <v>1.1141000000000001</v>
      </c>
      <c r="C249">
        <v>1.1258999999999999</v>
      </c>
      <c r="D249">
        <v>0.92</v>
      </c>
      <c r="E249">
        <v>0.96360000000000001</v>
      </c>
      <c r="F249">
        <v>7714375.71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-0.57649344341913544</v>
      </c>
      <c r="Q249">
        <f t="shared" si="960"/>
        <v>-4447287.0168868378</v>
      </c>
      <c r="R249">
        <f t="shared" si="961"/>
        <v>12585031.114356883</v>
      </c>
      <c r="S249">
        <f t="shared" si="962"/>
        <v>125.85031114356883</v>
      </c>
      <c r="T249">
        <f t="shared" si="963"/>
        <v>0.12585031114356884</v>
      </c>
    </row>
    <row r="250" spans="1:20" x14ac:dyDescent="0.25">
      <c r="A250" s="5">
        <v>44343</v>
      </c>
      <c r="B250">
        <v>1.0767</v>
      </c>
      <c r="C250">
        <v>1.2098</v>
      </c>
      <c r="D250">
        <v>1.0322</v>
      </c>
      <c r="E250">
        <v>1.1138999999999999</v>
      </c>
      <c r="F250">
        <v>13017868.67</v>
      </c>
      <c r="G250">
        <v>0</v>
      </c>
      <c r="L250" t="s">
        <v>8</v>
      </c>
      <c r="M250" t="s">
        <v>8</v>
      </c>
      <c r="N250" t="s">
        <v>7</v>
      </c>
      <c r="P250">
        <f t="shared" si="959"/>
        <v>-7.9954954954956164E-2</v>
      </c>
      <c r="Q250">
        <f t="shared" si="960"/>
        <v>-1040843.1031193851</v>
      </c>
      <c r="R250">
        <f t="shared" si="961"/>
        <v>17032318.131243721</v>
      </c>
      <c r="S250">
        <f t="shared" si="962"/>
        <v>170.32318131243721</v>
      </c>
      <c r="T250">
        <f t="shared" si="963"/>
        <v>0.17032318131243721</v>
      </c>
    </row>
    <row r="251" spans="1:20" x14ac:dyDescent="0.25">
      <c r="A251" s="5">
        <v>44342</v>
      </c>
      <c r="B251">
        <v>1.0184</v>
      </c>
      <c r="C251">
        <v>1.0802</v>
      </c>
      <c r="D251">
        <v>0.97870000000000001</v>
      </c>
      <c r="E251">
        <v>1.08</v>
      </c>
      <c r="F251">
        <v>5432671.3099999996</v>
      </c>
      <c r="G251">
        <v>0</v>
      </c>
      <c r="L251" t="s">
        <v>8</v>
      </c>
      <c r="M251" t="s">
        <v>7</v>
      </c>
      <c r="N251" t="s">
        <v>7</v>
      </c>
      <c r="P251">
        <f t="shared" si="959"/>
        <v>0.99605911330049302</v>
      </c>
      <c r="Q251">
        <f t="shared" si="960"/>
        <v>5411261.7678916277</v>
      </c>
      <c r="R251">
        <f t="shared" si="961"/>
        <v>18073161.234363105</v>
      </c>
      <c r="S251">
        <f t="shared" si="962"/>
        <v>180.73161234363104</v>
      </c>
      <c r="T251">
        <f t="shared" si="963"/>
        <v>0.18073161234363105</v>
      </c>
    </row>
    <row r="252" spans="1:20" x14ac:dyDescent="0.25">
      <c r="A252" s="5">
        <v>44341</v>
      </c>
      <c r="B252">
        <v>1.0712999999999999</v>
      </c>
      <c r="C252">
        <v>1.0879000000000001</v>
      </c>
      <c r="D252">
        <v>0.93369999999999997</v>
      </c>
      <c r="E252">
        <v>1.0190999999999999</v>
      </c>
      <c r="F252">
        <v>11157730.65</v>
      </c>
      <c r="G252">
        <v>0</v>
      </c>
      <c r="L252" t="s">
        <v>7</v>
      </c>
      <c r="M252" t="s">
        <v>7</v>
      </c>
      <c r="N252" t="s">
        <v>7</v>
      </c>
      <c r="P252">
        <f t="shared" si="959"/>
        <v>0.1076523994811914</v>
      </c>
      <c r="Q252">
        <f t="shared" si="960"/>
        <v>1201156.4772373335</v>
      </c>
      <c r="R252">
        <f t="shared" si="961"/>
        <v>12661899.466471478</v>
      </c>
      <c r="S252">
        <f t="shared" si="962"/>
        <v>126.61899466471478</v>
      </c>
      <c r="T252">
        <f t="shared" si="963"/>
        <v>0.12661899466471477</v>
      </c>
    </row>
    <row r="253" spans="1:20" x14ac:dyDescent="0.25">
      <c r="A253" s="5">
        <v>44340</v>
      </c>
      <c r="B253">
        <v>0.91790000000000005</v>
      </c>
      <c r="C253">
        <v>1.43</v>
      </c>
      <c r="D253">
        <v>0.91790000000000005</v>
      </c>
      <c r="E253">
        <v>1.0667</v>
      </c>
      <c r="F253">
        <v>23652240.800000001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-0.41886350322202709</v>
      </c>
      <c r="Q253">
        <f t="shared" si="960"/>
        <v>-9907060.4405389614</v>
      </c>
      <c r="R253">
        <f t="shared" si="961"/>
        <v>11460742.989234146</v>
      </c>
      <c r="S253">
        <f t="shared" si="962"/>
        <v>114.60742989234146</v>
      </c>
      <c r="T253">
        <f t="shared" si="963"/>
        <v>0.11460742989234146</v>
      </c>
    </row>
    <row r="254" spans="1:20" x14ac:dyDescent="0.25">
      <c r="A254" s="5">
        <v>44339</v>
      </c>
      <c r="B254">
        <v>0.9879</v>
      </c>
      <c r="C254">
        <v>1</v>
      </c>
      <c r="D254">
        <v>0.75</v>
      </c>
      <c r="E254">
        <v>0.91300000000000003</v>
      </c>
      <c r="F254">
        <v>7027993.6200000001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0.30400000000000027</v>
      </c>
      <c r="Q254">
        <f t="shared" si="960"/>
        <v>2136510.0604800018</v>
      </c>
      <c r="R254">
        <f t="shared" si="961"/>
        <v>21367803.429773107</v>
      </c>
      <c r="S254">
        <f t="shared" si="962"/>
        <v>213.67803429773107</v>
      </c>
      <c r="T254">
        <f t="shared" si="963"/>
        <v>0.21367803429773108</v>
      </c>
    </row>
    <row r="255" spans="1:20" x14ac:dyDescent="0.25">
      <c r="A255" s="5">
        <v>44338</v>
      </c>
      <c r="B255">
        <v>1.0219</v>
      </c>
      <c r="C255">
        <v>1.0475000000000001</v>
      </c>
      <c r="D255">
        <v>0.90700000000000003</v>
      </c>
      <c r="E255">
        <v>0.98609999999999998</v>
      </c>
      <c r="F255">
        <v>6753351.9500000002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0.12597864768683145</v>
      </c>
      <c r="Q255">
        <f t="shared" si="960"/>
        <v>850778.14601422625</v>
      </c>
      <c r="R255">
        <f t="shared" si="961"/>
        <v>19231293.369293105</v>
      </c>
      <c r="S255">
        <f t="shared" si="962"/>
        <v>192.31293369293104</v>
      </c>
      <c r="T255">
        <f t="shared" si="963"/>
        <v>0.19231293369293104</v>
      </c>
    </row>
    <row r="256" spans="1:20" x14ac:dyDescent="0.25">
      <c r="A256" s="5">
        <v>44337</v>
      </c>
      <c r="B256">
        <v>1.0721000000000001</v>
      </c>
      <c r="C256">
        <v>1.2311000000000001</v>
      </c>
      <c r="D256">
        <v>0.86009999999999998</v>
      </c>
      <c r="E256">
        <v>1.0214000000000001</v>
      </c>
      <c r="F256">
        <v>11388014.550000001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-0.13045822102425841</v>
      </c>
      <c r="Q256">
        <f t="shared" si="960"/>
        <v>-1485660.1191913709</v>
      </c>
      <c r="R256">
        <f t="shared" si="961"/>
        <v>18380515.22327888</v>
      </c>
      <c r="S256">
        <f t="shared" si="962"/>
        <v>183.8051522327888</v>
      </c>
      <c r="T256">
        <f t="shared" si="963"/>
        <v>0.18380515223278879</v>
      </c>
    </row>
    <row r="257" spans="1:20" x14ac:dyDescent="0.25">
      <c r="A257" s="5">
        <v>44336</v>
      </c>
      <c r="B257">
        <v>0.92179999999999995</v>
      </c>
      <c r="C257">
        <v>1.0851999999999999</v>
      </c>
      <c r="D257">
        <v>0.77</v>
      </c>
      <c r="E257">
        <v>1.0741000000000001</v>
      </c>
      <c r="F257">
        <v>7394074.7800000003</v>
      </c>
      <c r="G257">
        <v>0</v>
      </c>
      <c r="L257" t="s">
        <v>8</v>
      </c>
      <c r="M257" t="s">
        <v>8</v>
      </c>
      <c r="N257" t="s">
        <v>7</v>
      </c>
      <c r="P257">
        <f t="shared" si="959"/>
        <v>0.92956852791878242</v>
      </c>
      <c r="Q257">
        <f t="shared" si="960"/>
        <v>6873299.2085659951</v>
      </c>
      <c r="R257">
        <f t="shared" si="961"/>
        <v>19866175.342470251</v>
      </c>
      <c r="S257">
        <f t="shared" si="962"/>
        <v>198.66175342470251</v>
      </c>
      <c r="T257">
        <f t="shared" si="963"/>
        <v>0.19866175342470252</v>
      </c>
    </row>
    <row r="258" spans="1:20" x14ac:dyDescent="0.25">
      <c r="A258" s="5">
        <v>44335</v>
      </c>
      <c r="B258">
        <v>1.3863000000000001</v>
      </c>
      <c r="C258">
        <v>1.4023000000000001</v>
      </c>
      <c r="D258">
        <v>0.75800000000000001</v>
      </c>
      <c r="E258">
        <v>0.91339999999999999</v>
      </c>
      <c r="F258">
        <v>12862000.65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-0.51761601738320673</v>
      </c>
      <c r="Q258">
        <f t="shared" si="960"/>
        <v>-6657577.5520332167</v>
      </c>
      <c r="R258">
        <f t="shared" si="961"/>
        <v>12992876.133904256</v>
      </c>
      <c r="S258">
        <f t="shared" si="962"/>
        <v>129.92876133904255</v>
      </c>
      <c r="T258">
        <f t="shared" si="963"/>
        <v>0.12992876133904255</v>
      </c>
    </row>
    <row r="259" spans="1:20" x14ac:dyDescent="0.25">
      <c r="A259" s="5">
        <v>44334</v>
      </c>
      <c r="B259">
        <v>1.3593999999999999</v>
      </c>
      <c r="C259">
        <v>1.45</v>
      </c>
      <c r="D259">
        <v>1.3339000000000001</v>
      </c>
      <c r="E259">
        <v>1.3871</v>
      </c>
      <c r="F259">
        <v>6564550.4100000001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-8.3548664944014236E-2</v>
      </c>
      <c r="Q259">
        <f t="shared" si="960"/>
        <v>-548459.42271318135</v>
      </c>
      <c r="R259">
        <f t="shared" si="961"/>
        <v>19650453.685937472</v>
      </c>
      <c r="S259">
        <f t="shared" si="962"/>
        <v>196.50453685937472</v>
      </c>
      <c r="T259">
        <f t="shared" si="963"/>
        <v>0.19650453685937472</v>
      </c>
    </row>
    <row r="260" spans="1:20" x14ac:dyDescent="0.25">
      <c r="A260" s="5">
        <v>44333</v>
      </c>
      <c r="B260">
        <v>1.5248999999999999</v>
      </c>
      <c r="C260">
        <v>1.5657000000000001</v>
      </c>
      <c r="D260">
        <v>1.3127</v>
      </c>
      <c r="E260">
        <v>1.3573</v>
      </c>
      <c r="F260">
        <v>6848371.4400000004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-0.64743083003952606</v>
      </c>
      <c r="Q260">
        <f t="shared" si="960"/>
        <v>-4433846.8058181843</v>
      </c>
      <c r="R260">
        <f t="shared" si="961"/>
        <v>20198913.108650655</v>
      </c>
      <c r="S260">
        <f t="shared" si="962"/>
        <v>201.98913108650655</v>
      </c>
      <c r="T260">
        <f t="shared" si="963"/>
        <v>0.20198913108650654</v>
      </c>
    </row>
    <row r="261" spans="1:20" x14ac:dyDescent="0.25">
      <c r="A261" s="5">
        <v>44332</v>
      </c>
      <c r="B261">
        <v>1.5696000000000001</v>
      </c>
      <c r="C261">
        <v>1.6571</v>
      </c>
      <c r="D261">
        <v>1.43</v>
      </c>
      <c r="E261">
        <v>1.5245</v>
      </c>
      <c r="F261">
        <v>4576308.2300000004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-0.16776750330250995</v>
      </c>
      <c r="Q261">
        <f t="shared" si="960"/>
        <v>-767755.80608982849</v>
      </c>
      <c r="R261">
        <f t="shared" si="961"/>
        <v>24632759.91446884</v>
      </c>
      <c r="S261">
        <f t="shared" si="962"/>
        <v>246.32759914468841</v>
      </c>
      <c r="T261">
        <f t="shared" si="963"/>
        <v>0.24632759914468841</v>
      </c>
    </row>
    <row r="262" spans="1:20" x14ac:dyDescent="0.25">
      <c r="A262" s="5">
        <v>44331</v>
      </c>
      <c r="B262">
        <v>1.6771</v>
      </c>
      <c r="C262">
        <v>1.6858</v>
      </c>
      <c r="D262">
        <v>1.5414000000000001</v>
      </c>
      <c r="E262">
        <v>1.5710999999999999</v>
      </c>
      <c r="F262">
        <v>4116667.35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-0.58864265927978021</v>
      </c>
      <c r="Q262">
        <f t="shared" ref="Q262:Q325" si="965">F262*P262</f>
        <v>-2423246.0162742459</v>
      </c>
      <c r="R262">
        <f t="shared" ref="R262:R325" si="966">R263+Q262</f>
        <v>25400515.720558669</v>
      </c>
      <c r="S262">
        <f t="shared" ref="S262:S325" si="967">R262/100000</f>
        <v>254.0051572055867</v>
      </c>
      <c r="T262">
        <f t="shared" ref="T262:T325" si="968">S262/1000</f>
        <v>0.2540051572055867</v>
      </c>
    </row>
    <row r="263" spans="1:20" x14ac:dyDescent="0.25">
      <c r="A263" s="5">
        <v>44330</v>
      </c>
      <c r="B263">
        <v>1.5932999999999999</v>
      </c>
      <c r="C263">
        <v>1.7095</v>
      </c>
      <c r="D263">
        <v>1.5760000000000001</v>
      </c>
      <c r="E263">
        <v>1.6738999999999999</v>
      </c>
      <c r="F263">
        <v>3343386.11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0.46666666666666534</v>
      </c>
      <c r="Q263">
        <f t="shared" si="965"/>
        <v>1560246.8513333288</v>
      </c>
      <c r="R263">
        <f t="shared" si="966"/>
        <v>27823761.736832917</v>
      </c>
      <c r="S263">
        <f t="shared" si="967"/>
        <v>278.23761736832915</v>
      </c>
      <c r="T263">
        <f t="shared" si="968"/>
        <v>0.27823761736832914</v>
      </c>
    </row>
    <row r="264" spans="1:20" x14ac:dyDescent="0.25">
      <c r="A264" s="5">
        <v>44329</v>
      </c>
      <c r="B264">
        <v>1.6321000000000001</v>
      </c>
      <c r="C264">
        <v>1.7064999999999999</v>
      </c>
      <c r="D264">
        <v>1.5062</v>
      </c>
      <c r="E264">
        <v>1.5911</v>
      </c>
      <c r="F264">
        <v>6171734.4000000004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-0.15227159261108328</v>
      </c>
      <c r="Q264">
        <f t="shared" si="965"/>
        <v>-939779.8262606085</v>
      </c>
      <c r="R264">
        <f t="shared" si="966"/>
        <v>26263514.885499589</v>
      </c>
      <c r="S264">
        <f t="shared" si="967"/>
        <v>262.63514885499592</v>
      </c>
      <c r="T264">
        <f t="shared" si="968"/>
        <v>0.26263514885499589</v>
      </c>
    </row>
    <row r="265" spans="1:20" x14ac:dyDescent="0.25">
      <c r="A265" s="5">
        <v>44328</v>
      </c>
      <c r="B265">
        <v>1.8883000000000001</v>
      </c>
      <c r="C265">
        <v>1.9409000000000001</v>
      </c>
      <c r="D265">
        <v>1.6308</v>
      </c>
      <c r="E265">
        <v>1.6315999999999999</v>
      </c>
      <c r="F265">
        <v>6070279.1900000004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-0.99484037407288028</v>
      </c>
      <c r="Q265">
        <f t="shared" si="965"/>
        <v>-6038958.8201064216</v>
      </c>
      <c r="R265">
        <f t="shared" si="966"/>
        <v>27203294.711760197</v>
      </c>
      <c r="S265">
        <f t="shared" si="967"/>
        <v>272.03294711760196</v>
      </c>
      <c r="T265">
        <f t="shared" si="968"/>
        <v>0.27203294711760195</v>
      </c>
    </row>
    <row r="266" spans="1:20" x14ac:dyDescent="0.25">
      <c r="A266" s="5">
        <v>44327</v>
      </c>
      <c r="B266">
        <v>1.7299</v>
      </c>
      <c r="C266">
        <v>1.9564999999999999</v>
      </c>
      <c r="D266">
        <v>1.6971000000000001</v>
      </c>
      <c r="E266">
        <v>1.8883000000000001</v>
      </c>
      <c r="F266">
        <v>7955844.1399999997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0.47417116422513605</v>
      </c>
      <c r="Q266">
        <f t="shared" si="965"/>
        <v>3772431.8782575261</v>
      </c>
      <c r="R266">
        <f t="shared" si="966"/>
        <v>33242253.531866618</v>
      </c>
      <c r="S266">
        <f t="shared" si="967"/>
        <v>332.42253531866618</v>
      </c>
      <c r="T266">
        <f t="shared" si="968"/>
        <v>0.33242253531866617</v>
      </c>
    </row>
    <row r="267" spans="1:20" x14ac:dyDescent="0.25">
      <c r="A267" s="5">
        <v>44326</v>
      </c>
      <c r="B267">
        <v>1.9359</v>
      </c>
      <c r="C267">
        <v>1.9599</v>
      </c>
      <c r="D267">
        <v>1.6345000000000001</v>
      </c>
      <c r="E267">
        <v>1.73</v>
      </c>
      <c r="F267">
        <v>6837781.5999999996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-0.41303011677934881</v>
      </c>
      <c r="Q267">
        <f t="shared" si="965"/>
        <v>-2824209.7327596825</v>
      </c>
      <c r="R267">
        <f t="shared" si="966"/>
        <v>29469821.65360909</v>
      </c>
      <c r="S267">
        <f t="shared" si="967"/>
        <v>294.69821653609091</v>
      </c>
      <c r="T267">
        <f t="shared" si="968"/>
        <v>0.29469821653609091</v>
      </c>
    </row>
    <row r="268" spans="1:20" x14ac:dyDescent="0.25">
      <c r="A268" s="5">
        <v>44325</v>
      </c>
      <c r="B268">
        <v>2.0146999999999999</v>
      </c>
      <c r="C268">
        <v>2.0164</v>
      </c>
      <c r="D268">
        <v>1.8260000000000001</v>
      </c>
      <c r="E268">
        <v>1.9358</v>
      </c>
      <c r="F268">
        <v>4624053.07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0.15336134453781464</v>
      </c>
      <c r="Q268">
        <f t="shared" si="965"/>
        <v>709150.99602940958</v>
      </c>
      <c r="R268">
        <f t="shared" si="966"/>
        <v>32294031.386368774</v>
      </c>
      <c r="S268">
        <f t="shared" si="967"/>
        <v>322.94031386368772</v>
      </c>
      <c r="T268">
        <f t="shared" si="968"/>
        <v>0.32294031386368771</v>
      </c>
    </row>
    <row r="269" spans="1:20" x14ac:dyDescent="0.25">
      <c r="A269" s="5">
        <v>44324</v>
      </c>
      <c r="B269">
        <v>2.0036999999999998</v>
      </c>
      <c r="C269">
        <v>2.13</v>
      </c>
      <c r="D269">
        <v>1.98</v>
      </c>
      <c r="E269">
        <v>2.0164</v>
      </c>
      <c r="F269">
        <v>5176348.59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-0.51466666666666649</v>
      </c>
      <c r="Q269">
        <f t="shared" si="965"/>
        <v>-2664094.0743199992</v>
      </c>
      <c r="R269">
        <f t="shared" si="966"/>
        <v>31584880.390339363</v>
      </c>
      <c r="S269">
        <f t="shared" si="967"/>
        <v>315.84880390339362</v>
      </c>
      <c r="T269">
        <f t="shared" si="968"/>
        <v>0.31584880390339359</v>
      </c>
    </row>
    <row r="270" spans="1:20" x14ac:dyDescent="0.25">
      <c r="A270" s="5">
        <v>44323</v>
      </c>
      <c r="B270">
        <v>2.0217000000000001</v>
      </c>
      <c r="C270">
        <v>2.1063999999999998</v>
      </c>
      <c r="D270">
        <v>1.8816999999999999</v>
      </c>
      <c r="E270">
        <v>2.0064000000000002</v>
      </c>
      <c r="F270">
        <v>4934347.7300000004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0.10992434356920615</v>
      </c>
      <c r="Q270">
        <f t="shared" si="965"/>
        <v>542404.93516245252</v>
      </c>
      <c r="R270">
        <f t="shared" si="966"/>
        <v>34248974.464659363</v>
      </c>
      <c r="S270">
        <f t="shared" si="967"/>
        <v>342.48974464659364</v>
      </c>
      <c r="T270">
        <f t="shared" si="968"/>
        <v>0.34248974464659365</v>
      </c>
    </row>
    <row r="271" spans="1:20" x14ac:dyDescent="0.25">
      <c r="A271" s="5">
        <v>44322</v>
      </c>
      <c r="B271">
        <v>2.1311</v>
      </c>
      <c r="C271">
        <v>2.1326000000000001</v>
      </c>
      <c r="D271">
        <v>1.9786999999999999</v>
      </c>
      <c r="E271">
        <v>2.0207000000000002</v>
      </c>
      <c r="F271">
        <v>3785588.36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-0.4541910331383987</v>
      </c>
      <c r="Q271">
        <f t="shared" si="965"/>
        <v>-1719380.2882650963</v>
      </c>
      <c r="R271">
        <f t="shared" si="966"/>
        <v>33706569.529496908</v>
      </c>
      <c r="S271">
        <f t="shared" si="967"/>
        <v>337.06569529496909</v>
      </c>
      <c r="T271">
        <f t="shared" si="968"/>
        <v>0.3370656952949691</v>
      </c>
    </row>
    <row r="272" spans="1:20" x14ac:dyDescent="0.25">
      <c r="A272" s="5">
        <v>44321</v>
      </c>
      <c r="B272">
        <v>2.0127999999999999</v>
      </c>
      <c r="C272">
        <v>2.1456</v>
      </c>
      <c r="D272">
        <v>1.9547000000000001</v>
      </c>
      <c r="E272">
        <v>2.1311</v>
      </c>
      <c r="F272">
        <v>5179775.6100000003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0.84808800419067609</v>
      </c>
      <c r="Q272">
        <f t="shared" si="965"/>
        <v>4392905.5592404418</v>
      </c>
      <c r="R272">
        <f t="shared" si="966"/>
        <v>35425949.817762002</v>
      </c>
      <c r="S272">
        <f t="shared" si="967"/>
        <v>354.25949817762</v>
      </c>
      <c r="T272">
        <f t="shared" si="968"/>
        <v>0.35425949817761998</v>
      </c>
    </row>
    <row r="273" spans="1:20" x14ac:dyDescent="0.25">
      <c r="A273" s="5">
        <v>44320</v>
      </c>
      <c r="B273">
        <v>2.0729000000000002</v>
      </c>
      <c r="C273">
        <v>2.2195</v>
      </c>
      <c r="D273">
        <v>1.9502999999999999</v>
      </c>
      <c r="E273">
        <v>2.0127999999999999</v>
      </c>
      <c r="F273">
        <v>10054518.75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-0.53566121842496306</v>
      </c>
      <c r="Q273">
        <f t="shared" si="965"/>
        <v>-5385815.7643016363</v>
      </c>
      <c r="R273">
        <f t="shared" si="966"/>
        <v>31033044.258521557</v>
      </c>
      <c r="S273">
        <f t="shared" si="967"/>
        <v>310.33044258521556</v>
      </c>
      <c r="T273">
        <f t="shared" si="968"/>
        <v>0.31033044258521558</v>
      </c>
    </row>
    <row r="274" spans="1:20" x14ac:dyDescent="0.25">
      <c r="A274" s="5">
        <v>44319</v>
      </c>
      <c r="B274">
        <v>2.0726</v>
      </c>
      <c r="C274">
        <v>2.15</v>
      </c>
      <c r="D274">
        <v>2.0575000000000001</v>
      </c>
      <c r="E274">
        <v>2.0701999999999998</v>
      </c>
      <c r="F274">
        <v>4607272.8</v>
      </c>
      <c r="G274">
        <v>0</v>
      </c>
      <c r="L274" t="s">
        <v>7</v>
      </c>
      <c r="M274" t="s">
        <v>8</v>
      </c>
      <c r="N274" t="s">
        <v>7</v>
      </c>
      <c r="P274">
        <f t="shared" si="964"/>
        <v>-0.7254054054054111</v>
      </c>
      <c r="Q274">
        <f t="shared" si="965"/>
        <v>-3342140.5932973232</v>
      </c>
      <c r="R274">
        <f t="shared" si="966"/>
        <v>36418860.022823192</v>
      </c>
      <c r="S274">
        <f t="shared" si="967"/>
        <v>364.18860022823191</v>
      </c>
      <c r="T274">
        <f t="shared" si="968"/>
        <v>0.36418860022823191</v>
      </c>
    </row>
    <row r="275" spans="1:20" x14ac:dyDescent="0.25">
      <c r="A275" s="5">
        <v>44318</v>
      </c>
      <c r="B275">
        <v>2.1467000000000001</v>
      </c>
      <c r="C275">
        <v>2.1591999999999998</v>
      </c>
      <c r="D275">
        <v>2.0503999999999998</v>
      </c>
      <c r="E275">
        <v>2.0726</v>
      </c>
      <c r="F275">
        <v>2736995.45</v>
      </c>
      <c r="G275">
        <v>0</v>
      </c>
      <c r="L275" t="s">
        <v>7</v>
      </c>
      <c r="M275" t="s">
        <v>8</v>
      </c>
      <c r="N275" t="s">
        <v>7</v>
      </c>
      <c r="P275">
        <f t="shared" si="964"/>
        <v>-0.59191176470587836</v>
      </c>
      <c r="Q275">
        <f t="shared" si="965"/>
        <v>-1620059.8068014598</v>
      </c>
      <c r="R275">
        <f t="shared" si="966"/>
        <v>39761000.616120517</v>
      </c>
      <c r="S275">
        <f t="shared" si="967"/>
        <v>397.61000616120515</v>
      </c>
      <c r="T275">
        <f t="shared" si="968"/>
        <v>0.39761000616120518</v>
      </c>
    </row>
    <row r="276" spans="1:20" x14ac:dyDescent="0.25">
      <c r="A276" s="5">
        <v>44317</v>
      </c>
      <c r="B276">
        <v>2.1825999999999999</v>
      </c>
      <c r="C276">
        <v>2.1894999999999998</v>
      </c>
      <c r="D276">
        <v>2.0931000000000002</v>
      </c>
      <c r="E276">
        <v>2.1461999999999999</v>
      </c>
      <c r="F276">
        <v>3058392.82</v>
      </c>
      <c r="G276">
        <v>0</v>
      </c>
      <c r="L276" t="s">
        <v>7</v>
      </c>
      <c r="M276" t="s">
        <v>8</v>
      </c>
      <c r="N276" t="s">
        <v>7</v>
      </c>
      <c r="P276">
        <f t="shared" si="964"/>
        <v>0.10165975103734284</v>
      </c>
      <c r="Q276">
        <f t="shared" si="965"/>
        <v>310915.45265559689</v>
      </c>
      <c r="R276">
        <f t="shared" si="966"/>
        <v>41381060.422921978</v>
      </c>
      <c r="S276">
        <f t="shared" si="967"/>
        <v>413.81060422921979</v>
      </c>
      <c r="T276">
        <f t="shared" si="968"/>
        <v>0.41381060422921978</v>
      </c>
    </row>
    <row r="277" spans="1:20" x14ac:dyDescent="0.25">
      <c r="A277" s="5">
        <v>44316</v>
      </c>
      <c r="B277">
        <v>2.1379999999999999</v>
      </c>
      <c r="C277">
        <v>2.2000000000000002</v>
      </c>
      <c r="D277">
        <v>2.0737999999999999</v>
      </c>
      <c r="E277">
        <v>2.1836000000000002</v>
      </c>
      <c r="F277">
        <v>3027456.68</v>
      </c>
      <c r="G277">
        <v>0</v>
      </c>
      <c r="L277" t="s">
        <v>7</v>
      </c>
      <c r="M277" t="s">
        <v>8</v>
      </c>
      <c r="N277" t="s">
        <v>7</v>
      </c>
      <c r="P277">
        <f t="shared" si="964"/>
        <v>0.74009508716323413</v>
      </c>
      <c r="Q277">
        <f t="shared" si="965"/>
        <v>2240605.8154675155</v>
      </c>
      <c r="R277">
        <f t="shared" si="966"/>
        <v>41070144.970266379</v>
      </c>
      <c r="S277">
        <f t="shared" si="967"/>
        <v>410.70144970266381</v>
      </c>
      <c r="T277">
        <f t="shared" si="968"/>
        <v>0.41070144970266381</v>
      </c>
    </row>
    <row r="278" spans="1:20" x14ac:dyDescent="0.25">
      <c r="A278" s="5">
        <v>44315</v>
      </c>
      <c r="B278">
        <v>2.234</v>
      </c>
      <c r="C278">
        <v>2.242</v>
      </c>
      <c r="D278">
        <v>2.0754999999999999</v>
      </c>
      <c r="E278">
        <v>2.1379999999999999</v>
      </c>
      <c r="F278">
        <v>3248724.56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-0.24924924924924965</v>
      </c>
      <c r="Q278">
        <f t="shared" si="965"/>
        <v>-809742.15759759897</v>
      </c>
      <c r="R278">
        <f t="shared" si="966"/>
        <v>38829539.154798865</v>
      </c>
      <c r="S278">
        <f t="shared" si="967"/>
        <v>388.29539154798863</v>
      </c>
      <c r="T278">
        <f t="shared" si="968"/>
        <v>0.38829539154798864</v>
      </c>
    </row>
    <row r="279" spans="1:20" x14ac:dyDescent="0.25">
      <c r="A279" s="5">
        <v>44314</v>
      </c>
      <c r="B279">
        <v>2.2425999999999999</v>
      </c>
      <c r="C279">
        <v>2.2999999999999998</v>
      </c>
      <c r="D279">
        <v>2.0251000000000001</v>
      </c>
      <c r="E279">
        <v>2.2408000000000001</v>
      </c>
      <c r="F279">
        <v>4042901.88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0.56929792651873579</v>
      </c>
      <c r="Q279">
        <f t="shared" si="965"/>
        <v>2301615.6574026989</v>
      </c>
      <c r="R279">
        <f t="shared" si="966"/>
        <v>39639281.312396467</v>
      </c>
      <c r="S279">
        <f t="shared" si="967"/>
        <v>396.39281312396469</v>
      </c>
      <c r="T279">
        <f t="shared" si="968"/>
        <v>0.39639281312396468</v>
      </c>
    </row>
    <row r="280" spans="1:20" x14ac:dyDescent="0.25">
      <c r="A280" s="5">
        <v>44313</v>
      </c>
      <c r="B280">
        <v>2.0293000000000001</v>
      </c>
      <c r="C280">
        <v>2.282</v>
      </c>
      <c r="D280">
        <v>2.0019999999999998</v>
      </c>
      <c r="E280">
        <v>2.2425999999999999</v>
      </c>
      <c r="F280">
        <v>5666334.5599999996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0.71857142857142808</v>
      </c>
      <c r="Q280">
        <f t="shared" si="965"/>
        <v>4071666.1195428539</v>
      </c>
      <c r="R280">
        <f t="shared" si="966"/>
        <v>37337665.654993765</v>
      </c>
      <c r="S280">
        <f t="shared" si="967"/>
        <v>373.37665654993765</v>
      </c>
      <c r="T280">
        <f t="shared" si="968"/>
        <v>0.37337665654993762</v>
      </c>
    </row>
    <row r="281" spans="1:20" x14ac:dyDescent="0.25">
      <c r="A281" s="5">
        <v>44312</v>
      </c>
      <c r="B281">
        <v>1.756</v>
      </c>
      <c r="C281">
        <v>2.0912999999999999</v>
      </c>
      <c r="D281">
        <v>1.7432000000000001</v>
      </c>
      <c r="E281">
        <v>2.0291000000000001</v>
      </c>
      <c r="F281">
        <v>5179219.38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0.6426314277506473</v>
      </c>
      <c r="Q281">
        <f t="shared" si="965"/>
        <v>3328329.1448032223</v>
      </c>
      <c r="R281">
        <f t="shared" si="966"/>
        <v>33265999.535450913</v>
      </c>
      <c r="S281">
        <f t="shared" si="967"/>
        <v>332.65999535450914</v>
      </c>
      <c r="T281">
        <f t="shared" si="968"/>
        <v>0.33265999535450913</v>
      </c>
    </row>
    <row r="282" spans="1:20" x14ac:dyDescent="0.25">
      <c r="A282" s="5">
        <v>44311</v>
      </c>
      <c r="B282">
        <v>1.7729999999999999</v>
      </c>
      <c r="C282">
        <v>1.9019999999999999</v>
      </c>
      <c r="D282">
        <v>1.6357999999999999</v>
      </c>
      <c r="E282">
        <v>1.7555000000000001</v>
      </c>
      <c r="F282">
        <v>3234871.82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-0.10067618332081034</v>
      </c>
      <c r="Q282">
        <f t="shared" si="965"/>
        <v>-325674.54836964339</v>
      </c>
      <c r="R282">
        <f t="shared" si="966"/>
        <v>29937670.390647691</v>
      </c>
      <c r="S282">
        <f t="shared" si="967"/>
        <v>299.37670390647691</v>
      </c>
      <c r="T282">
        <f t="shared" si="968"/>
        <v>0.29937670390647692</v>
      </c>
    </row>
    <row r="283" spans="1:20" x14ac:dyDescent="0.25">
      <c r="A283" s="5">
        <v>44310</v>
      </c>
      <c r="B283">
        <v>1.9648000000000001</v>
      </c>
      <c r="C283">
        <v>1.9716</v>
      </c>
      <c r="D283">
        <v>1.7453000000000001</v>
      </c>
      <c r="E283">
        <v>1.7730999999999999</v>
      </c>
      <c r="F283">
        <v>4116678.5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-0.75430844012373111</v>
      </c>
      <c r="Q283">
        <f t="shared" si="965"/>
        <v>-3105245.3378259013</v>
      </c>
      <c r="R283">
        <f t="shared" si="966"/>
        <v>30263344.939017333</v>
      </c>
      <c r="S283">
        <f t="shared" si="967"/>
        <v>302.63344939017333</v>
      </c>
      <c r="T283">
        <f t="shared" si="968"/>
        <v>0.30263344939017334</v>
      </c>
    </row>
    <row r="284" spans="1:20" x14ac:dyDescent="0.25">
      <c r="A284" s="5">
        <v>44309</v>
      </c>
      <c r="B284">
        <v>2.0427</v>
      </c>
      <c r="C284">
        <v>2.1976</v>
      </c>
      <c r="D284">
        <v>1.6800999999999999</v>
      </c>
      <c r="E284">
        <v>1.9648000000000001</v>
      </c>
      <c r="F284">
        <v>10647371.810000001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0.1002898550724643</v>
      </c>
      <c r="Q284">
        <f t="shared" si="965"/>
        <v>1067823.375727542</v>
      </c>
      <c r="R284">
        <f t="shared" si="966"/>
        <v>33368590.276843235</v>
      </c>
      <c r="S284">
        <f t="shared" si="967"/>
        <v>333.68590276843236</v>
      </c>
      <c r="T284">
        <f t="shared" si="968"/>
        <v>0.33368590276843235</v>
      </c>
    </row>
    <row r="285" spans="1:20" x14ac:dyDescent="0.25">
      <c r="A285" s="5">
        <v>44308</v>
      </c>
      <c r="B285">
        <v>2.2429000000000001</v>
      </c>
      <c r="C285">
        <v>2.4500000000000002</v>
      </c>
      <c r="D285">
        <v>2.0144000000000002</v>
      </c>
      <c r="E285">
        <v>2.0436999999999999</v>
      </c>
      <c r="F285">
        <v>8568057.0899999999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-0.86547291092745793</v>
      </c>
      <c r="Q285">
        <f t="shared" si="965"/>
        <v>-7415421.310674944</v>
      </c>
      <c r="R285">
        <f t="shared" si="966"/>
        <v>32300766.901115693</v>
      </c>
      <c r="S285">
        <f t="shared" si="967"/>
        <v>323.00766901115691</v>
      </c>
      <c r="T285">
        <f t="shared" si="968"/>
        <v>0.32300766901115691</v>
      </c>
    </row>
    <row r="286" spans="1:20" x14ac:dyDescent="0.25">
      <c r="A286" s="5">
        <v>44307</v>
      </c>
      <c r="B286">
        <v>2.4380000000000002</v>
      </c>
      <c r="C286">
        <v>2.4420999999999999</v>
      </c>
      <c r="D286">
        <v>2.2132000000000001</v>
      </c>
      <c r="E286">
        <v>2.2418999999999998</v>
      </c>
      <c r="F286">
        <v>6484463.4100000001</v>
      </c>
      <c r="G286">
        <v>0</v>
      </c>
      <c r="L286" t="s">
        <v>7</v>
      </c>
      <c r="M286" t="s">
        <v>7</v>
      </c>
      <c r="N286" t="s">
        <v>8</v>
      </c>
      <c r="P286">
        <f t="shared" si="964"/>
        <v>-0.74923547400611845</v>
      </c>
      <c r="Q286">
        <f t="shared" si="965"/>
        <v>-4858390.0166666815</v>
      </c>
      <c r="R286">
        <f t="shared" si="966"/>
        <v>39716188.211790636</v>
      </c>
      <c r="S286">
        <f t="shared" si="967"/>
        <v>397.16188211790637</v>
      </c>
      <c r="T286">
        <f t="shared" si="968"/>
        <v>0.39716188211790637</v>
      </c>
    </row>
    <row r="287" spans="1:20" x14ac:dyDescent="0.25">
      <c r="A287" s="5">
        <v>44306</v>
      </c>
      <c r="B287">
        <v>2.2854999999999999</v>
      </c>
      <c r="C287">
        <v>2.6682999999999999</v>
      </c>
      <c r="D287">
        <v>2.2566999999999999</v>
      </c>
      <c r="E287">
        <v>2.4363999999999999</v>
      </c>
      <c r="F287">
        <v>21529513.27</v>
      </c>
      <c r="G287">
        <v>0</v>
      </c>
      <c r="L287" t="s">
        <v>8</v>
      </c>
      <c r="M287" t="s">
        <v>8</v>
      </c>
      <c r="N287" t="s">
        <v>8</v>
      </c>
      <c r="P287">
        <f t="shared" si="964"/>
        <v>-0.12682215743440239</v>
      </c>
      <c r="Q287">
        <f t="shared" si="965"/>
        <v>-2730419.3214139952</v>
      </c>
      <c r="R287">
        <f t="shared" si="966"/>
        <v>44574578.228457317</v>
      </c>
      <c r="S287">
        <f t="shared" si="967"/>
        <v>445.74578228457318</v>
      </c>
      <c r="T287">
        <f t="shared" si="968"/>
        <v>0.44574578228457318</v>
      </c>
    </row>
    <row r="288" spans="1:20" x14ac:dyDescent="0.25">
      <c r="A288" s="5">
        <v>44305</v>
      </c>
      <c r="B288">
        <v>1.9844999999999999</v>
      </c>
      <c r="C288">
        <v>2.4900000000000002</v>
      </c>
      <c r="D288">
        <v>1.9420999999999999</v>
      </c>
      <c r="E288">
        <v>2.2846000000000002</v>
      </c>
      <c r="F288">
        <v>12416586.33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0.25022814382186559</v>
      </c>
      <c r="Q288">
        <f t="shared" si="965"/>
        <v>3106979.3499598503</v>
      </c>
      <c r="R288">
        <f t="shared" si="966"/>
        <v>47304997.549871311</v>
      </c>
      <c r="S288">
        <f t="shared" si="967"/>
        <v>473.04997549871308</v>
      </c>
      <c r="T288">
        <f t="shared" si="968"/>
        <v>0.47304997549871308</v>
      </c>
    </row>
    <row r="289" spans="1:20" x14ac:dyDescent="0.25">
      <c r="A289" s="5">
        <v>44304</v>
      </c>
      <c r="B289">
        <v>2.2570999999999999</v>
      </c>
      <c r="C289">
        <v>2.2786</v>
      </c>
      <c r="D289">
        <v>1.7888999999999999</v>
      </c>
      <c r="E289">
        <v>1.9898</v>
      </c>
      <c r="F289">
        <v>6169752.0099999998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-0.17949765162344264</v>
      </c>
      <c r="Q289">
        <f t="shared" si="965"/>
        <v>-1107455.996894015</v>
      </c>
      <c r="R289">
        <f t="shared" si="966"/>
        <v>44198018.19991146</v>
      </c>
      <c r="S289">
        <f t="shared" si="967"/>
        <v>441.98018199911462</v>
      </c>
      <c r="T289">
        <f t="shared" si="968"/>
        <v>0.4419801819991146</v>
      </c>
    </row>
    <row r="290" spans="1:20" x14ac:dyDescent="0.25">
      <c r="A290" s="5">
        <v>44303</v>
      </c>
      <c r="B290">
        <v>2.3691</v>
      </c>
      <c r="C290">
        <v>2.4689999999999999</v>
      </c>
      <c r="D290">
        <v>2.2073999999999998</v>
      </c>
      <c r="E290">
        <v>2.2576000000000001</v>
      </c>
      <c r="F290">
        <v>6022347.4800000004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-0.61620795107033455</v>
      </c>
      <c r="Q290">
        <f t="shared" si="965"/>
        <v>-3711018.4012843929</v>
      </c>
      <c r="R290">
        <f t="shared" si="966"/>
        <v>45305474.196805477</v>
      </c>
      <c r="S290">
        <f t="shared" si="967"/>
        <v>453.05474196805477</v>
      </c>
      <c r="T290">
        <f t="shared" si="968"/>
        <v>0.45305474196805479</v>
      </c>
    </row>
    <row r="291" spans="1:20" x14ac:dyDescent="0.25">
      <c r="A291" s="5">
        <v>44302</v>
      </c>
      <c r="B291">
        <v>2.6623999999999999</v>
      </c>
      <c r="C291">
        <v>2.6713</v>
      </c>
      <c r="D291">
        <v>2.2382</v>
      </c>
      <c r="E291">
        <v>2.3689</v>
      </c>
      <c r="F291">
        <v>6559582.1900000004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-0.39644423920572602</v>
      </c>
      <c r="Q291">
        <f t="shared" si="965"/>
        <v>-2600508.5708219805</v>
      </c>
      <c r="R291">
        <f t="shared" si="966"/>
        <v>49016492.598089866</v>
      </c>
      <c r="S291">
        <f t="shared" si="967"/>
        <v>490.16492598089866</v>
      </c>
      <c r="T291">
        <f t="shared" si="968"/>
        <v>0.49016492598089867</v>
      </c>
    </row>
    <row r="292" spans="1:20" x14ac:dyDescent="0.25">
      <c r="A292" s="5">
        <v>44301</v>
      </c>
      <c r="B292">
        <v>2.6983999999999999</v>
      </c>
      <c r="C292">
        <v>2.73</v>
      </c>
      <c r="D292">
        <v>2.4710000000000001</v>
      </c>
      <c r="E292">
        <v>2.6623999999999999</v>
      </c>
      <c r="F292">
        <v>10098572.51</v>
      </c>
      <c r="G292">
        <v>0</v>
      </c>
      <c r="L292" t="s">
        <v>7</v>
      </c>
      <c r="M292" t="s">
        <v>8</v>
      </c>
      <c r="N292" t="s">
        <v>8</v>
      </c>
      <c r="P292">
        <f t="shared" si="964"/>
        <v>0.477992277992277</v>
      </c>
      <c r="Q292">
        <f t="shared" si="965"/>
        <v>4827039.6785250865</v>
      </c>
      <c r="R292">
        <f t="shared" si="966"/>
        <v>51617001.168911844</v>
      </c>
      <c r="S292">
        <f t="shared" si="967"/>
        <v>516.1700116891185</v>
      </c>
      <c r="T292">
        <f t="shared" si="968"/>
        <v>0.51617001168911847</v>
      </c>
    </row>
    <row r="293" spans="1:20" x14ac:dyDescent="0.25">
      <c r="A293" s="5">
        <v>44300</v>
      </c>
      <c r="B293">
        <v>2.3039999999999998</v>
      </c>
      <c r="C293">
        <v>2.7</v>
      </c>
      <c r="D293">
        <v>2.165</v>
      </c>
      <c r="E293">
        <v>2.6989999999999998</v>
      </c>
      <c r="F293">
        <v>18054558.170000002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0.99626168224298939</v>
      </c>
      <c r="Q293">
        <f t="shared" si="965"/>
        <v>17987064.494598109</v>
      </c>
      <c r="R293">
        <f t="shared" si="966"/>
        <v>46789961.490386754</v>
      </c>
      <c r="S293">
        <f t="shared" si="967"/>
        <v>467.89961490386753</v>
      </c>
      <c r="T293">
        <f t="shared" si="968"/>
        <v>0.46789961490386756</v>
      </c>
    </row>
    <row r="294" spans="1:20" x14ac:dyDescent="0.25">
      <c r="A294" s="5">
        <v>44299</v>
      </c>
      <c r="B294">
        <v>2.0840999999999998</v>
      </c>
      <c r="C294">
        <v>2.4211999999999998</v>
      </c>
      <c r="D294">
        <v>2.0785</v>
      </c>
      <c r="E294">
        <v>2.3045</v>
      </c>
      <c r="F294">
        <v>13855210.42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0.31893784651298585</v>
      </c>
      <c r="Q294">
        <f t="shared" si="965"/>
        <v>4418950.9743390819</v>
      </c>
      <c r="R294">
        <f t="shared" si="966"/>
        <v>28802896.995788649</v>
      </c>
      <c r="S294">
        <f t="shared" si="967"/>
        <v>288.02896995788649</v>
      </c>
      <c r="T294">
        <f t="shared" si="968"/>
        <v>0.28802896995788652</v>
      </c>
    </row>
    <row r="295" spans="1:20" x14ac:dyDescent="0.25">
      <c r="A295" s="5">
        <v>44298</v>
      </c>
      <c r="B295">
        <v>1.8788</v>
      </c>
      <c r="C295">
        <v>2.3170000000000002</v>
      </c>
      <c r="D295">
        <v>1.87</v>
      </c>
      <c r="E295">
        <v>2.0840000000000001</v>
      </c>
      <c r="F295">
        <v>12151106.24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-4.2505592841163592E-2</v>
      </c>
      <c r="Q295">
        <f t="shared" si="965"/>
        <v>-516489.97440716228</v>
      </c>
      <c r="R295">
        <f t="shared" si="966"/>
        <v>24383946.021449566</v>
      </c>
      <c r="S295">
        <f t="shared" si="967"/>
        <v>243.83946021449566</v>
      </c>
      <c r="T295">
        <f t="shared" si="968"/>
        <v>0.24383946021449565</v>
      </c>
    </row>
    <row r="296" spans="1:20" x14ac:dyDescent="0.25">
      <c r="A296" s="5">
        <v>44297</v>
      </c>
      <c r="B296">
        <v>1.9123000000000001</v>
      </c>
      <c r="C296">
        <v>1.9689000000000001</v>
      </c>
      <c r="D296">
        <v>1.8513999999999999</v>
      </c>
      <c r="E296">
        <v>1.8795999999999999</v>
      </c>
      <c r="F296">
        <v>5260352.0999999996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-0.52000000000000057</v>
      </c>
      <c r="Q296">
        <f t="shared" si="965"/>
        <v>-2735383.092000003</v>
      </c>
      <c r="R296">
        <f t="shared" si="966"/>
        <v>24900435.995856728</v>
      </c>
      <c r="S296">
        <f t="shared" si="967"/>
        <v>249.00435995856728</v>
      </c>
      <c r="T296">
        <f t="shared" si="968"/>
        <v>0.24900435995856729</v>
      </c>
    </row>
    <row r="297" spans="1:20" x14ac:dyDescent="0.25">
      <c r="A297" s="5">
        <v>44296</v>
      </c>
      <c r="B297">
        <v>1.9819</v>
      </c>
      <c r="C297">
        <v>2.085</v>
      </c>
      <c r="D297">
        <v>1.8635999999999999</v>
      </c>
      <c r="E297">
        <v>1.9095</v>
      </c>
      <c r="F297">
        <v>7832982.1699999999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-0.58536585365853622</v>
      </c>
      <c r="Q297">
        <f t="shared" si="965"/>
        <v>-4585160.2946341438</v>
      </c>
      <c r="R297">
        <f t="shared" si="966"/>
        <v>27635819.087856732</v>
      </c>
      <c r="S297">
        <f t="shared" si="967"/>
        <v>276.35819087856731</v>
      </c>
      <c r="T297">
        <f t="shared" si="968"/>
        <v>0.27635819087856733</v>
      </c>
    </row>
    <row r="298" spans="1:20" x14ac:dyDescent="0.25">
      <c r="A298" s="5">
        <v>44295</v>
      </c>
      <c r="B298">
        <v>1.9032</v>
      </c>
      <c r="C298">
        <v>2.15</v>
      </c>
      <c r="D298">
        <v>1.8520000000000001</v>
      </c>
      <c r="E298">
        <v>1.9826999999999999</v>
      </c>
      <c r="F298">
        <v>18344848.280000001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-0.12281879194630943</v>
      </c>
      <c r="Q298">
        <f t="shared" si="965"/>
        <v>-2253092.1041879323</v>
      </c>
      <c r="R298">
        <f t="shared" si="966"/>
        <v>32220979.382490877</v>
      </c>
      <c r="S298">
        <f t="shared" si="967"/>
        <v>322.20979382490879</v>
      </c>
      <c r="T298">
        <f t="shared" si="968"/>
        <v>0.32220979382490877</v>
      </c>
    </row>
    <row r="299" spans="1:20" x14ac:dyDescent="0.25">
      <c r="A299" s="5">
        <v>44294</v>
      </c>
      <c r="B299">
        <v>1.726</v>
      </c>
      <c r="C299">
        <v>1.923</v>
      </c>
      <c r="D299">
        <v>1.6617999999999999</v>
      </c>
      <c r="E299">
        <v>1.907</v>
      </c>
      <c r="F299">
        <v>12220505.6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0.87748851454823884</v>
      </c>
      <c r="Q299">
        <f t="shared" si="965"/>
        <v>10723353.305972435</v>
      </c>
      <c r="R299">
        <f t="shared" si="966"/>
        <v>34474071.486678809</v>
      </c>
      <c r="S299">
        <f t="shared" si="967"/>
        <v>344.7407148667881</v>
      </c>
      <c r="T299">
        <f t="shared" si="968"/>
        <v>0.34474071486678809</v>
      </c>
    </row>
    <row r="300" spans="1:20" x14ac:dyDescent="0.25">
      <c r="A300" s="5">
        <v>44293</v>
      </c>
      <c r="B300">
        <v>1.9648000000000001</v>
      </c>
      <c r="C300">
        <v>2.0093000000000001</v>
      </c>
      <c r="D300">
        <v>1.52</v>
      </c>
      <c r="E300">
        <v>1.7256</v>
      </c>
      <c r="F300">
        <v>20787413.370000001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-0.15961577764152882</v>
      </c>
      <c r="Q300">
        <f t="shared" si="965"/>
        <v>-3317999.1502084634</v>
      </c>
      <c r="R300">
        <f t="shared" si="966"/>
        <v>23750718.180706378</v>
      </c>
      <c r="S300">
        <f t="shared" si="967"/>
        <v>237.50718180706377</v>
      </c>
      <c r="T300">
        <f t="shared" si="968"/>
        <v>0.23750718180706376</v>
      </c>
    </row>
    <row r="301" spans="1:20" x14ac:dyDescent="0.25">
      <c r="A301" s="5">
        <v>44292</v>
      </c>
      <c r="B301">
        <v>2.5482999999999998</v>
      </c>
      <c r="C301">
        <v>2.69</v>
      </c>
      <c r="D301">
        <v>1.8419000000000001</v>
      </c>
      <c r="E301">
        <v>1.9648000000000001</v>
      </c>
      <c r="F301">
        <v>42884325.030000001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-0.71017568682938326</v>
      </c>
      <c r="Q301">
        <f t="shared" si="965"/>
        <v>-30455404.982394762</v>
      </c>
      <c r="R301">
        <f t="shared" si="966"/>
        <v>27068717.33091484</v>
      </c>
      <c r="S301">
        <f t="shared" si="967"/>
        <v>270.68717330914842</v>
      </c>
      <c r="T301">
        <f t="shared" si="968"/>
        <v>0.27068717330914843</v>
      </c>
    </row>
    <row r="302" spans="1:20" x14ac:dyDescent="0.25">
      <c r="A302" s="5">
        <v>44291</v>
      </c>
      <c r="B302">
        <v>1.155</v>
      </c>
      <c r="C302">
        <v>2.8498999999999999</v>
      </c>
      <c r="D302">
        <v>1.1291</v>
      </c>
      <c r="E302">
        <v>2.5571999999999999</v>
      </c>
      <c r="F302">
        <v>152298641.77000001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0.65980939098093916</v>
      </c>
      <c r="Q302">
        <f t="shared" si="965"/>
        <v>100488074.07348792</v>
      </c>
      <c r="R302">
        <f t="shared" si="966"/>
        <v>57524122.313309602</v>
      </c>
      <c r="S302">
        <f t="shared" si="967"/>
        <v>575.24122313309601</v>
      </c>
      <c r="T302">
        <f t="shared" si="968"/>
        <v>0.575241223133096</v>
      </c>
    </row>
    <row r="303" spans="1:20" x14ac:dyDescent="0.25">
      <c r="A303" s="5">
        <v>44290</v>
      </c>
      <c r="B303">
        <v>1.1156999999999999</v>
      </c>
      <c r="C303">
        <v>1.1704000000000001</v>
      </c>
      <c r="D303">
        <v>1.1079000000000001</v>
      </c>
      <c r="E303">
        <v>1.155</v>
      </c>
      <c r="F303">
        <v>2678788.2799999998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0.50719999999999743</v>
      </c>
      <c r="Q303">
        <f t="shared" si="965"/>
        <v>1358681.4156159931</v>
      </c>
      <c r="R303">
        <f t="shared" si="966"/>
        <v>-42963951.76017832</v>
      </c>
      <c r="S303">
        <f t="shared" si="967"/>
        <v>-429.63951760178321</v>
      </c>
      <c r="T303">
        <f t="shared" si="968"/>
        <v>-0.42963951760178321</v>
      </c>
    </row>
    <row r="304" spans="1:20" x14ac:dyDescent="0.25">
      <c r="A304" s="5">
        <v>44289</v>
      </c>
      <c r="B304">
        <v>1.2154</v>
      </c>
      <c r="C304">
        <v>1.2330000000000001</v>
      </c>
      <c r="D304">
        <v>1.1135999999999999</v>
      </c>
      <c r="E304">
        <v>1.1162000000000001</v>
      </c>
      <c r="F304">
        <v>3563641.73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-0.95644891122277798</v>
      </c>
      <c r="Q304">
        <f t="shared" si="965"/>
        <v>-3408441.2526465571</v>
      </c>
      <c r="R304">
        <f t="shared" si="966"/>
        <v>-44322633.175794311</v>
      </c>
      <c r="S304">
        <f t="shared" si="967"/>
        <v>-443.22633175794311</v>
      </c>
      <c r="T304">
        <f t="shared" si="968"/>
        <v>-0.44322633175794313</v>
      </c>
    </row>
    <row r="305" spans="1:20" x14ac:dyDescent="0.25">
      <c r="A305" s="5">
        <v>44288</v>
      </c>
      <c r="B305">
        <v>1.2558</v>
      </c>
      <c r="C305">
        <v>1.302</v>
      </c>
      <c r="D305">
        <v>1.2096</v>
      </c>
      <c r="E305">
        <v>1.2154</v>
      </c>
      <c r="F305">
        <v>3398809.1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-0.87445887445887394</v>
      </c>
      <c r="Q305">
        <f t="shared" si="965"/>
        <v>-2972118.7800865783</v>
      </c>
      <c r="R305">
        <f t="shared" si="966"/>
        <v>-40914191.923147753</v>
      </c>
      <c r="S305">
        <f t="shared" si="967"/>
        <v>-409.14191923147752</v>
      </c>
      <c r="T305">
        <f t="shared" si="968"/>
        <v>-0.40914191923147752</v>
      </c>
    </row>
    <row r="306" spans="1:20" x14ac:dyDescent="0.25">
      <c r="A306" s="5">
        <v>44287</v>
      </c>
      <c r="B306">
        <v>1.2155</v>
      </c>
      <c r="C306">
        <v>1.2803</v>
      </c>
      <c r="D306">
        <v>1.1917</v>
      </c>
      <c r="E306">
        <v>1.256</v>
      </c>
      <c r="F306">
        <v>2809601.2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0.45146726862302516</v>
      </c>
      <c r="Q306">
        <f t="shared" si="965"/>
        <v>1268442.9796839738</v>
      </c>
      <c r="R306">
        <f t="shared" si="966"/>
        <v>-37942073.143061176</v>
      </c>
      <c r="S306">
        <f t="shared" si="967"/>
        <v>-379.42073143061174</v>
      </c>
      <c r="T306">
        <f t="shared" si="968"/>
        <v>-0.37942073143061172</v>
      </c>
    </row>
    <row r="307" spans="1:20" x14ac:dyDescent="0.25">
      <c r="A307" s="5">
        <v>44286</v>
      </c>
      <c r="B307">
        <v>1.2403999999999999</v>
      </c>
      <c r="C307">
        <v>1.2729999999999999</v>
      </c>
      <c r="D307">
        <v>1.1688000000000001</v>
      </c>
      <c r="E307">
        <v>1.2146999999999999</v>
      </c>
      <c r="F307">
        <v>3103671.87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-0.11900191938579853</v>
      </c>
      <c r="Q307">
        <f t="shared" si="965"/>
        <v>-369342.90967371059</v>
      </c>
      <c r="R307">
        <f t="shared" si="966"/>
        <v>-39210516.122745149</v>
      </c>
      <c r="S307">
        <f t="shared" si="967"/>
        <v>-392.1051612274515</v>
      </c>
      <c r="T307">
        <f t="shared" si="968"/>
        <v>-0.39210516122745148</v>
      </c>
    </row>
    <row r="308" spans="1:20" x14ac:dyDescent="0.25">
      <c r="A308" s="5">
        <v>44285</v>
      </c>
      <c r="B308">
        <v>1.2441</v>
      </c>
      <c r="C308">
        <v>1.2865</v>
      </c>
      <c r="D308">
        <v>1.2358</v>
      </c>
      <c r="E308">
        <v>1.2396</v>
      </c>
      <c r="F308">
        <v>3395808.81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-0.85009861932938746</v>
      </c>
      <c r="Q308">
        <f t="shared" si="965"/>
        <v>-2886772.3808875703</v>
      </c>
      <c r="R308">
        <f t="shared" si="966"/>
        <v>-38841173.213071436</v>
      </c>
      <c r="S308">
        <f t="shared" si="967"/>
        <v>-388.41173213071437</v>
      </c>
      <c r="T308">
        <f t="shared" si="968"/>
        <v>-0.38841173213071439</v>
      </c>
    </row>
    <row r="309" spans="1:20" x14ac:dyDescent="0.25">
      <c r="A309" s="5">
        <v>44284</v>
      </c>
      <c r="B309">
        <v>1.2524</v>
      </c>
      <c r="C309">
        <v>1.2724</v>
      </c>
      <c r="D309">
        <v>1.2266999999999999</v>
      </c>
      <c r="E309">
        <v>1.2441</v>
      </c>
      <c r="F309">
        <v>2820916.29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-0.23851203501093857</v>
      </c>
      <c r="Q309">
        <f t="shared" si="965"/>
        <v>-672822.48492340697</v>
      </c>
      <c r="R309">
        <f t="shared" si="966"/>
        <v>-35954400.832183868</v>
      </c>
      <c r="S309">
        <f t="shared" si="967"/>
        <v>-359.5440083218387</v>
      </c>
      <c r="T309">
        <f t="shared" si="968"/>
        <v>-0.35954400832183869</v>
      </c>
    </row>
    <row r="310" spans="1:20" x14ac:dyDescent="0.25">
      <c r="A310" s="5">
        <v>44283</v>
      </c>
      <c r="B310">
        <v>1.2658</v>
      </c>
      <c r="C310">
        <v>1.29</v>
      </c>
      <c r="D310">
        <v>1.2255</v>
      </c>
      <c r="E310">
        <v>1.252</v>
      </c>
      <c r="F310">
        <v>25506352.309999999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-0.17829457364341186</v>
      </c>
      <c r="Q310">
        <f t="shared" si="965"/>
        <v>-4547644.2103101034</v>
      </c>
      <c r="R310">
        <f t="shared" si="966"/>
        <v>-35281578.34726046</v>
      </c>
      <c r="S310">
        <f t="shared" si="967"/>
        <v>-352.81578347260461</v>
      </c>
      <c r="T310">
        <f t="shared" si="968"/>
        <v>-0.35281578347260462</v>
      </c>
    </row>
    <row r="311" spans="1:20" x14ac:dyDescent="0.25">
      <c r="A311" s="5">
        <v>44282</v>
      </c>
      <c r="B311">
        <v>1.2245999999999999</v>
      </c>
      <c r="C311">
        <v>1.2987</v>
      </c>
      <c r="D311">
        <v>1.1569</v>
      </c>
      <c r="E311">
        <v>1.2633000000000001</v>
      </c>
      <c r="F311">
        <v>4846666.49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0.50070521861777295</v>
      </c>
      <c r="Q311">
        <f t="shared" si="965"/>
        <v>2426751.2044428843</v>
      </c>
      <c r="R311">
        <f t="shared" si="966"/>
        <v>-30733934.136950359</v>
      </c>
      <c r="S311">
        <f t="shared" si="967"/>
        <v>-307.33934136950359</v>
      </c>
      <c r="T311">
        <f t="shared" si="968"/>
        <v>-0.30733934136950358</v>
      </c>
    </row>
    <row r="312" spans="1:20" x14ac:dyDescent="0.25">
      <c r="A312" s="5">
        <v>44281</v>
      </c>
      <c r="B312">
        <v>1.1732</v>
      </c>
      <c r="C312">
        <v>1.2289000000000001</v>
      </c>
      <c r="D312">
        <v>1.169</v>
      </c>
      <c r="E312">
        <v>1.2243999999999999</v>
      </c>
      <c r="F312">
        <v>2818426.56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0.84974958263772404</v>
      </c>
      <c r="Q312">
        <f t="shared" si="965"/>
        <v>2394956.7930550762</v>
      </c>
      <c r="R312">
        <f t="shared" si="966"/>
        <v>-33160685.341393244</v>
      </c>
      <c r="S312">
        <f t="shared" si="967"/>
        <v>-331.60685341393241</v>
      </c>
      <c r="T312">
        <f t="shared" si="968"/>
        <v>-0.33160685341393242</v>
      </c>
    </row>
    <row r="313" spans="1:20" x14ac:dyDescent="0.25">
      <c r="A313" s="5">
        <v>44280</v>
      </c>
      <c r="B313">
        <v>1.1907000000000001</v>
      </c>
      <c r="C313">
        <v>1.2332000000000001</v>
      </c>
      <c r="D313">
        <v>1.0649999999999999</v>
      </c>
      <c r="E313">
        <v>1.1758</v>
      </c>
      <c r="F313">
        <v>6647431.9400000004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0.31747919143876252</v>
      </c>
      <c r="Q313">
        <f t="shared" si="965"/>
        <v>2110421.3174554044</v>
      </c>
      <c r="R313">
        <f t="shared" si="966"/>
        <v>-35555642.13444832</v>
      </c>
      <c r="S313">
        <f t="shared" si="967"/>
        <v>-355.55642134448317</v>
      </c>
      <c r="T313">
        <f t="shared" si="968"/>
        <v>-0.35555642134448318</v>
      </c>
    </row>
    <row r="314" spans="1:20" x14ac:dyDescent="0.25">
      <c r="A314" s="5">
        <v>44279</v>
      </c>
      <c r="B314">
        <v>1.2719</v>
      </c>
      <c r="C314">
        <v>1.3237000000000001</v>
      </c>
      <c r="D314">
        <v>1.1771</v>
      </c>
      <c r="E314">
        <v>1.1907000000000001</v>
      </c>
      <c r="F314">
        <v>3521200.99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-0.81446111869031312</v>
      </c>
      <c r="Q314">
        <f t="shared" si="965"/>
        <v>-2867881.2974488381</v>
      </c>
      <c r="R314">
        <f t="shared" si="966"/>
        <v>-37666063.451903723</v>
      </c>
      <c r="S314">
        <f t="shared" si="967"/>
        <v>-376.66063451903722</v>
      </c>
      <c r="T314">
        <f t="shared" si="968"/>
        <v>-0.3766606345190372</v>
      </c>
    </row>
    <row r="315" spans="1:20" x14ac:dyDescent="0.25">
      <c r="A315" s="5">
        <v>44278</v>
      </c>
      <c r="B315">
        <v>1.2519</v>
      </c>
      <c r="C315">
        <v>1.357</v>
      </c>
      <c r="D315">
        <v>1.2197</v>
      </c>
      <c r="E315">
        <v>1.2703</v>
      </c>
      <c r="F315">
        <v>5771834.0700000003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-0.262927895120175</v>
      </c>
      <c r="Q315">
        <f t="shared" si="965"/>
        <v>-1517576.1830080128</v>
      </c>
      <c r="R315">
        <f t="shared" si="966"/>
        <v>-34798182.154454887</v>
      </c>
      <c r="S315">
        <f t="shared" si="967"/>
        <v>-347.98182154454889</v>
      </c>
      <c r="T315">
        <f t="shared" si="968"/>
        <v>-0.34798182154454887</v>
      </c>
    </row>
    <row r="316" spans="1:20" x14ac:dyDescent="0.25">
      <c r="A316" s="5">
        <v>44277</v>
      </c>
      <c r="B316">
        <v>1.2766999999999999</v>
      </c>
      <c r="C316">
        <v>1.3640000000000001</v>
      </c>
      <c r="D316">
        <v>1.22</v>
      </c>
      <c r="E316">
        <v>1.2519</v>
      </c>
      <c r="F316">
        <v>7116794.4900000002</v>
      </c>
      <c r="G316">
        <v>0</v>
      </c>
      <c r="L316" t="s">
        <v>8</v>
      </c>
      <c r="M316" t="s">
        <v>7</v>
      </c>
      <c r="N316" t="s">
        <v>8</v>
      </c>
      <c r="P316">
        <f t="shared" si="964"/>
        <v>-0.55694444444444424</v>
      </c>
      <c r="Q316">
        <f t="shared" si="965"/>
        <v>-3963659.1534583322</v>
      </c>
      <c r="R316">
        <f t="shared" si="966"/>
        <v>-33280605.971446872</v>
      </c>
      <c r="S316">
        <f t="shared" si="967"/>
        <v>-332.80605971446874</v>
      </c>
      <c r="T316">
        <f t="shared" si="968"/>
        <v>-0.33280605971446875</v>
      </c>
    </row>
    <row r="317" spans="1:20" x14ac:dyDescent="0.25">
      <c r="A317" s="5">
        <v>44276</v>
      </c>
      <c r="B317">
        <v>1.2470000000000001</v>
      </c>
      <c r="C317">
        <v>1.3035000000000001</v>
      </c>
      <c r="D317">
        <v>1.1951000000000001</v>
      </c>
      <c r="E317">
        <v>1.2730999999999999</v>
      </c>
      <c r="F317">
        <v>4427194.04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0.43911439114390793</v>
      </c>
      <c r="Q317">
        <f t="shared" si="965"/>
        <v>1944044.6153505379</v>
      </c>
      <c r="R317">
        <f t="shared" si="966"/>
        <v>-29316946.817988541</v>
      </c>
      <c r="S317">
        <f t="shared" si="967"/>
        <v>-293.16946817988543</v>
      </c>
      <c r="T317">
        <f t="shared" si="968"/>
        <v>-0.29316946817988543</v>
      </c>
    </row>
    <row r="318" spans="1:20" x14ac:dyDescent="0.25">
      <c r="A318" s="5">
        <v>44275</v>
      </c>
      <c r="B318">
        <v>1.3609</v>
      </c>
      <c r="C318">
        <v>1.4498</v>
      </c>
      <c r="D318">
        <v>1.2465999999999999</v>
      </c>
      <c r="E318">
        <v>1.2470000000000001</v>
      </c>
      <c r="F318">
        <v>5685242.1100000003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-0.99606299212598248</v>
      </c>
      <c r="Q318">
        <f t="shared" si="965"/>
        <v>-5662859.2670472348</v>
      </c>
      <c r="R318">
        <f t="shared" si="966"/>
        <v>-31260991.433339078</v>
      </c>
      <c r="S318">
        <f t="shared" si="967"/>
        <v>-312.6099143333908</v>
      </c>
      <c r="T318">
        <f t="shared" si="968"/>
        <v>-0.3126099143333908</v>
      </c>
    </row>
    <row r="319" spans="1:20" x14ac:dyDescent="0.25">
      <c r="A319" s="5">
        <v>44274</v>
      </c>
      <c r="B319">
        <v>1.3184</v>
      </c>
      <c r="C319">
        <v>1.4088000000000001</v>
      </c>
      <c r="D319">
        <v>1.27</v>
      </c>
      <c r="E319">
        <v>1.3607</v>
      </c>
      <c r="F319">
        <v>5298742.3600000003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0.30691642651296802</v>
      </c>
      <c r="Q319">
        <f t="shared" si="965"/>
        <v>1626271.0701440908</v>
      </c>
      <c r="R319">
        <f t="shared" si="966"/>
        <v>-25598132.166291844</v>
      </c>
      <c r="S319">
        <f t="shared" si="967"/>
        <v>-255.98132166291845</v>
      </c>
      <c r="T319">
        <f t="shared" si="968"/>
        <v>-0.25598132166291843</v>
      </c>
    </row>
    <row r="320" spans="1:20" x14ac:dyDescent="0.25">
      <c r="A320" s="5">
        <v>44273</v>
      </c>
      <c r="B320">
        <v>1.2129000000000001</v>
      </c>
      <c r="C320">
        <v>1.33</v>
      </c>
      <c r="D320">
        <v>1.2101999999999999</v>
      </c>
      <c r="E320">
        <v>1.3188</v>
      </c>
      <c r="F320">
        <v>6678681.1900000004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0.81302170283806197</v>
      </c>
      <c r="Q320">
        <f t="shared" si="965"/>
        <v>5429912.753806334</v>
      </c>
      <c r="R320">
        <f t="shared" si="966"/>
        <v>-27224403.236435935</v>
      </c>
      <c r="S320">
        <f t="shared" si="967"/>
        <v>-272.24403236435933</v>
      </c>
      <c r="T320">
        <f t="shared" si="968"/>
        <v>-0.27224403236435935</v>
      </c>
    </row>
    <row r="321" spans="1:20" x14ac:dyDescent="0.25">
      <c r="A321" s="5">
        <v>44272</v>
      </c>
      <c r="B321">
        <v>1.129</v>
      </c>
      <c r="C321">
        <v>1.2179</v>
      </c>
      <c r="D321">
        <v>1.1200000000000001</v>
      </c>
      <c r="E321">
        <v>1.2121999999999999</v>
      </c>
      <c r="F321">
        <v>4720344.13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0.88355464759959046</v>
      </c>
      <c r="Q321">
        <f t="shared" si="965"/>
        <v>4170681.9943309454</v>
      </c>
      <c r="R321">
        <f t="shared" si="966"/>
        <v>-32654315.990242269</v>
      </c>
      <c r="S321">
        <f t="shared" si="967"/>
        <v>-326.5431599024227</v>
      </c>
      <c r="T321">
        <f t="shared" si="968"/>
        <v>-0.32654315990242272</v>
      </c>
    </row>
    <row r="322" spans="1:20" x14ac:dyDescent="0.25">
      <c r="A322" s="5">
        <v>44271</v>
      </c>
      <c r="B322">
        <v>1.1184000000000001</v>
      </c>
      <c r="C322">
        <v>1.1499999999999999</v>
      </c>
      <c r="D322">
        <v>1.0659000000000001</v>
      </c>
      <c r="E322">
        <v>1.1287</v>
      </c>
      <c r="F322">
        <v>4221508.3099999996</v>
      </c>
      <c r="G322">
        <v>0</v>
      </c>
      <c r="L322" t="s">
        <v>8</v>
      </c>
      <c r="M322" t="s">
        <v>7</v>
      </c>
      <c r="N322" t="s">
        <v>8</v>
      </c>
      <c r="P322">
        <f t="shared" si="964"/>
        <v>0.49346016646849195</v>
      </c>
      <c r="Q322">
        <f t="shared" si="965"/>
        <v>2083146.193400722</v>
      </c>
      <c r="R322">
        <f t="shared" si="966"/>
        <v>-36824997.984573215</v>
      </c>
      <c r="S322">
        <f t="shared" si="967"/>
        <v>-368.24997984573213</v>
      </c>
      <c r="T322">
        <f t="shared" si="968"/>
        <v>-0.3682499798457321</v>
      </c>
    </row>
    <row r="323" spans="1:20" x14ac:dyDescent="0.25">
      <c r="A323" s="5">
        <v>44270</v>
      </c>
      <c r="B323">
        <v>1.1459999999999999</v>
      </c>
      <c r="C323">
        <v>1.1686000000000001</v>
      </c>
      <c r="D323">
        <v>1.08</v>
      </c>
      <c r="E323">
        <v>1.1184000000000001</v>
      </c>
      <c r="F323">
        <v>4481412.68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-0.13318284424379268</v>
      </c>
      <c r="Q323">
        <f t="shared" si="965"/>
        <v>-596847.28695259744</v>
      </c>
      <c r="R323">
        <f t="shared" si="966"/>
        <v>-38908144.177973941</v>
      </c>
      <c r="S323">
        <f t="shared" si="967"/>
        <v>-389.08144177973941</v>
      </c>
      <c r="T323">
        <f t="shared" si="968"/>
        <v>-0.38908144177973941</v>
      </c>
    </row>
    <row r="324" spans="1:20" x14ac:dyDescent="0.25">
      <c r="A324" s="5">
        <v>44269</v>
      </c>
      <c r="B324">
        <v>1.2645</v>
      </c>
      <c r="C324">
        <v>1.2699</v>
      </c>
      <c r="D324">
        <v>1.1459999999999999</v>
      </c>
      <c r="E324">
        <v>1.1474</v>
      </c>
      <c r="F324">
        <v>5253271.62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-0.9774011299435017</v>
      </c>
      <c r="Q324">
        <f t="shared" si="965"/>
        <v>-5134553.6172881294</v>
      </c>
      <c r="R324">
        <f t="shared" si="966"/>
        <v>-38311296.891021341</v>
      </c>
      <c r="S324">
        <f t="shared" si="967"/>
        <v>-383.1129689102134</v>
      </c>
      <c r="T324">
        <f t="shared" si="968"/>
        <v>-0.3831129689102134</v>
      </c>
    </row>
    <row r="325" spans="1:20" x14ac:dyDescent="0.25">
      <c r="A325" s="5">
        <v>44268</v>
      </c>
      <c r="B325">
        <v>1.1580999999999999</v>
      </c>
      <c r="C325">
        <v>1.3</v>
      </c>
      <c r="D325">
        <v>1.0955999999999999</v>
      </c>
      <c r="E325">
        <v>1.2645</v>
      </c>
      <c r="F325">
        <v>17276903.25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0.65264187866927537</v>
      </c>
      <c r="Q325">
        <f t="shared" si="965"/>
        <v>11275630.59466731</v>
      </c>
      <c r="R325">
        <f t="shared" si="966"/>
        <v>-33176743.273733214</v>
      </c>
      <c r="S325">
        <f t="shared" si="967"/>
        <v>-331.76743273733211</v>
      </c>
      <c r="T325">
        <f t="shared" si="968"/>
        <v>-0.33176743273733211</v>
      </c>
    </row>
    <row r="326" spans="1:20" x14ac:dyDescent="0.25">
      <c r="A326" s="5">
        <v>44267</v>
      </c>
      <c r="B326">
        <v>1.0981000000000001</v>
      </c>
      <c r="C326">
        <v>1.2756000000000001</v>
      </c>
      <c r="D326">
        <v>1.07</v>
      </c>
      <c r="E326">
        <v>1.1553</v>
      </c>
      <c r="F326">
        <v>9832180.4100000001</v>
      </c>
      <c r="G326">
        <v>0</v>
      </c>
      <c r="L326" t="s">
        <v>8</v>
      </c>
      <c r="M326" t="s">
        <v>7</v>
      </c>
      <c r="N326" t="s">
        <v>8</v>
      </c>
      <c r="P326">
        <f t="shared" ref="P326:P389" si="969">IF(C326=D326,0,((E326-D326)-(C326-E326))/(C326-D326))</f>
        <v>-0.17023346303502015</v>
      </c>
      <c r="Q326">
        <f t="shared" ref="Q326:Q389" si="970">F326*P326</f>
        <v>-1673766.1203793844</v>
      </c>
      <c r="R326">
        <f t="shared" ref="R326:R389" si="971">R327+Q326</f>
        <v>-44452373.868400522</v>
      </c>
      <c r="S326">
        <f t="shared" ref="S326:S389" si="972">R326/100000</f>
        <v>-444.5237386840052</v>
      </c>
      <c r="T326">
        <f t="shared" ref="T326:T389" si="973">S326/1000</f>
        <v>-0.44452373868400519</v>
      </c>
    </row>
    <row r="327" spans="1:20" x14ac:dyDescent="0.25">
      <c r="A327" s="5">
        <v>44266</v>
      </c>
      <c r="B327">
        <v>1.1141000000000001</v>
      </c>
      <c r="C327">
        <v>1.1411</v>
      </c>
      <c r="D327">
        <v>1.0703</v>
      </c>
      <c r="E327">
        <v>1.0978000000000001</v>
      </c>
      <c r="F327">
        <v>3989592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-0.22316384180790705</v>
      </c>
      <c r="Q327">
        <f t="shared" si="970"/>
        <v>-890332.67796609155</v>
      </c>
      <c r="R327">
        <f t="shared" si="971"/>
        <v>-42778607.748021141</v>
      </c>
      <c r="S327">
        <f t="shared" si="972"/>
        <v>-427.78607748021142</v>
      </c>
      <c r="T327">
        <f t="shared" si="973"/>
        <v>-0.42778607748021141</v>
      </c>
    </row>
    <row r="328" spans="1:20" x14ac:dyDescent="0.25">
      <c r="A328" s="5">
        <v>44265</v>
      </c>
      <c r="B328">
        <v>1.2299</v>
      </c>
      <c r="C328">
        <v>1.2499</v>
      </c>
      <c r="D328">
        <v>1.107</v>
      </c>
      <c r="E328">
        <v>1.1147</v>
      </c>
      <c r="F328">
        <v>5106606.5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-0.8922323303009092</v>
      </c>
      <c r="Q328">
        <f t="shared" si="970"/>
        <v>-4556279.4174247701</v>
      </c>
      <c r="R328">
        <f t="shared" si="971"/>
        <v>-41888275.070055053</v>
      </c>
      <c r="S328">
        <f t="shared" si="972"/>
        <v>-418.8827507005505</v>
      </c>
      <c r="T328">
        <f t="shared" si="973"/>
        <v>-0.41888275070055048</v>
      </c>
    </row>
    <row r="329" spans="1:20" x14ac:dyDescent="0.25">
      <c r="A329" s="5">
        <v>44264</v>
      </c>
      <c r="B329">
        <v>1.1991000000000001</v>
      </c>
      <c r="C329">
        <v>1.2579</v>
      </c>
      <c r="D329">
        <v>1.1451</v>
      </c>
      <c r="E329">
        <v>1.23</v>
      </c>
      <c r="F329">
        <v>7435870.1600000001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0.50531914893616958</v>
      </c>
      <c r="Q329">
        <f t="shared" si="970"/>
        <v>3757487.5808510594</v>
      </c>
      <c r="R329">
        <f t="shared" si="971"/>
        <v>-37331995.652630284</v>
      </c>
      <c r="S329">
        <f t="shared" si="972"/>
        <v>-373.31995652630286</v>
      </c>
      <c r="T329">
        <f t="shared" si="973"/>
        <v>-0.37331995652630284</v>
      </c>
    </row>
    <row r="330" spans="1:20" x14ac:dyDescent="0.25">
      <c r="A330" s="5">
        <v>44263</v>
      </c>
      <c r="B330">
        <v>1.2048000000000001</v>
      </c>
      <c r="C330">
        <v>1.2385999999999999</v>
      </c>
      <c r="D330">
        <v>1.1299999999999999</v>
      </c>
      <c r="E330">
        <v>1.1990000000000001</v>
      </c>
      <c r="F330">
        <v>5909143.3399999999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0.2707182320442017</v>
      </c>
      <c r="Q330">
        <f t="shared" si="970"/>
        <v>1599712.837900569</v>
      </c>
      <c r="R330">
        <f t="shared" si="971"/>
        <v>-41089483.233481348</v>
      </c>
      <c r="S330">
        <f t="shared" si="972"/>
        <v>-410.89483233481349</v>
      </c>
      <c r="T330">
        <f t="shared" si="973"/>
        <v>-0.4108948323348135</v>
      </c>
    </row>
    <row r="331" spans="1:20" x14ac:dyDescent="0.25">
      <c r="A331" s="5">
        <v>44262</v>
      </c>
      <c r="B331">
        <v>1.1855</v>
      </c>
      <c r="C331">
        <v>1.27</v>
      </c>
      <c r="D331">
        <v>1.1319999999999999</v>
      </c>
      <c r="E331">
        <v>1.2028000000000001</v>
      </c>
      <c r="F331">
        <v>7581843.6600000001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2.6086956521741061E-2</v>
      </c>
      <c r="Q331">
        <f t="shared" si="970"/>
        <v>197787.22591305812</v>
      </c>
      <c r="R331">
        <f t="shared" si="971"/>
        <v>-42689196.071381919</v>
      </c>
      <c r="S331">
        <f t="shared" si="972"/>
        <v>-426.89196071381917</v>
      </c>
      <c r="T331">
        <f t="shared" si="973"/>
        <v>-0.42689196071381919</v>
      </c>
    </row>
    <row r="332" spans="1:20" x14ac:dyDescent="0.25">
      <c r="A332" s="5">
        <v>44261</v>
      </c>
      <c r="B332">
        <v>1.2105999999999999</v>
      </c>
      <c r="C332">
        <v>1.2405999999999999</v>
      </c>
      <c r="D332">
        <v>1.1126</v>
      </c>
      <c r="E332">
        <v>1.1859999999999999</v>
      </c>
      <c r="F332">
        <v>8344210.5700000003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0.14687499999999956</v>
      </c>
      <c r="Q332">
        <f t="shared" si="970"/>
        <v>1225555.9274687464</v>
      </c>
      <c r="R332">
        <f t="shared" si="971"/>
        <v>-42886983.297294974</v>
      </c>
      <c r="S332">
        <f t="shared" si="972"/>
        <v>-428.86983297294972</v>
      </c>
      <c r="T332">
        <f t="shared" si="973"/>
        <v>-0.42886983297294973</v>
      </c>
    </row>
    <row r="333" spans="1:20" x14ac:dyDescent="0.25">
      <c r="A333" s="5">
        <v>44260</v>
      </c>
      <c r="B333">
        <v>1.1964999999999999</v>
      </c>
      <c r="C333">
        <v>1.42</v>
      </c>
      <c r="D333">
        <v>1.1000000000000001</v>
      </c>
      <c r="E333">
        <v>1.2116</v>
      </c>
      <c r="F333">
        <v>25610045.120000001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-0.30250000000000016</v>
      </c>
      <c r="Q333">
        <f t="shared" si="970"/>
        <v>-7747038.6488000043</v>
      </c>
      <c r="R333">
        <f t="shared" si="971"/>
        <v>-44112539.224763721</v>
      </c>
      <c r="S333">
        <f t="shared" si="972"/>
        <v>-441.12539224763719</v>
      </c>
      <c r="T333">
        <f t="shared" si="973"/>
        <v>-0.44112539224763719</v>
      </c>
    </row>
    <row r="334" spans="1:20" x14ac:dyDescent="0.25">
      <c r="A334" s="5">
        <v>44259</v>
      </c>
      <c r="B334">
        <v>1.0436000000000001</v>
      </c>
      <c r="C334">
        <v>1.35</v>
      </c>
      <c r="D334">
        <v>0.98</v>
      </c>
      <c r="E334">
        <v>1.1969000000000001</v>
      </c>
      <c r="F334">
        <v>27161611.670000002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0.17243243243243259</v>
      </c>
      <c r="Q334">
        <f t="shared" si="970"/>
        <v>4683542.7690432481</v>
      </c>
      <c r="R334">
        <f t="shared" si="971"/>
        <v>-36365500.575963721</v>
      </c>
      <c r="S334">
        <f t="shared" si="972"/>
        <v>-363.65500575963722</v>
      </c>
      <c r="T334">
        <f t="shared" si="973"/>
        <v>-0.36365500575963722</v>
      </c>
    </row>
    <row r="335" spans="1:20" x14ac:dyDescent="0.25">
      <c r="A335" s="5">
        <v>44258</v>
      </c>
      <c r="B335">
        <v>1.0137</v>
      </c>
      <c r="C335">
        <v>1.1051</v>
      </c>
      <c r="D335">
        <v>1.0016</v>
      </c>
      <c r="E335">
        <v>1.0437000000000001</v>
      </c>
      <c r="F335">
        <v>6900293.3499999996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-0.18647342995168972</v>
      </c>
      <c r="Q335">
        <f t="shared" si="970"/>
        <v>-1286721.3686473353</v>
      </c>
      <c r="R335">
        <f t="shared" si="971"/>
        <v>-41049043.345006965</v>
      </c>
      <c r="S335">
        <f t="shared" si="972"/>
        <v>-410.49043345006965</v>
      </c>
      <c r="T335">
        <f t="shared" si="973"/>
        <v>-0.41049043345006964</v>
      </c>
    </row>
    <row r="336" spans="1:20" x14ac:dyDescent="0.25">
      <c r="A336" s="5">
        <v>44257</v>
      </c>
      <c r="B336">
        <v>0.97850000000000004</v>
      </c>
      <c r="C336">
        <v>1.0244</v>
      </c>
      <c r="D336">
        <v>0.92220000000000002</v>
      </c>
      <c r="E336">
        <v>1.0137</v>
      </c>
      <c r="F336">
        <v>8505989.1999999993</v>
      </c>
      <c r="G336">
        <v>0</v>
      </c>
      <c r="L336" t="s">
        <v>8</v>
      </c>
      <c r="M336" t="s">
        <v>7</v>
      </c>
      <c r="N336" t="s">
        <v>8</v>
      </c>
      <c r="P336">
        <f t="shared" si="969"/>
        <v>0.79060665362035354</v>
      </c>
      <c r="Q336">
        <f t="shared" si="970"/>
        <v>6724891.6571428673</v>
      </c>
      <c r="R336">
        <f t="shared" si="971"/>
        <v>-39762321.976359628</v>
      </c>
      <c r="S336">
        <f t="shared" si="972"/>
        <v>-397.6232197635963</v>
      </c>
      <c r="T336">
        <f t="shared" si="973"/>
        <v>-0.39762321976359627</v>
      </c>
    </row>
    <row r="337" spans="1:20" x14ac:dyDescent="0.25">
      <c r="A337" s="5">
        <v>44256</v>
      </c>
      <c r="B337">
        <v>0.93159999999999998</v>
      </c>
      <c r="C337">
        <v>1.0044999999999999</v>
      </c>
      <c r="D337">
        <v>0.92569999999999997</v>
      </c>
      <c r="E337">
        <v>0.97809999999999997</v>
      </c>
      <c r="F337">
        <v>7551332.8499999996</v>
      </c>
      <c r="G337">
        <v>0</v>
      </c>
      <c r="L337" t="s">
        <v>8</v>
      </c>
      <c r="M337" t="s">
        <v>7</v>
      </c>
      <c r="N337" t="s">
        <v>8</v>
      </c>
      <c r="P337">
        <f t="shared" si="969"/>
        <v>0.32994923857868058</v>
      </c>
      <c r="Q337">
        <f t="shared" si="970"/>
        <v>2491556.5241116779</v>
      </c>
      <c r="R337">
        <f t="shared" si="971"/>
        <v>-46487213.633502498</v>
      </c>
      <c r="S337">
        <f t="shared" si="972"/>
        <v>-464.872136335025</v>
      </c>
      <c r="T337">
        <f t="shared" si="973"/>
        <v>-0.464872136335025</v>
      </c>
    </row>
    <row r="338" spans="1:20" x14ac:dyDescent="0.25">
      <c r="A338" s="5">
        <v>44255</v>
      </c>
      <c r="B338">
        <v>1.0027999999999999</v>
      </c>
      <c r="C338">
        <v>1.0341</v>
      </c>
      <c r="D338">
        <v>0.87450000000000006</v>
      </c>
      <c r="E338">
        <v>0.93149999999999999</v>
      </c>
      <c r="F338">
        <v>9627113.9000000004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-0.28571428571428631</v>
      </c>
      <c r="Q338">
        <f t="shared" si="970"/>
        <v>-2750603.9714285773</v>
      </c>
      <c r="R338">
        <f t="shared" si="971"/>
        <v>-48978770.157614179</v>
      </c>
      <c r="S338">
        <f t="shared" si="972"/>
        <v>-489.78770157614179</v>
      </c>
      <c r="T338">
        <f t="shared" si="973"/>
        <v>-0.48978770157614177</v>
      </c>
    </row>
    <row r="339" spans="1:20" x14ac:dyDescent="0.25">
      <c r="A339" s="5">
        <v>44254</v>
      </c>
      <c r="B339">
        <v>1.0111000000000001</v>
      </c>
      <c r="C339">
        <v>1.1415999999999999</v>
      </c>
      <c r="D339">
        <v>0.97170000000000001</v>
      </c>
      <c r="E339">
        <v>1.0007999999999999</v>
      </c>
      <c r="F339">
        <v>8923316.2300000004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-0.65744555620953604</v>
      </c>
      <c r="Q339">
        <f t="shared" si="970"/>
        <v>-5866594.6020659301</v>
      </c>
      <c r="R339">
        <f t="shared" si="971"/>
        <v>-46228166.186185598</v>
      </c>
      <c r="S339">
        <f t="shared" si="972"/>
        <v>-462.28166186185598</v>
      </c>
      <c r="T339">
        <f t="shared" si="973"/>
        <v>-0.46228166186185599</v>
      </c>
    </row>
    <row r="340" spans="1:20" x14ac:dyDescent="0.25">
      <c r="A340" s="5">
        <v>44253</v>
      </c>
      <c r="B340">
        <v>1.0379</v>
      </c>
      <c r="C340">
        <v>1.069</v>
      </c>
      <c r="D340">
        <v>0.88759999999999994</v>
      </c>
      <c r="E340">
        <v>1.0117</v>
      </c>
      <c r="F340">
        <v>13451859.98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0.3682469680264619</v>
      </c>
      <c r="Q340">
        <f t="shared" si="970"/>
        <v>4953606.6519515021</v>
      </c>
      <c r="R340">
        <f t="shared" si="971"/>
        <v>-40361571.58411967</v>
      </c>
      <c r="S340">
        <f t="shared" si="972"/>
        <v>-403.61571584119667</v>
      </c>
      <c r="T340">
        <f t="shared" si="973"/>
        <v>-0.40361571584119665</v>
      </c>
    </row>
    <row r="341" spans="1:20" x14ac:dyDescent="0.25">
      <c r="A341" s="5">
        <v>44252</v>
      </c>
      <c r="B341">
        <v>1.097</v>
      </c>
      <c r="C341">
        <v>1.19</v>
      </c>
      <c r="D341">
        <v>1</v>
      </c>
      <c r="E341">
        <v>1.0331999999999999</v>
      </c>
      <c r="F341">
        <v>20801622.379999999</v>
      </c>
      <c r="G341">
        <v>0</v>
      </c>
      <c r="L341" t="s">
        <v>7</v>
      </c>
      <c r="M341" t="s">
        <v>8</v>
      </c>
      <c r="N341" t="s">
        <v>8</v>
      </c>
      <c r="P341">
        <f t="shared" si="969"/>
        <v>-0.65052631578947473</v>
      </c>
      <c r="Q341">
        <f t="shared" si="970"/>
        <v>-13532002.769305285</v>
      </c>
      <c r="R341">
        <f t="shared" si="971"/>
        <v>-45315178.236071169</v>
      </c>
      <c r="S341">
        <f t="shared" si="972"/>
        <v>-453.15178236071171</v>
      </c>
      <c r="T341">
        <f t="shared" si="973"/>
        <v>-0.45315178236071169</v>
      </c>
    </row>
    <row r="342" spans="1:20" x14ac:dyDescent="0.25">
      <c r="A342" s="5">
        <v>44251</v>
      </c>
      <c r="B342">
        <v>0.8468</v>
      </c>
      <c r="C342">
        <v>1.1996</v>
      </c>
      <c r="D342">
        <v>0.78280000000000005</v>
      </c>
      <c r="E342">
        <v>1.0960000000000001</v>
      </c>
      <c r="F342">
        <v>64823168.240000002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0.50287907869481796</v>
      </c>
      <c r="Q342">
        <f t="shared" si="970"/>
        <v>32598215.122610386</v>
      </c>
      <c r="R342">
        <f t="shared" si="971"/>
        <v>-31783175.466765884</v>
      </c>
      <c r="S342">
        <f t="shared" si="972"/>
        <v>-317.83175466765886</v>
      </c>
      <c r="T342">
        <f t="shared" si="973"/>
        <v>-0.31783175466765884</v>
      </c>
    </row>
    <row r="343" spans="1:20" x14ac:dyDescent="0.25">
      <c r="A343" s="5">
        <v>44250</v>
      </c>
      <c r="B343">
        <v>0.78410000000000002</v>
      </c>
      <c r="C343">
        <v>0.85329999999999995</v>
      </c>
      <c r="D343">
        <v>0.60840000000000005</v>
      </c>
      <c r="E343">
        <v>0.84809999999999997</v>
      </c>
      <c r="F343">
        <v>20874899.899999999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0.95753368721927334</v>
      </c>
      <c r="Q343">
        <f t="shared" si="970"/>
        <v>19988419.871580239</v>
      </c>
      <c r="R343">
        <f t="shared" si="971"/>
        <v>-64381390.589376271</v>
      </c>
      <c r="S343">
        <f t="shared" si="972"/>
        <v>-643.81390589376269</v>
      </c>
      <c r="T343">
        <f t="shared" si="973"/>
        <v>-0.64381390589376264</v>
      </c>
    </row>
    <row r="344" spans="1:20" x14ac:dyDescent="0.25">
      <c r="A344" s="5">
        <v>44249</v>
      </c>
      <c r="B344">
        <v>0.81599999999999995</v>
      </c>
      <c r="C344">
        <v>0.81789999999999996</v>
      </c>
      <c r="D344">
        <v>0.625</v>
      </c>
      <c r="E344">
        <v>0.78359999999999996</v>
      </c>
      <c r="F344">
        <v>12707848.24</v>
      </c>
      <c r="G344">
        <v>0</v>
      </c>
      <c r="L344" t="s">
        <v>7</v>
      </c>
      <c r="M344" t="s">
        <v>7</v>
      </c>
      <c r="N344" t="s">
        <v>8</v>
      </c>
      <c r="P344">
        <f t="shared" si="969"/>
        <v>0.64437532400207354</v>
      </c>
      <c r="Q344">
        <f t="shared" si="970"/>
        <v>8188623.8270191802</v>
      </c>
      <c r="R344">
        <f t="shared" si="971"/>
        <v>-84369810.460956514</v>
      </c>
      <c r="S344">
        <f t="shared" si="972"/>
        <v>-843.69810460956512</v>
      </c>
      <c r="T344">
        <f t="shared" si="973"/>
        <v>-0.84369810460956507</v>
      </c>
    </row>
    <row r="345" spans="1:20" x14ac:dyDescent="0.25">
      <c r="A345" s="5">
        <v>44248</v>
      </c>
      <c r="B345">
        <v>0.76759999999999995</v>
      </c>
      <c r="C345">
        <v>0.83750000000000002</v>
      </c>
      <c r="D345">
        <v>0.74470000000000003</v>
      </c>
      <c r="E345">
        <v>0.81489999999999996</v>
      </c>
      <c r="F345">
        <v>8396118.0899999999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0.51293103448275723</v>
      </c>
      <c r="Q345">
        <f t="shared" si="970"/>
        <v>4306629.5375430919</v>
      </c>
      <c r="R345">
        <f t="shared" si="971"/>
        <v>-92558434.287975699</v>
      </c>
      <c r="S345">
        <f t="shared" si="972"/>
        <v>-925.58434287975695</v>
      </c>
      <c r="T345">
        <f t="shared" si="973"/>
        <v>-0.92558434287975699</v>
      </c>
    </row>
    <row r="346" spans="1:20" x14ac:dyDescent="0.25">
      <c r="A346" s="5">
        <v>44247</v>
      </c>
      <c r="B346">
        <v>0.83689999999999998</v>
      </c>
      <c r="C346">
        <v>0.85509999999999997</v>
      </c>
      <c r="D346">
        <v>0.72160000000000002</v>
      </c>
      <c r="E346">
        <v>0.76749999999999996</v>
      </c>
      <c r="F346">
        <v>11546615.289999999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-0.31235955056179837</v>
      </c>
      <c r="Q346">
        <f t="shared" si="970"/>
        <v>-3606695.5624943888</v>
      </c>
      <c r="R346">
        <f t="shared" si="971"/>
        <v>-96865063.825518787</v>
      </c>
      <c r="S346">
        <f t="shared" si="972"/>
        <v>-968.65063825518791</v>
      </c>
      <c r="T346">
        <f t="shared" si="973"/>
        <v>-0.96865063825518793</v>
      </c>
    </row>
    <row r="347" spans="1:20" x14ac:dyDescent="0.25">
      <c r="A347" s="5">
        <v>44246</v>
      </c>
      <c r="B347">
        <v>0.78920000000000001</v>
      </c>
      <c r="C347">
        <v>0.89949999999999997</v>
      </c>
      <c r="D347">
        <v>0.76300000000000001</v>
      </c>
      <c r="E347">
        <v>0.8367</v>
      </c>
      <c r="F347">
        <v>13082723.85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7.9853479853480028E-2</v>
      </c>
      <c r="Q347">
        <f t="shared" si="970"/>
        <v>1044701.0253846176</v>
      </c>
      <c r="R347">
        <f t="shared" si="971"/>
        <v>-93258368.263024405</v>
      </c>
      <c r="S347">
        <f t="shared" si="972"/>
        <v>-932.58368263024408</v>
      </c>
      <c r="T347">
        <f t="shared" si="973"/>
        <v>-0.93258368263024405</v>
      </c>
    </row>
    <row r="348" spans="1:20" x14ac:dyDescent="0.25">
      <c r="A348" s="5">
        <v>44245</v>
      </c>
      <c r="B348">
        <v>0.71579999999999999</v>
      </c>
      <c r="C348">
        <v>0.79890000000000005</v>
      </c>
      <c r="D348">
        <v>0.71</v>
      </c>
      <c r="E348">
        <v>0.78879999999999995</v>
      </c>
      <c r="F348">
        <v>9152949.6199999992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0.77277840269966036</v>
      </c>
      <c r="Q348">
        <f t="shared" si="970"/>
        <v>7073201.7873340631</v>
      </c>
      <c r="R348">
        <f t="shared" si="971"/>
        <v>-94303069.288409024</v>
      </c>
      <c r="S348">
        <f t="shared" si="972"/>
        <v>-943.03069288409029</v>
      </c>
      <c r="T348">
        <f t="shared" si="973"/>
        <v>-0.94303069288409025</v>
      </c>
    </row>
    <row r="349" spans="1:20" x14ac:dyDescent="0.25">
      <c r="A349" s="5">
        <v>44244</v>
      </c>
      <c r="B349">
        <v>0.67479999999999996</v>
      </c>
      <c r="C349">
        <v>0.72799999999999998</v>
      </c>
      <c r="D349">
        <v>0.65310000000000001</v>
      </c>
      <c r="E349">
        <v>0.71579999999999999</v>
      </c>
      <c r="F349">
        <v>9764631.2899999991</v>
      </c>
      <c r="G349">
        <v>0</v>
      </c>
      <c r="L349" t="s">
        <v>7</v>
      </c>
      <c r="M349" t="s">
        <v>8</v>
      </c>
      <c r="N349" t="s">
        <v>8</v>
      </c>
      <c r="P349">
        <f t="shared" si="969"/>
        <v>0.67423230974632864</v>
      </c>
      <c r="Q349">
        <f t="shared" si="970"/>
        <v>6583629.9084779723</v>
      </c>
      <c r="R349">
        <f t="shared" si="971"/>
        <v>-101376271.07574309</v>
      </c>
      <c r="S349">
        <f t="shared" si="972"/>
        <v>-1013.7627107574309</v>
      </c>
      <c r="T349">
        <f t="shared" si="973"/>
        <v>-1.013762710757431</v>
      </c>
    </row>
    <row r="350" spans="1:20" x14ac:dyDescent="0.25">
      <c r="A350" s="5">
        <v>44243</v>
      </c>
      <c r="B350">
        <v>0.69189999999999996</v>
      </c>
      <c r="C350">
        <v>0.74</v>
      </c>
      <c r="D350">
        <v>0.64870000000000005</v>
      </c>
      <c r="E350">
        <v>0.67520000000000002</v>
      </c>
      <c r="F350">
        <v>8253096.7000000002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-0.41949616648411858</v>
      </c>
      <c r="Q350">
        <f t="shared" si="970"/>
        <v>-3462142.4272727296</v>
      </c>
      <c r="R350">
        <f t="shared" si="971"/>
        <v>-107959900.98422107</v>
      </c>
      <c r="S350">
        <f t="shared" si="972"/>
        <v>-1079.5990098422108</v>
      </c>
      <c r="T350">
        <f t="shared" si="973"/>
        <v>-1.0795990098422108</v>
      </c>
    </row>
    <row r="351" spans="1:20" x14ac:dyDescent="0.25">
      <c r="A351" s="5">
        <v>44242</v>
      </c>
      <c r="B351">
        <v>0.66910000000000003</v>
      </c>
      <c r="C351">
        <v>0.74950000000000006</v>
      </c>
      <c r="D351">
        <v>0.58509999999999995</v>
      </c>
      <c r="E351">
        <v>0.6905</v>
      </c>
      <c r="F351">
        <v>13004254.119999999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0.28223844282238425</v>
      </c>
      <c r="Q351">
        <f t="shared" si="970"/>
        <v>3670300.4328953745</v>
      </c>
      <c r="R351">
        <f t="shared" si="971"/>
        <v>-104497758.55694835</v>
      </c>
      <c r="S351">
        <f t="shared" si="972"/>
        <v>-1044.9775855694834</v>
      </c>
      <c r="T351">
        <f t="shared" si="973"/>
        <v>-1.0449775855694834</v>
      </c>
    </row>
    <row r="352" spans="1:20" x14ac:dyDescent="0.25">
      <c r="A352" s="5">
        <v>44241</v>
      </c>
      <c r="B352">
        <v>0.69769999999999999</v>
      </c>
      <c r="C352">
        <v>0.74370000000000003</v>
      </c>
      <c r="D352">
        <v>0.62680000000000002</v>
      </c>
      <c r="E352">
        <v>0.66890000000000005</v>
      </c>
      <c r="F352">
        <v>11253504.57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-0.27972626176218945</v>
      </c>
      <c r="Q352">
        <f t="shared" si="970"/>
        <v>-3147900.7650898155</v>
      </c>
      <c r="R352">
        <f t="shared" si="971"/>
        <v>-108168058.98984373</v>
      </c>
      <c r="S352">
        <f t="shared" si="972"/>
        <v>-1081.6805898984373</v>
      </c>
      <c r="T352">
        <f t="shared" si="973"/>
        <v>-1.0816805898984374</v>
      </c>
    </row>
    <row r="353" spans="1:20" x14ac:dyDescent="0.25">
      <c r="A353" s="5">
        <v>44240</v>
      </c>
      <c r="B353">
        <v>0.72889999999999999</v>
      </c>
      <c r="C353">
        <v>0.78</v>
      </c>
      <c r="D353">
        <v>0.66</v>
      </c>
      <c r="E353">
        <v>0.69710000000000005</v>
      </c>
      <c r="F353">
        <v>12858137.09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-0.38166666666666627</v>
      </c>
      <c r="Q353">
        <f t="shared" si="970"/>
        <v>-4907522.3226833278</v>
      </c>
      <c r="R353">
        <f t="shared" si="971"/>
        <v>-105020158.22475392</v>
      </c>
      <c r="S353">
        <f t="shared" si="972"/>
        <v>-1050.2015822475391</v>
      </c>
      <c r="T353">
        <f t="shared" si="973"/>
        <v>-1.0502015822475392</v>
      </c>
    </row>
    <row r="354" spans="1:20" x14ac:dyDescent="0.25">
      <c r="A354" s="5">
        <v>44239</v>
      </c>
      <c r="B354">
        <v>0.64549999999999996</v>
      </c>
      <c r="C354">
        <v>0.78</v>
      </c>
      <c r="D354">
        <v>0.64500000000000002</v>
      </c>
      <c r="E354">
        <v>0.72850000000000004</v>
      </c>
      <c r="F354">
        <v>26715778.190000001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0.23703703703703724</v>
      </c>
      <c r="Q354">
        <f t="shared" si="970"/>
        <v>6332628.9042963022</v>
      </c>
      <c r="R354">
        <f t="shared" si="971"/>
        <v>-100112635.90207058</v>
      </c>
      <c r="S354">
        <f t="shared" si="972"/>
        <v>-1001.1263590207058</v>
      </c>
      <c r="T354">
        <f t="shared" si="973"/>
        <v>-1.0011263590207058</v>
      </c>
    </row>
    <row r="355" spans="1:20" x14ac:dyDescent="0.25">
      <c r="A355" s="5">
        <v>44238</v>
      </c>
      <c r="B355">
        <v>0.56999999999999995</v>
      </c>
      <c r="C355">
        <v>0.66659999999999997</v>
      </c>
      <c r="D355">
        <v>0.54200000000000004</v>
      </c>
      <c r="E355">
        <v>0.64500000000000002</v>
      </c>
      <c r="F355">
        <v>26679386.57</v>
      </c>
      <c r="G355">
        <v>0</v>
      </c>
      <c r="L355" t="s">
        <v>8</v>
      </c>
      <c r="M355" t="s">
        <v>8</v>
      </c>
      <c r="N355" t="s">
        <v>7</v>
      </c>
      <c r="P355">
        <f t="shared" si="969"/>
        <v>0.65329052969502466</v>
      </c>
      <c r="Q355">
        <f t="shared" si="970"/>
        <v>17429390.584253628</v>
      </c>
      <c r="R355">
        <f t="shared" si="971"/>
        <v>-106445264.80636689</v>
      </c>
      <c r="S355">
        <f t="shared" si="972"/>
        <v>-1064.4526480636689</v>
      </c>
      <c r="T355">
        <f t="shared" si="973"/>
        <v>-1.0644526480636689</v>
      </c>
    </row>
    <row r="356" spans="1:20" x14ac:dyDescent="0.25">
      <c r="A356" s="5">
        <v>44237</v>
      </c>
      <c r="B356">
        <v>0.5323</v>
      </c>
      <c r="C356">
        <v>0.59060000000000001</v>
      </c>
      <c r="D356">
        <v>0.49409999999999998</v>
      </c>
      <c r="E356">
        <v>0.56969999999999998</v>
      </c>
      <c r="F356">
        <v>24950299.579999998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0.56683937823834152</v>
      </c>
      <c r="Q356">
        <f t="shared" si="970"/>
        <v>14142812.300787553</v>
      </c>
      <c r="R356">
        <f t="shared" si="971"/>
        <v>-123874655.39062051</v>
      </c>
      <c r="S356">
        <f t="shared" si="972"/>
        <v>-1238.7465539062052</v>
      </c>
      <c r="T356">
        <f t="shared" si="973"/>
        <v>-1.2387465539062052</v>
      </c>
    </row>
    <row r="357" spans="1:20" x14ac:dyDescent="0.25">
      <c r="A357" s="5">
        <v>44236</v>
      </c>
      <c r="B357">
        <v>0.48199999999999998</v>
      </c>
      <c r="C357">
        <v>0.70789999999999997</v>
      </c>
      <c r="D357">
        <v>0.47310000000000002</v>
      </c>
      <c r="E357">
        <v>0.5323</v>
      </c>
      <c r="F357">
        <v>59510643.960000001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-0.49574105621805803</v>
      </c>
      <c r="Q357">
        <f t="shared" si="970"/>
        <v>-29501869.492947195</v>
      </c>
      <c r="R357">
        <f t="shared" si="971"/>
        <v>-138017467.69140807</v>
      </c>
      <c r="S357">
        <f t="shared" si="972"/>
        <v>-1380.1746769140807</v>
      </c>
      <c r="T357">
        <f t="shared" si="973"/>
        <v>-1.3801746769140808</v>
      </c>
    </row>
    <row r="358" spans="1:20" x14ac:dyDescent="0.25">
      <c r="A358" s="5">
        <v>44235</v>
      </c>
      <c r="B358">
        <v>0.46989999999999998</v>
      </c>
      <c r="C358">
        <v>0.49070000000000003</v>
      </c>
      <c r="D358">
        <v>0.4582</v>
      </c>
      <c r="E358">
        <v>0.48020000000000002</v>
      </c>
      <c r="F358">
        <v>13732455.119999999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0.35384615384615387</v>
      </c>
      <c r="Q358">
        <f t="shared" si="970"/>
        <v>4859176.4270769227</v>
      </c>
      <c r="R358">
        <f t="shared" si="971"/>
        <v>-108515598.19846086</v>
      </c>
      <c r="S358">
        <f t="shared" si="972"/>
        <v>-1085.1559819846086</v>
      </c>
      <c r="T358">
        <f t="shared" si="973"/>
        <v>-1.0851559819846086</v>
      </c>
    </row>
    <row r="359" spans="1:20" x14ac:dyDescent="0.25">
      <c r="A359" s="5">
        <v>44234</v>
      </c>
      <c r="B359">
        <v>0.44590000000000002</v>
      </c>
      <c r="C359">
        <v>0.48549999999999999</v>
      </c>
      <c r="D359">
        <v>0.43059999999999998</v>
      </c>
      <c r="E359">
        <v>0.46889999999999998</v>
      </c>
      <c r="F359">
        <v>16380590.73</v>
      </c>
      <c r="G359">
        <v>0</v>
      </c>
      <c r="L359" t="s">
        <v>7</v>
      </c>
      <c r="M359" t="s">
        <v>8</v>
      </c>
      <c r="N359" t="s">
        <v>7</v>
      </c>
      <c r="P359">
        <f t="shared" si="969"/>
        <v>0.39526411657559191</v>
      </c>
      <c r="Q359">
        <f t="shared" si="970"/>
        <v>6474659.7238797806</v>
      </c>
      <c r="R359">
        <f t="shared" si="971"/>
        <v>-113374774.62553778</v>
      </c>
      <c r="S359">
        <f t="shared" si="972"/>
        <v>-1133.7477462553779</v>
      </c>
      <c r="T359">
        <f t="shared" si="973"/>
        <v>-1.133747746255378</v>
      </c>
    </row>
    <row r="360" spans="1:20" x14ac:dyDescent="0.25">
      <c r="A360" s="5">
        <v>44233</v>
      </c>
      <c r="B360">
        <v>0.46600000000000003</v>
      </c>
      <c r="C360">
        <v>0.46970000000000001</v>
      </c>
      <c r="D360">
        <v>0.44240000000000002</v>
      </c>
      <c r="E360">
        <v>0.44590000000000002</v>
      </c>
      <c r="F360">
        <v>11528572.369999999</v>
      </c>
      <c r="G360">
        <v>0</v>
      </c>
      <c r="L360" t="s">
        <v>7</v>
      </c>
      <c r="M360" t="s">
        <v>8</v>
      </c>
      <c r="N360" t="s">
        <v>7</v>
      </c>
      <c r="P360">
        <f t="shared" si="969"/>
        <v>-0.74358974358974328</v>
      </c>
      <c r="Q360">
        <f t="shared" si="970"/>
        <v>-8572528.1725640986</v>
      </c>
      <c r="R360">
        <f t="shared" si="971"/>
        <v>-119849434.34941757</v>
      </c>
      <c r="S360">
        <f t="shared" si="972"/>
        <v>-1198.4943434941756</v>
      </c>
      <c r="T360">
        <f t="shared" si="973"/>
        <v>-1.1984943434941757</v>
      </c>
    </row>
    <row r="361" spans="1:20" x14ac:dyDescent="0.25">
      <c r="A361" s="5">
        <v>44232</v>
      </c>
      <c r="B361">
        <v>0.44900000000000001</v>
      </c>
      <c r="C361">
        <v>0.47499999999999998</v>
      </c>
      <c r="D361">
        <v>0.4425</v>
      </c>
      <c r="E361">
        <v>0.46600000000000003</v>
      </c>
      <c r="F361">
        <v>11817670.720000001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0.44615384615384862</v>
      </c>
      <c r="Q361">
        <f t="shared" si="970"/>
        <v>5272499.244307722</v>
      </c>
      <c r="R361">
        <f t="shared" si="971"/>
        <v>-111276906.17685346</v>
      </c>
      <c r="S361">
        <f t="shared" si="972"/>
        <v>-1112.7690617685346</v>
      </c>
      <c r="T361">
        <f t="shared" si="973"/>
        <v>-1.1127690617685346</v>
      </c>
    </row>
    <row r="362" spans="1:20" x14ac:dyDescent="0.25">
      <c r="A362" s="5">
        <v>44231</v>
      </c>
      <c r="B362">
        <v>0.46300000000000002</v>
      </c>
      <c r="C362">
        <v>0.46779999999999999</v>
      </c>
      <c r="D362">
        <v>0.43099999999999999</v>
      </c>
      <c r="E362">
        <v>0.4491</v>
      </c>
      <c r="F362">
        <v>11515786.189999999</v>
      </c>
      <c r="G362">
        <v>0</v>
      </c>
      <c r="L362" t="s">
        <v>7</v>
      </c>
      <c r="M362" t="s">
        <v>8</v>
      </c>
      <c r="N362" t="s">
        <v>7</v>
      </c>
      <c r="P362">
        <f t="shared" si="969"/>
        <v>-1.6304347826086668E-2</v>
      </c>
      <c r="Q362">
        <f t="shared" si="970"/>
        <v>-187757.38353260537</v>
      </c>
      <c r="R362">
        <f t="shared" si="971"/>
        <v>-116549405.42116119</v>
      </c>
      <c r="S362">
        <f t="shared" si="972"/>
        <v>-1165.4940542116119</v>
      </c>
      <c r="T362">
        <f t="shared" si="973"/>
        <v>-1.1654940542116119</v>
      </c>
    </row>
    <row r="363" spans="1:20" x14ac:dyDescent="0.25">
      <c r="A363" s="5">
        <v>44230</v>
      </c>
      <c r="B363">
        <v>0.46160000000000001</v>
      </c>
      <c r="C363">
        <v>0.49340000000000001</v>
      </c>
      <c r="D363">
        <v>0.45619999999999999</v>
      </c>
      <c r="E363">
        <v>0.46239999999999998</v>
      </c>
      <c r="F363">
        <v>8685012.9800000004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-0.66666666666666763</v>
      </c>
      <c r="Q363">
        <f t="shared" si="970"/>
        <v>-5790008.6533333417</v>
      </c>
      <c r="R363">
        <f t="shared" si="971"/>
        <v>-116361648.03762859</v>
      </c>
      <c r="S363">
        <f t="shared" si="972"/>
        <v>-1163.6164803762858</v>
      </c>
      <c r="T363">
        <f t="shared" si="973"/>
        <v>-1.1636164803762858</v>
      </c>
    </row>
    <row r="364" spans="1:20" x14ac:dyDescent="0.25">
      <c r="A364" s="5">
        <v>44229</v>
      </c>
      <c r="B364">
        <v>0.44330000000000003</v>
      </c>
      <c r="C364">
        <v>0.47</v>
      </c>
      <c r="D364">
        <v>0.43609999999999999</v>
      </c>
      <c r="E364">
        <v>0.46329999999999999</v>
      </c>
      <c r="F364">
        <v>7468785.79</v>
      </c>
      <c r="G364">
        <v>0</v>
      </c>
      <c r="L364" t="s">
        <v>8</v>
      </c>
      <c r="M364" t="s">
        <v>7</v>
      </c>
      <c r="N364" t="s">
        <v>7</v>
      </c>
      <c r="P364">
        <f t="shared" si="969"/>
        <v>0.60471976401180016</v>
      </c>
      <c r="Q364">
        <f t="shared" si="970"/>
        <v>4516522.3803834869</v>
      </c>
      <c r="R364">
        <f t="shared" si="971"/>
        <v>-110571639.38429525</v>
      </c>
      <c r="S364">
        <f t="shared" si="972"/>
        <v>-1105.7163938429526</v>
      </c>
      <c r="T364">
        <f t="shared" si="973"/>
        <v>-1.1057163938429526</v>
      </c>
    </row>
    <row r="365" spans="1:20" x14ac:dyDescent="0.25">
      <c r="A365" s="5">
        <v>44228</v>
      </c>
      <c r="B365">
        <v>0.42859999999999998</v>
      </c>
      <c r="C365">
        <v>0.45</v>
      </c>
      <c r="D365">
        <v>0.41089999999999999</v>
      </c>
      <c r="E365">
        <v>0.44390000000000002</v>
      </c>
      <c r="F365">
        <v>10823254.890000001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0.68797953964194425</v>
      </c>
      <c r="Q365">
        <f t="shared" si="970"/>
        <v>7446177.9166496219</v>
      </c>
      <c r="R365">
        <f t="shared" si="971"/>
        <v>-115088161.76467875</v>
      </c>
      <c r="S365">
        <f t="shared" si="972"/>
        <v>-1150.8816176467874</v>
      </c>
      <c r="T365">
        <f t="shared" si="973"/>
        <v>-1.1508816176467873</v>
      </c>
    </row>
    <row r="366" spans="1:20" x14ac:dyDescent="0.25">
      <c r="A366" s="5">
        <v>44227</v>
      </c>
      <c r="B366">
        <v>0.42859999999999998</v>
      </c>
      <c r="C366">
        <v>0.44500000000000001</v>
      </c>
      <c r="D366">
        <v>0.41270000000000001</v>
      </c>
      <c r="E366">
        <v>0.42759999999999998</v>
      </c>
      <c r="F366">
        <v>6436669.9000000004</v>
      </c>
      <c r="G366">
        <v>0</v>
      </c>
      <c r="L366" t="s">
        <v>8</v>
      </c>
      <c r="M366" t="s">
        <v>7</v>
      </c>
      <c r="N366" t="s">
        <v>7</v>
      </c>
      <c r="P366">
        <f t="shared" si="969"/>
        <v>-7.7399380804955356E-2</v>
      </c>
      <c r="Q366">
        <f t="shared" si="970"/>
        <v>-498194.26470589393</v>
      </c>
      <c r="R366">
        <f t="shared" si="971"/>
        <v>-122534339.68132837</v>
      </c>
      <c r="S366">
        <f t="shared" si="972"/>
        <v>-1225.3433968132838</v>
      </c>
      <c r="T366">
        <f t="shared" si="973"/>
        <v>-1.2253433968132839</v>
      </c>
    </row>
    <row r="367" spans="1:20" x14ac:dyDescent="0.25">
      <c r="A367" s="5">
        <v>44226</v>
      </c>
      <c r="B367">
        <v>0.44080000000000003</v>
      </c>
      <c r="C367">
        <v>0.45369999999999999</v>
      </c>
      <c r="D367">
        <v>0.4118</v>
      </c>
      <c r="E367">
        <v>0.42870000000000003</v>
      </c>
      <c r="F367">
        <v>11549532.27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-0.19331742243436617</v>
      </c>
      <c r="Q367">
        <f t="shared" si="970"/>
        <v>-2232725.808758934</v>
      </c>
      <c r="R367">
        <f t="shared" si="971"/>
        <v>-122036145.41662247</v>
      </c>
      <c r="S367">
        <f t="shared" si="972"/>
        <v>-1220.3614541662248</v>
      </c>
      <c r="T367">
        <f t="shared" si="973"/>
        <v>-1.2203614541662249</v>
      </c>
    </row>
    <row r="368" spans="1:20" x14ac:dyDescent="0.25">
      <c r="A368" s="5">
        <v>44225</v>
      </c>
      <c r="B368">
        <v>0.44130000000000003</v>
      </c>
      <c r="C368">
        <v>0.4622</v>
      </c>
      <c r="D368">
        <v>0.42620000000000002</v>
      </c>
      <c r="E368">
        <v>0.44080000000000003</v>
      </c>
      <c r="F368">
        <v>8902943.3399999999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-0.18888888888888825</v>
      </c>
      <c r="Q368">
        <f t="shared" si="970"/>
        <v>-1681667.0753333275</v>
      </c>
      <c r="R368">
        <f t="shared" si="971"/>
        <v>-119803419.60786355</v>
      </c>
      <c r="S368">
        <f t="shared" si="972"/>
        <v>-1198.0341960786354</v>
      </c>
      <c r="T368">
        <f t="shared" si="973"/>
        <v>-1.1980341960786354</v>
      </c>
    </row>
    <row r="369" spans="1:20" x14ac:dyDescent="0.25">
      <c r="A369" s="5">
        <v>44224</v>
      </c>
      <c r="B369">
        <v>0.42599999999999999</v>
      </c>
      <c r="C369">
        <v>0.45500000000000002</v>
      </c>
      <c r="D369">
        <v>0.42199999999999999</v>
      </c>
      <c r="E369">
        <v>0.44190000000000002</v>
      </c>
      <c r="F369">
        <v>4656955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0.20606060606060672</v>
      </c>
      <c r="Q369">
        <f t="shared" si="970"/>
        <v>959614.96969697275</v>
      </c>
      <c r="R369">
        <f t="shared" si="971"/>
        <v>-118121752.53253022</v>
      </c>
      <c r="S369">
        <f t="shared" si="972"/>
        <v>-1181.2175253253022</v>
      </c>
      <c r="T369">
        <f t="shared" si="973"/>
        <v>-1.1812175253253021</v>
      </c>
    </row>
    <row r="370" spans="1:20" x14ac:dyDescent="0.25">
      <c r="A370" s="5">
        <v>44223</v>
      </c>
      <c r="B370">
        <v>0.47210000000000002</v>
      </c>
      <c r="C370">
        <v>0.4753</v>
      </c>
      <c r="D370">
        <v>0.42009999999999997</v>
      </c>
      <c r="E370">
        <v>0.42599999999999999</v>
      </c>
      <c r="F370">
        <v>4870240.58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-0.78623188405797051</v>
      </c>
      <c r="Q370">
        <f t="shared" si="970"/>
        <v>-3829138.4270289829</v>
      </c>
      <c r="R370">
        <f t="shared" si="971"/>
        <v>-119081367.50222719</v>
      </c>
      <c r="S370">
        <f t="shared" si="972"/>
        <v>-1190.8136750222718</v>
      </c>
      <c r="T370">
        <f t="shared" si="973"/>
        <v>-1.1908136750222718</v>
      </c>
    </row>
    <row r="371" spans="1:20" x14ac:dyDescent="0.25">
      <c r="A371" s="5">
        <v>44222</v>
      </c>
      <c r="B371">
        <v>0.46910000000000002</v>
      </c>
      <c r="C371">
        <v>0.47599999999999998</v>
      </c>
      <c r="D371">
        <v>0.45619999999999999</v>
      </c>
      <c r="E371">
        <v>0.4708</v>
      </c>
      <c r="F371">
        <v>4051296.95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0.47474747474747608</v>
      </c>
      <c r="Q371">
        <f t="shared" si="970"/>
        <v>1923342.996464652</v>
      </c>
      <c r="R371">
        <f t="shared" si="971"/>
        <v>-115252229.0751982</v>
      </c>
      <c r="S371">
        <f t="shared" si="972"/>
        <v>-1152.5222907519819</v>
      </c>
      <c r="T371">
        <f t="shared" si="973"/>
        <v>-1.1525222907519819</v>
      </c>
    </row>
    <row r="372" spans="1:20" x14ac:dyDescent="0.25">
      <c r="A372" s="5">
        <v>44221</v>
      </c>
      <c r="B372">
        <v>0.49530000000000002</v>
      </c>
      <c r="C372">
        <v>0.50270000000000004</v>
      </c>
      <c r="D372">
        <v>0.46510000000000001</v>
      </c>
      <c r="E372">
        <v>0.46629999999999999</v>
      </c>
      <c r="F372">
        <v>6345319.1399999997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-0.93617021276595858</v>
      </c>
      <c r="Q372">
        <f t="shared" si="970"/>
        <v>-5940298.7693617092</v>
      </c>
      <c r="R372">
        <f t="shared" si="971"/>
        <v>-117175572.07166286</v>
      </c>
      <c r="S372">
        <f t="shared" si="972"/>
        <v>-1171.7557207166285</v>
      </c>
      <c r="T372">
        <f t="shared" si="973"/>
        <v>-1.1717557207166285</v>
      </c>
    </row>
    <row r="373" spans="1:20" x14ac:dyDescent="0.25">
      <c r="A373" s="5">
        <v>44220</v>
      </c>
      <c r="B373">
        <v>0.4844</v>
      </c>
      <c r="C373">
        <v>0.5091</v>
      </c>
      <c r="D373">
        <v>0.48120000000000002</v>
      </c>
      <c r="E373">
        <v>0.49509999999999998</v>
      </c>
      <c r="F373">
        <v>8644576.4600000009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-3.5842293906826008E-3</v>
      </c>
      <c r="Q373">
        <f t="shared" si="970"/>
        <v>-30984.145017934959</v>
      </c>
      <c r="R373">
        <f t="shared" si="971"/>
        <v>-111235273.30230115</v>
      </c>
      <c r="S373">
        <f t="shared" si="972"/>
        <v>-1112.3527330230115</v>
      </c>
      <c r="T373">
        <f t="shared" si="973"/>
        <v>-1.1123527330230116</v>
      </c>
    </row>
    <row r="374" spans="1:20" x14ac:dyDescent="0.25">
      <c r="A374" s="5">
        <v>44219</v>
      </c>
      <c r="B374">
        <v>0.47789999999999999</v>
      </c>
      <c r="C374">
        <v>0.49399999999999999</v>
      </c>
      <c r="D374">
        <v>0.47420000000000001</v>
      </c>
      <c r="E374">
        <v>0.48470000000000002</v>
      </c>
      <c r="F374">
        <v>4055408.73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6.0606060606062391E-2</v>
      </c>
      <c r="Q374">
        <f t="shared" si="970"/>
        <v>245782.34727273451</v>
      </c>
      <c r="R374">
        <f t="shared" si="971"/>
        <v>-111204289.15728322</v>
      </c>
      <c r="S374">
        <f t="shared" si="972"/>
        <v>-1112.0428915728321</v>
      </c>
      <c r="T374">
        <f t="shared" si="973"/>
        <v>-1.1120428915728322</v>
      </c>
    </row>
    <row r="375" spans="1:20" x14ac:dyDescent="0.25">
      <c r="A375" s="5">
        <v>44218</v>
      </c>
      <c r="B375">
        <v>0.45300000000000001</v>
      </c>
      <c r="C375">
        <v>0.495</v>
      </c>
      <c r="D375">
        <v>0.43280000000000002</v>
      </c>
      <c r="E375">
        <v>0.47649999999999998</v>
      </c>
      <c r="F375">
        <v>5528809.6100000003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0.40514469453376134</v>
      </c>
      <c r="Q375">
        <f t="shared" si="970"/>
        <v>2239967.8805787745</v>
      </c>
      <c r="R375">
        <f t="shared" si="971"/>
        <v>-111450071.50455596</v>
      </c>
      <c r="S375">
        <f t="shared" si="972"/>
        <v>-1114.5007150455594</v>
      </c>
      <c r="T375">
        <f t="shared" si="973"/>
        <v>-1.1145007150455595</v>
      </c>
    </row>
    <row r="376" spans="1:20" x14ac:dyDescent="0.25">
      <c r="A376" s="5">
        <v>44217</v>
      </c>
      <c r="B376">
        <v>0.4924</v>
      </c>
      <c r="C376">
        <v>0.504</v>
      </c>
      <c r="D376">
        <v>0.44</v>
      </c>
      <c r="E376">
        <v>0.45290000000000002</v>
      </c>
      <c r="F376">
        <v>10519569.43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-0.59687499999999927</v>
      </c>
      <c r="Q376">
        <f t="shared" si="970"/>
        <v>-6278868.0035312418</v>
      </c>
      <c r="R376">
        <f t="shared" si="971"/>
        <v>-113690039.38513473</v>
      </c>
      <c r="S376">
        <f t="shared" si="972"/>
        <v>-1136.9003938513472</v>
      </c>
      <c r="T376">
        <f t="shared" si="973"/>
        <v>-1.1369003938513471</v>
      </c>
    </row>
    <row r="377" spans="1:20" x14ac:dyDescent="0.25">
      <c r="A377" s="5">
        <v>44216</v>
      </c>
      <c r="B377">
        <v>0.50370000000000004</v>
      </c>
      <c r="C377">
        <v>0.51700000000000002</v>
      </c>
      <c r="D377">
        <v>0.47520000000000001</v>
      </c>
      <c r="E377">
        <v>0.49259999999999998</v>
      </c>
      <c r="F377">
        <v>7614641.4800000004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-0.16746411483253734</v>
      </c>
      <c r="Q377">
        <f t="shared" si="970"/>
        <v>-1275179.1952153221</v>
      </c>
      <c r="R377">
        <f t="shared" si="971"/>
        <v>-107411171.38160348</v>
      </c>
      <c r="S377">
        <f t="shared" si="972"/>
        <v>-1074.1117138160348</v>
      </c>
      <c r="T377">
        <f t="shared" si="973"/>
        <v>-1.0741117138160348</v>
      </c>
    </row>
    <row r="378" spans="1:20" x14ac:dyDescent="0.25">
      <c r="A378" s="5">
        <v>44215</v>
      </c>
      <c r="B378">
        <v>0.47989999999999999</v>
      </c>
      <c r="C378">
        <v>0.54259999999999997</v>
      </c>
      <c r="D378">
        <v>0.46389999999999998</v>
      </c>
      <c r="E378">
        <v>0.50460000000000005</v>
      </c>
      <c r="F378">
        <v>13787893.560000001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3.4307496823381793E-2</v>
      </c>
      <c r="Q378">
        <f t="shared" si="970"/>
        <v>473028.1145108263</v>
      </c>
      <c r="R378">
        <f t="shared" si="971"/>
        <v>-106135992.18638815</v>
      </c>
      <c r="S378">
        <f t="shared" si="972"/>
        <v>-1061.3599218638815</v>
      </c>
      <c r="T378">
        <f t="shared" si="973"/>
        <v>-1.0613599218638814</v>
      </c>
    </row>
    <row r="379" spans="1:20" x14ac:dyDescent="0.25">
      <c r="A379" s="5">
        <v>44214</v>
      </c>
      <c r="B379">
        <v>0.48959999999999998</v>
      </c>
      <c r="C379">
        <v>0.50800000000000001</v>
      </c>
      <c r="D379">
        <v>0.47560000000000002</v>
      </c>
      <c r="E379">
        <v>0.4798</v>
      </c>
      <c r="F379">
        <v>5191253.1100000003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-0.74074074074074181</v>
      </c>
      <c r="Q379">
        <f t="shared" si="970"/>
        <v>-3845372.6740740798</v>
      </c>
      <c r="R379">
        <f t="shared" si="971"/>
        <v>-106609020.30089897</v>
      </c>
      <c r="S379">
        <f t="shared" si="972"/>
        <v>-1066.0902030089896</v>
      </c>
      <c r="T379">
        <f t="shared" si="973"/>
        <v>-1.0660902030089896</v>
      </c>
    </row>
    <row r="380" spans="1:20" x14ac:dyDescent="0.25">
      <c r="A380" s="5">
        <v>44213</v>
      </c>
      <c r="B380">
        <v>0.47660000000000002</v>
      </c>
      <c r="C380">
        <v>0.52500000000000002</v>
      </c>
      <c r="D380">
        <v>0.4582</v>
      </c>
      <c r="E380">
        <v>0.48970000000000002</v>
      </c>
      <c r="F380">
        <v>8081284.5800000001</v>
      </c>
      <c r="G380">
        <v>0</v>
      </c>
      <c r="L380" t="s">
        <v>8</v>
      </c>
      <c r="M380" t="s">
        <v>7</v>
      </c>
      <c r="N380" t="s">
        <v>8</v>
      </c>
      <c r="P380">
        <f t="shared" si="969"/>
        <v>-5.6886227544909712E-2</v>
      </c>
      <c r="Q380">
        <f t="shared" si="970"/>
        <v>-459713.79347305011</v>
      </c>
      <c r="R380">
        <f t="shared" si="971"/>
        <v>-102763647.62682489</v>
      </c>
      <c r="S380">
        <f t="shared" si="972"/>
        <v>-1027.6364762682488</v>
      </c>
      <c r="T380">
        <f t="shared" si="973"/>
        <v>-1.0276364762682488</v>
      </c>
    </row>
    <row r="381" spans="1:20" x14ac:dyDescent="0.25">
      <c r="A381" s="5">
        <v>44212</v>
      </c>
      <c r="B381">
        <v>0.48759999999999998</v>
      </c>
      <c r="C381">
        <v>0.51</v>
      </c>
      <c r="D381">
        <v>0.46639999999999998</v>
      </c>
      <c r="E381">
        <v>0.47660000000000002</v>
      </c>
      <c r="F381">
        <v>7592606.1200000001</v>
      </c>
      <c r="G381">
        <v>0</v>
      </c>
      <c r="L381" t="s">
        <v>8</v>
      </c>
      <c r="M381" t="s">
        <v>7</v>
      </c>
      <c r="N381" t="s">
        <v>8</v>
      </c>
      <c r="P381">
        <f t="shared" si="969"/>
        <v>-0.53211009174311763</v>
      </c>
      <c r="Q381">
        <f t="shared" si="970"/>
        <v>-4040102.3390825563</v>
      </c>
      <c r="R381">
        <f t="shared" si="971"/>
        <v>-102303933.83335184</v>
      </c>
      <c r="S381">
        <f t="shared" si="972"/>
        <v>-1023.0393383335183</v>
      </c>
      <c r="T381">
        <f t="shared" si="973"/>
        <v>-1.0230393383335183</v>
      </c>
    </row>
    <row r="382" spans="1:20" x14ac:dyDescent="0.25">
      <c r="A382" s="5">
        <v>44211</v>
      </c>
      <c r="B382">
        <v>0.50749999999999995</v>
      </c>
      <c r="C382">
        <v>0.52200000000000002</v>
      </c>
      <c r="D382">
        <v>0.44369999999999998</v>
      </c>
      <c r="E382">
        <v>0.48870000000000002</v>
      </c>
      <c r="F382">
        <v>13790874.33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0.14942528735632232</v>
      </c>
      <c r="Q382">
        <f t="shared" si="970"/>
        <v>2060705.3596551791</v>
      </c>
      <c r="R382">
        <f t="shared" si="971"/>
        <v>-98263831.494269282</v>
      </c>
      <c r="S382">
        <f t="shared" si="972"/>
        <v>-982.63831494269277</v>
      </c>
      <c r="T382">
        <f t="shared" si="973"/>
        <v>-0.98263831494269283</v>
      </c>
    </row>
    <row r="383" spans="1:20" x14ac:dyDescent="0.25">
      <c r="A383" s="5">
        <v>44210</v>
      </c>
      <c r="B383">
        <v>0.55730000000000002</v>
      </c>
      <c r="C383">
        <v>0.59799999999999998</v>
      </c>
      <c r="D383">
        <v>0.4874</v>
      </c>
      <c r="E383">
        <v>0.50800000000000001</v>
      </c>
      <c r="F383">
        <v>15920066.630000001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-0.6274864376130197</v>
      </c>
      <c r="Q383">
        <f t="shared" si="970"/>
        <v>-9989625.8962206114</v>
      </c>
      <c r="R383">
        <f t="shared" si="971"/>
        <v>-100324536.85392447</v>
      </c>
      <c r="S383">
        <f t="shared" si="972"/>
        <v>-1003.2453685392447</v>
      </c>
      <c r="T383">
        <f t="shared" si="973"/>
        <v>-1.0032453685392448</v>
      </c>
    </row>
    <row r="384" spans="1:20" x14ac:dyDescent="0.25">
      <c r="A384" s="5">
        <v>44209</v>
      </c>
      <c r="B384">
        <v>0.4844</v>
      </c>
      <c r="C384">
        <v>0.57330000000000003</v>
      </c>
      <c r="D384">
        <v>0.46300000000000002</v>
      </c>
      <c r="E384">
        <v>0.55720000000000003</v>
      </c>
      <c r="F384">
        <v>12470500.189999999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0.70806890299184044</v>
      </c>
      <c r="Q384">
        <f t="shared" si="970"/>
        <v>8829973.3892928381</v>
      </c>
      <c r="R384">
        <f t="shared" si="971"/>
        <v>-90334910.957703859</v>
      </c>
      <c r="S384">
        <f t="shared" si="972"/>
        <v>-903.34910957703858</v>
      </c>
      <c r="T384">
        <f t="shared" si="973"/>
        <v>-0.90334910957703862</v>
      </c>
    </row>
    <row r="385" spans="1:20" x14ac:dyDescent="0.25">
      <c r="A385" s="5">
        <v>44208</v>
      </c>
      <c r="B385">
        <v>0.49509999999999998</v>
      </c>
      <c r="C385">
        <v>0.5363</v>
      </c>
      <c r="D385">
        <v>0.45079999999999998</v>
      </c>
      <c r="E385">
        <v>0.48249999999999998</v>
      </c>
      <c r="F385">
        <v>13839234.699999999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-0.25847953216374275</v>
      </c>
      <c r="Q385">
        <f t="shared" si="970"/>
        <v>-3577158.9107602346</v>
      </c>
      <c r="R385">
        <f t="shared" si="971"/>
        <v>-99164884.346996695</v>
      </c>
      <c r="S385">
        <f t="shared" si="972"/>
        <v>-991.64884346996689</v>
      </c>
      <c r="T385">
        <f t="shared" si="973"/>
        <v>-0.99164884346996685</v>
      </c>
    </row>
    <row r="386" spans="1:20" x14ac:dyDescent="0.25">
      <c r="A386" s="5">
        <v>44207</v>
      </c>
      <c r="B386">
        <v>0.47220000000000001</v>
      </c>
      <c r="C386">
        <v>0.49690000000000001</v>
      </c>
      <c r="D386">
        <v>0.38669999999999999</v>
      </c>
      <c r="E386">
        <v>0.49509999999999998</v>
      </c>
      <c r="F386">
        <v>18272366.48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0.96733212341197783</v>
      </c>
      <c r="Q386">
        <f t="shared" si="970"/>
        <v>17675447.066860247</v>
      </c>
      <c r="R386">
        <f t="shared" si="971"/>
        <v>-95587725.436236456</v>
      </c>
      <c r="S386">
        <f t="shared" si="972"/>
        <v>-955.87725436236451</v>
      </c>
      <c r="T386">
        <f t="shared" si="973"/>
        <v>-0.95587725436236448</v>
      </c>
    </row>
    <row r="387" spans="1:20" x14ac:dyDescent="0.25">
      <c r="A387" s="5">
        <v>44206</v>
      </c>
      <c r="B387">
        <v>0.49940000000000001</v>
      </c>
      <c r="C387">
        <v>0.52990000000000004</v>
      </c>
      <c r="D387">
        <v>0.44</v>
      </c>
      <c r="E387">
        <v>0.47349999999999998</v>
      </c>
      <c r="F387">
        <v>9558231.0999999996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-0.25472747497219217</v>
      </c>
      <c r="Q387">
        <f t="shared" si="970"/>
        <v>-2434744.0733036785</v>
      </c>
      <c r="R387">
        <f t="shared" si="971"/>
        <v>-113263172.5030967</v>
      </c>
      <c r="S387">
        <f t="shared" si="972"/>
        <v>-1132.6317250309669</v>
      </c>
      <c r="T387">
        <f t="shared" si="973"/>
        <v>-1.132631725030967</v>
      </c>
    </row>
    <row r="388" spans="1:20" x14ac:dyDescent="0.25">
      <c r="A388" s="5">
        <v>44205</v>
      </c>
      <c r="B388">
        <v>0.49419999999999997</v>
      </c>
      <c r="C388">
        <v>0.52500000000000002</v>
      </c>
      <c r="D388">
        <v>0.48499999999999999</v>
      </c>
      <c r="E388">
        <v>0.49830000000000002</v>
      </c>
      <c r="F388">
        <v>6438495.1500000004</v>
      </c>
      <c r="G388">
        <v>0</v>
      </c>
      <c r="L388" t="s">
        <v>8</v>
      </c>
      <c r="M388" t="s">
        <v>7</v>
      </c>
      <c r="N388" t="s">
        <v>8</v>
      </c>
      <c r="P388">
        <f t="shared" si="969"/>
        <v>-0.33499999999999891</v>
      </c>
      <c r="Q388">
        <f t="shared" si="970"/>
        <v>-2156895.8752499931</v>
      </c>
      <c r="R388">
        <f t="shared" si="971"/>
        <v>-110828428.42979302</v>
      </c>
      <c r="S388">
        <f t="shared" si="972"/>
        <v>-1108.2842842979301</v>
      </c>
      <c r="T388">
        <f t="shared" si="973"/>
        <v>-1.1082842842979301</v>
      </c>
    </row>
    <row r="389" spans="1:20" x14ac:dyDescent="0.25">
      <c r="A389" s="5">
        <v>44204</v>
      </c>
      <c r="B389">
        <v>0.54259999999999997</v>
      </c>
      <c r="C389">
        <v>0.54459999999999997</v>
      </c>
      <c r="D389">
        <v>0.45710000000000001</v>
      </c>
      <c r="E389">
        <v>0.49409999999999998</v>
      </c>
      <c r="F389">
        <v>9200223.7200000007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-0.15428571428571447</v>
      </c>
      <c r="Q389">
        <f t="shared" si="970"/>
        <v>-1419463.0882285733</v>
      </c>
      <c r="R389">
        <f t="shared" si="971"/>
        <v>-108671532.55454302</v>
      </c>
      <c r="S389">
        <f t="shared" si="972"/>
        <v>-1086.7153255454302</v>
      </c>
      <c r="T389">
        <f t="shared" si="973"/>
        <v>-1.0867153255454303</v>
      </c>
    </row>
    <row r="390" spans="1:20" x14ac:dyDescent="0.25">
      <c r="A390" s="5">
        <v>44203</v>
      </c>
      <c r="B390">
        <v>0.52170000000000005</v>
      </c>
      <c r="C390">
        <v>0.56850000000000001</v>
      </c>
      <c r="D390">
        <v>0.5</v>
      </c>
      <c r="E390">
        <v>0.54259999999999997</v>
      </c>
      <c r="F390">
        <v>8048651.8099999996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0.24379562043795527</v>
      </c>
      <c r="Q390">
        <f t="shared" ref="Q390:Q453" si="975">F390*P390</f>
        <v>1962226.0617080217</v>
      </c>
      <c r="R390">
        <f t="shared" ref="R390:R453" si="976">R391+Q390</f>
        <v>-107252069.46631445</v>
      </c>
      <c r="S390">
        <f t="shared" ref="S390:S453" si="977">R390/100000</f>
        <v>-1072.5206946631445</v>
      </c>
      <c r="T390">
        <f t="shared" ref="T390:T453" si="978">S390/1000</f>
        <v>-1.0725206946631445</v>
      </c>
    </row>
    <row r="391" spans="1:20" x14ac:dyDescent="0.25">
      <c r="A391" s="5">
        <v>44202</v>
      </c>
      <c r="B391">
        <v>0.52229999999999999</v>
      </c>
      <c r="C391">
        <v>0.54810000000000003</v>
      </c>
      <c r="D391">
        <v>0.48599999999999999</v>
      </c>
      <c r="E391">
        <v>0.52410000000000001</v>
      </c>
      <c r="F391">
        <v>10994152.960000001</v>
      </c>
      <c r="G391">
        <v>0</v>
      </c>
      <c r="L391" t="s">
        <v>7</v>
      </c>
      <c r="M391" t="s">
        <v>8</v>
      </c>
      <c r="N391" t="s">
        <v>8</v>
      </c>
      <c r="P391">
        <f t="shared" si="974"/>
        <v>0.22705314009661823</v>
      </c>
      <c r="Q391">
        <f t="shared" si="975"/>
        <v>2496256.9522705302</v>
      </c>
      <c r="R391">
        <f t="shared" si="976"/>
        <v>-109214295.52802247</v>
      </c>
      <c r="S391">
        <f t="shared" si="977"/>
        <v>-1092.1429552802247</v>
      </c>
      <c r="T391">
        <f t="shared" si="978"/>
        <v>-1.0921429552802246</v>
      </c>
    </row>
    <row r="392" spans="1:20" x14ac:dyDescent="0.25">
      <c r="A392" s="5">
        <v>44201</v>
      </c>
      <c r="B392">
        <v>0.49349999999999999</v>
      </c>
      <c r="C392">
        <v>0.54390000000000005</v>
      </c>
      <c r="D392">
        <v>0.45329999999999998</v>
      </c>
      <c r="E392">
        <v>0.52139999999999997</v>
      </c>
      <c r="F392">
        <v>10234752.550000001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0.50331125827814438</v>
      </c>
      <c r="Q392">
        <f t="shared" si="975"/>
        <v>5151266.1841059476</v>
      </c>
      <c r="R392">
        <f t="shared" si="976"/>
        <v>-111710552.48029299</v>
      </c>
      <c r="S392">
        <f t="shared" si="977"/>
        <v>-1117.1055248029299</v>
      </c>
      <c r="T392">
        <f t="shared" si="978"/>
        <v>-1.11710552480293</v>
      </c>
    </row>
    <row r="393" spans="1:20" x14ac:dyDescent="0.25">
      <c r="A393" s="5">
        <v>44200</v>
      </c>
      <c r="B393">
        <v>0.4834</v>
      </c>
      <c r="C393">
        <v>0.51</v>
      </c>
      <c r="D393">
        <v>0.42080000000000001</v>
      </c>
      <c r="E393">
        <v>0.49099999999999999</v>
      </c>
      <c r="F393">
        <v>15712589.27</v>
      </c>
      <c r="G393">
        <v>0</v>
      </c>
      <c r="L393" t="s">
        <v>7</v>
      </c>
      <c r="M393" t="s">
        <v>7</v>
      </c>
      <c r="N393" t="s">
        <v>8</v>
      </c>
      <c r="P393">
        <f t="shared" si="974"/>
        <v>0.57399103139013419</v>
      </c>
      <c r="Q393">
        <f t="shared" si="975"/>
        <v>9018885.3208968546</v>
      </c>
      <c r="R393">
        <f t="shared" si="976"/>
        <v>-116861818.66439894</v>
      </c>
      <c r="S393">
        <f t="shared" si="977"/>
        <v>-1168.6181866439895</v>
      </c>
      <c r="T393">
        <f t="shared" si="978"/>
        <v>-1.1686181866439895</v>
      </c>
    </row>
    <row r="394" spans="1:20" x14ac:dyDescent="0.25">
      <c r="A394" s="5">
        <v>44199</v>
      </c>
      <c r="B394">
        <v>0.45679999999999998</v>
      </c>
      <c r="C394">
        <v>0.53</v>
      </c>
      <c r="D394">
        <v>0.45440000000000003</v>
      </c>
      <c r="E394">
        <v>0.48180000000000001</v>
      </c>
      <c r="F394">
        <v>16250899.65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-0.27513227513227567</v>
      </c>
      <c r="Q394">
        <f t="shared" si="975"/>
        <v>-4471146.9936508024</v>
      </c>
      <c r="R394">
        <f t="shared" si="976"/>
        <v>-125880703.98529579</v>
      </c>
      <c r="S394">
        <f t="shared" si="977"/>
        <v>-1258.8070398529578</v>
      </c>
      <c r="T394">
        <f t="shared" si="978"/>
        <v>-1.2588070398529578</v>
      </c>
    </row>
    <row r="395" spans="1:20" x14ac:dyDescent="0.25">
      <c r="A395" s="5">
        <v>44198</v>
      </c>
      <c r="B395">
        <v>0.42930000000000001</v>
      </c>
      <c r="C395">
        <v>0.4894</v>
      </c>
      <c r="D395">
        <v>0.42609999999999998</v>
      </c>
      <c r="E395">
        <v>0.45729999999999998</v>
      </c>
      <c r="F395">
        <v>21710037.66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-1.4218009478673169E-2</v>
      </c>
      <c r="Q395">
        <f t="shared" si="975"/>
        <v>-308673.52123223146</v>
      </c>
      <c r="R395">
        <f t="shared" si="976"/>
        <v>-121409556.99164498</v>
      </c>
      <c r="S395">
        <f t="shared" si="977"/>
        <v>-1214.0955699164497</v>
      </c>
      <c r="T395">
        <f t="shared" si="978"/>
        <v>-1.2140955699164497</v>
      </c>
    </row>
    <row r="396" spans="1:20" x14ac:dyDescent="0.25">
      <c r="A396" s="5">
        <v>44197</v>
      </c>
      <c r="B396">
        <v>0.39600000000000002</v>
      </c>
      <c r="C396">
        <v>0.44569999999999999</v>
      </c>
      <c r="D396">
        <v>0.39489999999999997</v>
      </c>
      <c r="E396">
        <v>0.42720000000000002</v>
      </c>
      <c r="F396">
        <v>11214474.390000001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0.2716535433070883</v>
      </c>
      <c r="Q396">
        <f t="shared" si="975"/>
        <v>3046451.7043700977</v>
      </c>
      <c r="R396">
        <f t="shared" si="976"/>
        <v>-121100883.47041275</v>
      </c>
      <c r="S396">
        <f t="shared" si="977"/>
        <v>-1211.0088347041274</v>
      </c>
      <c r="T396">
        <f t="shared" si="978"/>
        <v>-1.2110088347041275</v>
      </c>
    </row>
    <row r="397" spans="1:20" x14ac:dyDescent="0.25">
      <c r="A397" s="5">
        <v>44196</v>
      </c>
      <c r="B397">
        <v>0.39689999999999998</v>
      </c>
      <c r="C397">
        <v>0.42059999999999997</v>
      </c>
      <c r="D397">
        <v>0.37419999999999998</v>
      </c>
      <c r="E397">
        <v>0.39600000000000002</v>
      </c>
      <c r="F397">
        <v>8043499.8499999996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-6.034482758620504E-2</v>
      </c>
      <c r="Q397">
        <f t="shared" si="975"/>
        <v>-485383.61163791607</v>
      </c>
      <c r="R397">
        <f t="shared" si="976"/>
        <v>-124147335.17478284</v>
      </c>
      <c r="S397">
        <f t="shared" si="977"/>
        <v>-1241.4733517478285</v>
      </c>
      <c r="T397">
        <f t="shared" si="978"/>
        <v>-1.2414733517478285</v>
      </c>
    </row>
    <row r="398" spans="1:20" x14ac:dyDescent="0.25">
      <c r="A398" s="5">
        <v>44195</v>
      </c>
      <c r="B398">
        <v>0.40970000000000001</v>
      </c>
      <c r="C398">
        <v>0.45</v>
      </c>
      <c r="D398">
        <v>0.3795</v>
      </c>
      <c r="E398">
        <v>0.39529999999999998</v>
      </c>
      <c r="F398">
        <v>11790860.15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-0.55177304964539065</v>
      </c>
      <c r="Q398">
        <f t="shared" si="975"/>
        <v>-6505878.8629078083</v>
      </c>
      <c r="R398">
        <f t="shared" si="976"/>
        <v>-123661951.56314492</v>
      </c>
      <c r="S398">
        <f t="shared" si="977"/>
        <v>-1236.6195156314493</v>
      </c>
      <c r="T398">
        <f t="shared" si="978"/>
        <v>-1.2366195156314492</v>
      </c>
    </row>
    <row r="399" spans="1:20" x14ac:dyDescent="0.25">
      <c r="A399" s="5">
        <v>44194</v>
      </c>
      <c r="B399">
        <v>0.39</v>
      </c>
      <c r="C399">
        <v>0.43569999999999998</v>
      </c>
      <c r="D399">
        <v>0.35349999999999998</v>
      </c>
      <c r="E399">
        <v>0.40989999999999999</v>
      </c>
      <c r="F399">
        <v>12114071.01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0.37226277372262795</v>
      </c>
      <c r="Q399">
        <f t="shared" si="975"/>
        <v>4509617.6752554765</v>
      </c>
      <c r="R399">
        <f t="shared" si="976"/>
        <v>-117156072.70023711</v>
      </c>
      <c r="S399">
        <f t="shared" si="977"/>
        <v>-1171.5607270023711</v>
      </c>
      <c r="T399">
        <f t="shared" si="978"/>
        <v>-1.1715607270023711</v>
      </c>
    </row>
    <row r="400" spans="1:20" x14ac:dyDescent="0.25">
      <c r="A400" s="5">
        <v>44193</v>
      </c>
      <c r="B400">
        <v>0.41360000000000002</v>
      </c>
      <c r="C400">
        <v>0.43669999999999998</v>
      </c>
      <c r="D400">
        <v>0.36859999999999998</v>
      </c>
      <c r="E400">
        <v>0.3876</v>
      </c>
      <c r="F400">
        <v>14330462.42</v>
      </c>
      <c r="G400">
        <v>0</v>
      </c>
      <c r="L400" t="s">
        <v>7</v>
      </c>
      <c r="M400" t="s">
        <v>7</v>
      </c>
      <c r="N400" t="s">
        <v>8</v>
      </c>
      <c r="P400">
        <f t="shared" si="974"/>
        <v>-0.44199706314243703</v>
      </c>
      <c r="Q400">
        <f t="shared" si="975"/>
        <v>-6334022.303113061</v>
      </c>
      <c r="R400">
        <f t="shared" si="976"/>
        <v>-121665690.37549259</v>
      </c>
      <c r="S400">
        <f t="shared" si="977"/>
        <v>-1216.6569037549259</v>
      </c>
      <c r="T400">
        <f t="shared" si="978"/>
        <v>-1.216656903754926</v>
      </c>
    </row>
    <row r="401" spans="1:20" x14ac:dyDescent="0.25">
      <c r="A401" s="5">
        <v>44192</v>
      </c>
      <c r="B401">
        <v>0.31990000000000002</v>
      </c>
      <c r="C401">
        <v>0.45</v>
      </c>
      <c r="D401">
        <v>0.31059999999999999</v>
      </c>
      <c r="E401">
        <v>0.4133</v>
      </c>
      <c r="F401">
        <v>34591339.020000003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0.47345767575322806</v>
      </c>
      <c r="Q401">
        <f t="shared" si="975"/>
        <v>16377534.973601148</v>
      </c>
      <c r="R401">
        <f t="shared" si="976"/>
        <v>-115331668.07237953</v>
      </c>
      <c r="S401">
        <f t="shared" si="977"/>
        <v>-1153.3166807237953</v>
      </c>
      <c r="T401">
        <f t="shared" si="978"/>
        <v>-1.1533166807237953</v>
      </c>
    </row>
    <row r="402" spans="1:20" x14ac:dyDescent="0.25">
      <c r="A402" s="5">
        <v>44191</v>
      </c>
      <c r="B402">
        <v>0.30280000000000001</v>
      </c>
      <c r="C402">
        <v>0.32600000000000001</v>
      </c>
      <c r="D402">
        <v>0.29099999999999998</v>
      </c>
      <c r="E402">
        <v>0.31990000000000002</v>
      </c>
      <c r="F402">
        <v>6422380.7599999998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0.65142857142857202</v>
      </c>
      <c r="Q402">
        <f t="shared" si="975"/>
        <v>4183722.3236571467</v>
      </c>
      <c r="R402">
        <f t="shared" si="976"/>
        <v>-131709203.04598068</v>
      </c>
      <c r="S402">
        <f t="shared" si="977"/>
        <v>-1317.0920304598067</v>
      </c>
      <c r="T402">
        <f t="shared" si="978"/>
        <v>-1.3170920304598066</v>
      </c>
    </row>
    <row r="403" spans="1:20" x14ac:dyDescent="0.25">
      <c r="A403" s="5">
        <v>44190</v>
      </c>
      <c r="B403">
        <v>0.28139999999999998</v>
      </c>
      <c r="C403">
        <v>0.315</v>
      </c>
      <c r="D403">
        <v>0.2802</v>
      </c>
      <c r="E403">
        <v>0.3029</v>
      </c>
      <c r="F403">
        <v>6785597.71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0.30459770114942525</v>
      </c>
      <c r="Q403">
        <f t="shared" si="975"/>
        <v>2066877.4633908044</v>
      </c>
      <c r="R403">
        <f t="shared" si="976"/>
        <v>-135892925.36963782</v>
      </c>
      <c r="S403">
        <f t="shared" si="977"/>
        <v>-1358.9292536963783</v>
      </c>
      <c r="T403">
        <f t="shared" si="978"/>
        <v>-1.3589292536963782</v>
      </c>
    </row>
    <row r="404" spans="1:20" x14ac:dyDescent="0.25">
      <c r="A404" s="5">
        <v>44189</v>
      </c>
      <c r="B404">
        <v>0.26179999999999998</v>
      </c>
      <c r="C404">
        <v>0.29399999999999998</v>
      </c>
      <c r="D404">
        <v>0.2419</v>
      </c>
      <c r="E404">
        <v>0.28139999999999998</v>
      </c>
      <c r="F404">
        <v>5179431.49</v>
      </c>
      <c r="G404">
        <v>0</v>
      </c>
      <c r="L404" t="s">
        <v>7</v>
      </c>
      <c r="M404" t="s">
        <v>7</v>
      </c>
      <c r="N404" t="s">
        <v>8</v>
      </c>
      <c r="P404">
        <f t="shared" si="974"/>
        <v>0.51631477927063318</v>
      </c>
      <c r="Q404">
        <f t="shared" si="975"/>
        <v>2674217.0265067169</v>
      </c>
      <c r="R404">
        <f t="shared" si="976"/>
        <v>-137959802.83302861</v>
      </c>
      <c r="S404">
        <f t="shared" si="977"/>
        <v>-1379.5980283302861</v>
      </c>
      <c r="T404">
        <f t="shared" si="978"/>
        <v>-1.379598028330286</v>
      </c>
    </row>
    <row r="405" spans="1:20" x14ac:dyDescent="0.25">
      <c r="A405" s="5">
        <v>44188</v>
      </c>
      <c r="B405">
        <v>0.28389999999999999</v>
      </c>
      <c r="C405">
        <v>0.28489999999999999</v>
      </c>
      <c r="D405">
        <v>0.25740000000000002</v>
      </c>
      <c r="E405">
        <v>0.26069999999999999</v>
      </c>
      <c r="F405">
        <v>5303611.51</v>
      </c>
      <c r="G405">
        <v>0</v>
      </c>
      <c r="L405" t="s">
        <v>7</v>
      </c>
      <c r="M405" t="s">
        <v>7</v>
      </c>
      <c r="N405" t="s">
        <v>8</v>
      </c>
      <c r="P405">
        <f t="shared" si="974"/>
        <v>-0.7600000000000019</v>
      </c>
      <c r="Q405">
        <f t="shared" si="975"/>
        <v>-4030744.7476000097</v>
      </c>
      <c r="R405">
        <f t="shared" si="976"/>
        <v>-140634019.85953534</v>
      </c>
      <c r="S405">
        <f t="shared" si="977"/>
        <v>-1406.3401985953533</v>
      </c>
      <c r="T405">
        <f t="shared" si="978"/>
        <v>-1.4063401985953532</v>
      </c>
    </row>
    <row r="406" spans="1:20" x14ac:dyDescent="0.25">
      <c r="A406" s="5">
        <v>44187</v>
      </c>
      <c r="B406">
        <v>0.28079999999999999</v>
      </c>
      <c r="C406">
        <v>0.30499999999999999</v>
      </c>
      <c r="D406">
        <v>0.2772</v>
      </c>
      <c r="E406">
        <v>0.28260000000000002</v>
      </c>
      <c r="F406">
        <v>4618634.51</v>
      </c>
      <c r="G406">
        <v>0</v>
      </c>
      <c r="L406" t="s">
        <v>8</v>
      </c>
      <c r="M406" t="s">
        <v>7</v>
      </c>
      <c r="N406" t="s">
        <v>8</v>
      </c>
      <c r="P406">
        <f t="shared" si="974"/>
        <v>-0.61151079136690523</v>
      </c>
      <c r="Q406">
        <f t="shared" si="975"/>
        <v>-2824344.8442445984</v>
      </c>
      <c r="R406">
        <f t="shared" si="976"/>
        <v>-136603275.11193532</v>
      </c>
      <c r="S406">
        <f t="shared" si="977"/>
        <v>-1366.0327511193532</v>
      </c>
      <c r="T406">
        <f t="shared" si="978"/>
        <v>-1.3660327511193531</v>
      </c>
    </row>
    <row r="407" spans="1:20" x14ac:dyDescent="0.25">
      <c r="A407" s="5">
        <v>44186</v>
      </c>
      <c r="B407">
        <v>0.2944</v>
      </c>
      <c r="C407">
        <v>0.2944</v>
      </c>
      <c r="D407">
        <v>0.27050000000000002</v>
      </c>
      <c r="E407">
        <v>0.2792</v>
      </c>
      <c r="F407">
        <v>2782046.99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-0.27196652719665321</v>
      </c>
      <c r="Q407">
        <f t="shared" si="975"/>
        <v>-756623.65836820228</v>
      </c>
      <c r="R407">
        <f t="shared" si="976"/>
        <v>-133778930.26769073</v>
      </c>
      <c r="S407">
        <f t="shared" si="977"/>
        <v>-1337.7893026769073</v>
      </c>
      <c r="T407">
        <f t="shared" si="978"/>
        <v>-1.3377893026769072</v>
      </c>
    </row>
    <row r="408" spans="1:20" x14ac:dyDescent="0.25">
      <c r="A408" s="5">
        <v>44185</v>
      </c>
      <c r="B408">
        <v>0.30230000000000001</v>
      </c>
      <c r="C408">
        <v>0.30649999999999999</v>
      </c>
      <c r="D408">
        <v>0.28699999999999998</v>
      </c>
      <c r="E408">
        <v>0.29349999999999998</v>
      </c>
      <c r="F408">
        <v>2960410.48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-0.33333333333333331</v>
      </c>
      <c r="Q408">
        <f t="shared" si="975"/>
        <v>-986803.49333333329</v>
      </c>
      <c r="R408">
        <f t="shared" si="976"/>
        <v>-133022306.60932253</v>
      </c>
      <c r="S408">
        <f t="shared" si="977"/>
        <v>-1330.2230660932253</v>
      </c>
      <c r="T408">
        <f t="shared" si="978"/>
        <v>-1.3302230660932253</v>
      </c>
    </row>
    <row r="409" spans="1:20" x14ac:dyDescent="0.25">
      <c r="A409" s="5">
        <v>44184</v>
      </c>
      <c r="B409">
        <v>0.31719999999999998</v>
      </c>
      <c r="C409">
        <v>0.318</v>
      </c>
      <c r="D409">
        <v>0.29799999999999999</v>
      </c>
      <c r="E409">
        <v>0.30359999999999998</v>
      </c>
      <c r="F409">
        <v>4901398.7300000004</v>
      </c>
      <c r="G409">
        <v>0</v>
      </c>
      <c r="L409" t="s">
        <v>7</v>
      </c>
      <c r="M409" t="s">
        <v>7</v>
      </c>
      <c r="N409" t="s">
        <v>8</v>
      </c>
      <c r="P409">
        <f t="shared" si="974"/>
        <v>-0.44000000000000111</v>
      </c>
      <c r="Q409">
        <f t="shared" si="975"/>
        <v>-2156615.4412000058</v>
      </c>
      <c r="R409">
        <f t="shared" si="976"/>
        <v>-132035503.11598919</v>
      </c>
      <c r="S409">
        <f t="shared" si="977"/>
        <v>-1320.355031159892</v>
      </c>
      <c r="T409">
        <f t="shared" si="978"/>
        <v>-1.3203550311598919</v>
      </c>
    </row>
    <row r="410" spans="1:20" x14ac:dyDescent="0.25">
      <c r="A410" s="5">
        <v>44183</v>
      </c>
      <c r="B410">
        <v>0.29680000000000001</v>
      </c>
      <c r="C410">
        <v>0.31769999999999998</v>
      </c>
      <c r="D410">
        <v>0.2959</v>
      </c>
      <c r="E410">
        <v>0.31719999999999998</v>
      </c>
      <c r="F410">
        <v>5746360.6299999999</v>
      </c>
      <c r="G410">
        <v>0</v>
      </c>
      <c r="L410" t="s">
        <v>8</v>
      </c>
      <c r="M410" t="s">
        <v>7</v>
      </c>
      <c r="N410" t="s">
        <v>8</v>
      </c>
      <c r="P410">
        <f t="shared" si="974"/>
        <v>0.95412844036697242</v>
      </c>
      <c r="Q410">
        <f t="shared" si="975"/>
        <v>5482766.1056880727</v>
      </c>
      <c r="R410">
        <f t="shared" si="976"/>
        <v>-129878887.67478919</v>
      </c>
      <c r="S410">
        <f t="shared" si="977"/>
        <v>-1298.7888767478919</v>
      </c>
      <c r="T410">
        <f t="shared" si="978"/>
        <v>-1.2987888767478919</v>
      </c>
    </row>
    <row r="411" spans="1:20" x14ac:dyDescent="0.25">
      <c r="A411" s="5">
        <v>44182</v>
      </c>
      <c r="B411">
        <v>0.29970000000000002</v>
      </c>
      <c r="C411">
        <v>0.31</v>
      </c>
      <c r="D411">
        <v>0.28660000000000002</v>
      </c>
      <c r="E411">
        <v>0.29670000000000002</v>
      </c>
      <c r="F411">
        <v>7091152.0499999998</v>
      </c>
      <c r="G411">
        <v>0</v>
      </c>
      <c r="L411" t="s">
        <v>8</v>
      </c>
      <c r="M411" t="s">
        <v>7</v>
      </c>
      <c r="N411" t="s">
        <v>8</v>
      </c>
      <c r="P411">
        <f t="shared" si="974"/>
        <v>-0.13675213675213607</v>
      </c>
      <c r="Q411">
        <f t="shared" si="975"/>
        <v>-969730.19487179001</v>
      </c>
      <c r="R411">
        <f t="shared" si="976"/>
        <v>-135361653.78047726</v>
      </c>
      <c r="S411">
        <f t="shared" si="977"/>
        <v>-1353.6165378047726</v>
      </c>
      <c r="T411">
        <f t="shared" si="978"/>
        <v>-1.3536165378047726</v>
      </c>
    </row>
    <row r="412" spans="1:20" x14ac:dyDescent="0.25">
      <c r="A412" s="5">
        <v>44181</v>
      </c>
      <c r="B412">
        <v>0.30309999999999998</v>
      </c>
      <c r="C412">
        <v>0.307</v>
      </c>
      <c r="D412">
        <v>0.28310000000000002</v>
      </c>
      <c r="E412">
        <v>0.29970000000000002</v>
      </c>
      <c r="F412">
        <v>7388570.1900000004</v>
      </c>
      <c r="G412">
        <v>0</v>
      </c>
      <c r="L412" t="s">
        <v>7</v>
      </c>
      <c r="M412" t="s">
        <v>7</v>
      </c>
      <c r="N412" t="s">
        <v>8</v>
      </c>
      <c r="P412">
        <f t="shared" si="974"/>
        <v>0.38912133891213552</v>
      </c>
      <c r="Q412">
        <f t="shared" si="975"/>
        <v>2875050.3249790915</v>
      </c>
      <c r="R412">
        <f t="shared" si="976"/>
        <v>-134391923.58560547</v>
      </c>
      <c r="S412">
        <f t="shared" si="977"/>
        <v>-1343.9192358560547</v>
      </c>
      <c r="T412">
        <f t="shared" si="978"/>
        <v>-1.3439192358560548</v>
      </c>
    </row>
    <row r="413" spans="1:20" x14ac:dyDescent="0.25">
      <c r="A413" s="5">
        <v>44180</v>
      </c>
      <c r="B413">
        <v>0.31900000000000001</v>
      </c>
      <c r="C413">
        <v>0.32690000000000002</v>
      </c>
      <c r="D413">
        <v>0.29809999999999998</v>
      </c>
      <c r="E413">
        <v>0.30409999999999998</v>
      </c>
      <c r="F413">
        <v>6778358.1100000003</v>
      </c>
      <c r="G413">
        <v>0</v>
      </c>
      <c r="L413" t="s">
        <v>7</v>
      </c>
      <c r="M413" t="s">
        <v>8</v>
      </c>
      <c r="N413" t="s">
        <v>8</v>
      </c>
      <c r="P413">
        <f t="shared" si="974"/>
        <v>-0.5833333333333337</v>
      </c>
      <c r="Q413">
        <f t="shared" si="975"/>
        <v>-3954042.2308333362</v>
      </c>
      <c r="R413">
        <f t="shared" si="976"/>
        <v>-137266973.91058457</v>
      </c>
      <c r="S413">
        <f t="shared" si="977"/>
        <v>-1372.6697391058458</v>
      </c>
      <c r="T413">
        <f t="shared" si="978"/>
        <v>-1.3726697391058458</v>
      </c>
    </row>
    <row r="414" spans="1:20" x14ac:dyDescent="0.25">
      <c r="A414" s="5">
        <v>44179</v>
      </c>
      <c r="B414">
        <v>0.32550000000000001</v>
      </c>
      <c r="C414">
        <v>0.34499999999999997</v>
      </c>
      <c r="D414">
        <v>0.31059999999999999</v>
      </c>
      <c r="E414">
        <v>0.31940000000000002</v>
      </c>
      <c r="F414">
        <v>8386936.96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-0.48837209302325385</v>
      </c>
      <c r="Q414">
        <f t="shared" si="975"/>
        <v>-4095945.9572092858</v>
      </c>
      <c r="R414">
        <f t="shared" si="976"/>
        <v>-133312931.67975123</v>
      </c>
      <c r="S414">
        <f t="shared" si="977"/>
        <v>-1333.1293167975123</v>
      </c>
      <c r="T414">
        <f t="shared" si="978"/>
        <v>-1.3331293167975122</v>
      </c>
    </row>
    <row r="415" spans="1:20" x14ac:dyDescent="0.25">
      <c r="A415" s="5">
        <v>44178</v>
      </c>
      <c r="B415">
        <v>0.29559999999999997</v>
      </c>
      <c r="C415">
        <v>0.3392</v>
      </c>
      <c r="D415">
        <v>0.29210000000000003</v>
      </c>
      <c r="E415">
        <v>0.32369999999999999</v>
      </c>
      <c r="F415">
        <v>14463382.23</v>
      </c>
      <c r="G415">
        <v>0</v>
      </c>
      <c r="L415" t="s">
        <v>8</v>
      </c>
      <c r="M415" t="s">
        <v>8</v>
      </c>
      <c r="N415" t="s">
        <v>8</v>
      </c>
      <c r="P415">
        <f t="shared" si="974"/>
        <v>0.34182590233545557</v>
      </c>
      <c r="Q415">
        <f t="shared" si="975"/>
        <v>4943958.6815923434</v>
      </c>
      <c r="R415">
        <f t="shared" si="976"/>
        <v>-129216985.72254194</v>
      </c>
      <c r="S415">
        <f t="shared" si="977"/>
        <v>-1292.1698572254195</v>
      </c>
      <c r="T415">
        <f t="shared" si="978"/>
        <v>-1.2921698572254194</v>
      </c>
    </row>
    <row r="416" spans="1:20" x14ac:dyDescent="0.25">
      <c r="A416" s="5">
        <v>44177</v>
      </c>
      <c r="B416">
        <v>0.27450000000000002</v>
      </c>
      <c r="C416">
        <v>0.30590000000000001</v>
      </c>
      <c r="D416">
        <v>0.27310000000000001</v>
      </c>
      <c r="E416">
        <v>0.29580000000000001</v>
      </c>
      <c r="F416">
        <v>8178039.0700000003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0.3841463414634147</v>
      </c>
      <c r="Q416">
        <f t="shared" si="975"/>
        <v>3141563.7890853663</v>
      </c>
      <c r="R416">
        <f t="shared" si="976"/>
        <v>-134160944.40413429</v>
      </c>
      <c r="S416">
        <f t="shared" si="977"/>
        <v>-1341.6094440413428</v>
      </c>
      <c r="T416">
        <f t="shared" si="978"/>
        <v>-1.3416094440413429</v>
      </c>
    </row>
    <row r="417" spans="1:20" x14ac:dyDescent="0.25">
      <c r="A417" s="5">
        <v>44176</v>
      </c>
      <c r="B417">
        <v>0.26200000000000001</v>
      </c>
      <c r="C417">
        <v>0.29199999999999998</v>
      </c>
      <c r="D417">
        <v>0.24909999999999999</v>
      </c>
      <c r="E417">
        <v>0.27500000000000002</v>
      </c>
      <c r="F417">
        <v>11997084.220000001</v>
      </c>
      <c r="G417">
        <v>0</v>
      </c>
      <c r="L417" t="s">
        <v>8</v>
      </c>
      <c r="M417" t="s">
        <v>7</v>
      </c>
      <c r="N417" t="s">
        <v>8</v>
      </c>
      <c r="P417">
        <f t="shared" si="974"/>
        <v>0.20745920745920923</v>
      </c>
      <c r="Q417">
        <f t="shared" si="975"/>
        <v>2488905.5841025854</v>
      </c>
      <c r="R417">
        <f t="shared" si="976"/>
        <v>-137302508.19321966</v>
      </c>
      <c r="S417">
        <f t="shared" si="977"/>
        <v>-1373.0250819321966</v>
      </c>
      <c r="T417">
        <f t="shared" si="978"/>
        <v>-1.3730250819321965</v>
      </c>
    </row>
    <row r="418" spans="1:20" x14ac:dyDescent="0.25">
      <c r="A418" s="5">
        <v>44175</v>
      </c>
      <c r="B418">
        <v>0.27560000000000001</v>
      </c>
      <c r="C418">
        <v>0.27739999999999998</v>
      </c>
      <c r="D418">
        <v>0.24690000000000001</v>
      </c>
      <c r="E418">
        <v>0.26179999999999998</v>
      </c>
      <c r="F418">
        <v>7566251.79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-2.2950819672132281E-2</v>
      </c>
      <c r="Q418">
        <f t="shared" si="975"/>
        <v>-173651.68042623808</v>
      </c>
      <c r="R418">
        <f t="shared" si="976"/>
        <v>-139791413.77732223</v>
      </c>
      <c r="S418">
        <f t="shared" si="977"/>
        <v>-1397.9141377732224</v>
      </c>
      <c r="T418">
        <f t="shared" si="978"/>
        <v>-1.3979141377732223</v>
      </c>
    </row>
    <row r="419" spans="1:20" x14ac:dyDescent="0.25">
      <c r="A419" s="5">
        <v>44174</v>
      </c>
      <c r="B419">
        <v>0.2853</v>
      </c>
      <c r="C419">
        <v>0.29270000000000002</v>
      </c>
      <c r="D419">
        <v>0.24929999999999999</v>
      </c>
      <c r="E419">
        <v>0.2757</v>
      </c>
      <c r="F419">
        <v>11275127.92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0.21658986175115177</v>
      </c>
      <c r="Q419">
        <f t="shared" si="975"/>
        <v>2442078.3974193516</v>
      </c>
      <c r="R419">
        <f t="shared" si="976"/>
        <v>-139617762.09689599</v>
      </c>
      <c r="S419">
        <f t="shared" si="977"/>
        <v>-1396.1776209689599</v>
      </c>
      <c r="T419">
        <f t="shared" si="978"/>
        <v>-1.3961776209689598</v>
      </c>
    </row>
    <row r="420" spans="1:20" x14ac:dyDescent="0.25">
      <c r="A420" s="5">
        <v>44173</v>
      </c>
      <c r="B420">
        <v>0.26579999999999998</v>
      </c>
      <c r="C420">
        <v>0.31709999999999999</v>
      </c>
      <c r="D420">
        <v>0.26419999999999999</v>
      </c>
      <c r="E420">
        <v>0.28539999999999999</v>
      </c>
      <c r="F420">
        <v>24652922.559999999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-0.1984877126654066</v>
      </c>
      <c r="Q420">
        <f t="shared" si="975"/>
        <v>-4893302.2094518002</v>
      </c>
      <c r="R420">
        <f t="shared" si="976"/>
        <v>-142059840.49431536</v>
      </c>
      <c r="S420">
        <f t="shared" si="977"/>
        <v>-1420.5984049431536</v>
      </c>
      <c r="T420">
        <f t="shared" si="978"/>
        <v>-1.4205984049431535</v>
      </c>
    </row>
    <row r="421" spans="1:20" x14ac:dyDescent="0.25">
      <c r="A421" s="5">
        <v>44172</v>
      </c>
      <c r="B421">
        <v>0.247</v>
      </c>
      <c r="C421">
        <v>0.27229999999999999</v>
      </c>
      <c r="D421">
        <v>0.23699999999999999</v>
      </c>
      <c r="E421">
        <v>0.2656</v>
      </c>
      <c r="F421">
        <v>13394063.09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0.62039660056657309</v>
      </c>
      <c r="Q421">
        <f t="shared" si="975"/>
        <v>8309631.2088102093</v>
      </c>
      <c r="R421">
        <f t="shared" si="976"/>
        <v>-137166538.28486356</v>
      </c>
      <c r="S421">
        <f t="shared" si="977"/>
        <v>-1371.6653828486355</v>
      </c>
      <c r="T421">
        <f t="shared" si="978"/>
        <v>-1.3716653828486356</v>
      </c>
    </row>
    <row r="422" spans="1:20" x14ac:dyDescent="0.25">
      <c r="A422" s="5">
        <v>44171</v>
      </c>
      <c r="B422">
        <v>0.2301</v>
      </c>
      <c r="C422">
        <v>0.248</v>
      </c>
      <c r="D422">
        <v>0.22939999999999999</v>
      </c>
      <c r="E422">
        <v>0.247</v>
      </c>
      <c r="F422">
        <v>2641901.54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0.89247311827956988</v>
      </c>
      <c r="Q422">
        <f t="shared" si="975"/>
        <v>2357826.1055913977</v>
      </c>
      <c r="R422">
        <f t="shared" si="976"/>
        <v>-145476169.49367377</v>
      </c>
      <c r="S422">
        <f t="shared" si="977"/>
        <v>-1454.7616949367377</v>
      </c>
      <c r="T422">
        <f t="shared" si="978"/>
        <v>-1.4547616949367377</v>
      </c>
    </row>
    <row r="423" spans="1:20" x14ac:dyDescent="0.25">
      <c r="A423" s="5">
        <v>44170</v>
      </c>
      <c r="B423">
        <v>0.22550000000000001</v>
      </c>
      <c r="C423">
        <v>0.23200000000000001</v>
      </c>
      <c r="D423">
        <v>0.2243</v>
      </c>
      <c r="E423">
        <v>0.2301</v>
      </c>
      <c r="F423">
        <v>1786475.77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0.506493506493504</v>
      </c>
      <c r="Q423">
        <f t="shared" si="975"/>
        <v>904838.37701298262</v>
      </c>
      <c r="R423">
        <f t="shared" si="976"/>
        <v>-147833995.59926516</v>
      </c>
      <c r="S423">
        <f t="shared" si="977"/>
        <v>-1478.3399559926515</v>
      </c>
      <c r="T423">
        <f t="shared" si="978"/>
        <v>-1.4783399559926516</v>
      </c>
    </row>
    <row r="424" spans="1:20" x14ac:dyDescent="0.25">
      <c r="A424" s="5">
        <v>44169</v>
      </c>
      <c r="B424">
        <v>0.2455</v>
      </c>
      <c r="C424">
        <v>0.2467</v>
      </c>
      <c r="D424">
        <v>0.22450000000000001</v>
      </c>
      <c r="E424">
        <v>0.22559999999999999</v>
      </c>
      <c r="F424">
        <v>2985380.71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-0.9009009009009018</v>
      </c>
      <c r="Q424">
        <f t="shared" si="975"/>
        <v>-2689532.1711711739</v>
      </c>
      <c r="R424">
        <f t="shared" si="976"/>
        <v>-148738833.97627813</v>
      </c>
      <c r="S424">
        <f t="shared" si="977"/>
        <v>-1487.3883397627812</v>
      </c>
      <c r="T424">
        <f t="shared" si="978"/>
        <v>-1.4873883397627812</v>
      </c>
    </row>
    <row r="425" spans="1:20" x14ac:dyDescent="0.25">
      <c r="A425" s="5">
        <v>44168</v>
      </c>
      <c r="B425">
        <v>0.2457</v>
      </c>
      <c r="C425">
        <v>0.25059999999999999</v>
      </c>
      <c r="D425">
        <v>0.24279999999999999</v>
      </c>
      <c r="E425">
        <v>0.24590000000000001</v>
      </c>
      <c r="F425">
        <v>2182905.88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-0.20512820512820029</v>
      </c>
      <c r="Q425">
        <f t="shared" si="975"/>
        <v>-447775.56512819458</v>
      </c>
      <c r="R425">
        <f t="shared" si="976"/>
        <v>-146049301.80510694</v>
      </c>
      <c r="S425">
        <f t="shared" si="977"/>
        <v>-1460.4930180510694</v>
      </c>
      <c r="T425">
        <f t="shared" si="978"/>
        <v>-1.4604930180510693</v>
      </c>
    </row>
    <row r="426" spans="1:20" x14ac:dyDescent="0.25">
      <c r="A426" s="5">
        <v>44167</v>
      </c>
      <c r="B426">
        <v>0.2384</v>
      </c>
      <c r="C426">
        <v>0.25240000000000001</v>
      </c>
      <c r="D426">
        <v>0.23449999999999999</v>
      </c>
      <c r="E426">
        <v>0.24629999999999999</v>
      </c>
      <c r="F426">
        <v>3107588.62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0.31843575418994269</v>
      </c>
      <c r="Q426">
        <f t="shared" si="975"/>
        <v>989567.32592178322</v>
      </c>
      <c r="R426">
        <f t="shared" si="976"/>
        <v>-145601526.23997873</v>
      </c>
      <c r="S426">
        <f t="shared" si="977"/>
        <v>-1456.0152623997874</v>
      </c>
      <c r="T426">
        <f t="shared" si="978"/>
        <v>-1.4560152623997873</v>
      </c>
    </row>
    <row r="427" spans="1:20" x14ac:dyDescent="0.25">
      <c r="A427" s="5">
        <v>44166</v>
      </c>
      <c r="B427">
        <v>0.24199999999999999</v>
      </c>
      <c r="C427">
        <v>0.25440000000000002</v>
      </c>
      <c r="D427">
        <v>0.23</v>
      </c>
      <c r="E427">
        <v>0.2384</v>
      </c>
      <c r="F427">
        <v>3281417.52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-0.31147540983606647</v>
      </c>
      <c r="Q427">
        <f t="shared" si="975"/>
        <v>-1022080.8668852489</v>
      </c>
      <c r="R427">
        <f t="shared" si="976"/>
        <v>-146591093.5659005</v>
      </c>
      <c r="S427">
        <f t="shared" si="977"/>
        <v>-1465.910935659005</v>
      </c>
      <c r="T427">
        <f t="shared" si="978"/>
        <v>-1.465910935659005</v>
      </c>
    </row>
    <row r="428" spans="1:20" x14ac:dyDescent="0.25">
      <c r="A428" s="5">
        <v>44165</v>
      </c>
      <c r="B428">
        <v>0.2387</v>
      </c>
      <c r="C428">
        <v>0.25</v>
      </c>
      <c r="D428">
        <v>0.23630000000000001</v>
      </c>
      <c r="E428">
        <v>0.24199999999999999</v>
      </c>
      <c r="F428">
        <v>3182155.6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-0.16788321167883402</v>
      </c>
      <c r="Q428">
        <f t="shared" si="975"/>
        <v>-534230.5021897871</v>
      </c>
      <c r="R428">
        <f t="shared" si="976"/>
        <v>-145569012.69901526</v>
      </c>
      <c r="S428">
        <f t="shared" si="977"/>
        <v>-1455.6901269901525</v>
      </c>
      <c r="T428">
        <f t="shared" si="978"/>
        <v>-1.4556901269901525</v>
      </c>
    </row>
    <row r="429" spans="1:20" x14ac:dyDescent="0.25">
      <c r="A429" s="5">
        <v>44164</v>
      </c>
      <c r="B429">
        <v>0.23499999999999999</v>
      </c>
      <c r="C429">
        <v>0.2399</v>
      </c>
      <c r="D429">
        <v>0.2258</v>
      </c>
      <c r="E429">
        <v>0.23630000000000001</v>
      </c>
      <c r="F429">
        <v>2298722.9700000002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0.48936170212766072</v>
      </c>
      <c r="Q429">
        <f t="shared" si="975"/>
        <v>1124906.9853191518</v>
      </c>
      <c r="R429">
        <f t="shared" si="976"/>
        <v>-145034782.19682547</v>
      </c>
      <c r="S429">
        <f t="shared" si="977"/>
        <v>-1450.3478219682547</v>
      </c>
      <c r="T429">
        <f t="shared" si="978"/>
        <v>-1.4503478219682546</v>
      </c>
    </row>
    <row r="430" spans="1:20" x14ac:dyDescent="0.25">
      <c r="A430" s="5">
        <v>44163</v>
      </c>
      <c r="B430">
        <v>0.23680000000000001</v>
      </c>
      <c r="C430">
        <v>0.24490000000000001</v>
      </c>
      <c r="D430">
        <v>0.2276</v>
      </c>
      <c r="E430">
        <v>0.2351</v>
      </c>
      <c r="F430">
        <v>2299754.65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-0.13294797687861243</v>
      </c>
      <c r="Q430">
        <f t="shared" si="975"/>
        <v>-305747.72803468141</v>
      </c>
      <c r="R430">
        <f t="shared" si="976"/>
        <v>-146159689.18214461</v>
      </c>
      <c r="S430">
        <f t="shared" si="977"/>
        <v>-1461.5968918214462</v>
      </c>
      <c r="T430">
        <f t="shared" si="978"/>
        <v>-1.4615968918214461</v>
      </c>
    </row>
    <row r="431" spans="1:20" x14ac:dyDescent="0.25">
      <c r="A431" s="5">
        <v>44162</v>
      </c>
      <c r="B431">
        <v>0.25580000000000003</v>
      </c>
      <c r="C431">
        <v>0.25879999999999997</v>
      </c>
      <c r="D431">
        <v>0.23250000000000001</v>
      </c>
      <c r="E431">
        <v>0.2384</v>
      </c>
      <c r="F431">
        <v>4337344.8099999996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-0.55133079847908772</v>
      </c>
      <c r="Q431">
        <f t="shared" si="975"/>
        <v>-2391311.7773764268</v>
      </c>
      <c r="R431">
        <f t="shared" si="976"/>
        <v>-145853941.45410994</v>
      </c>
      <c r="S431">
        <f t="shared" si="977"/>
        <v>-1458.5394145410994</v>
      </c>
      <c r="T431">
        <f t="shared" si="978"/>
        <v>-1.4585394145410995</v>
      </c>
    </row>
    <row r="432" spans="1:20" x14ac:dyDescent="0.25">
      <c r="A432" s="5">
        <v>44161</v>
      </c>
      <c r="B432">
        <v>0.2419</v>
      </c>
      <c r="C432">
        <v>0.26200000000000001</v>
      </c>
      <c r="D432">
        <v>0.20200000000000001</v>
      </c>
      <c r="E432">
        <v>0.25580000000000003</v>
      </c>
      <c r="F432">
        <v>13470147.060000001</v>
      </c>
      <c r="G432">
        <v>0</v>
      </c>
      <c r="L432" t="s">
        <v>7</v>
      </c>
      <c r="M432" t="s">
        <v>8</v>
      </c>
      <c r="N432" t="s">
        <v>7</v>
      </c>
      <c r="P432">
        <f t="shared" si="974"/>
        <v>0.79333333333333389</v>
      </c>
      <c r="Q432">
        <f t="shared" si="975"/>
        <v>10686316.667600008</v>
      </c>
      <c r="R432">
        <f t="shared" si="976"/>
        <v>-143462629.67673352</v>
      </c>
      <c r="S432">
        <f t="shared" si="977"/>
        <v>-1434.6262967673351</v>
      </c>
      <c r="T432">
        <f t="shared" si="978"/>
        <v>-1.4346262967673351</v>
      </c>
    </row>
    <row r="433" spans="1:20" x14ac:dyDescent="0.25">
      <c r="A433" s="5">
        <v>44160</v>
      </c>
      <c r="B433">
        <v>0.2276</v>
      </c>
      <c r="C433">
        <v>0.254</v>
      </c>
      <c r="D433">
        <v>0.2157</v>
      </c>
      <c r="E433">
        <v>0.24110000000000001</v>
      </c>
      <c r="F433">
        <v>5370294.6500000004</v>
      </c>
      <c r="G433">
        <v>0</v>
      </c>
      <c r="L433" t="s">
        <v>7</v>
      </c>
      <c r="M433" t="s">
        <v>8</v>
      </c>
      <c r="N433" t="s">
        <v>7</v>
      </c>
      <c r="P433">
        <f t="shared" si="974"/>
        <v>0.32637075718015696</v>
      </c>
      <c r="Q433">
        <f t="shared" si="975"/>
        <v>1752707.1312010461</v>
      </c>
      <c r="R433">
        <f t="shared" si="976"/>
        <v>-154148946.34433353</v>
      </c>
      <c r="S433">
        <f t="shared" si="977"/>
        <v>-1541.4894634433354</v>
      </c>
      <c r="T433">
        <f t="shared" si="978"/>
        <v>-1.5414894634433354</v>
      </c>
    </row>
    <row r="434" spans="1:20" x14ac:dyDescent="0.25">
      <c r="A434" s="5">
        <v>44159</v>
      </c>
      <c r="B434">
        <v>0.23250000000000001</v>
      </c>
      <c r="C434">
        <v>0.254</v>
      </c>
      <c r="D434">
        <v>0.20499999999999999</v>
      </c>
      <c r="E434">
        <v>0.2278</v>
      </c>
      <c r="F434">
        <v>8208984.3899999997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-6.938775510204051E-2</v>
      </c>
      <c r="Q434">
        <f t="shared" si="975"/>
        <v>-569602.99848979339</v>
      </c>
      <c r="R434">
        <f t="shared" si="976"/>
        <v>-155901653.47553459</v>
      </c>
      <c r="S434">
        <f t="shared" si="977"/>
        <v>-1559.0165347553459</v>
      </c>
      <c r="T434">
        <f t="shared" si="978"/>
        <v>-1.559016534755346</v>
      </c>
    </row>
    <row r="435" spans="1:20" x14ac:dyDescent="0.25">
      <c r="A435" s="5">
        <v>44158</v>
      </c>
      <c r="B435">
        <v>0.21249999999999999</v>
      </c>
      <c r="C435">
        <v>0.2369</v>
      </c>
      <c r="D435">
        <v>0.20949999999999999</v>
      </c>
      <c r="E435">
        <v>0.2334</v>
      </c>
      <c r="F435">
        <v>3635111.06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0.74452554744525534</v>
      </c>
      <c r="Q435">
        <f t="shared" si="975"/>
        <v>2706433.0519708027</v>
      </c>
      <c r="R435">
        <f t="shared" si="976"/>
        <v>-155332050.47704479</v>
      </c>
      <c r="S435">
        <f t="shared" si="977"/>
        <v>-1553.320504770448</v>
      </c>
      <c r="T435">
        <f t="shared" si="978"/>
        <v>-1.5533205047704479</v>
      </c>
    </row>
    <row r="436" spans="1:20" x14ac:dyDescent="0.25">
      <c r="A436" s="5">
        <v>44157</v>
      </c>
      <c r="B436">
        <v>0.2291</v>
      </c>
      <c r="C436">
        <v>0.22950000000000001</v>
      </c>
      <c r="D436">
        <v>0.20230000000000001</v>
      </c>
      <c r="E436">
        <v>0.2122</v>
      </c>
      <c r="F436">
        <v>3474462.43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-0.27205882352941241</v>
      </c>
      <c r="Q436">
        <f t="shared" si="975"/>
        <v>-945258.16110294347</v>
      </c>
      <c r="R436">
        <f t="shared" si="976"/>
        <v>-158038483.5290156</v>
      </c>
      <c r="S436">
        <f t="shared" si="977"/>
        <v>-1580.3848352901559</v>
      </c>
      <c r="T436">
        <f t="shared" si="978"/>
        <v>-1.5803848352901559</v>
      </c>
    </row>
    <row r="437" spans="1:20" x14ac:dyDescent="0.25">
      <c r="A437" s="5">
        <v>44156</v>
      </c>
      <c r="B437">
        <v>0.2155</v>
      </c>
      <c r="C437">
        <v>0.2291</v>
      </c>
      <c r="D437">
        <v>0.2069</v>
      </c>
      <c r="E437">
        <v>0.2291</v>
      </c>
      <c r="F437">
        <v>5119991.33</v>
      </c>
      <c r="G437">
        <v>0</v>
      </c>
      <c r="L437" t="s">
        <v>8</v>
      </c>
      <c r="M437" t="s">
        <v>7</v>
      </c>
      <c r="N437" t="s">
        <v>7</v>
      </c>
      <c r="P437">
        <f t="shared" si="974"/>
        <v>1</v>
      </c>
      <c r="Q437">
        <f t="shared" si="975"/>
        <v>5119991.33</v>
      </c>
      <c r="R437">
        <f t="shared" si="976"/>
        <v>-157093225.36791265</v>
      </c>
      <c r="S437">
        <f t="shared" si="977"/>
        <v>-1570.9322536791265</v>
      </c>
      <c r="T437">
        <f t="shared" si="978"/>
        <v>-1.5709322536791264</v>
      </c>
    </row>
    <row r="438" spans="1:20" x14ac:dyDescent="0.25">
      <c r="A438" s="5">
        <v>44155</v>
      </c>
      <c r="B438">
        <v>0.20649999999999999</v>
      </c>
      <c r="C438">
        <v>0.219</v>
      </c>
      <c r="D438">
        <v>0.19950000000000001</v>
      </c>
      <c r="E438">
        <v>0.2155</v>
      </c>
      <c r="F438">
        <v>7599535.4199999999</v>
      </c>
      <c r="G438">
        <v>0</v>
      </c>
      <c r="L438" t="s">
        <v>7</v>
      </c>
      <c r="M438" t="s">
        <v>7</v>
      </c>
      <c r="N438" t="s">
        <v>7</v>
      </c>
      <c r="P438">
        <f t="shared" si="974"/>
        <v>0.64102564102564052</v>
      </c>
      <c r="Q438">
        <f t="shared" si="975"/>
        <v>4871497.0641025603</v>
      </c>
      <c r="R438">
        <f t="shared" si="976"/>
        <v>-162213216.69791266</v>
      </c>
      <c r="S438">
        <f t="shared" si="977"/>
        <v>-1622.1321669791266</v>
      </c>
      <c r="T438">
        <f t="shared" si="978"/>
        <v>-1.6221321669791267</v>
      </c>
    </row>
    <row r="439" spans="1:20" x14ac:dyDescent="0.25">
      <c r="A439" s="5">
        <v>44154</v>
      </c>
      <c r="B439">
        <v>0.22090000000000001</v>
      </c>
      <c r="C439">
        <v>0.23699999999999999</v>
      </c>
      <c r="D439">
        <v>0.20369999999999999</v>
      </c>
      <c r="E439">
        <v>0.2051</v>
      </c>
      <c r="F439">
        <v>7287881.1100000003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-0.91591591591591515</v>
      </c>
      <c r="Q439">
        <f t="shared" si="975"/>
        <v>-6675086.3019519467</v>
      </c>
      <c r="R439">
        <f t="shared" si="976"/>
        <v>-167084713.76201522</v>
      </c>
      <c r="S439">
        <f t="shared" si="977"/>
        <v>-1670.8471376201521</v>
      </c>
      <c r="T439">
        <f t="shared" si="978"/>
        <v>-1.6708471376201521</v>
      </c>
    </row>
    <row r="440" spans="1:20" x14ac:dyDescent="0.25">
      <c r="A440" s="5">
        <v>44153</v>
      </c>
      <c r="B440">
        <v>0.24260000000000001</v>
      </c>
      <c r="C440">
        <v>0.248</v>
      </c>
      <c r="D440">
        <v>0.20610000000000001</v>
      </c>
      <c r="E440">
        <v>0.22020000000000001</v>
      </c>
      <c r="F440">
        <v>7546765.1399999997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-0.3269689737470165</v>
      </c>
      <c r="Q440">
        <f t="shared" si="975"/>
        <v>-2467558.0529355593</v>
      </c>
      <c r="R440">
        <f t="shared" si="976"/>
        <v>-160409627.46006328</v>
      </c>
      <c r="S440">
        <f t="shared" si="977"/>
        <v>-1604.0962746006328</v>
      </c>
      <c r="T440">
        <f t="shared" si="978"/>
        <v>-1.6040962746006329</v>
      </c>
    </row>
    <row r="441" spans="1:20" x14ac:dyDescent="0.25">
      <c r="A441" s="5">
        <v>44152</v>
      </c>
      <c r="B441">
        <v>0.25059999999999999</v>
      </c>
      <c r="C441">
        <v>0.25600000000000001</v>
      </c>
      <c r="D441">
        <v>0.22850000000000001</v>
      </c>
      <c r="E441">
        <v>0.24260000000000001</v>
      </c>
      <c r="F441">
        <v>5754138.6200000001</v>
      </c>
      <c r="G441">
        <v>0</v>
      </c>
      <c r="L441" t="s">
        <v>7</v>
      </c>
      <c r="M441" t="s">
        <v>7</v>
      </c>
      <c r="N441" t="s">
        <v>8</v>
      </c>
      <c r="P441">
        <f t="shared" si="974"/>
        <v>2.5454545454545681E-2</v>
      </c>
      <c r="Q441">
        <f t="shared" si="975"/>
        <v>146468.98305454676</v>
      </c>
      <c r="R441">
        <f t="shared" si="976"/>
        <v>-157942069.40712771</v>
      </c>
      <c r="S441">
        <f t="shared" si="977"/>
        <v>-1579.420694071277</v>
      </c>
      <c r="T441">
        <f t="shared" si="978"/>
        <v>-1.5794206940712769</v>
      </c>
    </row>
    <row r="442" spans="1:20" x14ac:dyDescent="0.25">
      <c r="A442" s="5">
        <v>44151</v>
      </c>
      <c r="B442">
        <v>0.23899999999999999</v>
      </c>
      <c r="C442">
        <v>0.26</v>
      </c>
      <c r="D442">
        <v>0.2389</v>
      </c>
      <c r="E442">
        <v>0.24990000000000001</v>
      </c>
      <c r="F442">
        <v>4317625.34</v>
      </c>
      <c r="G442">
        <v>0</v>
      </c>
      <c r="L442" t="s">
        <v>8</v>
      </c>
      <c r="M442" t="s">
        <v>7</v>
      </c>
      <c r="N442" t="s">
        <v>8</v>
      </c>
      <c r="P442">
        <f t="shared" si="974"/>
        <v>4.2654028436019509E-2</v>
      </c>
      <c r="Q442">
        <f t="shared" si="975"/>
        <v>184164.1140284384</v>
      </c>
      <c r="R442">
        <f t="shared" si="976"/>
        <v>-158088538.39018226</v>
      </c>
      <c r="S442">
        <f t="shared" si="977"/>
        <v>-1580.8853839018225</v>
      </c>
      <c r="T442">
        <f t="shared" si="978"/>
        <v>-1.5808853839018224</v>
      </c>
    </row>
    <row r="443" spans="1:20" x14ac:dyDescent="0.25">
      <c r="A443" s="5">
        <v>44150</v>
      </c>
      <c r="B443">
        <v>0.2487</v>
      </c>
      <c r="C443">
        <v>0.26390000000000002</v>
      </c>
      <c r="D443">
        <v>0.23499999999999999</v>
      </c>
      <c r="E443">
        <v>0.2402</v>
      </c>
      <c r="F443">
        <v>5207665.03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-0.64013840830449797</v>
      </c>
      <c r="Q443">
        <f t="shared" si="975"/>
        <v>-3333626.4032871961</v>
      </c>
      <c r="R443">
        <f t="shared" si="976"/>
        <v>-158272702.50421068</v>
      </c>
      <c r="S443">
        <f t="shared" si="977"/>
        <v>-1582.7270250421068</v>
      </c>
      <c r="T443">
        <f t="shared" si="978"/>
        <v>-1.5827270250421068</v>
      </c>
    </row>
    <row r="444" spans="1:20" x14ac:dyDescent="0.25">
      <c r="A444" s="5">
        <v>44149</v>
      </c>
      <c r="B444">
        <v>0.26550000000000001</v>
      </c>
      <c r="C444">
        <v>0.26819999999999999</v>
      </c>
      <c r="D444">
        <v>0.24</v>
      </c>
      <c r="E444">
        <v>0.2487</v>
      </c>
      <c r="F444">
        <v>3856299.39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-0.38297872340425443</v>
      </c>
      <c r="Q444">
        <f t="shared" si="975"/>
        <v>-1476880.6174468051</v>
      </c>
      <c r="R444">
        <f t="shared" si="976"/>
        <v>-154939076.10092348</v>
      </c>
      <c r="S444">
        <f t="shared" si="977"/>
        <v>-1549.3907610092349</v>
      </c>
      <c r="T444">
        <f t="shared" si="978"/>
        <v>-1.5493907610092348</v>
      </c>
    </row>
    <row r="445" spans="1:20" x14ac:dyDescent="0.25">
      <c r="A445" s="5">
        <v>44148</v>
      </c>
      <c r="B445">
        <v>0.27500000000000002</v>
      </c>
      <c r="C445">
        <v>0.27600000000000002</v>
      </c>
      <c r="D445">
        <v>0.23910000000000001</v>
      </c>
      <c r="E445">
        <v>0.2656</v>
      </c>
      <c r="F445">
        <v>7036670.46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0.43631436314363059</v>
      </c>
      <c r="Q445">
        <f t="shared" si="975"/>
        <v>3070200.3904064982</v>
      </c>
      <c r="R445">
        <f t="shared" si="976"/>
        <v>-153462195.48347667</v>
      </c>
      <c r="S445">
        <f t="shared" si="977"/>
        <v>-1534.6219548347667</v>
      </c>
      <c r="T445">
        <f t="shared" si="978"/>
        <v>-1.5346219548347668</v>
      </c>
    </row>
    <row r="446" spans="1:20" x14ac:dyDescent="0.25">
      <c r="A446" s="5">
        <v>44147</v>
      </c>
      <c r="B446">
        <v>0.1976</v>
      </c>
      <c r="C446">
        <v>0.2898</v>
      </c>
      <c r="D446">
        <v>0.19309999999999999</v>
      </c>
      <c r="E446">
        <v>0.2752</v>
      </c>
      <c r="F446">
        <v>18937306.390000001</v>
      </c>
      <c r="G446">
        <v>0</v>
      </c>
      <c r="L446" t="s">
        <v>7</v>
      </c>
      <c r="M446" t="s">
        <v>8</v>
      </c>
      <c r="N446" t="s">
        <v>8</v>
      </c>
      <c r="P446">
        <f t="shared" si="974"/>
        <v>0.69803516028955537</v>
      </c>
      <c r="Q446">
        <f t="shared" si="975"/>
        <v>13218905.701396072</v>
      </c>
      <c r="R446">
        <f t="shared" si="976"/>
        <v>-156532395.87388316</v>
      </c>
      <c r="S446">
        <f t="shared" si="977"/>
        <v>-1565.3239587388316</v>
      </c>
      <c r="T446">
        <f t="shared" si="978"/>
        <v>-1.5653239587388317</v>
      </c>
    </row>
    <row r="447" spans="1:20" x14ac:dyDescent="0.25">
      <c r="A447" s="5">
        <v>44146</v>
      </c>
      <c r="B447">
        <v>0.2177</v>
      </c>
      <c r="C447">
        <v>0.223</v>
      </c>
      <c r="D447">
        <v>0.19539999999999999</v>
      </c>
      <c r="E447">
        <v>0.19639999999999999</v>
      </c>
      <c r="F447">
        <v>3326638.04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-0.92753623188405798</v>
      </c>
      <c r="Q447">
        <f t="shared" si="975"/>
        <v>-3085577.3124637683</v>
      </c>
      <c r="R447">
        <f t="shared" si="976"/>
        <v>-169751301.57527924</v>
      </c>
      <c r="S447">
        <f t="shared" si="977"/>
        <v>-1697.5130157527924</v>
      </c>
      <c r="T447">
        <f t="shared" si="978"/>
        <v>-1.6975130157527925</v>
      </c>
    </row>
    <row r="448" spans="1:20" x14ac:dyDescent="0.25">
      <c r="A448" s="5">
        <v>44145</v>
      </c>
      <c r="B448">
        <v>0.18579999999999999</v>
      </c>
      <c r="C448">
        <v>0.23749999999999999</v>
      </c>
      <c r="D448">
        <v>0.183</v>
      </c>
      <c r="E448">
        <v>0.21709999999999999</v>
      </c>
      <c r="F448">
        <v>7213882.0199999996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0.25137614678899067</v>
      </c>
      <c r="Q448">
        <f t="shared" si="975"/>
        <v>1813397.8655779804</v>
      </c>
      <c r="R448">
        <f t="shared" si="976"/>
        <v>-166665724.26281548</v>
      </c>
      <c r="S448">
        <f t="shared" si="977"/>
        <v>-1666.6572426281548</v>
      </c>
      <c r="T448">
        <f t="shared" si="978"/>
        <v>-1.6666572426281547</v>
      </c>
    </row>
    <row r="449" spans="1:20" x14ac:dyDescent="0.25">
      <c r="A449" s="5">
        <v>44144</v>
      </c>
      <c r="B449">
        <v>0.19239999999999999</v>
      </c>
      <c r="C449">
        <v>0.1988</v>
      </c>
      <c r="D449">
        <v>0.1782</v>
      </c>
      <c r="E449">
        <v>0.18579999999999999</v>
      </c>
      <c r="F449">
        <v>3519726.09</v>
      </c>
      <c r="G449">
        <v>0</v>
      </c>
      <c r="L449" t="s">
        <v>7</v>
      </c>
      <c r="M449" t="s">
        <v>8</v>
      </c>
      <c r="N449" t="s">
        <v>8</v>
      </c>
      <c r="P449">
        <f t="shared" si="974"/>
        <v>-0.26213592233009775</v>
      </c>
      <c r="Q449">
        <f t="shared" si="975"/>
        <v>-922646.64495145855</v>
      </c>
      <c r="R449">
        <f t="shared" si="976"/>
        <v>-168479122.12839344</v>
      </c>
      <c r="S449">
        <f t="shared" si="977"/>
        <v>-1684.7912212839344</v>
      </c>
      <c r="T449">
        <f t="shared" si="978"/>
        <v>-1.6847912212839344</v>
      </c>
    </row>
    <row r="450" spans="1:20" x14ac:dyDescent="0.25">
      <c r="A450" s="5">
        <v>44143</v>
      </c>
      <c r="B450">
        <v>0.17119999999999999</v>
      </c>
      <c r="C450">
        <v>0.20300000000000001</v>
      </c>
      <c r="D450">
        <v>0.17119999999999999</v>
      </c>
      <c r="E450">
        <v>0.19220000000000001</v>
      </c>
      <c r="F450">
        <v>6148909.2999999998</v>
      </c>
      <c r="G450">
        <v>0</v>
      </c>
      <c r="L450" t="s">
        <v>8</v>
      </c>
      <c r="M450" t="s">
        <v>8</v>
      </c>
      <c r="N450" t="s">
        <v>8</v>
      </c>
      <c r="P450">
        <f t="shared" si="974"/>
        <v>0.32075471698113228</v>
      </c>
      <c r="Q450">
        <f t="shared" si="975"/>
        <v>1972291.6622641522</v>
      </c>
      <c r="R450">
        <f t="shared" si="976"/>
        <v>-167556475.48344198</v>
      </c>
      <c r="S450">
        <f t="shared" si="977"/>
        <v>-1675.5647548344198</v>
      </c>
      <c r="T450">
        <f t="shared" si="978"/>
        <v>-1.6755647548344197</v>
      </c>
    </row>
    <row r="451" spans="1:20" x14ac:dyDescent="0.25">
      <c r="A451" s="5">
        <v>44142</v>
      </c>
      <c r="B451">
        <v>0.16819999999999999</v>
      </c>
      <c r="C451">
        <v>0.1888</v>
      </c>
      <c r="D451">
        <v>0.159</v>
      </c>
      <c r="E451">
        <v>0.17119999999999999</v>
      </c>
      <c r="F451">
        <v>5985395.5499999998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-0.18120805369127574</v>
      </c>
      <c r="Q451">
        <f t="shared" si="975"/>
        <v>-1084601.8781879228</v>
      </c>
      <c r="R451">
        <f t="shared" si="976"/>
        <v>-169528767.14570612</v>
      </c>
      <c r="S451">
        <f t="shared" si="977"/>
        <v>-1695.2876714570612</v>
      </c>
      <c r="T451">
        <f t="shared" si="978"/>
        <v>-1.6952876714570611</v>
      </c>
    </row>
    <row r="452" spans="1:20" x14ac:dyDescent="0.25">
      <c r="A452" s="5">
        <v>44141</v>
      </c>
      <c r="B452">
        <v>0.153</v>
      </c>
      <c r="C452">
        <v>0.17299999999999999</v>
      </c>
      <c r="D452">
        <v>0.153</v>
      </c>
      <c r="E452">
        <v>0.16819999999999999</v>
      </c>
      <c r="F452">
        <v>3566511.55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0.51999999999999991</v>
      </c>
      <c r="Q452">
        <f t="shared" si="975"/>
        <v>1854586.0059999996</v>
      </c>
      <c r="R452">
        <f t="shared" si="976"/>
        <v>-168444165.26751819</v>
      </c>
      <c r="S452">
        <f t="shared" si="977"/>
        <v>-1684.441652675182</v>
      </c>
      <c r="T452">
        <f t="shared" si="978"/>
        <v>-1.684441652675182</v>
      </c>
    </row>
    <row r="453" spans="1:20" x14ac:dyDescent="0.25">
      <c r="A453" s="5">
        <v>44140</v>
      </c>
      <c r="B453">
        <v>0.153</v>
      </c>
      <c r="C453">
        <v>0.1578</v>
      </c>
      <c r="D453">
        <v>0.14699999999999999</v>
      </c>
      <c r="E453">
        <v>0.153</v>
      </c>
      <c r="F453">
        <v>2083420.27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0.11111111111111169</v>
      </c>
      <c r="Q453">
        <f t="shared" si="975"/>
        <v>231491.14111111232</v>
      </c>
      <c r="R453">
        <f t="shared" si="976"/>
        <v>-170298751.2735182</v>
      </c>
      <c r="S453">
        <f t="shared" si="977"/>
        <v>-1702.987512735182</v>
      </c>
      <c r="T453">
        <f t="shared" si="978"/>
        <v>-1.7029875127351821</v>
      </c>
    </row>
    <row r="454" spans="1:20" x14ac:dyDescent="0.25">
      <c r="A454" s="5">
        <v>44139</v>
      </c>
      <c r="B454">
        <v>0.1525</v>
      </c>
      <c r="C454">
        <v>0.155</v>
      </c>
      <c r="D454">
        <v>0.14699999999999999</v>
      </c>
      <c r="E454">
        <v>0.15290000000000001</v>
      </c>
      <c r="F454">
        <v>1001692.73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0.47500000000000275</v>
      </c>
      <c r="Q454">
        <f t="shared" ref="Q454:Q517" si="980">F454*P454</f>
        <v>475804.04675000277</v>
      </c>
      <c r="R454">
        <f t="shared" ref="R454:R517" si="981">R455+Q454</f>
        <v>-170530242.41462931</v>
      </c>
      <c r="S454">
        <f t="shared" ref="S454:S517" si="982">R454/100000</f>
        <v>-1705.3024241462931</v>
      </c>
      <c r="T454">
        <f t="shared" ref="T454:T517" si="983">S454/1000</f>
        <v>-1.7053024241462931</v>
      </c>
    </row>
    <row r="455" spans="1:20" x14ac:dyDescent="0.25">
      <c r="A455" s="5">
        <v>44138</v>
      </c>
      <c r="B455">
        <v>0.1479</v>
      </c>
      <c r="C455">
        <v>0.16</v>
      </c>
      <c r="D455">
        <v>0.1401</v>
      </c>
      <c r="E455">
        <v>0.15240000000000001</v>
      </c>
      <c r="F455">
        <v>2442771.09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0.23618090452261353</v>
      </c>
      <c r="Q455">
        <f t="shared" si="980"/>
        <v>576935.88557789056</v>
      </c>
      <c r="R455">
        <f t="shared" si="981"/>
        <v>-171006046.46137932</v>
      </c>
      <c r="S455">
        <f t="shared" si="982"/>
        <v>-1710.0604646137931</v>
      </c>
      <c r="T455">
        <f t="shared" si="983"/>
        <v>-1.7100604646137931</v>
      </c>
    </row>
    <row r="456" spans="1:20" x14ac:dyDescent="0.25">
      <c r="A456" s="5">
        <v>44137</v>
      </c>
      <c r="B456">
        <v>0.15959999999999999</v>
      </c>
      <c r="C456">
        <v>0.16089999999999999</v>
      </c>
      <c r="D456">
        <v>0.14660000000000001</v>
      </c>
      <c r="E456">
        <v>0.14879999999999999</v>
      </c>
      <c r="F456">
        <v>1354396.59</v>
      </c>
      <c r="G456">
        <v>0</v>
      </c>
      <c r="L456" t="s">
        <v>7</v>
      </c>
      <c r="M456" t="s">
        <v>8</v>
      </c>
      <c r="N456" t="s">
        <v>7</v>
      </c>
      <c r="P456">
        <f t="shared" si="979"/>
        <v>-0.69230769230769473</v>
      </c>
      <c r="Q456">
        <f t="shared" si="980"/>
        <v>-937659.177692311</v>
      </c>
      <c r="R456">
        <f t="shared" si="981"/>
        <v>-171582982.34695721</v>
      </c>
      <c r="S456">
        <f t="shared" si="982"/>
        <v>-1715.8298234695721</v>
      </c>
      <c r="T456">
        <f t="shared" si="983"/>
        <v>-1.7158298234695721</v>
      </c>
    </row>
    <row r="457" spans="1:20" x14ac:dyDescent="0.25">
      <c r="A457" s="5">
        <v>44136</v>
      </c>
      <c r="B457">
        <v>0.1603</v>
      </c>
      <c r="C457">
        <v>0.16139999999999999</v>
      </c>
      <c r="D457">
        <v>0.153</v>
      </c>
      <c r="E457">
        <v>0.15859999999999999</v>
      </c>
      <c r="F457">
        <v>931967.95</v>
      </c>
      <c r="G457">
        <v>0</v>
      </c>
      <c r="L457" t="s">
        <v>7</v>
      </c>
      <c r="M457" t="s">
        <v>8</v>
      </c>
      <c r="N457" t="s">
        <v>7</v>
      </c>
      <c r="P457">
        <f t="shared" si="979"/>
        <v>0.33333333333333331</v>
      </c>
      <c r="Q457">
        <f t="shared" si="980"/>
        <v>310655.98333333328</v>
      </c>
      <c r="R457">
        <f t="shared" si="981"/>
        <v>-170645323.16926488</v>
      </c>
      <c r="S457">
        <f t="shared" si="982"/>
        <v>-1706.4532316926488</v>
      </c>
      <c r="T457">
        <f t="shared" si="983"/>
        <v>-1.7064532316926488</v>
      </c>
    </row>
    <row r="458" spans="1:20" x14ac:dyDescent="0.25">
      <c r="A458" s="5">
        <v>44135</v>
      </c>
      <c r="B458">
        <v>0.1527</v>
      </c>
      <c r="C458">
        <v>0.1714</v>
      </c>
      <c r="D458">
        <v>0.1527</v>
      </c>
      <c r="E458">
        <v>0.1605</v>
      </c>
      <c r="F458">
        <v>3195397.95</v>
      </c>
      <c r="G458">
        <v>0</v>
      </c>
      <c r="L458" t="s">
        <v>8</v>
      </c>
      <c r="M458" t="s">
        <v>8</v>
      </c>
      <c r="N458" t="s">
        <v>7</v>
      </c>
      <c r="P458">
        <f t="shared" si="979"/>
        <v>-0.16577540106951832</v>
      </c>
      <c r="Q458">
        <f t="shared" si="980"/>
        <v>-529718.37673796667</v>
      </c>
      <c r="R458">
        <f t="shared" si="981"/>
        <v>-170955979.1525982</v>
      </c>
      <c r="S458">
        <f t="shared" si="982"/>
        <v>-1709.5597915259821</v>
      </c>
      <c r="T458">
        <f t="shared" si="983"/>
        <v>-1.7095597915259821</v>
      </c>
    </row>
    <row r="459" spans="1:20" x14ac:dyDescent="0.25">
      <c r="A459" s="5">
        <v>44134</v>
      </c>
      <c r="B459">
        <v>0.1416</v>
      </c>
      <c r="C459">
        <v>0.154</v>
      </c>
      <c r="D459">
        <v>0.13800000000000001</v>
      </c>
      <c r="E459">
        <v>0.1527</v>
      </c>
      <c r="F459">
        <v>1515291.67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0.83750000000000047</v>
      </c>
      <c r="Q459">
        <f t="shared" si="980"/>
        <v>1269056.7736250006</v>
      </c>
      <c r="R459">
        <f t="shared" si="981"/>
        <v>-170426260.77586025</v>
      </c>
      <c r="S459">
        <f t="shared" si="982"/>
        <v>-1704.2626077586026</v>
      </c>
      <c r="T459">
        <f t="shared" si="983"/>
        <v>-1.7042626077586025</v>
      </c>
    </row>
    <row r="460" spans="1:20" x14ac:dyDescent="0.25">
      <c r="A460" s="5">
        <v>44133</v>
      </c>
      <c r="B460">
        <v>0.1522</v>
      </c>
      <c r="C460">
        <v>0.15260000000000001</v>
      </c>
      <c r="D460">
        <v>0.14050000000000001</v>
      </c>
      <c r="E460">
        <v>0.14249999999999999</v>
      </c>
      <c r="F460">
        <v>1225835.55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-0.66942148760331011</v>
      </c>
      <c r="Q460">
        <f t="shared" si="980"/>
        <v>-820600.65743802185</v>
      </c>
      <c r="R460">
        <f t="shared" si="981"/>
        <v>-171695317.54948524</v>
      </c>
      <c r="S460">
        <f t="shared" si="982"/>
        <v>-1716.9531754948523</v>
      </c>
      <c r="T460">
        <f t="shared" si="983"/>
        <v>-1.7169531754948524</v>
      </c>
    </row>
    <row r="461" spans="1:20" x14ac:dyDescent="0.25">
      <c r="A461" s="5">
        <v>44132</v>
      </c>
      <c r="B461">
        <v>0.14929999999999999</v>
      </c>
      <c r="C461">
        <v>0.1555</v>
      </c>
      <c r="D461">
        <v>0.14050000000000001</v>
      </c>
      <c r="E461">
        <v>0.1525</v>
      </c>
      <c r="F461">
        <v>1793200.29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0.59999999999999931</v>
      </c>
      <c r="Q461">
        <f t="shared" si="980"/>
        <v>1075920.1739999987</v>
      </c>
      <c r="R461">
        <f t="shared" si="981"/>
        <v>-170874716.89204723</v>
      </c>
      <c r="S461">
        <f t="shared" si="982"/>
        <v>-1708.7471689204722</v>
      </c>
      <c r="T461">
        <f t="shared" si="983"/>
        <v>-1.7087471689204721</v>
      </c>
    </row>
    <row r="462" spans="1:20" x14ac:dyDescent="0.25">
      <c r="A462" s="5">
        <v>44131</v>
      </c>
      <c r="B462">
        <v>0.1462</v>
      </c>
      <c r="C462">
        <v>0.15579999999999999</v>
      </c>
      <c r="D462">
        <v>0.1462</v>
      </c>
      <c r="E462">
        <v>0.1479</v>
      </c>
      <c r="F462">
        <v>1617080.98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-0.64583333333333182</v>
      </c>
      <c r="Q462">
        <f t="shared" si="980"/>
        <v>-1044364.7995833309</v>
      </c>
      <c r="R462">
        <f t="shared" si="981"/>
        <v>-171950637.06604722</v>
      </c>
      <c r="S462">
        <f t="shared" si="982"/>
        <v>-1719.5063706604722</v>
      </c>
      <c r="T462">
        <f t="shared" si="983"/>
        <v>-1.7195063706604721</v>
      </c>
    </row>
    <row r="463" spans="1:20" x14ac:dyDescent="0.25">
      <c r="A463" s="5">
        <v>44130</v>
      </c>
      <c r="B463">
        <v>0.1489</v>
      </c>
      <c r="C463">
        <v>0.15240000000000001</v>
      </c>
      <c r="D463">
        <v>0.13750000000000001</v>
      </c>
      <c r="E463">
        <v>0.1469</v>
      </c>
      <c r="F463">
        <v>1378495.67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0.2617449664429522</v>
      </c>
      <c r="Q463">
        <f t="shared" si="980"/>
        <v>360814.30288590491</v>
      </c>
      <c r="R463">
        <f t="shared" si="981"/>
        <v>-170906272.26646388</v>
      </c>
      <c r="S463">
        <f t="shared" si="982"/>
        <v>-1709.0627226646388</v>
      </c>
      <c r="T463">
        <f t="shared" si="983"/>
        <v>-1.7090627226646389</v>
      </c>
    </row>
    <row r="464" spans="1:20" x14ac:dyDescent="0.25">
      <c r="A464" s="5">
        <v>44129</v>
      </c>
      <c r="B464">
        <v>0.15740000000000001</v>
      </c>
      <c r="C464">
        <v>0.15740000000000001</v>
      </c>
      <c r="D464">
        <v>0.14810000000000001</v>
      </c>
      <c r="E464">
        <v>0.14910000000000001</v>
      </c>
      <c r="F464">
        <v>1438184.99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-0.78494623655913964</v>
      </c>
      <c r="Q464">
        <f t="shared" si="980"/>
        <v>-1128897.895376344</v>
      </c>
      <c r="R464">
        <f t="shared" si="981"/>
        <v>-171267086.5693498</v>
      </c>
      <c r="S464">
        <f t="shared" si="982"/>
        <v>-1712.6708656934979</v>
      </c>
      <c r="T464">
        <f t="shared" si="983"/>
        <v>-1.7126708656934979</v>
      </c>
    </row>
    <row r="465" spans="1:20" x14ac:dyDescent="0.25">
      <c r="A465" s="5">
        <v>44128</v>
      </c>
      <c r="B465">
        <v>0.1585</v>
      </c>
      <c r="C465">
        <v>0.16320000000000001</v>
      </c>
      <c r="D465">
        <v>0.15609999999999999</v>
      </c>
      <c r="E465">
        <v>0.1573</v>
      </c>
      <c r="F465">
        <v>875835.43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-0.66197183098591472</v>
      </c>
      <c r="Q465">
        <f t="shared" si="980"/>
        <v>-579778.38323943596</v>
      </c>
      <c r="R465">
        <f t="shared" si="981"/>
        <v>-170138188.67397344</v>
      </c>
      <c r="S465">
        <f t="shared" si="982"/>
        <v>-1701.3818867397345</v>
      </c>
      <c r="T465">
        <f t="shared" si="983"/>
        <v>-1.7013818867397346</v>
      </c>
    </row>
    <row r="466" spans="1:20" x14ac:dyDescent="0.25">
      <c r="A466" s="5">
        <v>44127</v>
      </c>
      <c r="B466">
        <v>0.16400000000000001</v>
      </c>
      <c r="C466">
        <v>0.16750000000000001</v>
      </c>
      <c r="D466">
        <v>0.1575</v>
      </c>
      <c r="E466">
        <v>0.15870000000000001</v>
      </c>
      <c r="F466">
        <v>846038.77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-0.7599999999999989</v>
      </c>
      <c r="Q466">
        <f t="shared" si="980"/>
        <v>-642989.46519999905</v>
      </c>
      <c r="R466">
        <f t="shared" si="981"/>
        <v>-169558410.29073399</v>
      </c>
      <c r="S466">
        <f t="shared" si="982"/>
        <v>-1695.5841029073399</v>
      </c>
      <c r="T466">
        <f t="shared" si="983"/>
        <v>-1.69558410290734</v>
      </c>
    </row>
    <row r="467" spans="1:20" x14ac:dyDescent="0.25">
      <c r="A467" s="5">
        <v>44126</v>
      </c>
      <c r="B467">
        <v>0.16200000000000001</v>
      </c>
      <c r="C467">
        <v>0.1699</v>
      </c>
      <c r="D467">
        <v>0.15970000000000001</v>
      </c>
      <c r="E467">
        <v>0.16400000000000001</v>
      </c>
      <c r="F467">
        <v>1775675.86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-0.15686274509803846</v>
      </c>
      <c r="Q467">
        <f t="shared" si="980"/>
        <v>-278537.38980392023</v>
      </c>
      <c r="R467">
        <f t="shared" si="981"/>
        <v>-168915420.82553399</v>
      </c>
      <c r="S467">
        <f t="shared" si="982"/>
        <v>-1689.1542082553399</v>
      </c>
      <c r="T467">
        <f t="shared" si="983"/>
        <v>-1.6891542082553399</v>
      </c>
    </row>
    <row r="468" spans="1:20" x14ac:dyDescent="0.25">
      <c r="A468" s="5">
        <v>44125</v>
      </c>
      <c r="B468">
        <v>0.16439999999999999</v>
      </c>
      <c r="C468">
        <v>0.17050000000000001</v>
      </c>
      <c r="D468">
        <v>0.15970000000000001</v>
      </c>
      <c r="E468">
        <v>0.16220000000000001</v>
      </c>
      <c r="F468">
        <v>1811375.62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-0.53703703703703676</v>
      </c>
      <c r="Q468">
        <f t="shared" si="980"/>
        <v>-972775.79592592549</v>
      </c>
      <c r="R468">
        <f t="shared" si="981"/>
        <v>-168636883.43573007</v>
      </c>
      <c r="S468">
        <f t="shared" si="982"/>
        <v>-1686.3688343573008</v>
      </c>
      <c r="T468">
        <f t="shared" si="983"/>
        <v>-1.6863688343573009</v>
      </c>
    </row>
    <row r="469" spans="1:20" x14ac:dyDescent="0.25">
      <c r="A469" s="5">
        <v>44124</v>
      </c>
      <c r="B469">
        <v>0.16500000000000001</v>
      </c>
      <c r="C469">
        <v>0.16700000000000001</v>
      </c>
      <c r="D469">
        <v>0.15440000000000001</v>
      </c>
      <c r="E469">
        <v>0.16400000000000001</v>
      </c>
      <c r="F469">
        <v>2466522.7799999998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0.52380952380952339</v>
      </c>
      <c r="Q469">
        <f t="shared" si="980"/>
        <v>1291988.1228571418</v>
      </c>
      <c r="R469">
        <f t="shared" si="981"/>
        <v>-167664107.63980415</v>
      </c>
      <c r="S469">
        <f t="shared" si="982"/>
        <v>-1676.6410763980416</v>
      </c>
      <c r="T469">
        <f t="shared" si="983"/>
        <v>-1.6766410763980415</v>
      </c>
    </row>
    <row r="470" spans="1:20" x14ac:dyDescent="0.25">
      <c r="A470" s="5">
        <v>44123</v>
      </c>
      <c r="B470">
        <v>0.17069999999999999</v>
      </c>
      <c r="C470">
        <v>0.17219999999999999</v>
      </c>
      <c r="D470">
        <v>0.16320000000000001</v>
      </c>
      <c r="E470">
        <v>0.1656</v>
      </c>
      <c r="F470">
        <v>1687772.23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-0.46666666666666873</v>
      </c>
      <c r="Q470">
        <f t="shared" si="980"/>
        <v>-787627.04066667019</v>
      </c>
      <c r="R470">
        <f t="shared" si="981"/>
        <v>-168956095.76266131</v>
      </c>
      <c r="S470">
        <f t="shared" si="982"/>
        <v>-1689.5609576266131</v>
      </c>
      <c r="T470">
        <f t="shared" si="983"/>
        <v>-1.6895609576266131</v>
      </c>
    </row>
    <row r="471" spans="1:20" x14ac:dyDescent="0.25">
      <c r="A471" s="5">
        <v>44122</v>
      </c>
      <c r="B471">
        <v>0.16950000000000001</v>
      </c>
      <c r="C471">
        <v>0.17069999999999999</v>
      </c>
      <c r="D471">
        <v>0.16739999999999999</v>
      </c>
      <c r="E471">
        <v>0.17069999999999999</v>
      </c>
      <c r="F471">
        <v>735544.02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1</v>
      </c>
      <c r="Q471">
        <f t="shared" si="980"/>
        <v>735544.02</v>
      </c>
      <c r="R471">
        <f t="shared" si="981"/>
        <v>-168168468.72199464</v>
      </c>
      <c r="S471">
        <f t="shared" si="982"/>
        <v>-1681.6846872199465</v>
      </c>
      <c r="T471">
        <f t="shared" si="983"/>
        <v>-1.6816846872199465</v>
      </c>
    </row>
    <row r="472" spans="1:20" x14ac:dyDescent="0.25">
      <c r="A472" s="5">
        <v>44121</v>
      </c>
      <c r="B472">
        <v>0.1706</v>
      </c>
      <c r="C472">
        <v>0.17219999999999999</v>
      </c>
      <c r="D472">
        <v>0.1671</v>
      </c>
      <c r="E472">
        <v>0.16980000000000001</v>
      </c>
      <c r="F472">
        <v>1221480.49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5.8823529411769188E-2</v>
      </c>
      <c r="Q472">
        <f t="shared" si="980"/>
        <v>71851.793529417235</v>
      </c>
      <c r="R472">
        <f t="shared" si="981"/>
        <v>-168904012.74199465</v>
      </c>
      <c r="S472">
        <f t="shared" si="982"/>
        <v>-1689.0401274199464</v>
      </c>
      <c r="T472">
        <f t="shared" si="983"/>
        <v>-1.6890401274199465</v>
      </c>
    </row>
    <row r="473" spans="1:20" x14ac:dyDescent="0.25">
      <c r="A473" s="5">
        <v>44120</v>
      </c>
      <c r="B473">
        <v>0.17879999999999999</v>
      </c>
      <c r="C473">
        <v>0.186</v>
      </c>
      <c r="D473">
        <v>0.16930000000000001</v>
      </c>
      <c r="E473">
        <v>0.17030000000000001</v>
      </c>
      <c r="F473">
        <v>2780747.04</v>
      </c>
      <c r="G473">
        <v>0</v>
      </c>
      <c r="L473" t="s">
        <v>8</v>
      </c>
      <c r="M473" t="s">
        <v>8</v>
      </c>
      <c r="N473" t="s">
        <v>7</v>
      </c>
      <c r="P473">
        <f t="shared" si="979"/>
        <v>-0.88023952095808367</v>
      </c>
      <c r="Q473">
        <f t="shared" si="980"/>
        <v>-2447723.4423952093</v>
      </c>
      <c r="R473">
        <f t="shared" si="981"/>
        <v>-168975864.53552407</v>
      </c>
      <c r="S473">
        <f t="shared" si="982"/>
        <v>-1689.7586453552408</v>
      </c>
      <c r="T473">
        <f t="shared" si="983"/>
        <v>-1.6897586453552409</v>
      </c>
    </row>
    <row r="474" spans="1:20" x14ac:dyDescent="0.25">
      <c r="A474" s="5">
        <v>44119</v>
      </c>
      <c r="B474">
        <v>0.16619999999999999</v>
      </c>
      <c r="C474">
        <v>0.1822</v>
      </c>
      <c r="D474">
        <v>0.16420000000000001</v>
      </c>
      <c r="E474">
        <v>0.17899999999999999</v>
      </c>
      <c r="F474">
        <v>2692113.03</v>
      </c>
      <c r="G474">
        <v>0</v>
      </c>
      <c r="L474" t="s">
        <v>8</v>
      </c>
      <c r="M474" t="s">
        <v>8</v>
      </c>
      <c r="N474" t="s">
        <v>7</v>
      </c>
      <c r="P474">
        <f t="shared" si="979"/>
        <v>0.64444444444444327</v>
      </c>
      <c r="Q474">
        <f t="shared" si="980"/>
        <v>1734917.2859999966</v>
      </c>
      <c r="R474">
        <f t="shared" si="981"/>
        <v>-166528141.09312886</v>
      </c>
      <c r="S474">
        <f t="shared" si="982"/>
        <v>-1665.2814109312885</v>
      </c>
      <c r="T474">
        <f t="shared" si="983"/>
        <v>-1.6652814109312886</v>
      </c>
    </row>
    <row r="475" spans="1:20" x14ac:dyDescent="0.25">
      <c r="A475" s="5">
        <v>44118</v>
      </c>
      <c r="B475">
        <v>0.16880000000000001</v>
      </c>
      <c r="C475">
        <v>0.1739</v>
      </c>
      <c r="D475">
        <v>0.1641</v>
      </c>
      <c r="E475">
        <v>0.16619999999999999</v>
      </c>
      <c r="F475">
        <v>1158633.7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-0.57142857142857351</v>
      </c>
      <c r="Q475">
        <f t="shared" si="980"/>
        <v>-662076.40000000235</v>
      </c>
      <c r="R475">
        <f t="shared" si="981"/>
        <v>-168263058.37912884</v>
      </c>
      <c r="S475">
        <f t="shared" si="982"/>
        <v>-1682.6305837912885</v>
      </c>
      <c r="T475">
        <f t="shared" si="983"/>
        <v>-1.6826305837912885</v>
      </c>
    </row>
    <row r="476" spans="1:20" x14ac:dyDescent="0.25">
      <c r="A476" s="5">
        <v>44117</v>
      </c>
      <c r="B476">
        <v>0.16550000000000001</v>
      </c>
      <c r="C476">
        <v>0.17460000000000001</v>
      </c>
      <c r="D476">
        <v>0.16139999999999999</v>
      </c>
      <c r="E476">
        <v>0.16880000000000001</v>
      </c>
      <c r="F476">
        <v>2053546.17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0.12121212121212242</v>
      </c>
      <c r="Q476">
        <f t="shared" si="980"/>
        <v>248914.68727272976</v>
      </c>
      <c r="R476">
        <f t="shared" si="981"/>
        <v>-167600981.97912884</v>
      </c>
      <c r="S476">
        <f t="shared" si="982"/>
        <v>-1676.0098197912885</v>
      </c>
      <c r="T476">
        <f t="shared" si="983"/>
        <v>-1.6760098197912885</v>
      </c>
    </row>
    <row r="477" spans="1:20" x14ac:dyDescent="0.25">
      <c r="A477" s="5">
        <v>44116</v>
      </c>
      <c r="B477">
        <v>0.16270000000000001</v>
      </c>
      <c r="C477">
        <v>0.17380000000000001</v>
      </c>
      <c r="D477">
        <v>0.15939999999999999</v>
      </c>
      <c r="E477">
        <v>0.1661</v>
      </c>
      <c r="F477">
        <v>1545185.85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-6.9444444444444392E-2</v>
      </c>
      <c r="Q477">
        <f t="shared" si="980"/>
        <v>-107304.5729166666</v>
      </c>
      <c r="R477">
        <f t="shared" si="981"/>
        <v>-167849896.66640157</v>
      </c>
      <c r="S477">
        <f t="shared" si="982"/>
        <v>-1678.4989666640156</v>
      </c>
      <c r="T477">
        <f t="shared" si="983"/>
        <v>-1.6784989666640155</v>
      </c>
    </row>
    <row r="478" spans="1:20" x14ac:dyDescent="0.25">
      <c r="A478" s="5">
        <v>44115</v>
      </c>
      <c r="B478">
        <v>0.15840000000000001</v>
      </c>
      <c r="C478">
        <v>0.16669999999999999</v>
      </c>
      <c r="D478">
        <v>0.15820000000000001</v>
      </c>
      <c r="E478">
        <v>0.16270000000000001</v>
      </c>
      <c r="F478">
        <v>749195.43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5.8823529411768161E-2</v>
      </c>
      <c r="Q478">
        <f t="shared" si="980"/>
        <v>44070.319411767297</v>
      </c>
      <c r="R478">
        <f t="shared" si="981"/>
        <v>-167742592.09348491</v>
      </c>
      <c r="S478">
        <f t="shared" si="982"/>
        <v>-1677.425920934849</v>
      </c>
      <c r="T478">
        <f t="shared" si="983"/>
        <v>-1.677425920934849</v>
      </c>
    </row>
    <row r="479" spans="1:20" x14ac:dyDescent="0.25">
      <c r="A479" s="5">
        <v>44114</v>
      </c>
      <c r="B479">
        <v>0.16320000000000001</v>
      </c>
      <c r="C479">
        <v>0.17069999999999999</v>
      </c>
      <c r="D479">
        <v>0.15809999999999999</v>
      </c>
      <c r="E479">
        <v>0.15840000000000001</v>
      </c>
      <c r="F479">
        <v>1626852.58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-0.95238095238094878</v>
      </c>
      <c r="Q479">
        <f t="shared" si="980"/>
        <v>-1549383.4095238037</v>
      </c>
      <c r="R479">
        <f t="shared" si="981"/>
        <v>-167786662.41289666</v>
      </c>
      <c r="S479">
        <f t="shared" si="982"/>
        <v>-1677.8666241289666</v>
      </c>
      <c r="T479">
        <f t="shared" si="983"/>
        <v>-1.6778666241289666</v>
      </c>
    </row>
    <row r="480" spans="1:20" x14ac:dyDescent="0.25">
      <c r="A480" s="5">
        <v>44113</v>
      </c>
      <c r="B480">
        <v>0.15279999999999999</v>
      </c>
      <c r="C480">
        <v>0.1656</v>
      </c>
      <c r="D480">
        <v>0.1517</v>
      </c>
      <c r="E480">
        <v>0.16320000000000001</v>
      </c>
      <c r="F480">
        <v>1329602.95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0.65467625899280779</v>
      </c>
      <c r="Q480">
        <f t="shared" si="980"/>
        <v>870459.4852518012</v>
      </c>
      <c r="R480">
        <f t="shared" si="981"/>
        <v>-166237279.00337285</v>
      </c>
      <c r="S480">
        <f t="shared" si="982"/>
        <v>-1662.3727900337285</v>
      </c>
      <c r="T480">
        <f t="shared" si="983"/>
        <v>-1.6623727900337284</v>
      </c>
    </row>
    <row r="481" spans="1:20" x14ac:dyDescent="0.25">
      <c r="A481" s="5">
        <v>44112</v>
      </c>
      <c r="B481">
        <v>0.14910000000000001</v>
      </c>
      <c r="C481">
        <v>0.15340000000000001</v>
      </c>
      <c r="D481">
        <v>0.14330000000000001</v>
      </c>
      <c r="E481">
        <v>0.15210000000000001</v>
      </c>
      <c r="F481">
        <v>1145197.3500000001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0.74257425742574334</v>
      </c>
      <c r="Q481">
        <f t="shared" si="980"/>
        <v>850394.07178217918</v>
      </c>
      <c r="R481">
        <f t="shared" si="981"/>
        <v>-167107738.48862466</v>
      </c>
      <c r="S481">
        <f t="shared" si="982"/>
        <v>-1671.0773848862466</v>
      </c>
      <c r="T481">
        <f t="shared" si="983"/>
        <v>-1.6710773848862466</v>
      </c>
    </row>
    <row r="482" spans="1:20" x14ac:dyDescent="0.25">
      <c r="A482" s="5">
        <v>44111</v>
      </c>
      <c r="B482">
        <v>0.1409</v>
      </c>
      <c r="C482">
        <v>0.15</v>
      </c>
      <c r="D482">
        <v>0.13650000000000001</v>
      </c>
      <c r="E482">
        <v>0.1497</v>
      </c>
      <c r="F482">
        <v>1439874.39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0.95555555555555627</v>
      </c>
      <c r="Q482">
        <f t="shared" si="980"/>
        <v>1375879.9726666675</v>
      </c>
      <c r="R482">
        <f t="shared" si="981"/>
        <v>-167958132.56040683</v>
      </c>
      <c r="S482">
        <f t="shared" si="982"/>
        <v>-1679.5813256040683</v>
      </c>
      <c r="T482">
        <f t="shared" si="983"/>
        <v>-1.6795813256040684</v>
      </c>
    </row>
    <row r="483" spans="1:20" x14ac:dyDescent="0.25">
      <c r="A483" s="5">
        <v>44110</v>
      </c>
      <c r="B483">
        <v>0.15490000000000001</v>
      </c>
      <c r="C483">
        <v>0.15529999999999999</v>
      </c>
      <c r="D483">
        <v>0.14019999999999999</v>
      </c>
      <c r="E483">
        <v>0.1411</v>
      </c>
      <c r="F483">
        <v>1753069.12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-0.88079470198675336</v>
      </c>
      <c r="Q483">
        <f t="shared" si="980"/>
        <v>-1544093.9931125802</v>
      </c>
      <c r="R483">
        <f t="shared" si="981"/>
        <v>-169334012.53307351</v>
      </c>
      <c r="S483">
        <f t="shared" si="982"/>
        <v>-1693.3401253307352</v>
      </c>
      <c r="T483">
        <f t="shared" si="983"/>
        <v>-1.6933401253307352</v>
      </c>
    </row>
    <row r="484" spans="1:20" x14ac:dyDescent="0.25">
      <c r="A484" s="5">
        <v>44109</v>
      </c>
      <c r="B484">
        <v>0.15740000000000001</v>
      </c>
      <c r="C484">
        <v>0.15959999999999999</v>
      </c>
      <c r="D484">
        <v>0.154</v>
      </c>
      <c r="E484">
        <v>0.1552</v>
      </c>
      <c r="F484">
        <v>922184.65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-0.57142857142856862</v>
      </c>
      <c r="Q484">
        <f t="shared" si="980"/>
        <v>-526962.65714285453</v>
      </c>
      <c r="R484">
        <f t="shared" si="981"/>
        <v>-167789918.53996092</v>
      </c>
      <c r="S484">
        <f t="shared" si="982"/>
        <v>-1677.8991853996092</v>
      </c>
      <c r="T484">
        <f t="shared" si="983"/>
        <v>-1.6778991853996092</v>
      </c>
    </row>
    <row r="485" spans="1:20" x14ac:dyDescent="0.25">
      <c r="A485" s="5">
        <v>44108</v>
      </c>
      <c r="B485">
        <v>0.15609999999999999</v>
      </c>
      <c r="C485">
        <v>0.1608</v>
      </c>
      <c r="D485">
        <v>0.153</v>
      </c>
      <c r="E485">
        <v>0.15740000000000001</v>
      </c>
      <c r="F485">
        <v>1100165.54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0.12820512820513186</v>
      </c>
      <c r="Q485">
        <f t="shared" si="980"/>
        <v>141046.86410256813</v>
      </c>
      <c r="R485">
        <f t="shared" si="981"/>
        <v>-167262955.88281807</v>
      </c>
      <c r="S485">
        <f t="shared" si="982"/>
        <v>-1672.6295588281807</v>
      </c>
      <c r="T485">
        <f t="shared" si="983"/>
        <v>-1.6726295588281808</v>
      </c>
    </row>
    <row r="486" spans="1:20" x14ac:dyDescent="0.25">
      <c r="A486" s="5">
        <v>44107</v>
      </c>
      <c r="B486">
        <v>0.1484</v>
      </c>
      <c r="C486">
        <v>0.15890000000000001</v>
      </c>
      <c r="D486">
        <v>0.14760000000000001</v>
      </c>
      <c r="E486">
        <v>0.15559999999999999</v>
      </c>
      <c r="F486">
        <v>1467248.04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0.41592920353981877</v>
      </c>
      <c r="Q486">
        <f t="shared" si="980"/>
        <v>610271.30867256015</v>
      </c>
      <c r="R486">
        <f t="shared" si="981"/>
        <v>-167404002.74692065</v>
      </c>
      <c r="S486">
        <f t="shared" si="982"/>
        <v>-1674.0400274692065</v>
      </c>
      <c r="T486">
        <f t="shared" si="983"/>
        <v>-1.6740400274692064</v>
      </c>
    </row>
    <row r="487" spans="1:20" x14ac:dyDescent="0.25">
      <c r="A487" s="5">
        <v>44106</v>
      </c>
      <c r="B487">
        <v>0.155</v>
      </c>
      <c r="C487">
        <v>0.15559999999999999</v>
      </c>
      <c r="D487">
        <v>0.13780000000000001</v>
      </c>
      <c r="E487">
        <v>0.1484</v>
      </c>
      <c r="F487">
        <v>3710375.94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0.19101123595505717</v>
      </c>
      <c r="Q487">
        <f t="shared" si="980"/>
        <v>708723.49415730708</v>
      </c>
      <c r="R487">
        <f t="shared" si="981"/>
        <v>-168014274.05559319</v>
      </c>
      <c r="S487">
        <f t="shared" si="982"/>
        <v>-1680.1427405559318</v>
      </c>
      <c r="T487">
        <f t="shared" si="983"/>
        <v>-1.6801427405559317</v>
      </c>
    </row>
    <row r="488" spans="1:20" x14ac:dyDescent="0.25">
      <c r="A488" s="5">
        <v>44105</v>
      </c>
      <c r="B488">
        <v>0.1615</v>
      </c>
      <c r="C488">
        <v>0.1643</v>
      </c>
      <c r="D488">
        <v>0.14799999999999999</v>
      </c>
      <c r="E488">
        <v>0.1555</v>
      </c>
      <c r="F488">
        <v>2418406.5099999998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-7.9754601226993557E-2</v>
      </c>
      <c r="Q488">
        <f t="shared" si="980"/>
        <v>-192879.04680981519</v>
      </c>
      <c r="R488">
        <f t="shared" si="981"/>
        <v>-168722997.54975051</v>
      </c>
      <c r="S488">
        <f t="shared" si="982"/>
        <v>-1687.2299754975052</v>
      </c>
      <c r="T488">
        <f t="shared" si="983"/>
        <v>-1.6872299754975051</v>
      </c>
    </row>
    <row r="489" spans="1:20" x14ac:dyDescent="0.25">
      <c r="A489" s="5">
        <v>44104</v>
      </c>
      <c r="B489">
        <v>0.1545</v>
      </c>
      <c r="C489">
        <v>0.1754</v>
      </c>
      <c r="D489">
        <v>0.15340000000000001</v>
      </c>
      <c r="E489">
        <v>0.16139999999999999</v>
      </c>
      <c r="F489">
        <v>4529524.26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-0.27272727272727432</v>
      </c>
      <c r="Q489">
        <f t="shared" si="980"/>
        <v>-1235324.7981818253</v>
      </c>
      <c r="R489">
        <f t="shared" si="981"/>
        <v>-168530118.50294068</v>
      </c>
      <c r="S489">
        <f t="shared" si="982"/>
        <v>-1685.301185029407</v>
      </c>
      <c r="T489">
        <f t="shared" si="983"/>
        <v>-1.6853011850294068</v>
      </c>
    </row>
    <row r="490" spans="1:20" x14ac:dyDescent="0.25">
      <c r="A490" s="5">
        <v>44103</v>
      </c>
      <c r="B490">
        <v>0.15060000000000001</v>
      </c>
      <c r="C490">
        <v>0.15679999999999999</v>
      </c>
      <c r="D490">
        <v>0.14599999999999999</v>
      </c>
      <c r="E490">
        <v>0.1542</v>
      </c>
      <c r="F490">
        <v>1739936.24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0.51851851851852038</v>
      </c>
      <c r="Q490">
        <f t="shared" si="980"/>
        <v>902189.16148148465</v>
      </c>
      <c r="R490">
        <f t="shared" si="981"/>
        <v>-167294793.70475885</v>
      </c>
      <c r="S490">
        <f t="shared" si="982"/>
        <v>-1672.9479370475885</v>
      </c>
      <c r="T490">
        <f t="shared" si="983"/>
        <v>-1.6729479370475886</v>
      </c>
    </row>
    <row r="491" spans="1:20" x14ac:dyDescent="0.25">
      <c r="A491" s="5">
        <v>44102</v>
      </c>
      <c r="B491">
        <v>0.15720000000000001</v>
      </c>
      <c r="C491">
        <v>0.16139999999999999</v>
      </c>
      <c r="D491">
        <v>0.14929999999999999</v>
      </c>
      <c r="E491">
        <v>0.15060000000000001</v>
      </c>
      <c r="F491">
        <v>2091547.79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-0.78512396694214492</v>
      </c>
      <c r="Q491">
        <f t="shared" si="980"/>
        <v>-1642124.2979338763</v>
      </c>
      <c r="R491">
        <f t="shared" si="981"/>
        <v>-168196982.86624032</v>
      </c>
      <c r="S491">
        <f t="shared" si="982"/>
        <v>-1681.9698286624032</v>
      </c>
      <c r="T491">
        <f t="shared" si="983"/>
        <v>-1.6819698286624032</v>
      </c>
    </row>
    <row r="492" spans="1:20" x14ac:dyDescent="0.25">
      <c r="A492" s="5">
        <v>44101</v>
      </c>
      <c r="B492">
        <v>0.1615</v>
      </c>
      <c r="C492">
        <v>0.16270000000000001</v>
      </c>
      <c r="D492">
        <v>0.1482</v>
      </c>
      <c r="E492">
        <v>0.15629999999999999</v>
      </c>
      <c r="F492">
        <v>3211467.67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0.1172413793103433</v>
      </c>
      <c r="Q492">
        <f t="shared" si="980"/>
        <v>376516.8992413744</v>
      </c>
      <c r="R492">
        <f t="shared" si="981"/>
        <v>-166554858.56830645</v>
      </c>
      <c r="S492">
        <f t="shared" si="982"/>
        <v>-1665.5485856830644</v>
      </c>
      <c r="T492">
        <f t="shared" si="983"/>
        <v>-1.6655485856830643</v>
      </c>
    </row>
    <row r="493" spans="1:20" x14ac:dyDescent="0.25">
      <c r="A493" s="5">
        <v>44100</v>
      </c>
      <c r="B493">
        <v>0.16569999999999999</v>
      </c>
      <c r="C493">
        <v>0.17419999999999999</v>
      </c>
      <c r="D493">
        <v>0.1578</v>
      </c>
      <c r="E493">
        <v>0.16170000000000001</v>
      </c>
      <c r="F493">
        <v>3231771.08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-0.52439024390243716</v>
      </c>
      <c r="Q493">
        <f t="shared" si="980"/>
        <v>-1694709.2248780427</v>
      </c>
      <c r="R493">
        <f t="shared" si="981"/>
        <v>-166931375.46754783</v>
      </c>
      <c r="S493">
        <f t="shared" si="982"/>
        <v>-1669.3137546754783</v>
      </c>
      <c r="T493">
        <f t="shared" si="983"/>
        <v>-1.6693137546754784</v>
      </c>
    </row>
    <row r="494" spans="1:20" x14ac:dyDescent="0.25">
      <c r="A494" s="5">
        <v>44099</v>
      </c>
      <c r="B494">
        <v>0.1666</v>
      </c>
      <c r="C494">
        <v>0.1714</v>
      </c>
      <c r="D494">
        <v>0.15390000000000001</v>
      </c>
      <c r="E494">
        <v>0.1656</v>
      </c>
      <c r="F494">
        <v>3826080.24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0.33714285714285674</v>
      </c>
      <c r="Q494">
        <f t="shared" si="980"/>
        <v>1289935.6237714272</v>
      </c>
      <c r="R494">
        <f t="shared" si="981"/>
        <v>-165236666.24266979</v>
      </c>
      <c r="S494">
        <f t="shared" si="982"/>
        <v>-1652.366662426698</v>
      </c>
      <c r="T494">
        <f t="shared" si="983"/>
        <v>-1.6523666624266979</v>
      </c>
    </row>
    <row r="495" spans="1:20" x14ac:dyDescent="0.25">
      <c r="A495" s="5">
        <v>44098</v>
      </c>
      <c r="B495">
        <v>0.15379999999999999</v>
      </c>
      <c r="C495">
        <v>0.1681</v>
      </c>
      <c r="D495">
        <v>0.153</v>
      </c>
      <c r="E495">
        <v>0.1668</v>
      </c>
      <c r="F495">
        <v>3611351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0.8278145695364244</v>
      </c>
      <c r="Q495">
        <f t="shared" si="980"/>
        <v>2989528.9735099357</v>
      </c>
      <c r="R495">
        <f t="shared" si="981"/>
        <v>-166526601.86644122</v>
      </c>
      <c r="S495">
        <f t="shared" si="982"/>
        <v>-1665.2660186644123</v>
      </c>
      <c r="T495">
        <f t="shared" si="983"/>
        <v>-1.6652660186644124</v>
      </c>
    </row>
    <row r="496" spans="1:20" x14ac:dyDescent="0.25">
      <c r="A496" s="5">
        <v>44097</v>
      </c>
      <c r="B496">
        <v>0.16850000000000001</v>
      </c>
      <c r="C496">
        <v>0.1724</v>
      </c>
      <c r="D496">
        <v>0.15</v>
      </c>
      <c r="E496">
        <v>0.15440000000000001</v>
      </c>
      <c r="F496">
        <v>5600487.0800000001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-0.60714285714285587</v>
      </c>
      <c r="Q496">
        <f t="shared" si="980"/>
        <v>-3400295.7271428499</v>
      </c>
      <c r="R496">
        <f t="shared" si="981"/>
        <v>-169516130.83995116</v>
      </c>
      <c r="S496">
        <f t="shared" si="982"/>
        <v>-1695.1613083995117</v>
      </c>
      <c r="T496">
        <f t="shared" si="983"/>
        <v>-1.6951613083995116</v>
      </c>
    </row>
    <row r="497" spans="1:20" x14ac:dyDescent="0.25">
      <c r="A497" s="5">
        <v>44096</v>
      </c>
      <c r="B497">
        <v>0.18479999999999999</v>
      </c>
      <c r="C497">
        <v>0.1865</v>
      </c>
      <c r="D497">
        <v>0.16209999999999999</v>
      </c>
      <c r="E497">
        <v>0.16850000000000001</v>
      </c>
      <c r="F497">
        <v>8315177.4400000004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-0.47540983606557252</v>
      </c>
      <c r="Q497">
        <f t="shared" si="980"/>
        <v>-3953117.1436065473</v>
      </c>
      <c r="R497">
        <f t="shared" si="981"/>
        <v>-166115835.11280832</v>
      </c>
      <c r="S497">
        <f t="shared" si="982"/>
        <v>-1661.1583511280833</v>
      </c>
      <c r="T497">
        <f t="shared" si="983"/>
        <v>-1.6611583511280832</v>
      </c>
    </row>
    <row r="498" spans="1:20" x14ac:dyDescent="0.25">
      <c r="A498" s="5">
        <v>44095</v>
      </c>
      <c r="B498">
        <v>0.19500000000000001</v>
      </c>
      <c r="C498">
        <v>0.20619999999999999</v>
      </c>
      <c r="D498">
        <v>0.17499999999999999</v>
      </c>
      <c r="E498">
        <v>0.18479999999999999</v>
      </c>
      <c r="F498">
        <v>5920284.4900000002</v>
      </c>
      <c r="G498">
        <v>0</v>
      </c>
      <c r="L498" t="s">
        <v>7</v>
      </c>
      <c r="M498" t="s">
        <v>8</v>
      </c>
      <c r="N498" t="s">
        <v>7</v>
      </c>
      <c r="P498">
        <f t="shared" si="979"/>
        <v>-0.3717948717948717</v>
      </c>
      <c r="Q498">
        <f t="shared" si="980"/>
        <v>-2201131.4129487174</v>
      </c>
      <c r="R498">
        <f t="shared" si="981"/>
        <v>-162162717.96920177</v>
      </c>
      <c r="S498">
        <f t="shared" si="982"/>
        <v>-1621.6271796920178</v>
      </c>
      <c r="T498">
        <f t="shared" si="983"/>
        <v>-1.6216271796920179</v>
      </c>
    </row>
    <row r="499" spans="1:20" x14ac:dyDescent="0.25">
      <c r="A499" s="5">
        <v>44094</v>
      </c>
      <c r="B499">
        <v>0.1905</v>
      </c>
      <c r="C499">
        <v>0.2087</v>
      </c>
      <c r="D499">
        <v>0.18479999999999999</v>
      </c>
      <c r="E499">
        <v>0.19600000000000001</v>
      </c>
      <c r="F499">
        <v>5660547.9400000004</v>
      </c>
      <c r="G499">
        <v>0</v>
      </c>
      <c r="L499" t="s">
        <v>8</v>
      </c>
      <c r="M499" t="s">
        <v>8</v>
      </c>
      <c r="N499" t="s">
        <v>7</v>
      </c>
      <c r="P499">
        <f t="shared" si="979"/>
        <v>-6.2761506276149515E-2</v>
      </c>
      <c r="Q499">
        <f t="shared" si="980"/>
        <v>-355264.51506275521</v>
      </c>
      <c r="R499">
        <f t="shared" si="981"/>
        <v>-159961586.55625305</v>
      </c>
      <c r="S499">
        <f t="shared" si="982"/>
        <v>-1599.6158655625304</v>
      </c>
      <c r="T499">
        <f t="shared" si="983"/>
        <v>-1.5996158655625303</v>
      </c>
    </row>
    <row r="500" spans="1:20" x14ac:dyDescent="0.25">
      <c r="A500" s="5">
        <v>44093</v>
      </c>
      <c r="B500">
        <v>0.18490000000000001</v>
      </c>
      <c r="C500">
        <v>0.1968</v>
      </c>
      <c r="D500">
        <v>0.18310000000000001</v>
      </c>
      <c r="E500">
        <v>0.191</v>
      </c>
      <c r="F500">
        <v>2315222.14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0.15328467153284614</v>
      </c>
      <c r="Q500">
        <f t="shared" si="980"/>
        <v>354888.06525547314</v>
      </c>
      <c r="R500">
        <f t="shared" si="981"/>
        <v>-159606322.0411903</v>
      </c>
      <c r="S500">
        <f t="shared" si="982"/>
        <v>-1596.0632204119029</v>
      </c>
      <c r="T500">
        <f t="shared" si="983"/>
        <v>-1.596063220411903</v>
      </c>
    </row>
    <row r="501" spans="1:20" x14ac:dyDescent="0.25">
      <c r="A501" s="5">
        <v>44092</v>
      </c>
      <c r="B501">
        <v>0.1865</v>
      </c>
      <c r="C501">
        <v>0.20269999999999999</v>
      </c>
      <c r="D501">
        <v>0.18</v>
      </c>
      <c r="E501">
        <v>0.1857</v>
      </c>
      <c r="F501">
        <v>5188582.5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-0.49779735682819287</v>
      </c>
      <c r="Q501">
        <f t="shared" si="980"/>
        <v>-2582862.6541850171</v>
      </c>
      <c r="R501">
        <f t="shared" si="981"/>
        <v>-159961210.10644576</v>
      </c>
      <c r="S501">
        <f t="shared" si="982"/>
        <v>-1599.6121010644576</v>
      </c>
      <c r="T501">
        <f t="shared" si="983"/>
        <v>-1.5996121010644577</v>
      </c>
    </row>
    <row r="502" spans="1:20" x14ac:dyDescent="0.25">
      <c r="A502" s="5">
        <v>44091</v>
      </c>
      <c r="B502">
        <v>0.19800000000000001</v>
      </c>
      <c r="C502">
        <v>0.2021</v>
      </c>
      <c r="D502">
        <v>0.18329999999999999</v>
      </c>
      <c r="E502">
        <v>0.18729999999999999</v>
      </c>
      <c r="F502">
        <v>4160403.28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-0.57446808510638281</v>
      </c>
      <c r="Q502">
        <f t="shared" si="980"/>
        <v>-2390018.905531914</v>
      </c>
      <c r="R502">
        <f t="shared" si="981"/>
        <v>-157378347.45226073</v>
      </c>
      <c r="S502">
        <f t="shared" si="982"/>
        <v>-1573.7834745226073</v>
      </c>
      <c r="T502">
        <f t="shared" si="983"/>
        <v>-1.5737834745226074</v>
      </c>
    </row>
    <row r="503" spans="1:20" x14ac:dyDescent="0.25">
      <c r="A503" s="5">
        <v>44090</v>
      </c>
      <c r="B503">
        <v>0.18</v>
      </c>
      <c r="C503">
        <v>0.19900000000000001</v>
      </c>
      <c r="D503">
        <v>0.16800000000000001</v>
      </c>
      <c r="E503">
        <v>0.19900000000000001</v>
      </c>
      <c r="F503">
        <v>5254409.25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1</v>
      </c>
      <c r="Q503">
        <f t="shared" si="980"/>
        <v>5254409.25</v>
      </c>
      <c r="R503">
        <f t="shared" si="981"/>
        <v>-154988328.54672882</v>
      </c>
      <c r="S503">
        <f t="shared" si="982"/>
        <v>-1549.8832854672883</v>
      </c>
      <c r="T503">
        <f t="shared" si="983"/>
        <v>-1.5498832854672882</v>
      </c>
    </row>
    <row r="504" spans="1:20" x14ac:dyDescent="0.25">
      <c r="A504" s="5">
        <v>44089</v>
      </c>
      <c r="B504">
        <v>0.20300000000000001</v>
      </c>
      <c r="C504">
        <v>0.21840000000000001</v>
      </c>
      <c r="D504">
        <v>0.1784</v>
      </c>
      <c r="E504">
        <v>0.17949999999999999</v>
      </c>
      <c r="F504">
        <v>6231732.29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-0.94500000000000051</v>
      </c>
      <c r="Q504">
        <f t="shared" si="980"/>
        <v>-5888987.0140500031</v>
      </c>
      <c r="R504">
        <f t="shared" si="981"/>
        <v>-160242737.79672882</v>
      </c>
      <c r="S504">
        <f t="shared" si="982"/>
        <v>-1602.4273779672883</v>
      </c>
      <c r="T504">
        <f t="shared" si="983"/>
        <v>-1.6024273779672884</v>
      </c>
    </row>
    <row r="505" spans="1:20" x14ac:dyDescent="0.25">
      <c r="A505" s="5">
        <v>44088</v>
      </c>
      <c r="B505">
        <v>0.19919999999999999</v>
      </c>
      <c r="C505">
        <v>0.22869999999999999</v>
      </c>
      <c r="D505">
        <v>0.188</v>
      </c>
      <c r="E505">
        <v>0.20380000000000001</v>
      </c>
      <c r="F505">
        <v>7499397.4299999997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-0.22358722358722291</v>
      </c>
      <c r="Q505">
        <f t="shared" si="980"/>
        <v>-1676769.4499508548</v>
      </c>
      <c r="R505">
        <f t="shared" si="981"/>
        <v>-154353750.78267881</v>
      </c>
      <c r="S505">
        <f t="shared" si="982"/>
        <v>-1543.5375078267882</v>
      </c>
      <c r="T505">
        <f t="shared" si="983"/>
        <v>-1.5435375078267881</v>
      </c>
    </row>
    <row r="506" spans="1:20" x14ac:dyDescent="0.25">
      <c r="A506" s="5">
        <v>44087</v>
      </c>
      <c r="B506">
        <v>0.2278</v>
      </c>
      <c r="C506">
        <v>0.2278</v>
      </c>
      <c r="D506">
        <v>0.1862</v>
      </c>
      <c r="E506">
        <v>0.19919999999999999</v>
      </c>
      <c r="F506">
        <v>8142778.9100000001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-0.37500000000000078</v>
      </c>
      <c r="Q506">
        <f t="shared" si="980"/>
        <v>-3053542.0912500066</v>
      </c>
      <c r="R506">
        <f t="shared" si="981"/>
        <v>-152676981.33272797</v>
      </c>
      <c r="S506">
        <f t="shared" si="982"/>
        <v>-1526.7698133272797</v>
      </c>
      <c r="T506">
        <f t="shared" si="983"/>
        <v>-1.5267698133272798</v>
      </c>
    </row>
    <row r="507" spans="1:20" x14ac:dyDescent="0.25">
      <c r="A507" s="5">
        <v>44086</v>
      </c>
      <c r="B507">
        <v>0.21290000000000001</v>
      </c>
      <c r="C507">
        <v>0.23810000000000001</v>
      </c>
      <c r="D507">
        <v>0.21</v>
      </c>
      <c r="E507">
        <v>0.22750000000000001</v>
      </c>
      <c r="F507">
        <v>6946238.9000000004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0.24555160142348803</v>
      </c>
      <c r="Q507">
        <f t="shared" si="980"/>
        <v>1705660.085765128</v>
      </c>
      <c r="R507">
        <f t="shared" si="981"/>
        <v>-149623439.24147797</v>
      </c>
      <c r="S507">
        <f t="shared" si="982"/>
        <v>-1496.2343924147797</v>
      </c>
      <c r="T507">
        <f t="shared" si="983"/>
        <v>-1.4962343924147796</v>
      </c>
    </row>
    <row r="508" spans="1:20" x14ac:dyDescent="0.25">
      <c r="A508" s="5">
        <v>44085</v>
      </c>
      <c r="B508">
        <v>0.20669999999999999</v>
      </c>
      <c r="C508">
        <v>0.21360000000000001</v>
      </c>
      <c r="D508">
        <v>0.1946</v>
      </c>
      <c r="E508">
        <v>0.21310000000000001</v>
      </c>
      <c r="F508">
        <v>3312276.17</v>
      </c>
      <c r="G508">
        <v>0</v>
      </c>
      <c r="L508" t="s">
        <v>7</v>
      </c>
      <c r="M508" t="s">
        <v>7</v>
      </c>
      <c r="N508" t="s">
        <v>7</v>
      </c>
      <c r="P508">
        <f t="shared" si="979"/>
        <v>0.94736842105263153</v>
      </c>
      <c r="Q508">
        <f t="shared" si="980"/>
        <v>3137945.8452631575</v>
      </c>
      <c r="R508">
        <f t="shared" si="981"/>
        <v>-151329099.32724309</v>
      </c>
      <c r="S508">
        <f t="shared" si="982"/>
        <v>-1513.2909932724308</v>
      </c>
      <c r="T508">
        <f t="shared" si="983"/>
        <v>-1.5132909932724308</v>
      </c>
    </row>
    <row r="509" spans="1:20" x14ac:dyDescent="0.25">
      <c r="A509" s="5">
        <v>44084</v>
      </c>
      <c r="B509">
        <v>0.20960000000000001</v>
      </c>
      <c r="C509">
        <v>0.22500000000000001</v>
      </c>
      <c r="D509">
        <v>0.20380000000000001</v>
      </c>
      <c r="E509">
        <v>0.20619999999999999</v>
      </c>
      <c r="F509">
        <v>4828023.2699999996</v>
      </c>
      <c r="G509">
        <v>0</v>
      </c>
      <c r="L509" t="s">
        <v>7</v>
      </c>
      <c r="M509" t="s">
        <v>7</v>
      </c>
      <c r="N509" t="s">
        <v>8</v>
      </c>
      <c r="P509">
        <f t="shared" si="979"/>
        <v>-0.77358490566037874</v>
      </c>
      <c r="Q509">
        <f t="shared" si="980"/>
        <v>-3734885.9258490629</v>
      </c>
      <c r="R509">
        <f t="shared" si="981"/>
        <v>-154467045.17250624</v>
      </c>
      <c r="S509">
        <f t="shared" si="982"/>
        <v>-1544.6704517250623</v>
      </c>
      <c r="T509">
        <f t="shared" si="983"/>
        <v>-1.5446704517250622</v>
      </c>
    </row>
    <row r="510" spans="1:20" x14ac:dyDescent="0.25">
      <c r="A510" s="5">
        <v>44083</v>
      </c>
      <c r="B510">
        <v>0.2218</v>
      </c>
      <c r="C510">
        <v>0.22570000000000001</v>
      </c>
      <c r="D510">
        <v>0.2056</v>
      </c>
      <c r="E510">
        <v>0.20960000000000001</v>
      </c>
      <c r="F510">
        <v>7907666.4199999999</v>
      </c>
      <c r="G510">
        <v>0</v>
      </c>
      <c r="L510" t="s">
        <v>7</v>
      </c>
      <c r="M510" t="s">
        <v>7</v>
      </c>
      <c r="N510" t="s">
        <v>8</v>
      </c>
      <c r="P510">
        <f t="shared" si="979"/>
        <v>-0.60199004975124359</v>
      </c>
      <c r="Q510">
        <f t="shared" si="980"/>
        <v>-4760336.5015920382</v>
      </c>
      <c r="R510">
        <f t="shared" si="981"/>
        <v>-150732159.24665719</v>
      </c>
      <c r="S510">
        <f t="shared" si="982"/>
        <v>-1507.3215924665719</v>
      </c>
      <c r="T510">
        <f t="shared" si="983"/>
        <v>-1.5073215924665719</v>
      </c>
    </row>
    <row r="511" spans="1:20" x14ac:dyDescent="0.25">
      <c r="A511" s="5">
        <v>44082</v>
      </c>
      <c r="B511">
        <v>0.20860000000000001</v>
      </c>
      <c r="C511">
        <v>0.27210000000000001</v>
      </c>
      <c r="D511">
        <v>0.1928</v>
      </c>
      <c r="E511">
        <v>0.22070000000000001</v>
      </c>
      <c r="F511">
        <v>18277161.579999998</v>
      </c>
      <c r="G511">
        <v>0</v>
      </c>
      <c r="L511" t="s">
        <v>8</v>
      </c>
      <c r="M511" t="s">
        <v>8</v>
      </c>
      <c r="N511" t="s">
        <v>8</v>
      </c>
      <c r="P511">
        <f t="shared" si="979"/>
        <v>-0.29634300126103391</v>
      </c>
      <c r="Q511">
        <f t="shared" si="980"/>
        <v>-5416308.9171500597</v>
      </c>
      <c r="R511">
        <f t="shared" si="981"/>
        <v>-145971822.74506515</v>
      </c>
      <c r="S511">
        <f t="shared" si="982"/>
        <v>-1459.7182274506515</v>
      </c>
      <c r="T511">
        <f t="shared" si="983"/>
        <v>-1.4597182274506515</v>
      </c>
    </row>
    <row r="512" spans="1:20" x14ac:dyDescent="0.25">
      <c r="A512" s="5">
        <v>44081</v>
      </c>
      <c r="B512">
        <v>0.191</v>
      </c>
      <c r="C512">
        <v>0.2112</v>
      </c>
      <c r="D512">
        <v>0.16470000000000001</v>
      </c>
      <c r="E512">
        <v>0.2077</v>
      </c>
      <c r="F512">
        <v>10029511.460000001</v>
      </c>
      <c r="G512">
        <v>0</v>
      </c>
      <c r="L512" t="s">
        <v>8</v>
      </c>
      <c r="M512" t="s">
        <v>8</v>
      </c>
      <c r="N512" t="s">
        <v>8</v>
      </c>
      <c r="P512">
        <f t="shared" si="979"/>
        <v>0.84946236559139765</v>
      </c>
      <c r="Q512">
        <f t="shared" si="980"/>
        <v>8519692.5305376332</v>
      </c>
      <c r="R512">
        <f t="shared" si="981"/>
        <v>-140555513.8279151</v>
      </c>
      <c r="S512">
        <f t="shared" si="982"/>
        <v>-1405.5551382791509</v>
      </c>
      <c r="T512">
        <f t="shared" si="983"/>
        <v>-1.4055551382791509</v>
      </c>
    </row>
    <row r="513" spans="1:20" x14ac:dyDescent="0.25">
      <c r="A513" s="5">
        <v>44080</v>
      </c>
      <c r="B513">
        <v>0.15440000000000001</v>
      </c>
      <c r="C513">
        <v>0.20039999999999999</v>
      </c>
      <c r="D513">
        <v>0.14849999999999999</v>
      </c>
      <c r="E513">
        <v>0.191</v>
      </c>
      <c r="F513">
        <v>6808351.71</v>
      </c>
      <c r="G513">
        <v>0</v>
      </c>
      <c r="L513" t="s">
        <v>8</v>
      </c>
      <c r="M513" t="s">
        <v>8</v>
      </c>
      <c r="N513" t="s">
        <v>8</v>
      </c>
      <c r="P513">
        <f t="shared" si="979"/>
        <v>0.63776493256262079</v>
      </c>
      <c r="Q513">
        <f t="shared" si="980"/>
        <v>4342127.969190754</v>
      </c>
      <c r="R513">
        <f t="shared" si="981"/>
        <v>-149075206.35845274</v>
      </c>
      <c r="S513">
        <f t="shared" si="982"/>
        <v>-1490.7520635845274</v>
      </c>
      <c r="T513">
        <f t="shared" si="983"/>
        <v>-1.4907520635845273</v>
      </c>
    </row>
    <row r="514" spans="1:20" x14ac:dyDescent="0.25">
      <c r="A514" s="5">
        <v>44079</v>
      </c>
      <c r="B514">
        <v>0.18709999999999999</v>
      </c>
      <c r="C514">
        <v>0.1928</v>
      </c>
      <c r="D514">
        <v>0.14299999999999999</v>
      </c>
      <c r="E514">
        <v>0.15490000000000001</v>
      </c>
      <c r="F514">
        <v>9391199.3499999996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-0.52208835341365389</v>
      </c>
      <c r="Q514">
        <f t="shared" si="980"/>
        <v>-4903035.8052208768</v>
      </c>
      <c r="R514">
        <f t="shared" si="981"/>
        <v>-153417334.32764348</v>
      </c>
      <c r="S514">
        <f t="shared" si="982"/>
        <v>-1534.1733432764349</v>
      </c>
      <c r="T514">
        <f t="shared" si="983"/>
        <v>-1.5341733432764348</v>
      </c>
    </row>
    <row r="515" spans="1:20" x14ac:dyDescent="0.25">
      <c r="A515" s="5">
        <v>44078</v>
      </c>
      <c r="B515">
        <v>0.182</v>
      </c>
      <c r="C515">
        <v>0.19259999999999999</v>
      </c>
      <c r="D515">
        <v>0.16289999999999999</v>
      </c>
      <c r="E515">
        <v>0.18640000000000001</v>
      </c>
      <c r="F515">
        <v>6493248.9699999997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0.58249158249158373</v>
      </c>
      <c r="Q515">
        <f t="shared" si="980"/>
        <v>3782262.8680471461</v>
      </c>
      <c r="R515">
        <f t="shared" si="981"/>
        <v>-148514298.52242261</v>
      </c>
      <c r="S515">
        <f t="shared" si="982"/>
        <v>-1485.1429852242261</v>
      </c>
      <c r="T515">
        <f t="shared" si="983"/>
        <v>-1.4851429852242262</v>
      </c>
    </row>
    <row r="516" spans="1:20" x14ac:dyDescent="0.25">
      <c r="A516" s="5">
        <v>44077</v>
      </c>
      <c r="B516">
        <v>0.21740000000000001</v>
      </c>
      <c r="C516">
        <v>0.22259999999999999</v>
      </c>
      <c r="D516">
        <v>0.18</v>
      </c>
      <c r="E516">
        <v>0.18110000000000001</v>
      </c>
      <c r="F516">
        <v>9051150.2300000004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-0.94835680751173623</v>
      </c>
      <c r="Q516">
        <f t="shared" si="980"/>
        <v>-8583719.9364319183</v>
      </c>
      <c r="R516">
        <f t="shared" si="981"/>
        <v>-152296561.39046976</v>
      </c>
      <c r="S516">
        <f t="shared" si="982"/>
        <v>-1522.9656139046976</v>
      </c>
      <c r="T516">
        <f t="shared" si="983"/>
        <v>-1.5229656139046976</v>
      </c>
    </row>
    <row r="517" spans="1:20" x14ac:dyDescent="0.25">
      <c r="A517" s="5">
        <v>44076</v>
      </c>
      <c r="B517">
        <v>0.2364</v>
      </c>
      <c r="C517">
        <v>0.23980000000000001</v>
      </c>
      <c r="D517">
        <v>0.2079</v>
      </c>
      <c r="E517">
        <v>0.21779999999999999</v>
      </c>
      <c r="F517">
        <v>6233286.5800000001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-0.37931034482758691</v>
      </c>
      <c r="Q517">
        <f t="shared" si="980"/>
        <v>-2364350.08206897</v>
      </c>
      <c r="R517">
        <f t="shared" si="981"/>
        <v>-143712841.45403785</v>
      </c>
      <c r="S517">
        <f t="shared" si="982"/>
        <v>-1437.1284145403783</v>
      </c>
      <c r="T517">
        <f t="shared" si="983"/>
        <v>-1.4371284145403784</v>
      </c>
    </row>
    <row r="518" spans="1:20" x14ac:dyDescent="0.25">
      <c r="A518" s="5">
        <v>44075</v>
      </c>
      <c r="B518">
        <v>0.24990000000000001</v>
      </c>
      <c r="C518">
        <v>0.25080000000000002</v>
      </c>
      <c r="D518">
        <v>0.2326</v>
      </c>
      <c r="E518">
        <v>0.23619999999999999</v>
      </c>
      <c r="F518">
        <v>7749470.9000000004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-0.60439560439560569</v>
      </c>
      <c r="Q518">
        <f t="shared" ref="Q518:Q581" si="985">F518*P518</f>
        <v>-4683746.1483516591</v>
      </c>
      <c r="R518">
        <f t="shared" ref="R518:R581" si="986">R519+Q518</f>
        <v>-141348491.37196887</v>
      </c>
      <c r="S518">
        <f t="shared" ref="S518:S581" si="987">R518/100000</f>
        <v>-1413.4849137196886</v>
      </c>
      <c r="T518">
        <f t="shared" ref="T518:T581" si="988">S518/1000</f>
        <v>-1.4134849137196885</v>
      </c>
    </row>
    <row r="519" spans="1:20" x14ac:dyDescent="0.25">
      <c r="A519" s="5">
        <v>44074</v>
      </c>
      <c r="B519">
        <v>0.2492</v>
      </c>
      <c r="C519">
        <v>0.2752</v>
      </c>
      <c r="D519">
        <v>0.24199999999999999</v>
      </c>
      <c r="E519">
        <v>0.24959999999999999</v>
      </c>
      <c r="F519">
        <v>8666153.5099999998</v>
      </c>
      <c r="G519">
        <v>0</v>
      </c>
      <c r="L519" t="s">
        <v>8</v>
      </c>
      <c r="M519" t="s">
        <v>7</v>
      </c>
      <c r="N519" t="s">
        <v>7</v>
      </c>
      <c r="P519">
        <f t="shared" si="984"/>
        <v>-0.54216867469879559</v>
      </c>
      <c r="Q519">
        <f t="shared" si="985"/>
        <v>-4698516.9632530157</v>
      </c>
      <c r="R519">
        <f t="shared" si="986"/>
        <v>-136664745.2236172</v>
      </c>
      <c r="S519">
        <f t="shared" si="987"/>
        <v>-1366.6474522361721</v>
      </c>
      <c r="T519">
        <f t="shared" si="988"/>
        <v>-1.366647452236172</v>
      </c>
    </row>
    <row r="520" spans="1:20" x14ac:dyDescent="0.25">
      <c r="A520" s="5">
        <v>44073</v>
      </c>
      <c r="B520">
        <v>0.25219999999999998</v>
      </c>
      <c r="C520">
        <v>0.25619999999999998</v>
      </c>
      <c r="D520">
        <v>0.24540000000000001</v>
      </c>
      <c r="E520">
        <v>0.2492</v>
      </c>
      <c r="F520">
        <v>4505874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-0.29629629629629517</v>
      </c>
      <c r="Q520">
        <f t="shared" si="985"/>
        <v>-1335073.7777777726</v>
      </c>
      <c r="R520">
        <f t="shared" si="986"/>
        <v>-131966228.26036419</v>
      </c>
      <c r="S520">
        <f t="shared" si="987"/>
        <v>-1319.6622826036419</v>
      </c>
      <c r="T520">
        <f t="shared" si="988"/>
        <v>-1.3196622826036419</v>
      </c>
    </row>
    <row r="521" spans="1:20" x14ac:dyDescent="0.25">
      <c r="A521" s="5">
        <v>44072</v>
      </c>
      <c r="B521">
        <v>0.25090000000000001</v>
      </c>
      <c r="C521">
        <v>0.26400000000000001</v>
      </c>
      <c r="D521">
        <v>0.2422</v>
      </c>
      <c r="E521">
        <v>0.25219999999999998</v>
      </c>
      <c r="F521">
        <v>3514575.42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-8.256880733945185E-2</v>
      </c>
      <c r="Q521">
        <f t="shared" si="985"/>
        <v>-290194.30073395307</v>
      </c>
      <c r="R521">
        <f t="shared" si="986"/>
        <v>-130631154.48258641</v>
      </c>
      <c r="S521">
        <f t="shared" si="987"/>
        <v>-1306.3115448258641</v>
      </c>
      <c r="T521">
        <f t="shared" si="988"/>
        <v>-1.306311544825864</v>
      </c>
    </row>
    <row r="522" spans="1:20" x14ac:dyDescent="0.25">
      <c r="A522" s="5">
        <v>44071</v>
      </c>
      <c r="B522">
        <v>0.24579999999999999</v>
      </c>
      <c r="C522">
        <v>0.2586</v>
      </c>
      <c r="D522">
        <v>0.24329999999999999</v>
      </c>
      <c r="E522">
        <v>0.251</v>
      </c>
      <c r="F522">
        <v>3567707.83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6.5359477124193911E-3</v>
      </c>
      <c r="Q522">
        <f t="shared" si="985"/>
        <v>23318.351830069252</v>
      </c>
      <c r="R522">
        <f t="shared" si="986"/>
        <v>-130340960.18185246</v>
      </c>
      <c r="S522">
        <f t="shared" si="987"/>
        <v>-1303.4096018185246</v>
      </c>
      <c r="T522">
        <f t="shared" si="988"/>
        <v>-1.3034096018185246</v>
      </c>
    </row>
    <row r="523" spans="1:20" x14ac:dyDescent="0.25">
      <c r="A523" s="5">
        <v>44070</v>
      </c>
      <c r="B523">
        <v>0.2482</v>
      </c>
      <c r="C523">
        <v>0.26119999999999999</v>
      </c>
      <c r="D523">
        <v>0.23200000000000001</v>
      </c>
      <c r="E523">
        <v>0.24579999999999999</v>
      </c>
      <c r="F523">
        <v>6908868.9199999999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-5.4794520547945869E-2</v>
      </c>
      <c r="Q523">
        <f t="shared" si="985"/>
        <v>-378568.16000000457</v>
      </c>
      <c r="R523">
        <f t="shared" si="986"/>
        <v>-130364278.53368253</v>
      </c>
      <c r="S523">
        <f t="shared" si="987"/>
        <v>-1303.6427853368252</v>
      </c>
      <c r="T523">
        <f t="shared" si="988"/>
        <v>-1.3036427853368253</v>
      </c>
    </row>
    <row r="524" spans="1:20" x14ac:dyDescent="0.25">
      <c r="A524" s="5">
        <v>44069</v>
      </c>
      <c r="B524">
        <v>0.26</v>
      </c>
      <c r="C524">
        <v>0.26800000000000002</v>
      </c>
      <c r="D524">
        <v>0.2429</v>
      </c>
      <c r="E524">
        <v>0.2482</v>
      </c>
      <c r="F524">
        <v>8472845.7599999998</v>
      </c>
      <c r="G524">
        <v>0</v>
      </c>
      <c r="L524" t="s">
        <v>7</v>
      </c>
      <c r="M524" t="s">
        <v>7</v>
      </c>
      <c r="N524" t="s">
        <v>7</v>
      </c>
      <c r="P524">
        <f t="shared" si="984"/>
        <v>-0.57768924302788871</v>
      </c>
      <c r="Q524">
        <f t="shared" si="985"/>
        <v>-4894671.8533864561</v>
      </c>
      <c r="R524">
        <f t="shared" si="986"/>
        <v>-129985710.37368251</v>
      </c>
      <c r="S524">
        <f t="shared" si="987"/>
        <v>-1299.8571037368251</v>
      </c>
      <c r="T524">
        <f t="shared" si="988"/>
        <v>-1.2998571037368252</v>
      </c>
    </row>
    <row r="525" spans="1:20" x14ac:dyDescent="0.25">
      <c r="A525" s="5">
        <v>44068</v>
      </c>
      <c r="B525">
        <v>0.28179999999999999</v>
      </c>
      <c r="C525">
        <v>0.28549999999999998</v>
      </c>
      <c r="D525">
        <v>0.24579999999999999</v>
      </c>
      <c r="E525">
        <v>0.2591</v>
      </c>
      <c r="F525">
        <v>7047851.4100000001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-0.32997481108312288</v>
      </c>
      <c r="Q525">
        <f t="shared" si="985"/>
        <v>-2325613.4375566714</v>
      </c>
      <c r="R525">
        <f t="shared" si="986"/>
        <v>-125091038.52029605</v>
      </c>
      <c r="S525">
        <f t="shared" si="987"/>
        <v>-1250.9103852029605</v>
      </c>
      <c r="T525">
        <f t="shared" si="988"/>
        <v>-1.2509103852029604</v>
      </c>
    </row>
    <row r="526" spans="1:20" x14ac:dyDescent="0.25">
      <c r="A526" s="5">
        <v>44067</v>
      </c>
      <c r="B526">
        <v>0.29670000000000002</v>
      </c>
      <c r="C526">
        <v>0.31</v>
      </c>
      <c r="D526">
        <v>0.28010000000000002</v>
      </c>
      <c r="E526">
        <v>0.2833</v>
      </c>
      <c r="F526">
        <v>6032937.9000000004</v>
      </c>
      <c r="G526">
        <v>0</v>
      </c>
      <c r="L526" t="s">
        <v>7</v>
      </c>
      <c r="M526" t="s">
        <v>8</v>
      </c>
      <c r="N526" t="s">
        <v>7</v>
      </c>
      <c r="P526">
        <f t="shared" si="984"/>
        <v>-0.78595317725752623</v>
      </c>
      <c r="Q526">
        <f t="shared" si="985"/>
        <v>-4741606.7107023485</v>
      </c>
      <c r="R526">
        <f t="shared" si="986"/>
        <v>-122765425.08273938</v>
      </c>
      <c r="S526">
        <f t="shared" si="987"/>
        <v>-1227.6542508273938</v>
      </c>
      <c r="T526">
        <f t="shared" si="988"/>
        <v>-1.2276542508273938</v>
      </c>
    </row>
    <row r="527" spans="1:20" x14ac:dyDescent="0.25">
      <c r="A527" s="5">
        <v>44066</v>
      </c>
      <c r="B527">
        <v>0.28560000000000002</v>
      </c>
      <c r="C527">
        <v>0.30969999999999998</v>
      </c>
      <c r="D527">
        <v>0.27179999999999999</v>
      </c>
      <c r="E527">
        <v>0.29630000000000001</v>
      </c>
      <c r="F527">
        <v>7132771.1500000004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0.29287598944591181</v>
      </c>
      <c r="Q527">
        <f t="shared" si="985"/>
        <v>2089017.4080475043</v>
      </c>
      <c r="R527">
        <f t="shared" si="986"/>
        <v>-118023818.37203704</v>
      </c>
      <c r="S527">
        <f t="shared" si="987"/>
        <v>-1180.2381837203704</v>
      </c>
      <c r="T527">
        <f t="shared" si="988"/>
        <v>-1.1802381837203704</v>
      </c>
    </row>
    <row r="528" spans="1:20" x14ac:dyDescent="0.25">
      <c r="A528" s="5">
        <v>44065</v>
      </c>
      <c r="B528">
        <v>0.26079999999999998</v>
      </c>
      <c r="C528">
        <v>0.29570000000000002</v>
      </c>
      <c r="D528">
        <v>0.25</v>
      </c>
      <c r="E528">
        <v>0.28560000000000002</v>
      </c>
      <c r="F528">
        <v>4555714.92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0.5579868708971556</v>
      </c>
      <c r="Q528">
        <f t="shared" si="985"/>
        <v>2542029.1129102856</v>
      </c>
      <c r="R528">
        <f t="shared" si="986"/>
        <v>-120112835.78008454</v>
      </c>
      <c r="S528">
        <f t="shared" si="987"/>
        <v>-1201.1283578008454</v>
      </c>
      <c r="T528">
        <f t="shared" si="988"/>
        <v>-1.2011283578008454</v>
      </c>
    </row>
    <row r="529" spans="1:20" x14ac:dyDescent="0.25">
      <c r="A529" s="5">
        <v>44064</v>
      </c>
      <c r="B529">
        <v>0.28470000000000001</v>
      </c>
      <c r="C529">
        <v>0.31</v>
      </c>
      <c r="D529">
        <v>0.26050000000000001</v>
      </c>
      <c r="E529">
        <v>0.26140000000000002</v>
      </c>
      <c r="F529">
        <v>11502879.34</v>
      </c>
      <c r="G529">
        <v>0</v>
      </c>
      <c r="L529" t="s">
        <v>8</v>
      </c>
      <c r="M529" t="s">
        <v>8</v>
      </c>
      <c r="N529" t="s">
        <v>7</v>
      </c>
      <c r="P529">
        <f t="shared" si="984"/>
        <v>-0.96363636363636318</v>
      </c>
      <c r="Q529">
        <f t="shared" si="985"/>
        <v>-11084592.81854545</v>
      </c>
      <c r="R529">
        <f t="shared" si="986"/>
        <v>-122654864.89299482</v>
      </c>
      <c r="S529">
        <f t="shared" si="987"/>
        <v>-1226.5486489299483</v>
      </c>
      <c r="T529">
        <f t="shared" si="988"/>
        <v>-1.2265486489299482</v>
      </c>
    </row>
    <row r="530" spans="1:20" x14ac:dyDescent="0.25">
      <c r="A530" s="5">
        <v>44063</v>
      </c>
      <c r="B530">
        <v>0.24410000000000001</v>
      </c>
      <c r="C530">
        <v>0.28810000000000002</v>
      </c>
      <c r="D530">
        <v>0.24390000000000001</v>
      </c>
      <c r="E530">
        <v>0.28339999999999999</v>
      </c>
      <c r="F530">
        <v>5550117.5499999998</v>
      </c>
      <c r="G530">
        <v>0</v>
      </c>
      <c r="L530" t="s">
        <v>8</v>
      </c>
      <c r="M530" t="s">
        <v>8</v>
      </c>
      <c r="N530" t="s">
        <v>7</v>
      </c>
      <c r="P530">
        <f t="shared" si="984"/>
        <v>0.78733031674207987</v>
      </c>
      <c r="Q530">
        <f t="shared" si="985"/>
        <v>4369775.808597276</v>
      </c>
      <c r="R530">
        <f t="shared" si="986"/>
        <v>-111570272.07444938</v>
      </c>
      <c r="S530">
        <f t="shared" si="987"/>
        <v>-1115.7027207444937</v>
      </c>
      <c r="T530">
        <f t="shared" si="988"/>
        <v>-1.1157027207444936</v>
      </c>
    </row>
    <row r="531" spans="1:20" x14ac:dyDescent="0.25">
      <c r="A531" s="5">
        <v>44062</v>
      </c>
      <c r="B531">
        <v>0.2576</v>
      </c>
      <c r="C531">
        <v>0.26279999999999998</v>
      </c>
      <c r="D531">
        <v>0.23080000000000001</v>
      </c>
      <c r="E531">
        <v>0.24410000000000001</v>
      </c>
      <c r="F531">
        <v>4739491.5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-0.1687499999999989</v>
      </c>
      <c r="Q531">
        <f t="shared" si="985"/>
        <v>-799789.19062499481</v>
      </c>
      <c r="R531">
        <f t="shared" si="986"/>
        <v>-115940047.88304666</v>
      </c>
      <c r="S531">
        <f t="shared" si="987"/>
        <v>-1159.4004788304667</v>
      </c>
      <c r="T531">
        <f t="shared" si="988"/>
        <v>-1.1594004788304666</v>
      </c>
    </row>
    <row r="532" spans="1:20" x14ac:dyDescent="0.25">
      <c r="A532" s="5">
        <v>44061</v>
      </c>
      <c r="B532">
        <v>0.26829999999999998</v>
      </c>
      <c r="C532">
        <v>0.2717</v>
      </c>
      <c r="D532">
        <v>0.24229999999999999</v>
      </c>
      <c r="E532">
        <v>0.25900000000000001</v>
      </c>
      <c r="F532">
        <v>6667651.6200000001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0.13605442176870849</v>
      </c>
      <c r="Q532">
        <f t="shared" si="985"/>
        <v>907163.4857142925</v>
      </c>
      <c r="R532">
        <f t="shared" si="986"/>
        <v>-115140258.69242166</v>
      </c>
      <c r="S532">
        <f t="shared" si="987"/>
        <v>-1151.4025869242166</v>
      </c>
      <c r="T532">
        <f t="shared" si="988"/>
        <v>-1.1514025869242166</v>
      </c>
    </row>
    <row r="533" spans="1:20" x14ac:dyDescent="0.25">
      <c r="A533" s="5">
        <v>44060</v>
      </c>
      <c r="B533">
        <v>0.27739999999999998</v>
      </c>
      <c r="C533">
        <v>0.28000000000000003</v>
      </c>
      <c r="D533">
        <v>0.26119999999999999</v>
      </c>
      <c r="E533">
        <v>0.26669999999999999</v>
      </c>
      <c r="F533">
        <v>5967310.2999999998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-0.41489361702127731</v>
      </c>
      <c r="Q533">
        <f t="shared" si="985"/>
        <v>-2475798.9542553234</v>
      </c>
      <c r="R533">
        <f t="shared" si="986"/>
        <v>-116047422.17813595</v>
      </c>
      <c r="S533">
        <f t="shared" si="987"/>
        <v>-1160.4742217813596</v>
      </c>
      <c r="T533">
        <f t="shared" si="988"/>
        <v>-1.1604742217813595</v>
      </c>
    </row>
    <row r="534" spans="1:20" x14ac:dyDescent="0.25">
      <c r="A534" s="5">
        <v>44059</v>
      </c>
      <c r="B534">
        <v>0.28789999999999999</v>
      </c>
      <c r="C534">
        <v>0.29170000000000001</v>
      </c>
      <c r="D534">
        <v>0.27329999999999999</v>
      </c>
      <c r="E534">
        <v>0.27739999999999998</v>
      </c>
      <c r="F534">
        <v>5060096.8899999997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-0.55434782608695798</v>
      </c>
      <c r="Q534">
        <f t="shared" si="985"/>
        <v>-2805053.710760877</v>
      </c>
      <c r="R534">
        <f t="shared" si="986"/>
        <v>-113571623.22388062</v>
      </c>
      <c r="S534">
        <f t="shared" si="987"/>
        <v>-1135.7162322388062</v>
      </c>
      <c r="T534">
        <f t="shared" si="988"/>
        <v>-1.1357162322388061</v>
      </c>
    </row>
    <row r="535" spans="1:20" x14ac:dyDescent="0.25">
      <c r="A535" s="5">
        <v>44058</v>
      </c>
      <c r="B535">
        <v>0.31180000000000002</v>
      </c>
      <c r="C535">
        <v>0.31990000000000002</v>
      </c>
      <c r="D535">
        <v>0.27689999999999998</v>
      </c>
      <c r="E535">
        <v>0.2873</v>
      </c>
      <c r="F535">
        <v>7586296.79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-0.51627906976744131</v>
      </c>
      <c r="Q535">
        <f t="shared" si="985"/>
        <v>-3916646.2497209259</v>
      </c>
      <c r="R535">
        <f t="shared" si="986"/>
        <v>-110766569.51311974</v>
      </c>
      <c r="S535">
        <f t="shared" si="987"/>
        <v>-1107.6656951311975</v>
      </c>
      <c r="T535">
        <f t="shared" si="988"/>
        <v>-1.1076656951311974</v>
      </c>
    </row>
    <row r="536" spans="1:20" x14ac:dyDescent="0.25">
      <c r="A536" s="5">
        <v>44057</v>
      </c>
      <c r="B536">
        <v>0.26939999999999997</v>
      </c>
      <c r="C536">
        <v>0.32</v>
      </c>
      <c r="D536">
        <v>0.2616</v>
      </c>
      <c r="E536">
        <v>0.311</v>
      </c>
      <c r="F536">
        <v>9503419.7200000007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0.69178082191780799</v>
      </c>
      <c r="Q536">
        <f t="shared" si="985"/>
        <v>6574283.5049315048</v>
      </c>
      <c r="R536">
        <f t="shared" si="986"/>
        <v>-106849923.26339881</v>
      </c>
      <c r="S536">
        <f t="shared" si="987"/>
        <v>-1068.4992326339882</v>
      </c>
      <c r="T536">
        <f t="shared" si="988"/>
        <v>-1.0684992326339882</v>
      </c>
    </row>
    <row r="537" spans="1:20" x14ac:dyDescent="0.25">
      <c r="A537" s="5">
        <v>44056</v>
      </c>
      <c r="B537">
        <v>0.26900000000000002</v>
      </c>
      <c r="C537">
        <v>0.28270000000000001</v>
      </c>
      <c r="D537">
        <v>0.2477</v>
      </c>
      <c r="E537">
        <v>0.26819999999999999</v>
      </c>
      <c r="F537">
        <v>7814660.5199999996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0.17142857142857076</v>
      </c>
      <c r="Q537">
        <f t="shared" si="985"/>
        <v>1339656.0891428518</v>
      </c>
      <c r="R537">
        <f t="shared" si="986"/>
        <v>-113424206.76833032</v>
      </c>
      <c r="S537">
        <f t="shared" si="987"/>
        <v>-1134.2420676833033</v>
      </c>
      <c r="T537">
        <f t="shared" si="988"/>
        <v>-1.1342420676833034</v>
      </c>
    </row>
    <row r="538" spans="1:20" x14ac:dyDescent="0.25">
      <c r="A538" s="5">
        <v>44055</v>
      </c>
      <c r="B538">
        <v>0.24479999999999999</v>
      </c>
      <c r="C538">
        <v>0.28210000000000002</v>
      </c>
      <c r="D538">
        <v>0.2356</v>
      </c>
      <c r="E538">
        <v>0.26889999999999997</v>
      </c>
      <c r="F538">
        <v>8866135.7400000002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0.43225806451612725</v>
      </c>
      <c r="Q538">
        <f t="shared" si="985"/>
        <v>3832458.6747096619</v>
      </c>
      <c r="R538">
        <f t="shared" si="986"/>
        <v>-114763862.85747318</v>
      </c>
      <c r="S538">
        <f t="shared" si="987"/>
        <v>-1147.6386285747317</v>
      </c>
      <c r="T538">
        <f t="shared" si="988"/>
        <v>-1.1476386285747318</v>
      </c>
    </row>
    <row r="539" spans="1:20" x14ac:dyDescent="0.25">
      <c r="A539" s="5">
        <v>44054</v>
      </c>
      <c r="B539">
        <v>0.2717</v>
      </c>
      <c r="C539">
        <v>0.29249999999999998</v>
      </c>
      <c r="D539">
        <v>0.22969999999999999</v>
      </c>
      <c r="E539">
        <v>0.24540000000000001</v>
      </c>
      <c r="F539">
        <v>17348118.41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-0.49999999999999933</v>
      </c>
      <c r="Q539">
        <f t="shared" si="985"/>
        <v>-8674059.2049999889</v>
      </c>
      <c r="R539">
        <f t="shared" si="986"/>
        <v>-118596321.53218284</v>
      </c>
      <c r="S539">
        <f t="shared" si="987"/>
        <v>-1185.9632153218283</v>
      </c>
      <c r="T539">
        <f t="shared" si="988"/>
        <v>-1.1859632153218282</v>
      </c>
    </row>
    <row r="540" spans="1:20" x14ac:dyDescent="0.25">
      <c r="A540" s="5">
        <v>44053</v>
      </c>
      <c r="B540">
        <v>0.2354</v>
      </c>
      <c r="C540">
        <v>0.27179999999999999</v>
      </c>
      <c r="D540">
        <v>0.21840000000000001</v>
      </c>
      <c r="E540">
        <v>0.27160000000000001</v>
      </c>
      <c r="F540">
        <v>12231178.76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0.99250936329588102</v>
      </c>
      <c r="Q540">
        <f t="shared" si="985"/>
        <v>12139559.443445703</v>
      </c>
      <c r="R540">
        <f t="shared" si="986"/>
        <v>-109922262.32718286</v>
      </c>
      <c r="S540">
        <f t="shared" si="987"/>
        <v>-1099.2226232718285</v>
      </c>
      <c r="T540">
        <f t="shared" si="988"/>
        <v>-1.0992226232718285</v>
      </c>
    </row>
    <row r="541" spans="1:20" x14ac:dyDescent="0.25">
      <c r="A541" s="5">
        <v>44052</v>
      </c>
      <c r="B541">
        <v>0.2339</v>
      </c>
      <c r="C541">
        <v>0.2455</v>
      </c>
      <c r="D541">
        <v>0.22389999999999999</v>
      </c>
      <c r="E541">
        <v>0.23480000000000001</v>
      </c>
      <c r="F541">
        <v>10115357.65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9.2592592592608061E-3</v>
      </c>
      <c r="Q541">
        <f t="shared" si="985"/>
        <v>93660.718981497135</v>
      </c>
      <c r="R541">
        <f t="shared" si="986"/>
        <v>-122061821.77062856</v>
      </c>
      <c r="S541">
        <f t="shared" si="987"/>
        <v>-1220.6182177062856</v>
      </c>
      <c r="T541">
        <f t="shared" si="988"/>
        <v>-1.2206182177062856</v>
      </c>
    </row>
    <row r="542" spans="1:20" x14ac:dyDescent="0.25">
      <c r="A542" s="5">
        <v>44051</v>
      </c>
      <c r="B542">
        <v>0.21099999999999999</v>
      </c>
      <c r="C542">
        <v>0.23549999999999999</v>
      </c>
      <c r="D542">
        <v>0.20849999999999999</v>
      </c>
      <c r="E542">
        <v>0.23469999999999999</v>
      </c>
      <c r="F542">
        <v>8089887.5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0.9407407407407411</v>
      </c>
      <c r="Q542">
        <f t="shared" si="985"/>
        <v>7610486.7592592621</v>
      </c>
      <c r="R542">
        <f t="shared" si="986"/>
        <v>-122155482.48961006</v>
      </c>
      <c r="S542">
        <f t="shared" si="987"/>
        <v>-1221.5548248961006</v>
      </c>
      <c r="T542">
        <f t="shared" si="988"/>
        <v>-1.2215548248961006</v>
      </c>
    </row>
    <row r="543" spans="1:20" x14ac:dyDescent="0.25">
      <c r="A543" s="5">
        <v>44050</v>
      </c>
      <c r="B543">
        <v>0.2046</v>
      </c>
      <c r="C543">
        <v>0.22439999999999999</v>
      </c>
      <c r="D543">
        <v>0.20100000000000001</v>
      </c>
      <c r="E543">
        <v>0.21029999999999999</v>
      </c>
      <c r="F543">
        <v>9230174.1400000006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-0.20512820512820645</v>
      </c>
      <c r="Q543">
        <f t="shared" si="985"/>
        <v>-1893369.0543589867</v>
      </c>
      <c r="R543">
        <f t="shared" si="986"/>
        <v>-129765969.24886933</v>
      </c>
      <c r="S543">
        <f t="shared" si="987"/>
        <v>-1297.6596924886933</v>
      </c>
      <c r="T543">
        <f t="shared" si="988"/>
        <v>-1.2976596924886932</v>
      </c>
    </row>
    <row r="544" spans="1:20" x14ac:dyDescent="0.25">
      <c r="A544" s="5">
        <v>44049</v>
      </c>
      <c r="B544">
        <v>0.18429999999999999</v>
      </c>
      <c r="C544">
        <v>0.21940000000000001</v>
      </c>
      <c r="D544">
        <v>0.1827</v>
      </c>
      <c r="E544">
        <v>0.2051</v>
      </c>
      <c r="F544">
        <v>17031738.510000002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0.22070844686648483</v>
      </c>
      <c r="Q544">
        <f t="shared" si="985"/>
        <v>3759048.5539781987</v>
      </c>
      <c r="R544">
        <f t="shared" si="986"/>
        <v>-127872600.19451034</v>
      </c>
      <c r="S544">
        <f t="shared" si="987"/>
        <v>-1278.7260019451035</v>
      </c>
      <c r="T544">
        <f t="shared" si="988"/>
        <v>-1.2787260019451034</v>
      </c>
    </row>
    <row r="545" spans="1:20" x14ac:dyDescent="0.25">
      <c r="A545" s="5">
        <v>44048</v>
      </c>
      <c r="B545">
        <v>0.18940000000000001</v>
      </c>
      <c r="C545">
        <v>0.1938</v>
      </c>
      <c r="D545">
        <v>0.1799</v>
      </c>
      <c r="E545">
        <v>0.18509999999999999</v>
      </c>
      <c r="F545">
        <v>6590870.8099999996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-0.25179856115108146</v>
      </c>
      <c r="Q545">
        <f t="shared" si="985"/>
        <v>-1659571.7866906626</v>
      </c>
      <c r="R545">
        <f t="shared" si="986"/>
        <v>-131631648.74848855</v>
      </c>
      <c r="S545">
        <f t="shared" si="987"/>
        <v>-1316.3164874848856</v>
      </c>
      <c r="T545">
        <f t="shared" si="988"/>
        <v>-1.3163164874848856</v>
      </c>
    </row>
    <row r="546" spans="1:20" x14ac:dyDescent="0.25">
      <c r="A546" s="5">
        <v>44047</v>
      </c>
      <c r="B546">
        <v>0.17799999999999999</v>
      </c>
      <c r="C546">
        <v>0.19320000000000001</v>
      </c>
      <c r="D546">
        <v>0.17469999999999999</v>
      </c>
      <c r="E546">
        <v>0.18940000000000001</v>
      </c>
      <c r="F546">
        <v>8131741.3399999999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0.58918918918918983</v>
      </c>
      <c r="Q546">
        <f t="shared" si="985"/>
        <v>4791134.0868108161</v>
      </c>
      <c r="R546">
        <f t="shared" si="986"/>
        <v>-129972076.96179788</v>
      </c>
      <c r="S546">
        <f t="shared" si="987"/>
        <v>-1299.7207696179787</v>
      </c>
      <c r="T546">
        <f t="shared" si="988"/>
        <v>-1.2997207696179787</v>
      </c>
    </row>
    <row r="547" spans="1:20" x14ac:dyDescent="0.25">
      <c r="A547" s="5">
        <v>44046</v>
      </c>
      <c r="B547">
        <v>0.17199999999999999</v>
      </c>
      <c r="C547">
        <v>0.185</v>
      </c>
      <c r="D547">
        <v>0.16980000000000001</v>
      </c>
      <c r="E547">
        <v>0.1782</v>
      </c>
      <c r="F547">
        <v>5748263.5899999999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0.10526315789473627</v>
      </c>
      <c r="Q547">
        <f t="shared" si="985"/>
        <v>605080.37789473357</v>
      </c>
      <c r="R547">
        <f t="shared" si="986"/>
        <v>-134763211.04860869</v>
      </c>
      <c r="S547">
        <f t="shared" si="987"/>
        <v>-1347.632110486087</v>
      </c>
      <c r="T547">
        <f t="shared" si="988"/>
        <v>-1.3476321104860869</v>
      </c>
    </row>
    <row r="548" spans="1:20" x14ac:dyDescent="0.25">
      <c r="A548" s="5">
        <v>44045</v>
      </c>
      <c r="B548">
        <v>0.16800000000000001</v>
      </c>
      <c r="C548">
        <v>0.17399999999999999</v>
      </c>
      <c r="D548">
        <v>0.15</v>
      </c>
      <c r="E548">
        <v>0.17230000000000001</v>
      </c>
      <c r="F548">
        <v>6516453.6200000001</v>
      </c>
      <c r="G548">
        <v>0</v>
      </c>
      <c r="L548" t="s">
        <v>7</v>
      </c>
      <c r="M548" t="s">
        <v>8</v>
      </c>
      <c r="N548" t="s">
        <v>8</v>
      </c>
      <c r="P548">
        <f t="shared" si="984"/>
        <v>0.85833333333333506</v>
      </c>
      <c r="Q548">
        <f t="shared" si="985"/>
        <v>5593289.3571666777</v>
      </c>
      <c r="R548">
        <f t="shared" si="986"/>
        <v>-135368291.42650342</v>
      </c>
      <c r="S548">
        <f t="shared" si="987"/>
        <v>-1353.6829142650342</v>
      </c>
      <c r="T548">
        <f t="shared" si="988"/>
        <v>-1.3536829142650342</v>
      </c>
    </row>
    <row r="549" spans="1:20" x14ac:dyDescent="0.25">
      <c r="A549" s="5">
        <v>44044</v>
      </c>
      <c r="B549">
        <v>0.17399999999999999</v>
      </c>
      <c r="C549">
        <v>0.1782</v>
      </c>
      <c r="D549">
        <v>0.16539999999999999</v>
      </c>
      <c r="E549">
        <v>0.1681</v>
      </c>
      <c r="F549">
        <v>7258215.6200000001</v>
      </c>
      <c r="G549">
        <v>0</v>
      </c>
      <c r="L549" t="s">
        <v>7</v>
      </c>
      <c r="M549" t="s">
        <v>8</v>
      </c>
      <c r="N549" t="s">
        <v>8</v>
      </c>
      <c r="P549">
        <f t="shared" si="984"/>
        <v>-0.578124999999999</v>
      </c>
      <c r="Q549">
        <f t="shared" si="985"/>
        <v>-4196155.9053124925</v>
      </c>
      <c r="R549">
        <f t="shared" si="986"/>
        <v>-140961580.7836701</v>
      </c>
      <c r="S549">
        <f t="shared" si="987"/>
        <v>-1409.6158078367009</v>
      </c>
      <c r="T549">
        <f t="shared" si="988"/>
        <v>-1.4096158078367009</v>
      </c>
    </row>
    <row r="550" spans="1:20" x14ac:dyDescent="0.25">
      <c r="A550" s="5">
        <v>44043</v>
      </c>
      <c r="B550">
        <v>0.15909999999999999</v>
      </c>
      <c r="C550">
        <v>0.18110000000000001</v>
      </c>
      <c r="D550">
        <v>0.15629999999999999</v>
      </c>
      <c r="E550">
        <v>0.17299999999999999</v>
      </c>
      <c r="F550">
        <v>11603930.33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0.34677419354838562</v>
      </c>
      <c r="Q550">
        <f t="shared" si="985"/>
        <v>4023943.5821774025</v>
      </c>
      <c r="R550">
        <f t="shared" si="986"/>
        <v>-136765424.87835762</v>
      </c>
      <c r="S550">
        <f t="shared" si="987"/>
        <v>-1367.6542487835761</v>
      </c>
      <c r="T550">
        <f t="shared" si="988"/>
        <v>-1.3676542487835761</v>
      </c>
    </row>
    <row r="551" spans="1:20" x14ac:dyDescent="0.25">
      <c r="A551" s="5">
        <v>44042</v>
      </c>
      <c r="B551">
        <v>0.15620000000000001</v>
      </c>
      <c r="C551">
        <v>0.1641</v>
      </c>
      <c r="D551">
        <v>0.155</v>
      </c>
      <c r="E551">
        <v>0.15909999999999999</v>
      </c>
      <c r="F551">
        <v>2853048.26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-9.8901098901100243E-2</v>
      </c>
      <c r="Q551">
        <f t="shared" si="985"/>
        <v>-282169.60813187197</v>
      </c>
      <c r="R551">
        <f t="shared" si="986"/>
        <v>-140789368.46053502</v>
      </c>
      <c r="S551">
        <f t="shared" si="987"/>
        <v>-1407.8936846053502</v>
      </c>
      <c r="T551">
        <f t="shared" si="988"/>
        <v>-1.4078936846053502</v>
      </c>
    </row>
    <row r="552" spans="1:20" x14ac:dyDescent="0.25">
      <c r="A552" s="5">
        <v>44041</v>
      </c>
      <c r="B552">
        <v>0.15620000000000001</v>
      </c>
      <c r="C552">
        <v>0.16489999999999999</v>
      </c>
      <c r="D552">
        <v>0.1472</v>
      </c>
      <c r="E552">
        <v>0.15620000000000001</v>
      </c>
      <c r="F552">
        <v>6888734.9400000004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1.6949152542374158E-2</v>
      </c>
      <c r="Q552">
        <f t="shared" si="985"/>
        <v>116758.2193220427</v>
      </c>
      <c r="R552">
        <f t="shared" si="986"/>
        <v>-140507198.85240313</v>
      </c>
      <c r="S552">
        <f t="shared" si="987"/>
        <v>-1405.0719885240314</v>
      </c>
      <c r="T552">
        <f t="shared" si="988"/>
        <v>-1.4050719885240315</v>
      </c>
    </row>
    <row r="553" spans="1:20" x14ac:dyDescent="0.25">
      <c r="A553" s="5">
        <v>44040</v>
      </c>
      <c r="B553">
        <v>0.1464</v>
      </c>
      <c r="C553">
        <v>0.1593</v>
      </c>
      <c r="D553">
        <v>0.14219999999999999</v>
      </c>
      <c r="E553">
        <v>0.15620000000000001</v>
      </c>
      <c r="F553">
        <v>5960468.4900000002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0.63742690058479634</v>
      </c>
      <c r="Q553">
        <f t="shared" si="985"/>
        <v>3799362.9556140415</v>
      </c>
      <c r="R553">
        <f t="shared" si="986"/>
        <v>-140623957.07172519</v>
      </c>
      <c r="S553">
        <f t="shared" si="987"/>
        <v>-1406.2395707172518</v>
      </c>
      <c r="T553">
        <f t="shared" si="988"/>
        <v>-1.4062395707172519</v>
      </c>
    </row>
    <row r="554" spans="1:20" x14ac:dyDescent="0.25">
      <c r="A554" s="5">
        <v>44039</v>
      </c>
      <c r="B554">
        <v>0.17299999999999999</v>
      </c>
      <c r="C554">
        <v>0.1736</v>
      </c>
      <c r="D554">
        <v>0.1391</v>
      </c>
      <c r="E554">
        <v>0.14630000000000001</v>
      </c>
      <c r="F554">
        <v>15262591.68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-0.58260869565217321</v>
      </c>
      <c r="Q554">
        <f t="shared" si="985"/>
        <v>-8892118.6309565101</v>
      </c>
      <c r="R554">
        <f t="shared" si="986"/>
        <v>-144423320.02733922</v>
      </c>
      <c r="S554">
        <f t="shared" si="987"/>
        <v>-1444.2332002733922</v>
      </c>
      <c r="T554">
        <f t="shared" si="988"/>
        <v>-1.4442332002733922</v>
      </c>
    </row>
    <row r="555" spans="1:20" x14ac:dyDescent="0.25">
      <c r="A555" s="5">
        <v>44038</v>
      </c>
      <c r="B555">
        <v>0.17829999999999999</v>
      </c>
      <c r="C555">
        <v>0.19040000000000001</v>
      </c>
      <c r="D555">
        <v>0.16750000000000001</v>
      </c>
      <c r="E555">
        <v>0.1731</v>
      </c>
      <c r="F555">
        <v>6922914.7199999997</v>
      </c>
      <c r="G555">
        <v>0</v>
      </c>
      <c r="L555" t="s">
        <v>7</v>
      </c>
      <c r="M555" t="s">
        <v>8</v>
      </c>
      <c r="N555" t="s">
        <v>8</v>
      </c>
      <c r="P555">
        <f t="shared" si="984"/>
        <v>-0.51091703056768623</v>
      </c>
      <c r="Q555">
        <f t="shared" si="985"/>
        <v>-3537035.0316157248</v>
      </c>
      <c r="R555">
        <f t="shared" si="986"/>
        <v>-135531201.39638272</v>
      </c>
      <c r="S555">
        <f t="shared" si="987"/>
        <v>-1355.3120139638272</v>
      </c>
      <c r="T555">
        <f t="shared" si="988"/>
        <v>-1.3553120139638273</v>
      </c>
    </row>
    <row r="556" spans="1:20" x14ac:dyDescent="0.25">
      <c r="A556" s="5">
        <v>44037</v>
      </c>
      <c r="B556">
        <v>0.17080000000000001</v>
      </c>
      <c r="C556">
        <v>0.1976</v>
      </c>
      <c r="D556">
        <v>0.1656</v>
      </c>
      <c r="E556">
        <v>0.1782</v>
      </c>
      <c r="F556">
        <v>11833108.43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-0.21250000000000002</v>
      </c>
      <c r="Q556">
        <f t="shared" si="985"/>
        <v>-2514535.541375</v>
      </c>
      <c r="R556">
        <f t="shared" si="986"/>
        <v>-131994166.364767</v>
      </c>
      <c r="S556">
        <f t="shared" si="987"/>
        <v>-1319.9416636476701</v>
      </c>
      <c r="T556">
        <f t="shared" si="988"/>
        <v>-1.3199416636476702</v>
      </c>
    </row>
    <row r="557" spans="1:20" x14ac:dyDescent="0.25">
      <c r="A557" s="5">
        <v>44036</v>
      </c>
      <c r="B557">
        <v>0.16339999999999999</v>
      </c>
      <c r="C557">
        <v>0.17269999999999999</v>
      </c>
      <c r="D557">
        <v>0.16200000000000001</v>
      </c>
      <c r="E557">
        <v>0.17080000000000001</v>
      </c>
      <c r="F557">
        <v>4888556.25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0.64485981308411455</v>
      </c>
      <c r="Q557">
        <f t="shared" si="985"/>
        <v>3152433.4696261799</v>
      </c>
      <c r="R557">
        <f t="shared" si="986"/>
        <v>-129479630.823392</v>
      </c>
      <c r="S557">
        <f t="shared" si="987"/>
        <v>-1294.7963082339199</v>
      </c>
      <c r="T557">
        <f t="shared" si="988"/>
        <v>-1.29479630823392</v>
      </c>
    </row>
    <row r="558" spans="1:20" x14ac:dyDescent="0.25">
      <c r="A558" s="5">
        <v>44035</v>
      </c>
      <c r="B558">
        <v>0.1699</v>
      </c>
      <c r="C558">
        <v>0.17649999999999999</v>
      </c>
      <c r="D558">
        <v>0.1585</v>
      </c>
      <c r="E558">
        <v>0.1628</v>
      </c>
      <c r="F558">
        <v>5820071.1600000001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-0.52222222222222214</v>
      </c>
      <c r="Q558">
        <f t="shared" si="985"/>
        <v>-3039370.4946666663</v>
      </c>
      <c r="R558">
        <f t="shared" si="986"/>
        <v>-132632064.29301818</v>
      </c>
      <c r="S558">
        <f t="shared" si="987"/>
        <v>-1326.3206429301817</v>
      </c>
      <c r="T558">
        <f t="shared" si="988"/>
        <v>-1.3263206429301817</v>
      </c>
    </row>
    <row r="559" spans="1:20" x14ac:dyDescent="0.25">
      <c r="A559" s="5">
        <v>44034</v>
      </c>
      <c r="B559">
        <v>0.1628</v>
      </c>
      <c r="C559">
        <v>0.1847</v>
      </c>
      <c r="D559">
        <v>0.16200000000000001</v>
      </c>
      <c r="E559">
        <v>0.17050000000000001</v>
      </c>
      <c r="F559">
        <v>14312357.310000001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-0.25110132158590237</v>
      </c>
      <c r="Q559">
        <f t="shared" si="985"/>
        <v>-3593851.8355506505</v>
      </c>
      <c r="R559">
        <f t="shared" si="986"/>
        <v>-129592693.79835151</v>
      </c>
      <c r="S559">
        <f t="shared" si="987"/>
        <v>-1295.926937983515</v>
      </c>
      <c r="T559">
        <f t="shared" si="988"/>
        <v>-1.295926937983515</v>
      </c>
    </row>
    <row r="560" spans="1:20" x14ac:dyDescent="0.25">
      <c r="A560" s="5">
        <v>44033</v>
      </c>
      <c r="B560">
        <v>0.1464</v>
      </c>
      <c r="C560">
        <v>0.16500000000000001</v>
      </c>
      <c r="D560">
        <v>0.14460000000000001</v>
      </c>
      <c r="E560">
        <v>0.16270000000000001</v>
      </c>
      <c r="F560">
        <v>10468847.98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0.77450980392156898</v>
      </c>
      <c r="Q560">
        <f t="shared" si="985"/>
        <v>8108225.3962745136</v>
      </c>
      <c r="R560">
        <f t="shared" si="986"/>
        <v>-125998841.96280086</v>
      </c>
      <c r="S560">
        <f t="shared" si="987"/>
        <v>-1259.9884196280086</v>
      </c>
      <c r="T560">
        <f t="shared" si="988"/>
        <v>-1.2599884196280087</v>
      </c>
    </row>
    <row r="561" spans="1:104" x14ac:dyDescent="0.25">
      <c r="A561" s="5">
        <v>44032</v>
      </c>
      <c r="B561">
        <v>0.14419999999999999</v>
      </c>
      <c r="C561">
        <v>0.155</v>
      </c>
      <c r="D561">
        <v>0.14149999999999999</v>
      </c>
      <c r="E561">
        <v>0.1464</v>
      </c>
      <c r="F561">
        <v>5567798.0599999996</v>
      </c>
      <c r="G561">
        <v>0</v>
      </c>
      <c r="L561" t="s">
        <v>8</v>
      </c>
      <c r="M561" t="s">
        <v>7</v>
      </c>
      <c r="N561" t="s">
        <v>7</v>
      </c>
      <c r="P561">
        <f t="shared" si="984"/>
        <v>-0.27407407407407242</v>
      </c>
      <c r="Q561">
        <f t="shared" si="985"/>
        <v>-1525989.0979259165</v>
      </c>
      <c r="R561">
        <f t="shared" si="986"/>
        <v>-134107067.35907537</v>
      </c>
      <c r="S561">
        <f t="shared" si="987"/>
        <v>-1341.0706735907536</v>
      </c>
      <c r="T561">
        <f t="shared" si="988"/>
        <v>-1.3410706735907536</v>
      </c>
      <c r="CZ561" t="s">
        <v>7</v>
      </c>
    </row>
    <row r="562" spans="1:104" x14ac:dyDescent="0.25">
      <c r="A562" s="5">
        <v>44031</v>
      </c>
      <c r="B562">
        <v>0.14899999999999999</v>
      </c>
      <c r="C562">
        <v>0.14960000000000001</v>
      </c>
      <c r="D562">
        <v>0.14019999999999999</v>
      </c>
      <c r="E562">
        <v>0.14419999999999999</v>
      </c>
      <c r="F562">
        <v>4295212.59</v>
      </c>
      <c r="G562">
        <v>0</v>
      </c>
      <c r="L562" t="s">
        <v>7</v>
      </c>
      <c r="M562" t="s">
        <v>7</v>
      </c>
      <c r="N562" t="s">
        <v>7</v>
      </c>
      <c r="P562">
        <f t="shared" si="984"/>
        <v>-0.14893617021276695</v>
      </c>
      <c r="Q562">
        <f t="shared" si="985"/>
        <v>-639712.51340425957</v>
      </c>
      <c r="R562">
        <f t="shared" si="986"/>
        <v>-132581078.26114945</v>
      </c>
      <c r="S562">
        <f t="shared" si="987"/>
        <v>-1325.8107826114945</v>
      </c>
      <c r="T562">
        <f t="shared" si="988"/>
        <v>-1.3258107826114944</v>
      </c>
      <c r="CZ562" t="s">
        <v>7</v>
      </c>
    </row>
    <row r="563" spans="1:104" x14ac:dyDescent="0.25">
      <c r="A563" s="5">
        <v>44030</v>
      </c>
      <c r="B563">
        <v>0.15160000000000001</v>
      </c>
      <c r="C563">
        <v>0.15409999999999999</v>
      </c>
      <c r="D563">
        <v>0.1462</v>
      </c>
      <c r="E563">
        <v>0.1489</v>
      </c>
      <c r="F563">
        <v>3439551.34</v>
      </c>
      <c r="G563">
        <v>0</v>
      </c>
      <c r="L563" t="s">
        <v>8</v>
      </c>
      <c r="M563" t="s">
        <v>7</v>
      </c>
      <c r="N563" t="s">
        <v>7</v>
      </c>
      <c r="P563">
        <f t="shared" si="984"/>
        <v>-0.31645569620252878</v>
      </c>
      <c r="Q563">
        <f t="shared" si="985"/>
        <v>-1088465.6139240407</v>
      </c>
      <c r="R563">
        <f t="shared" si="986"/>
        <v>-131941365.74774519</v>
      </c>
      <c r="S563">
        <f t="shared" si="987"/>
        <v>-1319.4136574774518</v>
      </c>
      <c r="T563">
        <f t="shared" si="988"/>
        <v>-1.3194136574774518</v>
      </c>
      <c r="CZ563" t="s">
        <v>7</v>
      </c>
    </row>
    <row r="564" spans="1:104" x14ac:dyDescent="0.25">
      <c r="A564" s="5">
        <v>44029</v>
      </c>
      <c r="B564">
        <v>0.14019999999999999</v>
      </c>
      <c r="C564">
        <v>0.154</v>
      </c>
      <c r="D564">
        <v>0.13819999999999999</v>
      </c>
      <c r="E564">
        <v>0.15160000000000001</v>
      </c>
      <c r="F564">
        <v>5969046.8499999996</v>
      </c>
      <c r="G564">
        <v>0</v>
      </c>
      <c r="L564" t="s">
        <v>8</v>
      </c>
      <c r="M564" t="s">
        <v>7</v>
      </c>
      <c r="N564" t="s">
        <v>7</v>
      </c>
      <c r="P564">
        <f t="shared" si="984"/>
        <v>0.69620253164557167</v>
      </c>
      <c r="Q564">
        <f t="shared" si="985"/>
        <v>4155665.5284810248</v>
      </c>
      <c r="R564">
        <f t="shared" si="986"/>
        <v>-130852900.13382114</v>
      </c>
      <c r="S564">
        <f t="shared" si="987"/>
        <v>-1308.5290013382114</v>
      </c>
      <c r="T564">
        <f t="shared" si="988"/>
        <v>-1.3085290013382114</v>
      </c>
    </row>
    <row r="565" spans="1:104" x14ac:dyDescent="0.25">
      <c r="A565" s="5">
        <v>44028</v>
      </c>
      <c r="B565">
        <v>0.13980000000000001</v>
      </c>
      <c r="C565">
        <v>0.14530000000000001</v>
      </c>
      <c r="D565">
        <v>0.13139999999999999</v>
      </c>
      <c r="E565">
        <v>0.14030000000000001</v>
      </c>
      <c r="F565">
        <v>5290871.5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0.28057553956834591</v>
      </c>
      <c r="Q565">
        <f t="shared" si="985"/>
        <v>1484489.1258992837</v>
      </c>
      <c r="R565">
        <f t="shared" si="986"/>
        <v>-135008565.66230217</v>
      </c>
      <c r="S565">
        <f t="shared" si="987"/>
        <v>-1350.0856566230216</v>
      </c>
      <c r="T565">
        <f t="shared" si="988"/>
        <v>-1.3500856566230215</v>
      </c>
    </row>
    <row r="566" spans="1:104" x14ac:dyDescent="0.25">
      <c r="A566" s="5">
        <v>44027</v>
      </c>
      <c r="B566">
        <v>0.14199999999999999</v>
      </c>
      <c r="C566">
        <v>0.14449999999999999</v>
      </c>
      <c r="D566">
        <v>0.13919999999999999</v>
      </c>
      <c r="E566">
        <v>0.14000000000000001</v>
      </c>
      <c r="F566">
        <v>3627485.02</v>
      </c>
      <c r="G566">
        <v>0</v>
      </c>
      <c r="L566" t="s">
        <v>7</v>
      </c>
      <c r="M566" t="s">
        <v>8</v>
      </c>
      <c r="N566" t="s">
        <v>7</v>
      </c>
      <c r="P566">
        <f t="shared" si="984"/>
        <v>-0.69811320754716111</v>
      </c>
      <c r="Q566">
        <f t="shared" si="985"/>
        <v>-2532395.2026414778</v>
      </c>
      <c r="R566">
        <f t="shared" si="986"/>
        <v>-136493054.78820145</v>
      </c>
      <c r="S566">
        <f t="shared" si="987"/>
        <v>-1364.9305478820145</v>
      </c>
      <c r="T566">
        <f t="shared" si="988"/>
        <v>-1.3649305478820144</v>
      </c>
    </row>
    <row r="567" spans="1:104" x14ac:dyDescent="0.25">
      <c r="A567" s="5">
        <v>44026</v>
      </c>
      <c r="B567">
        <v>0.14299999999999999</v>
      </c>
      <c r="C567">
        <v>0.15</v>
      </c>
      <c r="D567">
        <v>0.13919999999999999</v>
      </c>
      <c r="E567">
        <v>0.14199999999999999</v>
      </c>
      <c r="F567">
        <v>4978159.82</v>
      </c>
      <c r="G567">
        <v>0</v>
      </c>
      <c r="L567" t="s">
        <v>7</v>
      </c>
      <c r="M567" t="s">
        <v>8</v>
      </c>
      <c r="N567" t="s">
        <v>7</v>
      </c>
      <c r="P567">
        <f t="shared" si="984"/>
        <v>-0.48148148148148223</v>
      </c>
      <c r="Q567">
        <f t="shared" si="985"/>
        <v>-2396891.765185189</v>
      </c>
      <c r="R567">
        <f t="shared" si="986"/>
        <v>-133960659.58555996</v>
      </c>
      <c r="S567">
        <f t="shared" si="987"/>
        <v>-1339.6065958555996</v>
      </c>
      <c r="T567">
        <f t="shared" si="988"/>
        <v>-1.3396065958555996</v>
      </c>
    </row>
    <row r="568" spans="1:104" x14ac:dyDescent="0.25">
      <c r="A568" s="5">
        <v>44025</v>
      </c>
      <c r="B568">
        <v>0.1487</v>
      </c>
      <c r="C568">
        <v>0.1542</v>
      </c>
      <c r="D568">
        <v>0.1416</v>
      </c>
      <c r="E568">
        <v>0.1429</v>
      </c>
      <c r="F568">
        <v>4222800.3</v>
      </c>
      <c r="G568">
        <v>0</v>
      </c>
      <c r="L568" t="s">
        <v>7</v>
      </c>
      <c r="M568" t="s">
        <v>8</v>
      </c>
      <c r="N568" t="s">
        <v>7</v>
      </c>
      <c r="P568">
        <f t="shared" si="984"/>
        <v>-0.79365079365079438</v>
      </c>
      <c r="Q568">
        <f t="shared" si="985"/>
        <v>-3351428.8095238125</v>
      </c>
      <c r="R568">
        <f t="shared" si="986"/>
        <v>-131563767.82037477</v>
      </c>
      <c r="S568">
        <f t="shared" si="987"/>
        <v>-1315.6376782037478</v>
      </c>
      <c r="T568">
        <f t="shared" si="988"/>
        <v>-1.3156376782037478</v>
      </c>
    </row>
    <row r="569" spans="1:104" x14ac:dyDescent="0.25">
      <c r="A569" s="5">
        <v>44024</v>
      </c>
      <c r="B569">
        <v>0.1515</v>
      </c>
      <c r="C569">
        <v>0.154</v>
      </c>
      <c r="D569">
        <v>0.14549999999999999</v>
      </c>
      <c r="E569">
        <v>0.14879999999999999</v>
      </c>
      <c r="F569">
        <v>4187570.33</v>
      </c>
      <c r="G569">
        <v>0</v>
      </c>
      <c r="L569" t="s">
        <v>7</v>
      </c>
      <c r="M569" t="s">
        <v>8</v>
      </c>
      <c r="N569" t="s">
        <v>7</v>
      </c>
      <c r="P569">
        <f t="shared" si="984"/>
        <v>-0.2235294117647072</v>
      </c>
      <c r="Q569">
        <f t="shared" si="985"/>
        <v>-936045.13258824078</v>
      </c>
      <c r="R569">
        <f t="shared" si="986"/>
        <v>-128212339.01085097</v>
      </c>
      <c r="S569">
        <f t="shared" si="987"/>
        <v>-1282.1233901085097</v>
      </c>
      <c r="T569">
        <f t="shared" si="988"/>
        <v>-1.2821233901085098</v>
      </c>
    </row>
    <row r="570" spans="1:104" x14ac:dyDescent="0.25">
      <c r="A570" s="5">
        <v>44023</v>
      </c>
      <c r="B570">
        <v>0.14449999999999999</v>
      </c>
      <c r="C570">
        <v>0.16</v>
      </c>
      <c r="D570">
        <v>0.14419999999999999</v>
      </c>
      <c r="E570">
        <v>0.15160000000000001</v>
      </c>
      <c r="F570">
        <v>5216958.6100000003</v>
      </c>
      <c r="G570">
        <v>0</v>
      </c>
      <c r="L570" t="s">
        <v>8</v>
      </c>
      <c r="M570" t="s">
        <v>8</v>
      </c>
      <c r="N570" t="s">
        <v>7</v>
      </c>
      <c r="P570">
        <f t="shared" si="984"/>
        <v>-6.3291139240504599E-2</v>
      </c>
      <c r="Q570">
        <f t="shared" si="985"/>
        <v>-330187.25379745936</v>
      </c>
      <c r="R570">
        <f t="shared" si="986"/>
        <v>-127276293.87826273</v>
      </c>
      <c r="S570">
        <f t="shared" si="987"/>
        <v>-1272.7629387826273</v>
      </c>
      <c r="T570">
        <f t="shared" si="988"/>
        <v>-1.2727629387826274</v>
      </c>
    </row>
    <row r="571" spans="1:104" x14ac:dyDescent="0.25">
      <c r="A571" s="5">
        <v>44022</v>
      </c>
      <c r="B571">
        <v>0.15110000000000001</v>
      </c>
      <c r="C571">
        <v>0.1515</v>
      </c>
      <c r="D571">
        <v>0.14099999999999999</v>
      </c>
      <c r="E571">
        <v>0.14430000000000001</v>
      </c>
      <c r="F571">
        <v>4485656.22</v>
      </c>
      <c r="G571">
        <v>0</v>
      </c>
      <c r="L571" t="s">
        <v>7</v>
      </c>
      <c r="M571" t="s">
        <v>8</v>
      </c>
      <c r="N571" t="s">
        <v>7</v>
      </c>
      <c r="P571">
        <f t="shared" si="984"/>
        <v>-0.37142857142856722</v>
      </c>
      <c r="Q571">
        <f t="shared" si="985"/>
        <v>-1666100.8817142667</v>
      </c>
      <c r="R571">
        <f t="shared" si="986"/>
        <v>-126946106.62446527</v>
      </c>
      <c r="S571">
        <f t="shared" si="987"/>
        <v>-1269.4610662446528</v>
      </c>
      <c r="T571">
        <f t="shared" si="988"/>
        <v>-1.2694610662446528</v>
      </c>
    </row>
    <row r="572" spans="1:104" x14ac:dyDescent="0.25">
      <c r="A572" s="5">
        <v>44021</v>
      </c>
      <c r="B572">
        <v>0.14019999999999999</v>
      </c>
      <c r="C572">
        <v>0.1542</v>
      </c>
      <c r="D572">
        <v>0.1376</v>
      </c>
      <c r="E572">
        <v>0.151</v>
      </c>
      <c r="F572">
        <v>8394742.8300000001</v>
      </c>
      <c r="G572">
        <v>0</v>
      </c>
      <c r="L572" t="s">
        <v>8</v>
      </c>
      <c r="M572" t="s">
        <v>8</v>
      </c>
      <c r="N572" t="s">
        <v>7</v>
      </c>
      <c r="P572">
        <f t="shared" si="984"/>
        <v>0.6144578313253003</v>
      </c>
      <c r="Q572">
        <f t="shared" si="985"/>
        <v>5158215.4738554144</v>
      </c>
      <c r="R572">
        <f t="shared" si="986"/>
        <v>-125280005.742751</v>
      </c>
      <c r="S572">
        <f t="shared" si="987"/>
        <v>-1252.80005742751</v>
      </c>
      <c r="T572">
        <f t="shared" si="988"/>
        <v>-1.25280005742751</v>
      </c>
    </row>
    <row r="573" spans="1:104" x14ac:dyDescent="0.25">
      <c r="A573" s="5">
        <v>44020</v>
      </c>
      <c r="B573">
        <v>0.13059999999999999</v>
      </c>
      <c r="C573">
        <v>0.14180000000000001</v>
      </c>
      <c r="D573">
        <v>0.13020000000000001</v>
      </c>
      <c r="E573">
        <v>0.13980000000000001</v>
      </c>
      <c r="F573">
        <v>5572043.21</v>
      </c>
      <c r="G573">
        <v>0</v>
      </c>
      <c r="L573" t="s">
        <v>8</v>
      </c>
      <c r="M573" t="s">
        <v>7</v>
      </c>
      <c r="N573" t="s">
        <v>7</v>
      </c>
      <c r="P573">
        <f t="shared" si="984"/>
        <v>0.65517241379310309</v>
      </c>
      <c r="Q573">
        <f t="shared" si="985"/>
        <v>3650648.9996551704</v>
      </c>
      <c r="R573">
        <f t="shared" si="986"/>
        <v>-130438221.21660642</v>
      </c>
      <c r="S573">
        <f t="shared" si="987"/>
        <v>-1304.3822121660642</v>
      </c>
      <c r="T573">
        <f t="shared" si="988"/>
        <v>-1.3043822121660642</v>
      </c>
    </row>
    <row r="574" spans="1:104" x14ac:dyDescent="0.25">
      <c r="A574" s="5">
        <v>44019</v>
      </c>
      <c r="B574">
        <v>0.13300000000000001</v>
      </c>
      <c r="C574">
        <v>0.1343</v>
      </c>
      <c r="D574">
        <v>0.12820000000000001</v>
      </c>
      <c r="E574">
        <v>0.1305</v>
      </c>
      <c r="F574">
        <v>2028796.24</v>
      </c>
      <c r="G574">
        <v>0</v>
      </c>
      <c r="L574" t="s">
        <v>8</v>
      </c>
      <c r="M574" t="s">
        <v>7</v>
      </c>
      <c r="N574" t="s">
        <v>7</v>
      </c>
      <c r="P574">
        <f t="shared" si="984"/>
        <v>-0.24590163934426273</v>
      </c>
      <c r="Q574">
        <f t="shared" si="985"/>
        <v>-498884.32131147629</v>
      </c>
      <c r="R574">
        <f t="shared" si="986"/>
        <v>-134088870.2162616</v>
      </c>
      <c r="S574">
        <f t="shared" si="987"/>
        <v>-1340.888702162616</v>
      </c>
      <c r="T574">
        <f t="shared" si="988"/>
        <v>-1.3408887021626161</v>
      </c>
    </row>
    <row r="575" spans="1:104" x14ac:dyDescent="0.25">
      <c r="A575" s="5">
        <v>44018</v>
      </c>
      <c r="B575">
        <v>0.12740000000000001</v>
      </c>
      <c r="C575">
        <v>0.13469999999999999</v>
      </c>
      <c r="D575">
        <v>0.1232</v>
      </c>
      <c r="E575">
        <v>0.13350000000000001</v>
      </c>
      <c r="F575">
        <v>4365139.42</v>
      </c>
      <c r="G575">
        <v>0</v>
      </c>
      <c r="L575" t="s">
        <v>8</v>
      </c>
      <c r="M575" t="s">
        <v>7</v>
      </c>
      <c r="N575" t="s">
        <v>7</v>
      </c>
      <c r="P575">
        <f t="shared" si="984"/>
        <v>0.79130434782609027</v>
      </c>
      <c r="Q575">
        <f t="shared" si="985"/>
        <v>3454153.8019130579</v>
      </c>
      <c r="R575">
        <f t="shared" si="986"/>
        <v>-133589985.89495012</v>
      </c>
      <c r="S575">
        <f t="shared" si="987"/>
        <v>-1335.8998589495013</v>
      </c>
      <c r="T575">
        <f t="shared" si="988"/>
        <v>-1.3358998589495013</v>
      </c>
    </row>
    <row r="576" spans="1:104" x14ac:dyDescent="0.25">
      <c r="A576" s="5">
        <v>44017</v>
      </c>
      <c r="B576">
        <v>0.13109999999999999</v>
      </c>
      <c r="C576">
        <v>0.13200000000000001</v>
      </c>
      <c r="D576">
        <v>0.125</v>
      </c>
      <c r="E576">
        <v>0.12720000000000001</v>
      </c>
      <c r="F576">
        <v>1393274.25</v>
      </c>
      <c r="G576">
        <v>0</v>
      </c>
      <c r="L576" t="s">
        <v>7</v>
      </c>
      <c r="M576" t="s">
        <v>7</v>
      </c>
      <c r="N576" t="s">
        <v>7</v>
      </c>
      <c r="P576">
        <f t="shared" si="984"/>
        <v>-0.37142857142856983</v>
      </c>
      <c r="Q576">
        <f t="shared" si="985"/>
        <v>-517501.86428571207</v>
      </c>
      <c r="R576">
        <f t="shared" si="986"/>
        <v>-137044139.69686317</v>
      </c>
      <c r="S576">
        <f t="shared" si="987"/>
        <v>-1370.4413969686318</v>
      </c>
      <c r="T576">
        <f t="shared" si="988"/>
        <v>-1.3704413969686318</v>
      </c>
    </row>
    <row r="577" spans="1:20" x14ac:dyDescent="0.25">
      <c r="A577" s="5">
        <v>44016</v>
      </c>
      <c r="B577">
        <v>0.1328</v>
      </c>
      <c r="C577">
        <v>0.13289999999999999</v>
      </c>
      <c r="D577">
        <v>0.13</v>
      </c>
      <c r="E577">
        <v>0.1313</v>
      </c>
      <c r="F577">
        <v>1049561.75</v>
      </c>
      <c r="G577">
        <v>0</v>
      </c>
      <c r="L577" t="s">
        <v>8</v>
      </c>
      <c r="M577" t="s">
        <v>7</v>
      </c>
      <c r="N577" t="s">
        <v>7</v>
      </c>
      <c r="P577">
        <f t="shared" si="984"/>
        <v>-0.10344827586206765</v>
      </c>
      <c r="Q577">
        <f t="shared" si="985"/>
        <v>-108575.35344827447</v>
      </c>
      <c r="R577">
        <f t="shared" si="986"/>
        <v>-136526637.83257747</v>
      </c>
      <c r="S577">
        <f t="shared" si="987"/>
        <v>-1365.2663783257747</v>
      </c>
      <c r="T577">
        <f t="shared" si="988"/>
        <v>-1.3652663783257746</v>
      </c>
    </row>
    <row r="578" spans="1:20" x14ac:dyDescent="0.25">
      <c r="A578" s="5">
        <v>44015</v>
      </c>
      <c r="B578">
        <v>0.13109999999999999</v>
      </c>
      <c r="C578">
        <v>0.13719999999999999</v>
      </c>
      <c r="D578">
        <v>0.1295</v>
      </c>
      <c r="E578">
        <v>0.1331</v>
      </c>
      <c r="F578">
        <v>1724019.14</v>
      </c>
      <c r="G578">
        <v>0</v>
      </c>
      <c r="L578" t="s">
        <v>8</v>
      </c>
      <c r="M578" t="s">
        <v>7</v>
      </c>
      <c r="N578" t="s">
        <v>7</v>
      </c>
      <c r="P578">
        <f t="shared" si="984"/>
        <v>-6.4935064935065123E-2</v>
      </c>
      <c r="Q578">
        <f t="shared" si="985"/>
        <v>-111949.29480519512</v>
      </c>
      <c r="R578">
        <f t="shared" si="986"/>
        <v>-136418062.4791292</v>
      </c>
      <c r="S578">
        <f t="shared" si="987"/>
        <v>-1364.1806247912918</v>
      </c>
      <c r="T578">
        <f t="shared" si="988"/>
        <v>-1.3641806247912918</v>
      </c>
    </row>
    <row r="579" spans="1:20" x14ac:dyDescent="0.25">
      <c r="A579" s="5">
        <v>44014</v>
      </c>
      <c r="B579">
        <v>0.13439999999999999</v>
      </c>
      <c r="C579">
        <v>0.1384</v>
      </c>
      <c r="D579">
        <v>0.1263</v>
      </c>
      <c r="E579">
        <v>0.1313</v>
      </c>
      <c r="F579">
        <v>1993464.2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-0.17355371900826372</v>
      </c>
      <c r="Q579">
        <f t="shared" si="985"/>
        <v>-345973.12561983324</v>
      </c>
      <c r="R579">
        <f t="shared" si="986"/>
        <v>-136306113.184324</v>
      </c>
      <c r="S579">
        <f t="shared" si="987"/>
        <v>-1363.06113184324</v>
      </c>
      <c r="T579">
        <f t="shared" si="988"/>
        <v>-1.36306113184324</v>
      </c>
    </row>
    <row r="580" spans="1:20" x14ac:dyDescent="0.25">
      <c r="A580" s="5">
        <v>44013</v>
      </c>
      <c r="B580">
        <v>0.13320000000000001</v>
      </c>
      <c r="C580">
        <v>0.13850000000000001</v>
      </c>
      <c r="D580">
        <v>0.1318</v>
      </c>
      <c r="E580">
        <v>0.13420000000000001</v>
      </c>
      <c r="F580">
        <v>1565071.74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-0.28358208955223607</v>
      </c>
      <c r="Q580">
        <f t="shared" si="985"/>
        <v>-443826.31432835391</v>
      </c>
      <c r="R580">
        <f t="shared" si="986"/>
        <v>-135960140.05870417</v>
      </c>
      <c r="S580">
        <f t="shared" si="987"/>
        <v>-1359.6014005870418</v>
      </c>
      <c r="T580">
        <f t="shared" si="988"/>
        <v>-1.3596014005870418</v>
      </c>
    </row>
    <row r="581" spans="1:20" x14ac:dyDescent="0.25">
      <c r="A581" s="5">
        <v>44012</v>
      </c>
      <c r="B581">
        <v>0.1343</v>
      </c>
      <c r="C581">
        <v>0.13450000000000001</v>
      </c>
      <c r="D581">
        <v>0.1288</v>
      </c>
      <c r="E581">
        <v>0.13250000000000001</v>
      </c>
      <c r="F581">
        <v>1139610.83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0.29824561403508842</v>
      </c>
      <c r="Q581">
        <f t="shared" si="985"/>
        <v>339883.93175438681</v>
      </c>
      <c r="R581">
        <f t="shared" si="986"/>
        <v>-135516313.74437582</v>
      </c>
      <c r="S581">
        <f t="shared" si="987"/>
        <v>-1355.1631374437582</v>
      </c>
      <c r="T581">
        <f t="shared" si="988"/>
        <v>-1.3551631374437583</v>
      </c>
    </row>
    <row r="582" spans="1:20" x14ac:dyDescent="0.25">
      <c r="A582" s="5">
        <v>44011</v>
      </c>
      <c r="B582">
        <v>0.13100000000000001</v>
      </c>
      <c r="C582">
        <v>0.13469999999999999</v>
      </c>
      <c r="D582">
        <v>0.12809999999999999</v>
      </c>
      <c r="E582">
        <v>0.13439999999999999</v>
      </c>
      <c r="F582">
        <v>1010900.66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0.90909090909091061</v>
      </c>
      <c r="Q582">
        <f t="shared" ref="Q582:Q645" si="990">F582*P582</f>
        <v>919000.60000000161</v>
      </c>
      <c r="R582">
        <f t="shared" ref="R582:R645" si="991">R583+Q582</f>
        <v>-135856197.67613021</v>
      </c>
      <c r="S582">
        <f t="shared" ref="S582:S645" si="992">R582/100000</f>
        <v>-1358.561976761302</v>
      </c>
      <c r="T582">
        <f t="shared" ref="T582:T645" si="993">S582/1000</f>
        <v>-1.358561976761302</v>
      </c>
    </row>
    <row r="583" spans="1:20" x14ac:dyDescent="0.25">
      <c r="A583" s="5">
        <v>44010</v>
      </c>
      <c r="B583">
        <v>0.1231</v>
      </c>
      <c r="C583">
        <v>0.13289999999999999</v>
      </c>
      <c r="D583">
        <v>0.1215</v>
      </c>
      <c r="E583">
        <v>0.13100000000000001</v>
      </c>
      <c r="F583">
        <v>1039218.71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0.66666666666666907</v>
      </c>
      <c r="Q583">
        <f t="shared" si="990"/>
        <v>692812.47333333583</v>
      </c>
      <c r="R583">
        <f t="shared" si="991"/>
        <v>-136775198.2761302</v>
      </c>
      <c r="S583">
        <f t="shared" si="992"/>
        <v>-1367.7519827613021</v>
      </c>
      <c r="T583">
        <f t="shared" si="993"/>
        <v>-1.3677519827613021</v>
      </c>
    </row>
    <row r="584" spans="1:20" x14ac:dyDescent="0.25">
      <c r="A584" s="5">
        <v>44009</v>
      </c>
      <c r="B584">
        <v>0.13780000000000001</v>
      </c>
      <c r="C584">
        <v>0.13780000000000001</v>
      </c>
      <c r="D584">
        <v>0.1173</v>
      </c>
      <c r="E584">
        <v>0.1231</v>
      </c>
      <c r="F584">
        <v>4034381.12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-0.4341463414634148</v>
      </c>
      <c r="Q584">
        <f t="shared" si="990"/>
        <v>-1751511.803317074</v>
      </c>
      <c r="R584">
        <f t="shared" si="991"/>
        <v>-137468010.74946353</v>
      </c>
      <c r="S584">
        <f t="shared" si="992"/>
        <v>-1374.6801074946352</v>
      </c>
      <c r="T584">
        <f t="shared" si="993"/>
        <v>-1.3746801074946351</v>
      </c>
    </row>
    <row r="585" spans="1:20" x14ac:dyDescent="0.25">
      <c r="A585" s="5">
        <v>44008</v>
      </c>
      <c r="B585">
        <v>0.13769999999999999</v>
      </c>
      <c r="C585">
        <v>0.13969999999999999</v>
      </c>
      <c r="D585">
        <v>0.13100000000000001</v>
      </c>
      <c r="E585">
        <v>0.13780000000000001</v>
      </c>
      <c r="F585">
        <v>2071023.38</v>
      </c>
      <c r="G585">
        <v>0</v>
      </c>
      <c r="L585" t="s">
        <v>8</v>
      </c>
      <c r="M585" t="s">
        <v>7</v>
      </c>
      <c r="N585" t="s">
        <v>8</v>
      </c>
      <c r="P585">
        <f t="shared" si="989"/>
        <v>0.56321839080460046</v>
      </c>
      <c r="Q585">
        <f t="shared" si="990"/>
        <v>1166438.4554023044</v>
      </c>
      <c r="R585">
        <f t="shared" si="991"/>
        <v>-135716498.94614646</v>
      </c>
      <c r="S585">
        <f t="shared" si="992"/>
        <v>-1357.1649894614645</v>
      </c>
      <c r="T585">
        <f t="shared" si="993"/>
        <v>-1.3571649894614646</v>
      </c>
    </row>
    <row r="586" spans="1:20" x14ac:dyDescent="0.25">
      <c r="A586" s="5">
        <v>44007</v>
      </c>
      <c r="B586">
        <v>0.14099999999999999</v>
      </c>
      <c r="C586">
        <v>0.1419</v>
      </c>
      <c r="D586">
        <v>0.1293</v>
      </c>
      <c r="E586">
        <v>0.13800000000000001</v>
      </c>
      <c r="F586">
        <v>2488440.2400000002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0.38095238095238304</v>
      </c>
      <c r="Q586">
        <f t="shared" si="990"/>
        <v>947977.23428571958</v>
      </c>
      <c r="R586">
        <f t="shared" si="991"/>
        <v>-136882937.40154877</v>
      </c>
      <c r="S586">
        <f t="shared" si="992"/>
        <v>-1368.8293740154877</v>
      </c>
      <c r="T586">
        <f t="shared" si="993"/>
        <v>-1.3688293740154878</v>
      </c>
    </row>
    <row r="587" spans="1:20" x14ac:dyDescent="0.25">
      <c r="A587" s="5">
        <v>44006</v>
      </c>
      <c r="B587">
        <v>0.14940000000000001</v>
      </c>
      <c r="C587">
        <v>0.15049999999999999</v>
      </c>
      <c r="D587">
        <v>0.1371</v>
      </c>
      <c r="E587">
        <v>0.14069999999999999</v>
      </c>
      <c r="F587">
        <v>2999775.47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-0.46268656716418011</v>
      </c>
      <c r="Q587">
        <f t="shared" si="990"/>
        <v>-1387955.8144776151</v>
      </c>
      <c r="R587">
        <f t="shared" si="991"/>
        <v>-137830914.63583449</v>
      </c>
      <c r="S587">
        <f t="shared" si="992"/>
        <v>-1378.3091463583448</v>
      </c>
      <c r="T587">
        <f t="shared" si="993"/>
        <v>-1.3783091463583448</v>
      </c>
    </row>
    <row r="588" spans="1:20" x14ac:dyDescent="0.25">
      <c r="A588" s="5">
        <v>44005</v>
      </c>
      <c r="B588">
        <v>0.1457</v>
      </c>
      <c r="C588">
        <v>0.15029999999999999</v>
      </c>
      <c r="D588">
        <v>0.14419999999999999</v>
      </c>
      <c r="E588">
        <v>0.14940000000000001</v>
      </c>
      <c r="F588">
        <v>1227861.69</v>
      </c>
      <c r="G588">
        <v>0</v>
      </c>
      <c r="L588" t="s">
        <v>7</v>
      </c>
      <c r="M588" t="s">
        <v>7</v>
      </c>
      <c r="N588" t="s">
        <v>8</v>
      </c>
      <c r="P588">
        <f t="shared" si="989"/>
        <v>0.70491803278689014</v>
      </c>
      <c r="Q588">
        <f t="shared" si="990"/>
        <v>865541.84704918624</v>
      </c>
      <c r="R588">
        <f t="shared" si="991"/>
        <v>-136442958.82135686</v>
      </c>
      <c r="S588">
        <f t="shared" si="992"/>
        <v>-1364.4295882135686</v>
      </c>
      <c r="T588">
        <f t="shared" si="993"/>
        <v>-1.3644295882135686</v>
      </c>
    </row>
    <row r="589" spans="1:20" x14ac:dyDescent="0.25">
      <c r="A589" s="5">
        <v>44004</v>
      </c>
      <c r="B589">
        <v>0.1426</v>
      </c>
      <c r="C589">
        <v>0.14899999999999999</v>
      </c>
      <c r="D589">
        <v>0.14249999999999999</v>
      </c>
      <c r="E589">
        <v>0.1452</v>
      </c>
      <c r="F589">
        <v>2660170.7999999998</v>
      </c>
      <c r="G589">
        <v>0</v>
      </c>
      <c r="L589" t="s">
        <v>7</v>
      </c>
      <c r="M589" t="s">
        <v>7</v>
      </c>
      <c r="N589" t="s">
        <v>8</v>
      </c>
      <c r="P589">
        <f t="shared" si="989"/>
        <v>-0.16923076923076752</v>
      </c>
      <c r="Q589">
        <f t="shared" si="990"/>
        <v>-450182.75076922617</v>
      </c>
      <c r="R589">
        <f t="shared" si="991"/>
        <v>-137308500.66840604</v>
      </c>
      <c r="S589">
        <f t="shared" si="992"/>
        <v>-1373.0850066840603</v>
      </c>
      <c r="T589">
        <f t="shared" si="993"/>
        <v>-1.3730850066840603</v>
      </c>
    </row>
    <row r="590" spans="1:20" x14ac:dyDescent="0.25">
      <c r="A590" s="5">
        <v>44003</v>
      </c>
      <c r="B590">
        <v>0.13900000000000001</v>
      </c>
      <c r="C590">
        <v>0.15260000000000001</v>
      </c>
      <c r="D590">
        <v>0.13900000000000001</v>
      </c>
      <c r="E590">
        <v>0.1419</v>
      </c>
      <c r="F590">
        <v>2413447.62</v>
      </c>
      <c r="G590">
        <v>0</v>
      </c>
      <c r="L590" t="s">
        <v>8</v>
      </c>
      <c r="M590" t="s">
        <v>7</v>
      </c>
      <c r="N590" t="s">
        <v>8</v>
      </c>
      <c r="P590">
        <f t="shared" si="989"/>
        <v>-0.57352941176470795</v>
      </c>
      <c r="Q590">
        <f t="shared" si="990"/>
        <v>-1384183.1938235345</v>
      </c>
      <c r="R590">
        <f t="shared" si="991"/>
        <v>-136858317.91763681</v>
      </c>
      <c r="S590">
        <f t="shared" si="992"/>
        <v>-1368.583179176368</v>
      </c>
      <c r="T590">
        <f t="shared" si="993"/>
        <v>-1.3685831791763681</v>
      </c>
    </row>
    <row r="591" spans="1:20" x14ac:dyDescent="0.25">
      <c r="A591" s="5">
        <v>44002</v>
      </c>
      <c r="B591">
        <v>0.14130000000000001</v>
      </c>
      <c r="C591">
        <v>0.14230000000000001</v>
      </c>
      <c r="D591">
        <v>0.13719999999999999</v>
      </c>
      <c r="E591">
        <v>0.1391</v>
      </c>
      <c r="F591">
        <v>1617939.07</v>
      </c>
      <c r="G591">
        <v>0</v>
      </c>
      <c r="L591" t="s">
        <v>7</v>
      </c>
      <c r="M591" t="s">
        <v>7</v>
      </c>
      <c r="N591" t="s">
        <v>8</v>
      </c>
      <c r="P591">
        <f t="shared" si="989"/>
        <v>-0.25490196078431182</v>
      </c>
      <c r="Q591">
        <f t="shared" si="990"/>
        <v>-412415.84137254598</v>
      </c>
      <c r="R591">
        <f t="shared" si="991"/>
        <v>-135474134.72381327</v>
      </c>
      <c r="S591">
        <f t="shared" si="992"/>
        <v>-1354.7413472381327</v>
      </c>
      <c r="T591">
        <f t="shared" si="993"/>
        <v>-1.3547413472381327</v>
      </c>
    </row>
    <row r="592" spans="1:20" x14ac:dyDescent="0.25">
      <c r="A592" s="5">
        <v>44001</v>
      </c>
      <c r="B592">
        <v>0.1484</v>
      </c>
      <c r="C592">
        <v>0.1489</v>
      </c>
      <c r="D592">
        <v>0.13819999999999999</v>
      </c>
      <c r="E592">
        <v>0.14130000000000001</v>
      </c>
      <c r="F592">
        <v>3149939.59</v>
      </c>
      <c r="G592">
        <v>0</v>
      </c>
      <c r="L592" t="s">
        <v>7</v>
      </c>
      <c r="M592" t="s">
        <v>7</v>
      </c>
      <c r="N592" t="s">
        <v>8</v>
      </c>
      <c r="P592">
        <f t="shared" si="989"/>
        <v>-0.42056074766354856</v>
      </c>
      <c r="Q592">
        <f t="shared" si="990"/>
        <v>-1324740.9490654115</v>
      </c>
      <c r="R592">
        <f t="shared" si="991"/>
        <v>-135061718.88244072</v>
      </c>
      <c r="S592">
        <f t="shared" si="992"/>
        <v>-1350.6171888244071</v>
      </c>
      <c r="T592">
        <f t="shared" si="993"/>
        <v>-1.3506171888244072</v>
      </c>
    </row>
    <row r="593" spans="1:20" x14ac:dyDescent="0.25">
      <c r="A593" s="5">
        <v>44000</v>
      </c>
      <c r="B593">
        <v>0.14660000000000001</v>
      </c>
      <c r="C593">
        <v>0.16500000000000001</v>
      </c>
      <c r="D593">
        <v>0.14099999999999999</v>
      </c>
      <c r="E593">
        <v>0.14849999999999999</v>
      </c>
      <c r="F593">
        <v>8693782.2699999996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-0.375</v>
      </c>
      <c r="Q593">
        <f t="shared" si="990"/>
        <v>-3260168.3512499998</v>
      </c>
      <c r="R593">
        <f t="shared" si="991"/>
        <v>-133736977.93337531</v>
      </c>
      <c r="S593">
        <f t="shared" si="992"/>
        <v>-1337.3697793337531</v>
      </c>
      <c r="T593">
        <f t="shared" si="993"/>
        <v>-1.3373697793337531</v>
      </c>
    </row>
    <row r="594" spans="1:20" x14ac:dyDescent="0.25">
      <c r="A594" s="5">
        <v>43999</v>
      </c>
      <c r="B594">
        <v>0.14330000000000001</v>
      </c>
      <c r="C594">
        <v>0.1469</v>
      </c>
      <c r="D594">
        <v>0.13619999999999999</v>
      </c>
      <c r="E594">
        <v>0.1467</v>
      </c>
      <c r="F594">
        <v>2972274.4</v>
      </c>
      <c r="G594">
        <v>0</v>
      </c>
      <c r="L594" t="s">
        <v>7</v>
      </c>
      <c r="M594" t="s">
        <v>7</v>
      </c>
      <c r="N594" t="s">
        <v>7</v>
      </c>
      <c r="P594">
        <f t="shared" si="989"/>
        <v>0.96261682242990554</v>
      </c>
      <c r="Q594">
        <f t="shared" si="990"/>
        <v>2861161.3383177537</v>
      </c>
      <c r="R594">
        <f t="shared" si="991"/>
        <v>-130476809.58212532</v>
      </c>
      <c r="S594">
        <f t="shared" si="992"/>
        <v>-1304.7680958212532</v>
      </c>
      <c r="T594">
        <f t="shared" si="993"/>
        <v>-1.3047680958212531</v>
      </c>
    </row>
    <row r="595" spans="1:20" x14ac:dyDescent="0.25">
      <c r="A595" s="5">
        <v>43998</v>
      </c>
      <c r="B595">
        <v>0.14299999999999999</v>
      </c>
      <c r="C595">
        <v>0.14729999999999999</v>
      </c>
      <c r="D595">
        <v>0.1406</v>
      </c>
      <c r="E595">
        <v>0.14280000000000001</v>
      </c>
      <c r="F595">
        <v>1610787.85</v>
      </c>
      <c r="G595">
        <v>0</v>
      </c>
      <c r="L595" t="s">
        <v>8</v>
      </c>
      <c r="M595" t="s">
        <v>7</v>
      </c>
      <c r="N595" t="s">
        <v>7</v>
      </c>
      <c r="P595">
        <f t="shared" si="989"/>
        <v>-0.3432835820895484</v>
      </c>
      <c r="Q595">
        <f t="shared" si="990"/>
        <v>-552957.02313432225</v>
      </c>
      <c r="R595">
        <f t="shared" si="991"/>
        <v>-133337970.92044307</v>
      </c>
      <c r="S595">
        <f t="shared" si="992"/>
        <v>-1333.3797092044308</v>
      </c>
      <c r="T595">
        <f t="shared" si="993"/>
        <v>-1.3333797092044308</v>
      </c>
    </row>
    <row r="596" spans="1:20" x14ac:dyDescent="0.25">
      <c r="A596" s="5">
        <v>43997</v>
      </c>
      <c r="B596">
        <v>0.14249999999999999</v>
      </c>
      <c r="C596">
        <v>0.14510000000000001</v>
      </c>
      <c r="D596">
        <v>0.1328</v>
      </c>
      <c r="E596">
        <v>0.14299999999999999</v>
      </c>
      <c r="F596">
        <v>3258616.27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0.6585365853658508</v>
      </c>
      <c r="Q596">
        <f t="shared" si="990"/>
        <v>2145918.0314634051</v>
      </c>
      <c r="R596">
        <f t="shared" si="991"/>
        <v>-132785013.89730875</v>
      </c>
      <c r="S596">
        <f t="shared" si="992"/>
        <v>-1327.8501389730875</v>
      </c>
      <c r="T596">
        <f t="shared" si="993"/>
        <v>-1.3278501389730875</v>
      </c>
    </row>
    <row r="597" spans="1:20" x14ac:dyDescent="0.25">
      <c r="A597" s="5">
        <v>43996</v>
      </c>
      <c r="B597">
        <v>0.16220000000000001</v>
      </c>
      <c r="C597">
        <v>0.16220000000000001</v>
      </c>
      <c r="D597">
        <v>0.13900000000000001</v>
      </c>
      <c r="E597">
        <v>0.14219999999999999</v>
      </c>
      <c r="F597">
        <v>3018897.21</v>
      </c>
      <c r="G597">
        <v>0</v>
      </c>
      <c r="L597" t="s">
        <v>7</v>
      </c>
      <c r="M597" t="s">
        <v>8</v>
      </c>
      <c r="N597" t="s">
        <v>7</v>
      </c>
      <c r="P597">
        <f t="shared" si="989"/>
        <v>-0.72413793103448443</v>
      </c>
      <c r="Q597">
        <f t="shared" si="990"/>
        <v>-2186097.9796551773</v>
      </c>
      <c r="R597">
        <f t="shared" si="991"/>
        <v>-134930931.92877215</v>
      </c>
      <c r="S597">
        <f t="shared" si="992"/>
        <v>-1349.3093192877216</v>
      </c>
      <c r="T597">
        <f t="shared" si="993"/>
        <v>-1.3493093192877215</v>
      </c>
    </row>
    <row r="598" spans="1:20" x14ac:dyDescent="0.25">
      <c r="A598" s="5">
        <v>43995</v>
      </c>
      <c r="B598">
        <v>0.16089999999999999</v>
      </c>
      <c r="C598">
        <v>0.16239999999999999</v>
      </c>
      <c r="D598">
        <v>0.14960000000000001</v>
      </c>
      <c r="E598">
        <v>0.16239999999999999</v>
      </c>
      <c r="F598">
        <v>3285479.76</v>
      </c>
      <c r="G598">
        <v>0</v>
      </c>
      <c r="L598" t="s">
        <v>8</v>
      </c>
      <c r="M598" t="s">
        <v>8</v>
      </c>
      <c r="N598" t="s">
        <v>7</v>
      </c>
      <c r="P598">
        <f t="shared" si="989"/>
        <v>1</v>
      </c>
      <c r="Q598">
        <f t="shared" si="990"/>
        <v>3285479.76</v>
      </c>
      <c r="R598">
        <f t="shared" si="991"/>
        <v>-132744833.94911696</v>
      </c>
      <c r="S598">
        <f t="shared" si="992"/>
        <v>-1327.4483394911697</v>
      </c>
      <c r="T598">
        <f t="shared" si="993"/>
        <v>-1.3274483394911696</v>
      </c>
    </row>
    <row r="599" spans="1:20" x14ac:dyDescent="0.25">
      <c r="A599" s="5">
        <v>43994</v>
      </c>
      <c r="B599">
        <v>0.1396</v>
      </c>
      <c r="C599">
        <v>0.16170000000000001</v>
      </c>
      <c r="D599">
        <v>0.1396</v>
      </c>
      <c r="E599">
        <v>0.16089999999999999</v>
      </c>
      <c r="F599">
        <v>2964451.77</v>
      </c>
      <c r="G599">
        <v>0</v>
      </c>
      <c r="L599" t="s">
        <v>7</v>
      </c>
      <c r="M599" t="s">
        <v>8</v>
      </c>
      <c r="N599" t="s">
        <v>7</v>
      </c>
      <c r="P599">
        <f t="shared" si="989"/>
        <v>0.92760180995474906</v>
      </c>
      <c r="Q599">
        <f t="shared" si="990"/>
        <v>2749830.8273755596</v>
      </c>
      <c r="R599">
        <f t="shared" si="991"/>
        <v>-136030313.70911697</v>
      </c>
      <c r="S599">
        <f t="shared" si="992"/>
        <v>-1360.3031370911697</v>
      </c>
      <c r="T599">
        <f t="shared" si="993"/>
        <v>-1.3603031370911696</v>
      </c>
    </row>
    <row r="600" spans="1:20" x14ac:dyDescent="0.25">
      <c r="A600" s="5">
        <v>43993</v>
      </c>
      <c r="B600">
        <v>0.15110000000000001</v>
      </c>
      <c r="C600">
        <v>0.1595</v>
      </c>
      <c r="D600">
        <v>0.1368</v>
      </c>
      <c r="E600">
        <v>0.1404</v>
      </c>
      <c r="F600">
        <v>4459851.93</v>
      </c>
      <c r="G600">
        <v>0</v>
      </c>
      <c r="L600" t="s">
        <v>8</v>
      </c>
      <c r="M600" t="s">
        <v>8</v>
      </c>
      <c r="N600" t="s">
        <v>7</v>
      </c>
      <c r="P600">
        <f t="shared" si="989"/>
        <v>-0.68281938325991254</v>
      </c>
      <c r="Q600">
        <f t="shared" si="990"/>
        <v>-3045273.3442731304</v>
      </c>
      <c r="R600">
        <f t="shared" si="991"/>
        <v>-138780144.53649253</v>
      </c>
      <c r="S600">
        <f t="shared" si="992"/>
        <v>-1387.8014453649253</v>
      </c>
      <c r="T600">
        <f t="shared" si="993"/>
        <v>-1.3878014453649252</v>
      </c>
    </row>
    <row r="601" spans="1:20" x14ac:dyDescent="0.25">
      <c r="A601" s="5">
        <v>43992</v>
      </c>
      <c r="B601">
        <v>0.14660000000000001</v>
      </c>
      <c r="C601">
        <v>0.15479999999999999</v>
      </c>
      <c r="D601">
        <v>0.1459</v>
      </c>
      <c r="E601">
        <v>0.15110000000000001</v>
      </c>
      <c r="F601">
        <v>2757103.78</v>
      </c>
      <c r="G601">
        <v>0</v>
      </c>
      <c r="L601" t="s">
        <v>8</v>
      </c>
      <c r="M601" t="s">
        <v>8</v>
      </c>
      <c r="N601" t="s">
        <v>7</v>
      </c>
      <c r="P601">
        <f t="shared" si="989"/>
        <v>0.16853932584270007</v>
      </c>
      <c r="Q601">
        <f t="shared" si="990"/>
        <v>464680.41235956002</v>
      </c>
      <c r="R601">
        <f t="shared" si="991"/>
        <v>-135734871.19221941</v>
      </c>
      <c r="S601">
        <f t="shared" si="992"/>
        <v>-1357.3487119221941</v>
      </c>
      <c r="T601">
        <f t="shared" si="993"/>
        <v>-1.3573487119221941</v>
      </c>
    </row>
    <row r="602" spans="1:20" x14ac:dyDescent="0.25">
      <c r="A602" s="5">
        <v>43991</v>
      </c>
      <c r="B602">
        <v>0.14710000000000001</v>
      </c>
      <c r="C602">
        <v>0.1502</v>
      </c>
      <c r="D602">
        <v>0.1411</v>
      </c>
      <c r="E602">
        <v>0.14660000000000001</v>
      </c>
      <c r="F602">
        <v>2547850.9700000002</v>
      </c>
      <c r="G602">
        <v>0</v>
      </c>
      <c r="L602" t="s">
        <v>8</v>
      </c>
      <c r="M602" t="s">
        <v>8</v>
      </c>
      <c r="N602" t="s">
        <v>7</v>
      </c>
      <c r="P602">
        <f t="shared" si="989"/>
        <v>0.20879120879121027</v>
      </c>
      <c r="Q602">
        <f t="shared" si="990"/>
        <v>531968.8838461577</v>
      </c>
      <c r="R602">
        <f t="shared" si="991"/>
        <v>-136199551.60457897</v>
      </c>
      <c r="S602">
        <f t="shared" si="992"/>
        <v>-1361.9955160457898</v>
      </c>
      <c r="T602">
        <f t="shared" si="993"/>
        <v>-1.3619955160457897</v>
      </c>
    </row>
    <row r="603" spans="1:20" x14ac:dyDescent="0.25">
      <c r="A603" s="5">
        <v>43990</v>
      </c>
      <c r="B603">
        <v>0.13869999999999999</v>
      </c>
      <c r="C603">
        <v>0.14960000000000001</v>
      </c>
      <c r="D603">
        <v>0.1363</v>
      </c>
      <c r="E603">
        <v>0.14649999999999999</v>
      </c>
      <c r="F603">
        <v>3079637.95</v>
      </c>
      <c r="G603">
        <v>0</v>
      </c>
      <c r="L603" t="s">
        <v>8</v>
      </c>
      <c r="M603" t="s">
        <v>8</v>
      </c>
      <c r="N603" t="s">
        <v>7</v>
      </c>
      <c r="P603">
        <f t="shared" si="989"/>
        <v>0.53383458646616266</v>
      </c>
      <c r="Q603">
        <f t="shared" si="990"/>
        <v>1644017.2515037509</v>
      </c>
      <c r="R603">
        <f t="shared" si="991"/>
        <v>-136731520.48842514</v>
      </c>
      <c r="S603">
        <f t="shared" si="992"/>
        <v>-1367.3152048842514</v>
      </c>
      <c r="T603">
        <f t="shared" si="993"/>
        <v>-1.3673152048842514</v>
      </c>
    </row>
    <row r="604" spans="1:20" x14ac:dyDescent="0.25">
      <c r="A604" s="5">
        <v>43989</v>
      </c>
      <c r="B604">
        <v>0.13750000000000001</v>
      </c>
      <c r="C604">
        <v>0.1411</v>
      </c>
      <c r="D604">
        <v>0.1323</v>
      </c>
      <c r="E604">
        <v>0.13800000000000001</v>
      </c>
      <c r="F604">
        <v>1551213.68</v>
      </c>
      <c r="G604">
        <v>0</v>
      </c>
      <c r="L604" t="s">
        <v>7</v>
      </c>
      <c r="M604" t="s">
        <v>8</v>
      </c>
      <c r="N604" t="s">
        <v>7</v>
      </c>
      <c r="P604">
        <f t="shared" si="989"/>
        <v>0.29545454545454752</v>
      </c>
      <c r="Q604">
        <f t="shared" si="990"/>
        <v>458313.13272727589</v>
      </c>
      <c r="R604">
        <f t="shared" si="991"/>
        <v>-138375537.7399289</v>
      </c>
      <c r="S604">
        <f t="shared" si="992"/>
        <v>-1383.755377399289</v>
      </c>
      <c r="T604">
        <f t="shared" si="993"/>
        <v>-1.383755377399289</v>
      </c>
    </row>
    <row r="605" spans="1:20" x14ac:dyDescent="0.25">
      <c r="A605" s="5">
        <v>43988</v>
      </c>
      <c r="B605">
        <v>0.14050000000000001</v>
      </c>
      <c r="C605">
        <v>0.14449999999999999</v>
      </c>
      <c r="D605">
        <v>0.13589999999999999</v>
      </c>
      <c r="E605">
        <v>0.13750000000000001</v>
      </c>
      <c r="F605">
        <v>2928496.73</v>
      </c>
      <c r="G605">
        <v>0</v>
      </c>
      <c r="L605" t="s">
        <v>7</v>
      </c>
      <c r="M605" t="s">
        <v>8</v>
      </c>
      <c r="N605" t="s">
        <v>7</v>
      </c>
      <c r="P605">
        <f t="shared" si="989"/>
        <v>-0.62790697674418172</v>
      </c>
      <c r="Q605">
        <f t="shared" si="990"/>
        <v>-1838823.5281395223</v>
      </c>
      <c r="R605">
        <f t="shared" si="991"/>
        <v>-138833850.87265617</v>
      </c>
      <c r="S605">
        <f t="shared" si="992"/>
        <v>-1388.3385087265617</v>
      </c>
      <c r="T605">
        <f t="shared" si="993"/>
        <v>-1.3883385087265616</v>
      </c>
    </row>
    <row r="606" spans="1:20" x14ac:dyDescent="0.25">
      <c r="A606" s="5">
        <v>43987</v>
      </c>
      <c r="B606">
        <v>0.15179999999999999</v>
      </c>
      <c r="C606">
        <v>0.15190000000000001</v>
      </c>
      <c r="D606">
        <v>0.1391</v>
      </c>
      <c r="E606">
        <v>0.1409</v>
      </c>
      <c r="F606">
        <v>3926807.8</v>
      </c>
      <c r="G606">
        <v>0</v>
      </c>
      <c r="L606" t="s">
        <v>7</v>
      </c>
      <c r="M606" t="s">
        <v>8</v>
      </c>
      <c r="N606" t="s">
        <v>7</v>
      </c>
      <c r="P606">
        <f t="shared" si="989"/>
        <v>-0.71875000000000078</v>
      </c>
      <c r="Q606">
        <f t="shared" si="990"/>
        <v>-2822393.106250003</v>
      </c>
      <c r="R606">
        <f t="shared" si="991"/>
        <v>-136995027.34451663</v>
      </c>
      <c r="S606">
        <f t="shared" si="992"/>
        <v>-1369.9502734451664</v>
      </c>
      <c r="T606">
        <f t="shared" si="993"/>
        <v>-1.3699502734451665</v>
      </c>
    </row>
    <row r="607" spans="1:20" x14ac:dyDescent="0.25">
      <c r="A607" s="5">
        <v>43986</v>
      </c>
      <c r="B607">
        <v>0.14879999999999999</v>
      </c>
      <c r="C607">
        <v>0.155</v>
      </c>
      <c r="D607">
        <v>0.14230000000000001</v>
      </c>
      <c r="E607">
        <v>0.15190000000000001</v>
      </c>
      <c r="F607">
        <v>4093757.73</v>
      </c>
      <c r="G607">
        <v>0</v>
      </c>
      <c r="L607" t="s">
        <v>7</v>
      </c>
      <c r="M607" t="s">
        <v>8</v>
      </c>
      <c r="N607" t="s">
        <v>7</v>
      </c>
      <c r="P607">
        <f t="shared" si="989"/>
        <v>0.51181102362204811</v>
      </c>
      <c r="Q607">
        <f t="shared" si="990"/>
        <v>2095230.3342519721</v>
      </c>
      <c r="R607">
        <f t="shared" si="991"/>
        <v>-134172634.23826665</v>
      </c>
      <c r="S607">
        <f t="shared" si="992"/>
        <v>-1341.7263423826664</v>
      </c>
      <c r="T607">
        <f t="shared" si="993"/>
        <v>-1.3417263423826664</v>
      </c>
    </row>
    <row r="608" spans="1:20" x14ac:dyDescent="0.25">
      <c r="A608" s="5">
        <v>43985</v>
      </c>
      <c r="B608">
        <v>0.13289999999999999</v>
      </c>
      <c r="C608">
        <v>0.15240000000000001</v>
      </c>
      <c r="D608">
        <v>0.13139999999999999</v>
      </c>
      <c r="E608">
        <v>0.14829999999999999</v>
      </c>
      <c r="F608">
        <v>3427126.12</v>
      </c>
      <c r="G608">
        <v>0</v>
      </c>
      <c r="L608" t="s">
        <v>8</v>
      </c>
      <c r="M608" t="s">
        <v>8</v>
      </c>
      <c r="N608" t="s">
        <v>7</v>
      </c>
      <c r="P608">
        <f t="shared" si="989"/>
        <v>0.60952380952380791</v>
      </c>
      <c r="Q608">
        <f t="shared" si="990"/>
        <v>2088914.9683809469</v>
      </c>
      <c r="R608">
        <f t="shared" si="991"/>
        <v>-136267864.57251862</v>
      </c>
      <c r="S608">
        <f t="shared" si="992"/>
        <v>-1362.6786457251862</v>
      </c>
      <c r="T608">
        <f t="shared" si="993"/>
        <v>-1.3626786457251863</v>
      </c>
    </row>
    <row r="609" spans="1:20" x14ac:dyDescent="0.25">
      <c r="A609" s="5">
        <v>43984</v>
      </c>
      <c r="B609">
        <v>0.1429</v>
      </c>
      <c r="C609">
        <v>0.1431</v>
      </c>
      <c r="D609">
        <v>0.11700000000000001</v>
      </c>
      <c r="E609">
        <v>0.13339999999999999</v>
      </c>
      <c r="F609">
        <v>4288384.9800000004</v>
      </c>
      <c r="G609">
        <v>0</v>
      </c>
      <c r="L609" t="s">
        <v>7</v>
      </c>
      <c r="M609" t="s">
        <v>7</v>
      </c>
      <c r="N609" t="s">
        <v>7</v>
      </c>
      <c r="P609">
        <f t="shared" si="989"/>
        <v>0.25670498084291077</v>
      </c>
      <c r="Q609">
        <f t="shared" si="990"/>
        <v>1100849.7841379263</v>
      </c>
      <c r="R609">
        <f t="shared" si="991"/>
        <v>-138356779.54089957</v>
      </c>
      <c r="S609">
        <f t="shared" si="992"/>
        <v>-1383.5677954089958</v>
      </c>
      <c r="T609">
        <f t="shared" si="993"/>
        <v>-1.3835677954089958</v>
      </c>
    </row>
    <row r="610" spans="1:20" x14ac:dyDescent="0.25">
      <c r="A610" s="5">
        <v>43983</v>
      </c>
      <c r="B610">
        <v>0.13400000000000001</v>
      </c>
      <c r="C610">
        <v>0.14430000000000001</v>
      </c>
      <c r="D610">
        <v>0.1336</v>
      </c>
      <c r="E610">
        <v>0.14219999999999999</v>
      </c>
      <c r="F610">
        <v>3606153.41</v>
      </c>
      <c r="G610">
        <v>0</v>
      </c>
      <c r="L610" t="s">
        <v>8</v>
      </c>
      <c r="M610" t="s">
        <v>7</v>
      </c>
      <c r="N610" t="s">
        <v>8</v>
      </c>
      <c r="P610">
        <f t="shared" si="989"/>
        <v>0.60747663551401576</v>
      </c>
      <c r="Q610">
        <f t="shared" si="990"/>
        <v>2190653.9406541949</v>
      </c>
      <c r="R610">
        <f t="shared" si="991"/>
        <v>-139457629.32503751</v>
      </c>
      <c r="S610">
        <f t="shared" si="992"/>
        <v>-1394.5762932503751</v>
      </c>
      <c r="T610">
        <f t="shared" si="993"/>
        <v>-1.3945762932503751</v>
      </c>
    </row>
    <row r="611" spans="1:20" x14ac:dyDescent="0.25">
      <c r="A611" s="5">
        <v>43982</v>
      </c>
      <c r="B611">
        <v>0.15129999999999999</v>
      </c>
      <c r="C611">
        <v>0.15509999999999999</v>
      </c>
      <c r="D611">
        <v>0.13150000000000001</v>
      </c>
      <c r="E611">
        <v>0.1336</v>
      </c>
      <c r="F611">
        <v>3920410.5</v>
      </c>
      <c r="G611">
        <v>0</v>
      </c>
      <c r="L611" t="s">
        <v>7</v>
      </c>
      <c r="M611" t="s">
        <v>7</v>
      </c>
      <c r="N611" t="s">
        <v>8</v>
      </c>
      <c r="P611">
        <f t="shared" si="989"/>
        <v>-0.82203389830508544</v>
      </c>
      <c r="Q611">
        <f t="shared" si="990"/>
        <v>-3222710.3262711894</v>
      </c>
      <c r="R611">
        <f t="shared" si="991"/>
        <v>-141648283.2656917</v>
      </c>
      <c r="S611">
        <f t="shared" si="992"/>
        <v>-1416.482832656917</v>
      </c>
      <c r="T611">
        <f t="shared" si="993"/>
        <v>-1.416482832656917</v>
      </c>
    </row>
    <row r="612" spans="1:20" x14ac:dyDescent="0.25">
      <c r="A612" s="5">
        <v>43981</v>
      </c>
      <c r="B612">
        <v>0.16020000000000001</v>
      </c>
      <c r="C612">
        <v>0.1633</v>
      </c>
      <c r="D612">
        <v>0.14879999999999999</v>
      </c>
      <c r="E612">
        <v>0.151</v>
      </c>
      <c r="F612">
        <v>3782136.75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-0.69655172413793032</v>
      </c>
      <c r="Q612">
        <f t="shared" si="990"/>
        <v>-2634453.8741379282</v>
      </c>
      <c r="R612">
        <f t="shared" si="991"/>
        <v>-138425572.93942052</v>
      </c>
      <c r="S612">
        <f t="shared" si="992"/>
        <v>-1384.2557293942052</v>
      </c>
      <c r="T612">
        <f t="shared" si="993"/>
        <v>-1.3842557293942053</v>
      </c>
    </row>
    <row r="613" spans="1:20" x14ac:dyDescent="0.25">
      <c r="A613" s="5">
        <v>43980</v>
      </c>
      <c r="B613">
        <v>0.15229999999999999</v>
      </c>
      <c r="C613">
        <v>0.1656</v>
      </c>
      <c r="D613">
        <v>0.14449999999999999</v>
      </c>
      <c r="E613">
        <v>0.16009999999999999</v>
      </c>
      <c r="F613">
        <v>9938404.4000000004</v>
      </c>
      <c r="G613">
        <v>0</v>
      </c>
      <c r="L613" t="s">
        <v>7</v>
      </c>
      <c r="M613" t="s">
        <v>8</v>
      </c>
      <c r="N613" t="s">
        <v>8</v>
      </c>
      <c r="P613">
        <f t="shared" si="989"/>
        <v>0.47867298578199025</v>
      </c>
      <c r="Q613">
        <f t="shared" si="990"/>
        <v>4757245.7080568699</v>
      </c>
      <c r="R613">
        <f t="shared" si="991"/>
        <v>-135791119.06528258</v>
      </c>
      <c r="S613">
        <f t="shared" si="992"/>
        <v>-1357.9111906528258</v>
      </c>
      <c r="T613">
        <f t="shared" si="993"/>
        <v>-1.3579111906528258</v>
      </c>
    </row>
    <row r="614" spans="1:20" x14ac:dyDescent="0.25">
      <c r="A614" s="5">
        <v>43979</v>
      </c>
      <c r="B614">
        <v>0.1298</v>
      </c>
      <c r="C614">
        <v>0.16600000000000001</v>
      </c>
      <c r="D614">
        <v>0.12959999999999999</v>
      </c>
      <c r="E614">
        <v>0.15210000000000001</v>
      </c>
      <c r="F614">
        <v>10973556.609999999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0.23626373626373684</v>
      </c>
      <c r="Q614">
        <f t="shared" si="990"/>
        <v>2592653.4847802259</v>
      </c>
      <c r="R614">
        <f t="shared" si="991"/>
        <v>-140548364.77333945</v>
      </c>
      <c r="S614">
        <f t="shared" si="992"/>
        <v>-1405.4836477333945</v>
      </c>
      <c r="T614">
        <f t="shared" si="993"/>
        <v>-1.4054836477333945</v>
      </c>
    </row>
    <row r="615" spans="1:20" x14ac:dyDescent="0.25">
      <c r="A615" s="5">
        <v>43978</v>
      </c>
      <c r="B615">
        <v>0.129</v>
      </c>
      <c r="C615">
        <v>0.1358</v>
      </c>
      <c r="D615">
        <v>0.12720000000000001</v>
      </c>
      <c r="E615">
        <v>0.12989999999999999</v>
      </c>
      <c r="F615">
        <v>2517465.27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-0.37209302325581833</v>
      </c>
      <c r="Q615">
        <f t="shared" si="990"/>
        <v>-936731.26325582503</v>
      </c>
      <c r="R615">
        <f t="shared" si="991"/>
        <v>-143141018.25811967</v>
      </c>
      <c r="S615">
        <f t="shared" si="992"/>
        <v>-1431.4101825811968</v>
      </c>
      <c r="T615">
        <f t="shared" si="993"/>
        <v>-1.4314101825811967</v>
      </c>
    </row>
    <row r="616" spans="1:20" x14ac:dyDescent="0.25">
      <c r="A616" s="5">
        <v>43977</v>
      </c>
      <c r="B616">
        <v>0.1321</v>
      </c>
      <c r="C616">
        <v>0.13800000000000001</v>
      </c>
      <c r="D616">
        <v>0.12520000000000001</v>
      </c>
      <c r="E616">
        <v>0.12889999999999999</v>
      </c>
      <c r="F616">
        <v>2803543.84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-0.42187500000000322</v>
      </c>
      <c r="Q616">
        <f t="shared" si="990"/>
        <v>-1182745.057500009</v>
      </c>
      <c r="R616">
        <f t="shared" si="991"/>
        <v>-142204286.99486384</v>
      </c>
      <c r="S616">
        <f t="shared" si="992"/>
        <v>-1422.0428699486383</v>
      </c>
      <c r="T616">
        <f t="shared" si="993"/>
        <v>-1.4220428699486383</v>
      </c>
    </row>
    <row r="617" spans="1:20" x14ac:dyDescent="0.25">
      <c r="A617" s="5">
        <v>43976</v>
      </c>
      <c r="B617">
        <v>0.12470000000000001</v>
      </c>
      <c r="C617">
        <v>0.1368</v>
      </c>
      <c r="D617">
        <v>0.1236</v>
      </c>
      <c r="E617">
        <v>0.1321</v>
      </c>
      <c r="F617">
        <v>3420660.28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0.28787878787878657</v>
      </c>
      <c r="Q617">
        <f t="shared" si="990"/>
        <v>984735.53515151062</v>
      </c>
      <c r="R617">
        <f t="shared" si="991"/>
        <v>-141021541.93736383</v>
      </c>
      <c r="S617">
        <f t="shared" si="992"/>
        <v>-1410.2154193736383</v>
      </c>
      <c r="T617">
        <f t="shared" si="993"/>
        <v>-1.4102154193736383</v>
      </c>
    </row>
    <row r="618" spans="1:20" x14ac:dyDescent="0.25">
      <c r="A618" s="5">
        <v>43975</v>
      </c>
      <c r="B618">
        <v>0.12180000000000001</v>
      </c>
      <c r="C618">
        <v>0.13800000000000001</v>
      </c>
      <c r="D618">
        <v>0.12180000000000001</v>
      </c>
      <c r="E618">
        <v>0.12529999999999999</v>
      </c>
      <c r="F618">
        <v>5903447.8799999999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-0.56790123456790276</v>
      </c>
      <c r="Q618">
        <f t="shared" si="990"/>
        <v>-3352575.3392592683</v>
      </c>
      <c r="R618">
        <f t="shared" si="991"/>
        <v>-142006277.47251534</v>
      </c>
      <c r="S618">
        <f t="shared" si="992"/>
        <v>-1420.0627747251535</v>
      </c>
      <c r="T618">
        <f t="shared" si="993"/>
        <v>-1.4200627747251535</v>
      </c>
    </row>
    <row r="619" spans="1:20" x14ac:dyDescent="0.25">
      <c r="A619" s="5">
        <v>43974</v>
      </c>
      <c r="B619">
        <v>0.12770000000000001</v>
      </c>
      <c r="C619">
        <v>0.13059999999999999</v>
      </c>
      <c r="D619">
        <v>0.11940000000000001</v>
      </c>
      <c r="E619">
        <v>0.12180000000000001</v>
      </c>
      <c r="F619">
        <v>2145527.33</v>
      </c>
      <c r="G619">
        <v>0</v>
      </c>
      <c r="L619" t="s">
        <v>7</v>
      </c>
      <c r="M619" t="s">
        <v>8</v>
      </c>
      <c r="N619" t="s">
        <v>8</v>
      </c>
      <c r="P619">
        <f t="shared" si="989"/>
        <v>-0.57142857142857106</v>
      </c>
      <c r="Q619">
        <f t="shared" si="990"/>
        <v>-1226015.6171428564</v>
      </c>
      <c r="R619">
        <f t="shared" si="991"/>
        <v>-138653702.13325608</v>
      </c>
      <c r="S619">
        <f t="shared" si="992"/>
        <v>-1386.5370213325607</v>
      </c>
      <c r="T619">
        <f t="shared" si="993"/>
        <v>-1.3865370213325607</v>
      </c>
    </row>
    <row r="620" spans="1:20" x14ac:dyDescent="0.25">
      <c r="A620" s="5">
        <v>43973</v>
      </c>
      <c r="B620">
        <v>0.11550000000000001</v>
      </c>
      <c r="C620">
        <v>0.13320000000000001</v>
      </c>
      <c r="D620">
        <v>0.1147</v>
      </c>
      <c r="E620">
        <v>0.128</v>
      </c>
      <c r="F620">
        <v>3694081.25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0.43783783783783725</v>
      </c>
      <c r="Q620">
        <f t="shared" si="990"/>
        <v>1617408.5472972952</v>
      </c>
      <c r="R620">
        <f t="shared" si="991"/>
        <v>-137427686.51611322</v>
      </c>
      <c r="S620">
        <f t="shared" si="992"/>
        <v>-1374.2768651611323</v>
      </c>
      <c r="T620">
        <f t="shared" si="993"/>
        <v>-1.3742768651611323</v>
      </c>
    </row>
    <row r="621" spans="1:20" x14ac:dyDescent="0.25">
      <c r="A621" s="5">
        <v>43972</v>
      </c>
      <c r="B621">
        <v>0.1177</v>
      </c>
      <c r="C621">
        <v>0.13039999999999999</v>
      </c>
      <c r="D621">
        <v>0.11</v>
      </c>
      <c r="E621">
        <v>0.11550000000000001</v>
      </c>
      <c r="F621">
        <v>4841903.33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-0.46078431372548939</v>
      </c>
      <c r="Q621">
        <f t="shared" si="990"/>
        <v>-2231073.1030392116</v>
      </c>
      <c r="R621">
        <f t="shared" si="991"/>
        <v>-139045095.06341052</v>
      </c>
      <c r="S621">
        <f t="shared" si="992"/>
        <v>-1390.4509506341053</v>
      </c>
      <c r="T621">
        <f t="shared" si="993"/>
        <v>-1.3904509506341054</v>
      </c>
    </row>
    <row r="622" spans="1:20" x14ac:dyDescent="0.25">
      <c r="A622" s="5">
        <v>43971</v>
      </c>
      <c r="B622">
        <v>0.11890000000000001</v>
      </c>
      <c r="C622">
        <v>0.125</v>
      </c>
      <c r="D622">
        <v>0.11</v>
      </c>
      <c r="E622">
        <v>0.1177</v>
      </c>
      <c r="F622">
        <v>1754004.48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2.6666666666666505E-2</v>
      </c>
      <c r="Q622">
        <f t="shared" si="990"/>
        <v>46773.452799999715</v>
      </c>
      <c r="R622">
        <f t="shared" si="991"/>
        <v>-136814021.96037132</v>
      </c>
      <c r="S622">
        <f t="shared" si="992"/>
        <v>-1368.1402196037131</v>
      </c>
      <c r="T622">
        <f t="shared" si="993"/>
        <v>-1.3681402196037131</v>
      </c>
    </row>
    <row r="623" spans="1:20" x14ac:dyDescent="0.25">
      <c r="A623" s="5">
        <v>43970</v>
      </c>
      <c r="B623">
        <v>0.11849999999999999</v>
      </c>
      <c r="C623">
        <v>0.11899999999999999</v>
      </c>
      <c r="D623">
        <v>0.11360000000000001</v>
      </c>
      <c r="E623">
        <v>0.1181</v>
      </c>
      <c r="F623">
        <v>1033537.72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0.66666666666666663</v>
      </c>
      <c r="Q623">
        <f t="shared" si="990"/>
        <v>689025.14666666661</v>
      </c>
      <c r="R623">
        <f t="shared" si="991"/>
        <v>-136860795.41317132</v>
      </c>
      <c r="S623">
        <f t="shared" si="992"/>
        <v>-1368.6079541317133</v>
      </c>
      <c r="T623">
        <f t="shared" si="993"/>
        <v>-1.3686079541317133</v>
      </c>
    </row>
    <row r="624" spans="1:20" x14ac:dyDescent="0.25">
      <c r="A624" s="5">
        <v>43969</v>
      </c>
      <c r="B624">
        <v>0.12180000000000001</v>
      </c>
      <c r="C624">
        <v>0.1255</v>
      </c>
      <c r="D624">
        <v>0.1171</v>
      </c>
      <c r="E624">
        <v>0.11799999999999999</v>
      </c>
      <c r="F624">
        <v>2225745.85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-0.78571428571428625</v>
      </c>
      <c r="Q624">
        <f t="shared" si="990"/>
        <v>-1748800.310714287</v>
      </c>
      <c r="R624">
        <f t="shared" si="991"/>
        <v>-137549820.559838</v>
      </c>
      <c r="S624">
        <f t="shared" si="992"/>
        <v>-1375.4982055983801</v>
      </c>
      <c r="T624">
        <f t="shared" si="993"/>
        <v>-1.37549820559838</v>
      </c>
    </row>
    <row r="625" spans="1:20" x14ac:dyDescent="0.25">
      <c r="A625" s="5">
        <v>43968</v>
      </c>
      <c r="B625">
        <v>0.11360000000000001</v>
      </c>
      <c r="C625">
        <v>0.12429999999999999</v>
      </c>
      <c r="D625">
        <v>0.113</v>
      </c>
      <c r="E625">
        <v>0.12180000000000001</v>
      </c>
      <c r="F625">
        <v>3475687.96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0.55752212389380695</v>
      </c>
      <c r="Q625">
        <f t="shared" si="990"/>
        <v>1937772.9334513331</v>
      </c>
      <c r="R625">
        <f t="shared" si="991"/>
        <v>-135801020.24912372</v>
      </c>
      <c r="S625">
        <f t="shared" si="992"/>
        <v>-1358.0102024912371</v>
      </c>
      <c r="T625">
        <f t="shared" si="993"/>
        <v>-1.3580102024912371</v>
      </c>
    </row>
    <row r="626" spans="1:20" x14ac:dyDescent="0.25">
      <c r="A626" s="5">
        <v>43967</v>
      </c>
      <c r="B626">
        <v>0.1051</v>
      </c>
      <c r="C626">
        <v>0.1163</v>
      </c>
      <c r="D626">
        <v>0.1051</v>
      </c>
      <c r="E626">
        <v>0.1139</v>
      </c>
      <c r="F626">
        <v>2173222.11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0.57142857142857162</v>
      </c>
      <c r="Q626">
        <f t="shared" si="990"/>
        <v>1241841.2057142861</v>
      </c>
      <c r="R626">
        <f t="shared" si="991"/>
        <v>-137738793.18257505</v>
      </c>
      <c r="S626">
        <f t="shared" si="992"/>
        <v>-1377.3879318257505</v>
      </c>
      <c r="T626">
        <f t="shared" si="993"/>
        <v>-1.3773879318257505</v>
      </c>
    </row>
    <row r="627" spans="1:20" x14ac:dyDescent="0.25">
      <c r="A627" s="5">
        <v>43966</v>
      </c>
      <c r="B627">
        <v>0.10920000000000001</v>
      </c>
      <c r="C627">
        <v>0.114</v>
      </c>
      <c r="D627">
        <v>0.1051</v>
      </c>
      <c r="E627">
        <v>0.1057</v>
      </c>
      <c r="F627">
        <v>1447208.72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-0.86516853932584203</v>
      </c>
      <c r="Q627">
        <f t="shared" si="990"/>
        <v>-1252079.4543820214</v>
      </c>
      <c r="R627">
        <f t="shared" si="991"/>
        <v>-138980634.38828933</v>
      </c>
      <c r="S627">
        <f t="shared" si="992"/>
        <v>-1389.8063438828933</v>
      </c>
      <c r="T627">
        <f t="shared" si="993"/>
        <v>-1.3898063438828934</v>
      </c>
    </row>
    <row r="628" spans="1:20" x14ac:dyDescent="0.25">
      <c r="A628" s="5">
        <v>43965</v>
      </c>
      <c r="B628">
        <v>0.1077</v>
      </c>
      <c r="C628">
        <v>0.1108</v>
      </c>
      <c r="D628">
        <v>0.10589999999999999</v>
      </c>
      <c r="E628">
        <v>0.10920000000000001</v>
      </c>
      <c r="F628">
        <v>1359623.51</v>
      </c>
      <c r="G628">
        <v>0</v>
      </c>
      <c r="L628" t="s">
        <v>7</v>
      </c>
      <c r="M628" t="s">
        <v>8</v>
      </c>
      <c r="N628" t="s">
        <v>8</v>
      </c>
      <c r="P628">
        <f t="shared" si="989"/>
        <v>0.34693877551020824</v>
      </c>
      <c r="Q628">
        <f t="shared" si="990"/>
        <v>471706.1157142914</v>
      </c>
      <c r="R628">
        <f t="shared" si="991"/>
        <v>-137728554.9339073</v>
      </c>
      <c r="S628">
        <f t="shared" si="992"/>
        <v>-1377.285549339073</v>
      </c>
      <c r="T628">
        <f t="shared" si="993"/>
        <v>-1.377285549339073</v>
      </c>
    </row>
    <row r="629" spans="1:20" x14ac:dyDescent="0.25">
      <c r="A629" s="5">
        <v>43964</v>
      </c>
      <c r="B629">
        <v>9.7000000000000003E-2</v>
      </c>
      <c r="C629">
        <v>0.114</v>
      </c>
      <c r="D629">
        <v>9.7000000000000003E-2</v>
      </c>
      <c r="E629">
        <v>0.1075</v>
      </c>
      <c r="F629">
        <v>2958786.12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0.23529411764705821</v>
      </c>
      <c r="Q629">
        <f t="shared" si="990"/>
        <v>696184.9694117629</v>
      </c>
      <c r="R629">
        <f t="shared" si="991"/>
        <v>-138200261.04962158</v>
      </c>
      <c r="S629">
        <f t="shared" si="992"/>
        <v>-1382.0026104962158</v>
      </c>
      <c r="T629">
        <f t="shared" si="993"/>
        <v>-1.3820026104962158</v>
      </c>
    </row>
    <row r="630" spans="1:20" x14ac:dyDescent="0.25">
      <c r="A630" s="5">
        <v>43963</v>
      </c>
      <c r="B630">
        <v>9.2299999999999993E-2</v>
      </c>
      <c r="C630">
        <v>9.9299999999999999E-2</v>
      </c>
      <c r="D630">
        <v>9.1999999999999998E-2</v>
      </c>
      <c r="E630">
        <v>9.7799999999999998E-2</v>
      </c>
      <c r="F630">
        <v>739524.99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0.58904109589041065</v>
      </c>
      <c r="Q630">
        <f t="shared" si="990"/>
        <v>435610.61054794496</v>
      </c>
      <c r="R630">
        <f t="shared" si="991"/>
        <v>-138896446.01903334</v>
      </c>
      <c r="S630">
        <f t="shared" si="992"/>
        <v>-1388.9644601903335</v>
      </c>
      <c r="T630">
        <f t="shared" si="993"/>
        <v>-1.3889644601903335</v>
      </c>
    </row>
    <row r="631" spans="1:20" x14ac:dyDescent="0.25">
      <c r="A631" s="5">
        <v>43962</v>
      </c>
      <c r="B631">
        <v>9.4299999999999995E-2</v>
      </c>
      <c r="C631">
        <v>9.6699999999999994E-2</v>
      </c>
      <c r="D631">
        <v>8.7900000000000006E-2</v>
      </c>
      <c r="E631">
        <v>9.2600000000000002E-2</v>
      </c>
      <c r="F631">
        <v>1482532.38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6.8181818181818649E-2</v>
      </c>
      <c r="Q631">
        <f t="shared" si="990"/>
        <v>101081.75318181887</v>
      </c>
      <c r="R631">
        <f t="shared" si="991"/>
        <v>-139332056.6295813</v>
      </c>
      <c r="S631">
        <f t="shared" si="992"/>
        <v>-1393.320566295813</v>
      </c>
      <c r="T631">
        <f t="shared" si="993"/>
        <v>-1.393320566295813</v>
      </c>
    </row>
    <row r="632" spans="1:20" x14ac:dyDescent="0.25">
      <c r="A632" s="5">
        <v>43961</v>
      </c>
      <c r="B632">
        <v>0.11070000000000001</v>
      </c>
      <c r="C632">
        <v>0.111</v>
      </c>
      <c r="D632">
        <v>8.9099999999999999E-2</v>
      </c>
      <c r="E632">
        <v>9.4700000000000006E-2</v>
      </c>
      <c r="F632">
        <v>2288668.87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-0.48858447488584411</v>
      </c>
      <c r="Q632">
        <f t="shared" si="990"/>
        <v>-1118208.0780365283</v>
      </c>
      <c r="R632">
        <f t="shared" si="991"/>
        <v>-139433138.38276312</v>
      </c>
      <c r="S632">
        <f t="shared" si="992"/>
        <v>-1394.3313838276313</v>
      </c>
      <c r="T632">
        <f t="shared" si="993"/>
        <v>-1.3943313838276312</v>
      </c>
    </row>
    <row r="633" spans="1:20" x14ac:dyDescent="0.25">
      <c r="A633" s="5">
        <v>43960</v>
      </c>
      <c r="B633">
        <v>0.1108</v>
      </c>
      <c r="C633">
        <v>0.11260000000000001</v>
      </c>
      <c r="D633">
        <v>0.1062</v>
      </c>
      <c r="E633">
        <v>0.11070000000000001</v>
      </c>
      <c r="F633">
        <v>1278318.98</v>
      </c>
      <c r="G633">
        <v>0</v>
      </c>
      <c r="L633" t="s">
        <v>7</v>
      </c>
      <c r="M633" t="s">
        <v>8</v>
      </c>
      <c r="N633" t="s">
        <v>8</v>
      </c>
      <c r="P633">
        <f t="shared" si="989"/>
        <v>0.40625000000000061</v>
      </c>
      <c r="Q633">
        <f t="shared" si="990"/>
        <v>519317.08562500076</v>
      </c>
      <c r="R633">
        <f t="shared" si="991"/>
        <v>-138314930.3047266</v>
      </c>
      <c r="S633">
        <f t="shared" si="992"/>
        <v>-1383.1493030472659</v>
      </c>
      <c r="T633">
        <f t="shared" si="993"/>
        <v>-1.3831493030472659</v>
      </c>
    </row>
    <row r="634" spans="1:20" x14ac:dyDescent="0.25">
      <c r="A634" s="5">
        <v>43959</v>
      </c>
      <c r="B634">
        <v>9.8199999999999996E-2</v>
      </c>
      <c r="C634">
        <v>0.1148</v>
      </c>
      <c r="D634">
        <v>9.6600000000000005E-2</v>
      </c>
      <c r="E634">
        <v>0.1108</v>
      </c>
      <c r="F634">
        <v>3471112.34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0.56043956043955989</v>
      </c>
      <c r="Q634">
        <f t="shared" si="990"/>
        <v>1945348.6740659322</v>
      </c>
      <c r="R634">
        <f t="shared" si="991"/>
        <v>-138834247.39035159</v>
      </c>
      <c r="S634">
        <f t="shared" si="992"/>
        <v>-1388.3424739035158</v>
      </c>
      <c r="T634">
        <f t="shared" si="993"/>
        <v>-1.3883424739035157</v>
      </c>
    </row>
    <row r="635" spans="1:20" x14ac:dyDescent="0.25">
      <c r="A635" s="5">
        <v>43958</v>
      </c>
      <c r="B635">
        <v>9.8400000000000001E-2</v>
      </c>
      <c r="C635">
        <v>9.9599999999999994E-2</v>
      </c>
      <c r="D635">
        <v>9.5000000000000001E-2</v>
      </c>
      <c r="E635">
        <v>9.8000000000000004E-2</v>
      </c>
      <c r="F635">
        <v>1807022.52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0.30434782608695965</v>
      </c>
      <c r="Q635">
        <f t="shared" si="990"/>
        <v>549963.37565217959</v>
      </c>
      <c r="R635">
        <f t="shared" si="991"/>
        <v>-140779596.06441751</v>
      </c>
      <c r="S635">
        <f t="shared" si="992"/>
        <v>-1407.795960644175</v>
      </c>
      <c r="T635">
        <f t="shared" si="993"/>
        <v>-1.407795960644175</v>
      </c>
    </row>
    <row r="636" spans="1:20" x14ac:dyDescent="0.25">
      <c r="A636" s="5">
        <v>43957</v>
      </c>
      <c r="B636">
        <v>0.10539999999999999</v>
      </c>
      <c r="C636">
        <v>0.107</v>
      </c>
      <c r="D636">
        <v>9.8000000000000004E-2</v>
      </c>
      <c r="E636">
        <v>9.8199999999999996E-2</v>
      </c>
      <c r="F636">
        <v>2733436.75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-0.95555555555555738</v>
      </c>
      <c r="Q636">
        <f t="shared" si="990"/>
        <v>-2611950.6722222273</v>
      </c>
      <c r="R636">
        <f t="shared" si="991"/>
        <v>-141329559.44006971</v>
      </c>
      <c r="S636">
        <f t="shared" si="992"/>
        <v>-1413.2955944006972</v>
      </c>
      <c r="T636">
        <f t="shared" si="993"/>
        <v>-1.4132955944006971</v>
      </c>
    </row>
    <row r="637" spans="1:20" x14ac:dyDescent="0.25">
      <c r="A637" s="5">
        <v>43956</v>
      </c>
      <c r="B637">
        <v>0.1037</v>
      </c>
      <c r="C637">
        <v>0.1056</v>
      </c>
      <c r="D637">
        <v>0.1024</v>
      </c>
      <c r="E637">
        <v>0.1055</v>
      </c>
      <c r="F637">
        <v>793151.92</v>
      </c>
      <c r="G637">
        <v>0</v>
      </c>
      <c r="L637" t="s">
        <v>7</v>
      </c>
      <c r="M637" t="s">
        <v>8</v>
      </c>
      <c r="N637" t="s">
        <v>8</v>
      </c>
      <c r="P637">
        <f t="shared" si="989"/>
        <v>0.93749999999999811</v>
      </c>
      <c r="Q637">
        <f t="shared" si="990"/>
        <v>743579.92499999853</v>
      </c>
      <c r="R637">
        <f t="shared" si="991"/>
        <v>-138717608.76784748</v>
      </c>
      <c r="S637">
        <f t="shared" si="992"/>
        <v>-1387.1760876784747</v>
      </c>
      <c r="T637">
        <f t="shared" si="993"/>
        <v>-1.3871760876784747</v>
      </c>
    </row>
    <row r="638" spans="1:20" x14ac:dyDescent="0.25">
      <c r="A638" s="5">
        <v>43955</v>
      </c>
      <c r="B638">
        <v>0.1057</v>
      </c>
      <c r="C638">
        <v>0.1062</v>
      </c>
      <c r="D638">
        <v>0.1013</v>
      </c>
      <c r="E638">
        <v>0.1041</v>
      </c>
      <c r="F638">
        <v>1415633.18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0.14285714285714124</v>
      </c>
      <c r="Q638">
        <f t="shared" si="990"/>
        <v>202233.31142856914</v>
      </c>
      <c r="R638">
        <f t="shared" si="991"/>
        <v>-139461188.69284749</v>
      </c>
      <c r="S638">
        <f t="shared" si="992"/>
        <v>-1394.6118869284749</v>
      </c>
      <c r="T638">
        <f t="shared" si="993"/>
        <v>-1.3946118869284749</v>
      </c>
    </row>
    <row r="639" spans="1:20" x14ac:dyDescent="0.25">
      <c r="A639" s="5">
        <v>43954</v>
      </c>
      <c r="B639">
        <v>0.11119999999999999</v>
      </c>
      <c r="C639">
        <v>0.11210000000000001</v>
      </c>
      <c r="D639">
        <v>0.10390000000000001</v>
      </c>
      <c r="E639">
        <v>0.1057</v>
      </c>
      <c r="F639">
        <v>1495594.51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-0.5609756097560985</v>
      </c>
      <c r="Q639">
        <f t="shared" si="990"/>
        <v>-838992.04219512339</v>
      </c>
      <c r="R639">
        <f t="shared" si="991"/>
        <v>-139663422.00427607</v>
      </c>
      <c r="S639">
        <f t="shared" si="992"/>
        <v>-1396.6342200427607</v>
      </c>
      <c r="T639">
        <f t="shared" si="993"/>
        <v>-1.3966342200427606</v>
      </c>
    </row>
    <row r="640" spans="1:20" x14ac:dyDescent="0.25">
      <c r="A640" s="5">
        <v>43953</v>
      </c>
      <c r="B640">
        <v>0.11020000000000001</v>
      </c>
      <c r="C640">
        <v>0.115</v>
      </c>
      <c r="D640">
        <v>0.1087</v>
      </c>
      <c r="E640">
        <v>0.111</v>
      </c>
      <c r="F640">
        <v>1260574.51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-0.26984126984127094</v>
      </c>
      <c r="Q640">
        <f t="shared" si="990"/>
        <v>-340155.02650793787</v>
      </c>
      <c r="R640">
        <f t="shared" si="991"/>
        <v>-138824429.96208096</v>
      </c>
      <c r="S640">
        <f t="shared" si="992"/>
        <v>-1388.2442996208094</v>
      </c>
      <c r="T640">
        <f t="shared" si="993"/>
        <v>-1.3882442996208095</v>
      </c>
    </row>
    <row r="641" spans="1:20" x14ac:dyDescent="0.25">
      <c r="A641" s="5">
        <v>43952</v>
      </c>
      <c r="B641">
        <v>0.10249999999999999</v>
      </c>
      <c r="C641">
        <v>0.1142</v>
      </c>
      <c r="D641">
        <v>0.10249999999999999</v>
      </c>
      <c r="E641">
        <v>0.11020000000000001</v>
      </c>
      <c r="F641">
        <v>1607205.28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0.31623931623931811</v>
      </c>
      <c r="Q641">
        <f t="shared" si="990"/>
        <v>508261.4988034218</v>
      </c>
      <c r="R641">
        <f t="shared" si="991"/>
        <v>-138484274.93557301</v>
      </c>
      <c r="S641">
        <f t="shared" si="992"/>
        <v>-1384.8427493557301</v>
      </c>
      <c r="T641">
        <f t="shared" si="993"/>
        <v>-1.38484274935573</v>
      </c>
    </row>
    <row r="642" spans="1:20" x14ac:dyDescent="0.25">
      <c r="A642" s="5">
        <v>43951</v>
      </c>
      <c r="B642">
        <v>0.10920000000000001</v>
      </c>
      <c r="C642">
        <v>0.11360000000000001</v>
      </c>
      <c r="D642">
        <v>0.1023</v>
      </c>
      <c r="E642">
        <v>0.1031</v>
      </c>
      <c r="F642">
        <v>2058502.27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-0.85840707964601859</v>
      </c>
      <c r="Q642">
        <f t="shared" si="990"/>
        <v>-1767032.9220354001</v>
      </c>
      <c r="R642">
        <f t="shared" si="991"/>
        <v>-138992536.43437642</v>
      </c>
      <c r="S642">
        <f t="shared" si="992"/>
        <v>-1389.9253643437642</v>
      </c>
      <c r="T642">
        <f t="shared" si="993"/>
        <v>-1.3899253643437641</v>
      </c>
    </row>
    <row r="643" spans="1:20" x14ac:dyDescent="0.25">
      <c r="A643" s="5">
        <v>43950</v>
      </c>
      <c r="B643">
        <v>0.1057</v>
      </c>
      <c r="C643">
        <v>0.114</v>
      </c>
      <c r="D643">
        <v>0.105</v>
      </c>
      <c r="E643">
        <v>0.10970000000000001</v>
      </c>
      <c r="F643">
        <v>2089303.63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4.4444444444445681E-2</v>
      </c>
      <c r="Q643">
        <f t="shared" si="990"/>
        <v>92857.939111113694</v>
      </c>
      <c r="R643">
        <f t="shared" si="991"/>
        <v>-137225503.51234102</v>
      </c>
      <c r="S643">
        <f t="shared" si="992"/>
        <v>-1372.2550351234102</v>
      </c>
      <c r="T643">
        <f t="shared" si="993"/>
        <v>-1.3722550351234102</v>
      </c>
    </row>
    <row r="644" spans="1:20" x14ac:dyDescent="0.25">
      <c r="A644" s="5">
        <v>43949</v>
      </c>
      <c r="B644">
        <v>0.1084</v>
      </c>
      <c r="C644">
        <v>0.10879999999999999</v>
      </c>
      <c r="D644">
        <v>0.10340000000000001</v>
      </c>
      <c r="E644">
        <v>0.106</v>
      </c>
      <c r="F644">
        <v>1357679.82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-3.703703703703818E-2</v>
      </c>
      <c r="Q644">
        <f t="shared" si="990"/>
        <v>-50284.437777779334</v>
      </c>
      <c r="R644">
        <f t="shared" si="991"/>
        <v>-137318361.45145214</v>
      </c>
      <c r="S644">
        <f t="shared" si="992"/>
        <v>-1373.1836145145214</v>
      </c>
      <c r="T644">
        <f t="shared" si="993"/>
        <v>-1.3731836145145215</v>
      </c>
    </row>
    <row r="645" spans="1:20" x14ac:dyDescent="0.25">
      <c r="A645" s="5">
        <v>43948</v>
      </c>
      <c r="B645">
        <v>0.1105</v>
      </c>
      <c r="C645">
        <v>0.11169999999999999</v>
      </c>
      <c r="D645">
        <v>0.1069</v>
      </c>
      <c r="E645">
        <v>0.1084</v>
      </c>
      <c r="F645">
        <v>1626264.3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-0.37499999999999928</v>
      </c>
      <c r="Q645">
        <f t="shared" si="990"/>
        <v>-609849.11249999888</v>
      </c>
      <c r="R645">
        <f t="shared" si="991"/>
        <v>-137268077.01367435</v>
      </c>
      <c r="S645">
        <f t="shared" si="992"/>
        <v>-1372.6807701367434</v>
      </c>
      <c r="T645">
        <f t="shared" si="993"/>
        <v>-1.3726807701367434</v>
      </c>
    </row>
    <row r="646" spans="1:20" x14ac:dyDescent="0.25">
      <c r="A646" s="5">
        <v>43947</v>
      </c>
      <c r="B646">
        <v>0.106</v>
      </c>
      <c r="C646">
        <v>0.1158</v>
      </c>
      <c r="D646">
        <v>0.1042</v>
      </c>
      <c r="E646">
        <v>0.1105</v>
      </c>
      <c r="F646">
        <v>3029303.86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8.6206896551724227E-2</v>
      </c>
      <c r="Q646">
        <f t="shared" ref="Q646:Q709" si="995">F646*P646</f>
        <v>261146.88448275888</v>
      </c>
      <c r="R646">
        <f t="shared" ref="R646:R709" si="996">R647+Q646</f>
        <v>-136658227.90117434</v>
      </c>
      <c r="S646">
        <f t="shared" ref="S646:S709" si="997">R646/100000</f>
        <v>-1366.5822790117434</v>
      </c>
      <c r="T646">
        <f t="shared" ref="T646:T709" si="998">S646/1000</f>
        <v>-1.3665822790117435</v>
      </c>
    </row>
    <row r="647" spans="1:20" x14ac:dyDescent="0.25">
      <c r="A647" s="5">
        <v>43946</v>
      </c>
      <c r="B647">
        <v>0.1072</v>
      </c>
      <c r="C647">
        <v>0.1095</v>
      </c>
      <c r="D647">
        <v>0.1043</v>
      </c>
      <c r="E647">
        <v>0.10580000000000001</v>
      </c>
      <c r="F647">
        <v>1537086.57</v>
      </c>
      <c r="G647">
        <v>0</v>
      </c>
      <c r="L647" t="s">
        <v>7</v>
      </c>
      <c r="M647" t="s">
        <v>8</v>
      </c>
      <c r="N647" t="s">
        <v>8</v>
      </c>
      <c r="P647">
        <f t="shared" si="994"/>
        <v>-0.42307692307692213</v>
      </c>
      <c r="Q647">
        <f t="shared" si="995"/>
        <v>-650305.85653846012</v>
      </c>
      <c r="R647">
        <f t="shared" si="996"/>
        <v>-136919374.78565711</v>
      </c>
      <c r="S647">
        <f t="shared" si="997"/>
        <v>-1369.193747856571</v>
      </c>
      <c r="T647">
        <f t="shared" si="998"/>
        <v>-1.369193747856571</v>
      </c>
    </row>
    <row r="648" spans="1:20" x14ac:dyDescent="0.25">
      <c r="A648" s="5">
        <v>43945</v>
      </c>
      <c r="B648">
        <v>9.9400000000000002E-2</v>
      </c>
      <c r="C648">
        <v>0.11210000000000001</v>
      </c>
      <c r="D648">
        <v>9.9400000000000002E-2</v>
      </c>
      <c r="E648">
        <v>0.10680000000000001</v>
      </c>
      <c r="F648">
        <v>4055091.09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0.16535433070866173</v>
      </c>
      <c r="Q648">
        <f t="shared" si="995"/>
        <v>670526.87314960756</v>
      </c>
      <c r="R648">
        <f t="shared" si="996"/>
        <v>-136269068.92911863</v>
      </c>
      <c r="S648">
        <f t="shared" si="997"/>
        <v>-1362.6906892911863</v>
      </c>
      <c r="T648">
        <f t="shared" si="998"/>
        <v>-1.3626906892911863</v>
      </c>
    </row>
    <row r="649" spans="1:20" x14ac:dyDescent="0.25">
      <c r="A649" s="5">
        <v>43944</v>
      </c>
      <c r="B649">
        <v>9.4899999999999998E-2</v>
      </c>
      <c r="C649">
        <v>0.109</v>
      </c>
      <c r="D649">
        <v>9.1700000000000004E-2</v>
      </c>
      <c r="E649">
        <v>9.9400000000000002E-2</v>
      </c>
      <c r="F649">
        <v>3963699.32</v>
      </c>
      <c r="G649">
        <v>0</v>
      </c>
      <c r="L649" t="s">
        <v>8</v>
      </c>
      <c r="M649" t="s">
        <v>8</v>
      </c>
      <c r="N649" t="s">
        <v>7</v>
      </c>
      <c r="P649">
        <f t="shared" si="994"/>
        <v>-0.10982658959537568</v>
      </c>
      <c r="Q649">
        <f t="shared" si="995"/>
        <v>-435319.57849710964</v>
      </c>
      <c r="R649">
        <f t="shared" si="996"/>
        <v>-136939595.80226824</v>
      </c>
      <c r="S649">
        <f t="shared" si="997"/>
        <v>-1369.3959580226824</v>
      </c>
      <c r="T649">
        <f t="shared" si="998"/>
        <v>-1.3693959580226824</v>
      </c>
    </row>
    <row r="650" spans="1:20" x14ac:dyDescent="0.25">
      <c r="A650" s="5">
        <v>43943</v>
      </c>
      <c r="B650">
        <v>8.7800000000000003E-2</v>
      </c>
      <c r="C650">
        <v>0.1032</v>
      </c>
      <c r="D650">
        <v>8.7800000000000003E-2</v>
      </c>
      <c r="E650">
        <v>9.4500000000000001E-2</v>
      </c>
      <c r="F650">
        <v>2670202.2999999998</v>
      </c>
      <c r="G650">
        <v>0</v>
      </c>
      <c r="L650" t="s">
        <v>8</v>
      </c>
      <c r="M650" t="s">
        <v>8</v>
      </c>
      <c r="N650" t="s">
        <v>7</v>
      </c>
      <c r="P650">
        <f t="shared" si="994"/>
        <v>-0.12987012987013002</v>
      </c>
      <c r="Q650">
        <f t="shared" si="995"/>
        <v>-346779.51948051987</v>
      </c>
      <c r="R650">
        <f t="shared" si="996"/>
        <v>-136504276.22377113</v>
      </c>
      <c r="S650">
        <f t="shared" si="997"/>
        <v>-1365.0427622377113</v>
      </c>
      <c r="T650">
        <f t="shared" si="998"/>
        <v>-1.3650427622377113</v>
      </c>
    </row>
    <row r="651" spans="1:20" x14ac:dyDescent="0.25">
      <c r="A651" s="5">
        <v>43942</v>
      </c>
      <c r="B651">
        <v>8.5699999999999998E-2</v>
      </c>
      <c r="C651">
        <v>8.8999999999999996E-2</v>
      </c>
      <c r="D651">
        <v>8.4699999999999998E-2</v>
      </c>
      <c r="E651">
        <v>8.7999999999999995E-2</v>
      </c>
      <c r="F651">
        <v>634105.72</v>
      </c>
      <c r="G651">
        <v>0</v>
      </c>
      <c r="L651" t="s">
        <v>7</v>
      </c>
      <c r="M651" t="s">
        <v>7</v>
      </c>
      <c r="N651" t="s">
        <v>7</v>
      </c>
      <c r="P651">
        <f t="shared" si="994"/>
        <v>0.53488372093023195</v>
      </c>
      <c r="Q651">
        <f t="shared" si="995"/>
        <v>339172.82697674376</v>
      </c>
      <c r="R651">
        <f t="shared" si="996"/>
        <v>-136157496.7042906</v>
      </c>
      <c r="S651">
        <f t="shared" si="997"/>
        <v>-1361.5749670429059</v>
      </c>
      <c r="T651">
        <f t="shared" si="998"/>
        <v>-1.3615749670429058</v>
      </c>
    </row>
    <row r="652" spans="1:20" x14ac:dyDescent="0.25">
      <c r="A652" s="5">
        <v>43941</v>
      </c>
      <c r="B652">
        <v>9.1800000000000007E-2</v>
      </c>
      <c r="C652">
        <v>9.3299999999999994E-2</v>
      </c>
      <c r="D652">
        <v>8.5000000000000006E-2</v>
      </c>
      <c r="E652">
        <v>8.6099999999999996E-2</v>
      </c>
      <c r="F652">
        <v>1173910.81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-0.73493975903614661</v>
      </c>
      <c r="Q652">
        <f t="shared" si="995"/>
        <v>-862753.72783132771</v>
      </c>
      <c r="R652">
        <f t="shared" si="996"/>
        <v>-136496669.53126734</v>
      </c>
      <c r="S652">
        <f t="shared" si="997"/>
        <v>-1364.9666953126734</v>
      </c>
      <c r="T652">
        <f t="shared" si="998"/>
        <v>-1.3649666953126733</v>
      </c>
    </row>
    <row r="653" spans="1:20" x14ac:dyDescent="0.25">
      <c r="A653" s="5">
        <v>43940</v>
      </c>
      <c r="B653">
        <v>9.4399999999999998E-2</v>
      </c>
      <c r="C653">
        <v>9.4899999999999998E-2</v>
      </c>
      <c r="D653">
        <v>8.9700000000000002E-2</v>
      </c>
      <c r="E653">
        <v>9.1999999999999998E-2</v>
      </c>
      <c r="F653">
        <v>811890.09</v>
      </c>
      <c r="G653">
        <v>0</v>
      </c>
      <c r="L653" t="s">
        <v>8</v>
      </c>
      <c r="M653" t="s">
        <v>7</v>
      </c>
      <c r="N653" t="s">
        <v>7</v>
      </c>
      <c r="P653">
        <f t="shared" si="994"/>
        <v>-0.1153846153846161</v>
      </c>
      <c r="Q653">
        <f t="shared" si="995"/>
        <v>-93679.625769231352</v>
      </c>
      <c r="R653">
        <f t="shared" si="996"/>
        <v>-135633915.80343601</v>
      </c>
      <c r="S653">
        <f t="shared" si="997"/>
        <v>-1356.33915803436</v>
      </c>
      <c r="T653">
        <f t="shared" si="998"/>
        <v>-1.35633915803436</v>
      </c>
    </row>
    <row r="654" spans="1:20" x14ac:dyDescent="0.25">
      <c r="A654" s="5">
        <v>43939</v>
      </c>
      <c r="B654">
        <v>9.0200000000000002E-2</v>
      </c>
      <c r="C654">
        <v>9.6500000000000002E-2</v>
      </c>
      <c r="D654">
        <v>9.0200000000000002E-2</v>
      </c>
      <c r="E654">
        <v>9.4700000000000006E-2</v>
      </c>
      <c r="F654">
        <v>1374141.92</v>
      </c>
      <c r="G654">
        <v>0</v>
      </c>
      <c r="L654" t="s">
        <v>8</v>
      </c>
      <c r="M654" t="s">
        <v>7</v>
      </c>
      <c r="N654" t="s">
        <v>7</v>
      </c>
      <c r="P654">
        <f t="shared" si="994"/>
        <v>0.42857142857142982</v>
      </c>
      <c r="Q654">
        <f t="shared" si="995"/>
        <v>588917.96571428736</v>
      </c>
      <c r="R654">
        <f t="shared" si="996"/>
        <v>-135540236.17766678</v>
      </c>
      <c r="S654">
        <f t="shared" si="997"/>
        <v>-1355.4023617766679</v>
      </c>
      <c r="T654">
        <f t="shared" si="998"/>
        <v>-1.355402361776668</v>
      </c>
    </row>
    <row r="655" spans="1:20" x14ac:dyDescent="0.25">
      <c r="A655" s="5">
        <v>43938</v>
      </c>
      <c r="B655">
        <v>9.2700000000000005E-2</v>
      </c>
      <c r="C655">
        <v>9.3299999999999994E-2</v>
      </c>
      <c r="D655">
        <v>8.9300000000000004E-2</v>
      </c>
      <c r="E655">
        <v>9.01E-2</v>
      </c>
      <c r="F655">
        <v>644223.53</v>
      </c>
      <c r="G655">
        <v>0</v>
      </c>
      <c r="L655" t="s">
        <v>8</v>
      </c>
      <c r="M655" t="s">
        <v>7</v>
      </c>
      <c r="N655" t="s">
        <v>7</v>
      </c>
      <c r="P655">
        <f t="shared" si="994"/>
        <v>-0.60000000000000142</v>
      </c>
      <c r="Q655">
        <f t="shared" si="995"/>
        <v>-386534.11800000095</v>
      </c>
      <c r="R655">
        <f t="shared" si="996"/>
        <v>-136129154.14338106</v>
      </c>
      <c r="S655">
        <f t="shared" si="997"/>
        <v>-1361.2915414338106</v>
      </c>
      <c r="T655">
        <f t="shared" si="998"/>
        <v>-1.3612915414338107</v>
      </c>
    </row>
    <row r="656" spans="1:20" x14ac:dyDescent="0.25">
      <c r="A656" s="5">
        <v>43937</v>
      </c>
      <c r="B656">
        <v>8.5300000000000001E-2</v>
      </c>
      <c r="C656">
        <v>9.3399999999999997E-2</v>
      </c>
      <c r="D656">
        <v>8.3500000000000005E-2</v>
      </c>
      <c r="E656">
        <v>9.2100000000000001E-2</v>
      </c>
      <c r="F656">
        <v>1664151.62</v>
      </c>
      <c r="G656">
        <v>0</v>
      </c>
      <c r="L656" t="s">
        <v>8</v>
      </c>
      <c r="M656" t="s">
        <v>7</v>
      </c>
      <c r="N656" t="s">
        <v>7</v>
      </c>
      <c r="P656">
        <f t="shared" si="994"/>
        <v>0.73737373737373801</v>
      </c>
      <c r="Q656">
        <f t="shared" si="995"/>
        <v>1227101.6995959608</v>
      </c>
      <c r="R656">
        <f t="shared" si="996"/>
        <v>-135742620.02538106</v>
      </c>
      <c r="S656">
        <f t="shared" si="997"/>
        <v>-1357.4262002538105</v>
      </c>
      <c r="T656">
        <f t="shared" si="998"/>
        <v>-1.3574262002538104</v>
      </c>
    </row>
    <row r="657" spans="1:20" x14ac:dyDescent="0.25">
      <c r="A657" s="5">
        <v>43936</v>
      </c>
      <c r="B657">
        <v>8.8499999999999995E-2</v>
      </c>
      <c r="C657">
        <v>9.1800000000000007E-2</v>
      </c>
      <c r="D657">
        <v>8.5300000000000001E-2</v>
      </c>
      <c r="E657">
        <v>8.5500000000000007E-2</v>
      </c>
      <c r="F657">
        <v>1071235.1200000001</v>
      </c>
      <c r="G657">
        <v>0</v>
      </c>
      <c r="L657" t="s">
        <v>8</v>
      </c>
      <c r="M657" t="s">
        <v>7</v>
      </c>
      <c r="N657" t="s">
        <v>8</v>
      </c>
      <c r="P657">
        <f t="shared" si="994"/>
        <v>-0.93846153846153679</v>
      </c>
      <c r="Q657">
        <f t="shared" si="995"/>
        <v>-1005312.9587692291</v>
      </c>
      <c r="R657">
        <f t="shared" si="996"/>
        <v>-136969721.72497702</v>
      </c>
      <c r="S657">
        <f t="shared" si="997"/>
        <v>-1369.6972172497701</v>
      </c>
      <c r="T657">
        <f t="shared" si="998"/>
        <v>-1.3696972172497701</v>
      </c>
    </row>
    <row r="658" spans="1:20" x14ac:dyDescent="0.25">
      <c r="A658" s="5">
        <v>43935</v>
      </c>
      <c r="B658">
        <v>8.9099999999999999E-2</v>
      </c>
      <c r="C658">
        <v>9.06E-2</v>
      </c>
      <c r="D658">
        <v>8.5699999999999998E-2</v>
      </c>
      <c r="E658">
        <v>8.8999999999999996E-2</v>
      </c>
      <c r="F658">
        <v>1049681.3700000001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0.34693877551020258</v>
      </c>
      <c r="Q658">
        <f t="shared" si="995"/>
        <v>364175.16918367194</v>
      </c>
      <c r="R658">
        <f t="shared" si="996"/>
        <v>-135964408.76620778</v>
      </c>
      <c r="S658">
        <f t="shared" si="997"/>
        <v>-1359.6440876620779</v>
      </c>
      <c r="T658">
        <f t="shared" si="998"/>
        <v>-1.3596440876620779</v>
      </c>
    </row>
    <row r="659" spans="1:20" x14ac:dyDescent="0.25">
      <c r="A659" s="5">
        <v>43934</v>
      </c>
      <c r="B659">
        <v>9.1300000000000006E-2</v>
      </c>
      <c r="C659">
        <v>9.1300000000000006E-2</v>
      </c>
      <c r="D659">
        <v>8.5000000000000006E-2</v>
      </c>
      <c r="E659">
        <v>8.8599999999999998E-2</v>
      </c>
      <c r="F659">
        <v>1947261.53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0.14285714285714035</v>
      </c>
      <c r="Q659">
        <f t="shared" si="995"/>
        <v>278180.21857142367</v>
      </c>
      <c r="R659">
        <f t="shared" si="996"/>
        <v>-136328583.93539146</v>
      </c>
      <c r="S659">
        <f t="shared" si="997"/>
        <v>-1363.2858393539145</v>
      </c>
      <c r="T659">
        <f t="shared" si="998"/>
        <v>-1.3632858393539145</v>
      </c>
    </row>
    <row r="660" spans="1:20" x14ac:dyDescent="0.25">
      <c r="A660" s="5">
        <v>43933</v>
      </c>
      <c r="B660">
        <v>9.2100000000000001E-2</v>
      </c>
      <c r="C660">
        <v>9.5899999999999999E-2</v>
      </c>
      <c r="D660">
        <v>9.0700000000000003E-2</v>
      </c>
      <c r="E660">
        <v>9.1300000000000006E-2</v>
      </c>
      <c r="F660">
        <v>1048299.27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-0.76923076923076783</v>
      </c>
      <c r="Q660">
        <f t="shared" si="995"/>
        <v>-806384.05384615238</v>
      </c>
      <c r="R660">
        <f t="shared" si="996"/>
        <v>-136606764.15396288</v>
      </c>
      <c r="S660">
        <f t="shared" si="997"/>
        <v>-1366.0676415396288</v>
      </c>
      <c r="T660">
        <f t="shared" si="998"/>
        <v>-1.3660676415396287</v>
      </c>
    </row>
    <row r="661" spans="1:20" x14ac:dyDescent="0.25">
      <c r="A661" s="5">
        <v>43932</v>
      </c>
      <c r="B661">
        <v>9.2100000000000001E-2</v>
      </c>
      <c r="C661">
        <v>9.5500000000000002E-2</v>
      </c>
      <c r="D661">
        <v>9.06E-2</v>
      </c>
      <c r="E661">
        <v>9.2100000000000001E-2</v>
      </c>
      <c r="F661">
        <v>553769.18999999994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-0.38775510204081598</v>
      </c>
      <c r="Q661">
        <f t="shared" si="995"/>
        <v>-214726.82877550999</v>
      </c>
      <c r="R661">
        <f t="shared" si="996"/>
        <v>-135800380.10011673</v>
      </c>
      <c r="S661">
        <f t="shared" si="997"/>
        <v>-1358.0038010011674</v>
      </c>
      <c r="T661">
        <f t="shared" si="998"/>
        <v>-1.3580038010011675</v>
      </c>
    </row>
    <row r="662" spans="1:20" x14ac:dyDescent="0.25">
      <c r="A662" s="5">
        <v>43931</v>
      </c>
      <c r="B662">
        <v>0.10390000000000001</v>
      </c>
      <c r="C662">
        <v>0.1043</v>
      </c>
      <c r="D662">
        <v>8.8099999999999998E-2</v>
      </c>
      <c r="E662">
        <v>9.1899999999999996E-2</v>
      </c>
      <c r="F662">
        <v>2405357.65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-0.53086419753086467</v>
      </c>
      <c r="Q662">
        <f t="shared" si="995"/>
        <v>-1276918.2586419764</v>
      </c>
      <c r="R662">
        <f t="shared" si="996"/>
        <v>-135585653.27134123</v>
      </c>
      <c r="S662">
        <f t="shared" si="997"/>
        <v>-1355.8565327134124</v>
      </c>
      <c r="T662">
        <f t="shared" si="998"/>
        <v>-1.3558565327134124</v>
      </c>
    </row>
    <row r="663" spans="1:20" x14ac:dyDescent="0.25">
      <c r="A663" s="5">
        <v>43930</v>
      </c>
      <c r="B663">
        <v>0.10150000000000001</v>
      </c>
      <c r="C663">
        <v>0.1132</v>
      </c>
      <c r="D663">
        <v>0.1011</v>
      </c>
      <c r="E663">
        <v>0.10390000000000001</v>
      </c>
      <c r="F663">
        <v>1927785.08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-0.53719008264462631</v>
      </c>
      <c r="Q663">
        <f t="shared" si="995"/>
        <v>-1035587.0264462776</v>
      </c>
      <c r="R663">
        <f t="shared" si="996"/>
        <v>-134308735.01269925</v>
      </c>
      <c r="S663">
        <f t="shared" si="997"/>
        <v>-1343.0873501269925</v>
      </c>
      <c r="T663">
        <f t="shared" si="998"/>
        <v>-1.3430873501269924</v>
      </c>
    </row>
    <row r="664" spans="1:20" x14ac:dyDescent="0.25">
      <c r="A664" s="5">
        <v>43929</v>
      </c>
      <c r="B664">
        <v>0.1017</v>
      </c>
      <c r="C664">
        <v>0.10349999999999999</v>
      </c>
      <c r="D664">
        <v>0.1</v>
      </c>
      <c r="E664">
        <v>0.10150000000000001</v>
      </c>
      <c r="F664">
        <v>793320.93</v>
      </c>
      <c r="G664">
        <v>0</v>
      </c>
      <c r="L664" t="s">
        <v>8</v>
      </c>
      <c r="M664" t="s">
        <v>8</v>
      </c>
      <c r="N664" t="s">
        <v>7</v>
      </c>
      <c r="P664">
        <f t="shared" si="994"/>
        <v>-0.14285714285713946</v>
      </c>
      <c r="Q664">
        <f t="shared" si="995"/>
        <v>-113331.56142856875</v>
      </c>
      <c r="R664">
        <f t="shared" si="996"/>
        <v>-133273147.98625296</v>
      </c>
      <c r="S664">
        <f t="shared" si="997"/>
        <v>-1332.7314798625296</v>
      </c>
      <c r="T664">
        <f t="shared" si="998"/>
        <v>-1.3327314798625296</v>
      </c>
    </row>
    <row r="665" spans="1:20" x14ac:dyDescent="0.25">
      <c r="A665" s="5">
        <v>43928</v>
      </c>
      <c r="B665">
        <v>0.1032</v>
      </c>
      <c r="C665">
        <v>0.1048</v>
      </c>
      <c r="D665">
        <v>9.9000000000000005E-2</v>
      </c>
      <c r="E665">
        <v>0.1016</v>
      </c>
      <c r="F665">
        <v>1829980.76</v>
      </c>
      <c r="G665">
        <v>0</v>
      </c>
      <c r="L665" t="s">
        <v>8</v>
      </c>
      <c r="M665" t="s">
        <v>8</v>
      </c>
      <c r="N665" t="s">
        <v>7</v>
      </c>
      <c r="P665">
        <f t="shared" si="994"/>
        <v>-0.10344827586207193</v>
      </c>
      <c r="Q665">
        <f t="shared" si="995"/>
        <v>-189308.35448276406</v>
      </c>
      <c r="R665">
        <f t="shared" si="996"/>
        <v>-133159816.4248244</v>
      </c>
      <c r="S665">
        <f t="shared" si="997"/>
        <v>-1331.5981642482441</v>
      </c>
      <c r="T665">
        <f t="shared" si="998"/>
        <v>-1.3315981642482442</v>
      </c>
    </row>
    <row r="666" spans="1:20" x14ac:dyDescent="0.25">
      <c r="A666" s="5">
        <v>43927</v>
      </c>
      <c r="B666">
        <v>9.6299999999999997E-2</v>
      </c>
      <c r="C666">
        <v>0.1032</v>
      </c>
      <c r="D666">
        <v>9.6199999999999994E-2</v>
      </c>
      <c r="E666">
        <v>0.10290000000000001</v>
      </c>
      <c r="F666">
        <v>1513204.02</v>
      </c>
      <c r="G666">
        <v>0</v>
      </c>
      <c r="L666" t="s">
        <v>8</v>
      </c>
      <c r="M666" t="s">
        <v>8</v>
      </c>
      <c r="N666" t="s">
        <v>7</v>
      </c>
      <c r="P666">
        <f t="shared" si="994"/>
        <v>0.91428571428571592</v>
      </c>
      <c r="Q666">
        <f t="shared" si="995"/>
        <v>1383500.8182857167</v>
      </c>
      <c r="R666">
        <f t="shared" si="996"/>
        <v>-132970508.07034163</v>
      </c>
      <c r="S666">
        <f t="shared" si="997"/>
        <v>-1329.7050807034163</v>
      </c>
      <c r="T666">
        <f t="shared" si="998"/>
        <v>-1.3297050807034163</v>
      </c>
    </row>
    <row r="667" spans="1:20" x14ac:dyDescent="0.25">
      <c r="A667" s="5">
        <v>43926</v>
      </c>
      <c r="B667">
        <v>9.9099999999999994E-2</v>
      </c>
      <c r="C667">
        <v>9.9099999999999994E-2</v>
      </c>
      <c r="D667">
        <v>9.3100000000000002E-2</v>
      </c>
      <c r="E667">
        <v>9.5799999999999996E-2</v>
      </c>
      <c r="F667">
        <v>1090218.1599999999</v>
      </c>
      <c r="G667">
        <v>0</v>
      </c>
      <c r="L667" t="s">
        <v>7</v>
      </c>
      <c r="M667" t="s">
        <v>8</v>
      </c>
      <c r="N667" t="s">
        <v>7</v>
      </c>
      <c r="P667">
        <f t="shared" si="994"/>
        <v>-0.1000000000000007</v>
      </c>
      <c r="Q667">
        <f t="shared" si="995"/>
        <v>-109021.81600000075</v>
      </c>
      <c r="R667">
        <f t="shared" si="996"/>
        <v>-134354008.88862735</v>
      </c>
      <c r="S667">
        <f t="shared" si="997"/>
        <v>-1343.5400888862735</v>
      </c>
      <c r="T667">
        <f t="shared" si="998"/>
        <v>-1.3435400888862734</v>
      </c>
    </row>
    <row r="668" spans="1:20" x14ac:dyDescent="0.25">
      <c r="A668" s="5">
        <v>43925</v>
      </c>
      <c r="B668">
        <v>9.5000000000000001E-2</v>
      </c>
      <c r="C668">
        <v>0.1008</v>
      </c>
      <c r="D668">
        <v>9.5000000000000001E-2</v>
      </c>
      <c r="E668">
        <v>9.9299999999999999E-2</v>
      </c>
      <c r="F668">
        <v>1906287.76</v>
      </c>
      <c r="G668">
        <v>0</v>
      </c>
      <c r="L668" t="s">
        <v>8</v>
      </c>
      <c r="M668" t="s">
        <v>8</v>
      </c>
      <c r="N668" t="s">
        <v>7</v>
      </c>
      <c r="P668">
        <f t="shared" si="994"/>
        <v>0.48275862068965469</v>
      </c>
      <c r="Q668">
        <f t="shared" si="995"/>
        <v>920276.84965517151</v>
      </c>
      <c r="R668">
        <f t="shared" si="996"/>
        <v>-134244987.07262734</v>
      </c>
      <c r="S668">
        <f t="shared" si="997"/>
        <v>-1342.4498707262733</v>
      </c>
      <c r="T668">
        <f t="shared" si="998"/>
        <v>-1.3424498707262733</v>
      </c>
    </row>
    <row r="669" spans="1:20" x14ac:dyDescent="0.25">
      <c r="A669" s="5">
        <v>43924</v>
      </c>
      <c r="B669">
        <v>9.4E-2</v>
      </c>
      <c r="C669">
        <v>0.1</v>
      </c>
      <c r="D669">
        <v>9.2600000000000002E-2</v>
      </c>
      <c r="E669">
        <v>9.4399999999999998E-2</v>
      </c>
      <c r="F669">
        <v>3191510.96</v>
      </c>
      <c r="G669">
        <v>0</v>
      </c>
      <c r="L669" t="s">
        <v>7</v>
      </c>
      <c r="M669" t="s">
        <v>8</v>
      </c>
      <c r="N669" t="s">
        <v>7</v>
      </c>
      <c r="P669">
        <f t="shared" si="994"/>
        <v>-0.51351351351351482</v>
      </c>
      <c r="Q669">
        <f t="shared" si="995"/>
        <v>-1638884.0064864906</v>
      </c>
      <c r="R669">
        <f t="shared" si="996"/>
        <v>-135165263.92228252</v>
      </c>
      <c r="S669">
        <f t="shared" si="997"/>
        <v>-1351.6526392228252</v>
      </c>
      <c r="T669">
        <f t="shared" si="998"/>
        <v>-1.3516526392228252</v>
      </c>
    </row>
    <row r="670" spans="1:20" x14ac:dyDescent="0.25">
      <c r="A670" s="5">
        <v>43923</v>
      </c>
      <c r="B670">
        <v>9.4100000000000003E-2</v>
      </c>
      <c r="C670">
        <v>0.1051</v>
      </c>
      <c r="D670">
        <v>9.1600000000000001E-2</v>
      </c>
      <c r="E670">
        <v>9.4399999999999998E-2</v>
      </c>
      <c r="F670">
        <v>4985747.3600000003</v>
      </c>
      <c r="G670">
        <v>0</v>
      </c>
      <c r="L670" t="s">
        <v>8</v>
      </c>
      <c r="M670" t="s">
        <v>8</v>
      </c>
      <c r="N670" t="s">
        <v>7</v>
      </c>
      <c r="P670">
        <f t="shared" si="994"/>
        <v>-0.58518518518518559</v>
      </c>
      <c r="Q670">
        <f t="shared" si="995"/>
        <v>-2917585.4921481502</v>
      </c>
      <c r="R670">
        <f t="shared" si="996"/>
        <v>-133526379.91579601</v>
      </c>
      <c r="S670">
        <f t="shared" si="997"/>
        <v>-1335.2637991579602</v>
      </c>
      <c r="T670">
        <f t="shared" si="998"/>
        <v>-1.3352637991579601</v>
      </c>
    </row>
    <row r="671" spans="1:20" x14ac:dyDescent="0.25">
      <c r="A671" s="5">
        <v>43922</v>
      </c>
      <c r="B671">
        <v>8.7800000000000003E-2</v>
      </c>
      <c r="C671">
        <v>0.1</v>
      </c>
      <c r="D671">
        <v>8.2500000000000004E-2</v>
      </c>
      <c r="E671">
        <v>9.4200000000000006E-2</v>
      </c>
      <c r="F671">
        <v>3471807.05</v>
      </c>
      <c r="G671">
        <v>0</v>
      </c>
      <c r="L671" t="s">
        <v>7</v>
      </c>
      <c r="M671" t="s">
        <v>8</v>
      </c>
      <c r="N671" t="s">
        <v>7</v>
      </c>
      <c r="P671">
        <f t="shared" si="994"/>
        <v>0.33714285714285724</v>
      </c>
      <c r="Q671">
        <f t="shared" si="995"/>
        <v>1170494.9482857145</v>
      </c>
      <c r="R671">
        <f t="shared" si="996"/>
        <v>-130608794.42364787</v>
      </c>
      <c r="S671">
        <f t="shared" si="997"/>
        <v>-1306.0879442364787</v>
      </c>
      <c r="T671">
        <f t="shared" si="998"/>
        <v>-1.3060879442364788</v>
      </c>
    </row>
    <row r="672" spans="1:20" x14ac:dyDescent="0.25">
      <c r="A672" s="5">
        <v>43921</v>
      </c>
      <c r="B672">
        <v>8.9899999999999994E-2</v>
      </c>
      <c r="C672">
        <v>9.1499999999999998E-2</v>
      </c>
      <c r="D672">
        <v>8.7099999999999997E-2</v>
      </c>
      <c r="E672">
        <v>8.72E-2</v>
      </c>
      <c r="F672">
        <v>1102218.05</v>
      </c>
      <c r="G672">
        <v>0</v>
      </c>
      <c r="L672" t="s">
        <v>7</v>
      </c>
      <c r="M672" t="s">
        <v>7</v>
      </c>
      <c r="N672" t="s">
        <v>7</v>
      </c>
      <c r="P672">
        <f t="shared" si="994"/>
        <v>-0.95454545454545325</v>
      </c>
      <c r="Q672">
        <f t="shared" si="995"/>
        <v>-1052117.2295454531</v>
      </c>
      <c r="R672">
        <f t="shared" si="996"/>
        <v>-131779289.37193358</v>
      </c>
      <c r="S672">
        <f t="shared" si="997"/>
        <v>-1317.7928937193358</v>
      </c>
      <c r="T672">
        <f t="shared" si="998"/>
        <v>-1.3177928937193357</v>
      </c>
    </row>
    <row r="673" spans="1:20" x14ac:dyDescent="0.25">
      <c r="A673" s="5">
        <v>43920</v>
      </c>
      <c r="B673">
        <v>8.0500000000000002E-2</v>
      </c>
      <c r="C673">
        <v>9.4399999999999998E-2</v>
      </c>
      <c r="D673">
        <v>8.0500000000000002E-2</v>
      </c>
      <c r="E673">
        <v>8.9899999999999994E-2</v>
      </c>
      <c r="F673">
        <v>1561078.02</v>
      </c>
      <c r="G673">
        <v>0</v>
      </c>
      <c r="L673" t="s">
        <v>8</v>
      </c>
      <c r="M673" t="s">
        <v>7</v>
      </c>
      <c r="N673" t="s">
        <v>7</v>
      </c>
      <c r="P673">
        <f t="shared" si="994"/>
        <v>0.35251798561151004</v>
      </c>
      <c r="Q673">
        <f t="shared" si="995"/>
        <v>550308.07899280463</v>
      </c>
      <c r="R673">
        <f t="shared" si="996"/>
        <v>-130727172.14238812</v>
      </c>
      <c r="S673">
        <f t="shared" si="997"/>
        <v>-1307.2717214238812</v>
      </c>
      <c r="T673">
        <f t="shared" si="998"/>
        <v>-1.3072717214238812</v>
      </c>
    </row>
    <row r="674" spans="1:20" x14ac:dyDescent="0.25">
      <c r="A674" s="5">
        <v>43919</v>
      </c>
      <c r="B674">
        <v>8.6900000000000005E-2</v>
      </c>
      <c r="C674">
        <v>8.8800000000000004E-2</v>
      </c>
      <c r="D674">
        <v>7.9200000000000007E-2</v>
      </c>
      <c r="E674">
        <v>8.0299999999999996E-2</v>
      </c>
      <c r="F674">
        <v>1117535.99</v>
      </c>
      <c r="G674">
        <v>0</v>
      </c>
      <c r="L674" t="s">
        <v>7</v>
      </c>
      <c r="M674" t="s">
        <v>7</v>
      </c>
      <c r="N674" t="s">
        <v>7</v>
      </c>
      <c r="P674">
        <f t="shared" si="994"/>
        <v>-0.77083333333333537</v>
      </c>
      <c r="Q674">
        <f t="shared" si="995"/>
        <v>-861433.9922916689</v>
      </c>
      <c r="R674">
        <f t="shared" si="996"/>
        <v>-131277480.22138092</v>
      </c>
      <c r="S674">
        <f t="shared" si="997"/>
        <v>-1312.7748022138092</v>
      </c>
      <c r="T674">
        <f t="shared" si="998"/>
        <v>-1.312774802213809</v>
      </c>
    </row>
    <row r="675" spans="1:20" x14ac:dyDescent="0.25">
      <c r="A675" s="5">
        <v>43918</v>
      </c>
      <c r="B675">
        <v>8.72E-2</v>
      </c>
      <c r="C675">
        <v>9.0399999999999994E-2</v>
      </c>
      <c r="D675">
        <v>8.1600000000000006E-2</v>
      </c>
      <c r="E675">
        <v>8.6999999999999994E-2</v>
      </c>
      <c r="F675">
        <v>2441920.9900000002</v>
      </c>
      <c r="G675">
        <v>0</v>
      </c>
      <c r="L675" t="s">
        <v>7</v>
      </c>
      <c r="M675" t="s">
        <v>7</v>
      </c>
      <c r="N675" t="s">
        <v>7</v>
      </c>
      <c r="P675">
        <f t="shared" si="994"/>
        <v>0.22727272727272621</v>
      </c>
      <c r="Q675">
        <f t="shared" si="995"/>
        <v>554982.04318181565</v>
      </c>
      <c r="R675">
        <f t="shared" si="996"/>
        <v>-130416046.22908925</v>
      </c>
      <c r="S675">
        <f t="shared" si="997"/>
        <v>-1304.1604622908924</v>
      </c>
      <c r="T675">
        <f t="shared" si="998"/>
        <v>-1.3041604622908924</v>
      </c>
    </row>
    <row r="676" spans="1:20" x14ac:dyDescent="0.25">
      <c r="A676" s="5">
        <v>43917</v>
      </c>
      <c r="B676">
        <v>8.6599999999999996E-2</v>
      </c>
      <c r="C676">
        <v>0.115</v>
      </c>
      <c r="D676">
        <v>8.5000000000000006E-2</v>
      </c>
      <c r="E676">
        <v>8.7400000000000005E-2</v>
      </c>
      <c r="F676">
        <v>8829483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-0.84000000000000008</v>
      </c>
      <c r="Q676">
        <f t="shared" si="995"/>
        <v>-7416765.7200000007</v>
      </c>
      <c r="R676">
        <f t="shared" si="996"/>
        <v>-130971028.27227107</v>
      </c>
      <c r="S676">
        <f t="shared" si="997"/>
        <v>-1309.7102827227106</v>
      </c>
      <c r="T676">
        <f t="shared" si="998"/>
        <v>-1.3097102827227107</v>
      </c>
    </row>
    <row r="677" spans="1:20" x14ac:dyDescent="0.25">
      <c r="A677" s="5">
        <v>43916</v>
      </c>
      <c r="B677">
        <v>8.43E-2</v>
      </c>
      <c r="C677">
        <v>9.0499999999999997E-2</v>
      </c>
      <c r="D677">
        <v>8.3299999999999999E-2</v>
      </c>
      <c r="E677">
        <v>8.5999999999999993E-2</v>
      </c>
      <c r="F677">
        <v>859891.84</v>
      </c>
      <c r="G677">
        <v>0</v>
      </c>
      <c r="L677" t="s">
        <v>8</v>
      </c>
      <c r="M677" t="s">
        <v>7</v>
      </c>
      <c r="N677" t="s">
        <v>8</v>
      </c>
      <c r="P677">
        <f t="shared" si="994"/>
        <v>-0.25000000000000144</v>
      </c>
      <c r="Q677">
        <f t="shared" si="995"/>
        <v>-214972.96000000124</v>
      </c>
      <c r="R677">
        <f t="shared" si="996"/>
        <v>-123554262.55227107</v>
      </c>
      <c r="S677">
        <f t="shared" si="997"/>
        <v>-1235.5426255227108</v>
      </c>
      <c r="T677">
        <f t="shared" si="998"/>
        <v>-1.2355426255227107</v>
      </c>
    </row>
    <row r="678" spans="1:20" x14ac:dyDescent="0.25">
      <c r="A678" s="5">
        <v>43915</v>
      </c>
      <c r="B678">
        <v>8.4900000000000003E-2</v>
      </c>
      <c r="C678">
        <v>8.8599999999999998E-2</v>
      </c>
      <c r="D678">
        <v>8.1100000000000005E-2</v>
      </c>
      <c r="E678">
        <v>8.3599999999999994E-2</v>
      </c>
      <c r="F678">
        <v>999739.08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-0.33333333333333581</v>
      </c>
      <c r="Q678">
        <f t="shared" si="995"/>
        <v>-333246.36000000249</v>
      </c>
      <c r="R678">
        <f t="shared" si="996"/>
        <v>-123339289.59227106</v>
      </c>
      <c r="S678">
        <f t="shared" si="997"/>
        <v>-1233.3928959227105</v>
      </c>
      <c r="T678">
        <f t="shared" si="998"/>
        <v>-1.2333928959227105</v>
      </c>
    </row>
    <row r="679" spans="1:20" x14ac:dyDescent="0.25">
      <c r="A679" s="5">
        <v>43914</v>
      </c>
      <c r="B679">
        <v>8.5800000000000001E-2</v>
      </c>
      <c r="C679">
        <v>8.8900000000000007E-2</v>
      </c>
      <c r="D679">
        <v>8.2500000000000004E-2</v>
      </c>
      <c r="E679">
        <v>8.4400000000000003E-2</v>
      </c>
      <c r="F679">
        <v>1212341.32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-0.40625000000000061</v>
      </c>
      <c r="Q679">
        <f t="shared" si="995"/>
        <v>-492513.66125000076</v>
      </c>
      <c r="R679">
        <f t="shared" si="996"/>
        <v>-123006043.23227106</v>
      </c>
      <c r="S679">
        <f t="shared" si="997"/>
        <v>-1230.0604323227105</v>
      </c>
      <c r="T679">
        <f t="shared" si="998"/>
        <v>-1.2300604323227105</v>
      </c>
    </row>
    <row r="680" spans="1:20" x14ac:dyDescent="0.25">
      <c r="A680" s="5">
        <v>43913</v>
      </c>
      <c r="B680">
        <v>7.9000000000000001E-2</v>
      </c>
      <c r="C680">
        <v>8.9499999999999996E-2</v>
      </c>
      <c r="D680">
        <v>7.7499999999999999E-2</v>
      </c>
      <c r="E680">
        <v>8.5800000000000001E-2</v>
      </c>
      <c r="F680">
        <v>1182765.32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0.38333333333333403</v>
      </c>
      <c r="Q680">
        <f t="shared" si="995"/>
        <v>453393.37266666751</v>
      </c>
      <c r="R680">
        <f t="shared" si="996"/>
        <v>-122513529.57102107</v>
      </c>
      <c r="S680">
        <f t="shared" si="997"/>
        <v>-1225.1352957102106</v>
      </c>
      <c r="T680">
        <f t="shared" si="998"/>
        <v>-1.2251352957102106</v>
      </c>
    </row>
    <row r="681" spans="1:20" x14ac:dyDescent="0.25">
      <c r="A681" s="5">
        <v>43912</v>
      </c>
      <c r="B681">
        <v>8.6499999999999994E-2</v>
      </c>
      <c r="C681">
        <v>9.7500000000000003E-2</v>
      </c>
      <c r="D681">
        <v>7.8E-2</v>
      </c>
      <c r="E681">
        <v>7.9399999999999998E-2</v>
      </c>
      <c r="F681">
        <v>2776958.93</v>
      </c>
      <c r="G681">
        <v>0</v>
      </c>
      <c r="L681" t="s">
        <v>8</v>
      </c>
      <c r="M681" t="s">
        <v>8</v>
      </c>
      <c r="N681" t="s">
        <v>8</v>
      </c>
      <c r="P681">
        <f t="shared" si="994"/>
        <v>-0.85641025641025659</v>
      </c>
      <c r="Q681">
        <f t="shared" si="995"/>
        <v>-2378216.1092820521</v>
      </c>
      <c r="R681">
        <f t="shared" si="996"/>
        <v>-122966922.94368774</v>
      </c>
      <c r="S681">
        <f t="shared" si="997"/>
        <v>-1229.6692294368775</v>
      </c>
      <c r="T681">
        <f t="shared" si="998"/>
        <v>-1.2296692294368774</v>
      </c>
    </row>
    <row r="682" spans="1:20" x14ac:dyDescent="0.25">
      <c r="A682" s="5">
        <v>43911</v>
      </c>
      <c r="B682">
        <v>8.2299999999999998E-2</v>
      </c>
      <c r="C682">
        <v>9.5000000000000001E-2</v>
      </c>
      <c r="D682">
        <v>7.8E-2</v>
      </c>
      <c r="E682">
        <v>8.72E-2</v>
      </c>
      <c r="F682">
        <v>1599075.15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8.235294117647049E-2</v>
      </c>
      <c r="Q682">
        <f t="shared" si="995"/>
        <v>131688.5417647057</v>
      </c>
      <c r="R682">
        <f t="shared" si="996"/>
        <v>-120588706.83440569</v>
      </c>
      <c r="S682">
        <f t="shared" si="997"/>
        <v>-1205.8870683440568</v>
      </c>
      <c r="T682">
        <f t="shared" si="998"/>
        <v>-1.2058870683440568</v>
      </c>
    </row>
    <row r="683" spans="1:20" x14ac:dyDescent="0.25">
      <c r="A683" s="5">
        <v>43910</v>
      </c>
      <c r="B683">
        <v>8.4599999999999995E-2</v>
      </c>
      <c r="C683">
        <v>0.1023</v>
      </c>
      <c r="D683">
        <v>7.3899999999999993E-2</v>
      </c>
      <c r="E683">
        <v>8.2000000000000003E-2</v>
      </c>
      <c r="F683">
        <v>3818066.94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-0.42957746478873188</v>
      </c>
      <c r="Q683">
        <f t="shared" si="995"/>
        <v>-1640155.5164788712</v>
      </c>
      <c r="R683">
        <f t="shared" si="996"/>
        <v>-120720395.3761704</v>
      </c>
      <c r="S683">
        <f t="shared" si="997"/>
        <v>-1207.203953761704</v>
      </c>
      <c r="T683">
        <f t="shared" si="998"/>
        <v>-1.2072039537617041</v>
      </c>
    </row>
    <row r="684" spans="1:20" x14ac:dyDescent="0.25">
      <c r="A684" s="5">
        <v>43909</v>
      </c>
      <c r="B684">
        <v>6.8699999999999997E-2</v>
      </c>
      <c r="C684">
        <v>8.7099999999999997E-2</v>
      </c>
      <c r="D684">
        <v>6.8699999999999997E-2</v>
      </c>
      <c r="E684">
        <v>8.3099999999999993E-2</v>
      </c>
      <c r="F684">
        <v>3988909.06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0.56521739130434745</v>
      </c>
      <c r="Q684">
        <f t="shared" si="995"/>
        <v>2254600.773043477</v>
      </c>
      <c r="R684">
        <f t="shared" si="996"/>
        <v>-119080239.85969153</v>
      </c>
      <c r="S684">
        <f t="shared" si="997"/>
        <v>-1190.8023985969153</v>
      </c>
      <c r="T684">
        <f t="shared" si="998"/>
        <v>-1.1908023985969154</v>
      </c>
    </row>
    <row r="685" spans="1:20" x14ac:dyDescent="0.25">
      <c r="A685" s="5">
        <v>43908</v>
      </c>
      <c r="B685">
        <v>6.8900000000000003E-2</v>
      </c>
      <c r="C685">
        <v>6.9599999999999995E-2</v>
      </c>
      <c r="D685">
        <v>6.0900000000000003E-2</v>
      </c>
      <c r="E685">
        <v>6.8599999999999994E-2</v>
      </c>
      <c r="F685">
        <v>1353148.01</v>
      </c>
      <c r="G685">
        <v>0</v>
      </c>
      <c r="L685" t="s">
        <v>7</v>
      </c>
      <c r="M685" t="s">
        <v>7</v>
      </c>
      <c r="N685" t="s">
        <v>8</v>
      </c>
      <c r="P685">
        <f t="shared" si="994"/>
        <v>0.77011494252873525</v>
      </c>
      <c r="Q685">
        <f t="shared" si="995"/>
        <v>1042079.5019540224</v>
      </c>
      <c r="R685">
        <f t="shared" si="996"/>
        <v>-121334840.63273501</v>
      </c>
      <c r="S685">
        <f t="shared" si="997"/>
        <v>-1213.3484063273502</v>
      </c>
      <c r="T685">
        <f t="shared" si="998"/>
        <v>-1.2133484063273501</v>
      </c>
    </row>
    <row r="686" spans="1:20" x14ac:dyDescent="0.25">
      <c r="A686" s="5">
        <v>43907</v>
      </c>
      <c r="B686">
        <v>5.91E-2</v>
      </c>
      <c r="C686">
        <v>7.46E-2</v>
      </c>
      <c r="D686">
        <v>5.7200000000000001E-2</v>
      </c>
      <c r="E686">
        <v>6.8699999999999997E-2</v>
      </c>
      <c r="F686">
        <v>2941591.22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0.32183908045976978</v>
      </c>
      <c r="Q686">
        <f t="shared" si="995"/>
        <v>946719.01333333238</v>
      </c>
      <c r="R686">
        <f t="shared" si="996"/>
        <v>-122376920.13468903</v>
      </c>
      <c r="S686">
        <f t="shared" si="997"/>
        <v>-1223.7692013468904</v>
      </c>
      <c r="T686">
        <f t="shared" si="998"/>
        <v>-1.2237692013468904</v>
      </c>
    </row>
    <row r="687" spans="1:20" x14ac:dyDescent="0.25">
      <c r="A687" s="5">
        <v>43906</v>
      </c>
      <c r="B687">
        <v>6.7699999999999996E-2</v>
      </c>
      <c r="C687">
        <v>6.8000000000000005E-2</v>
      </c>
      <c r="D687">
        <v>4.9399999999999999E-2</v>
      </c>
      <c r="E687">
        <v>5.8799999999999998E-2</v>
      </c>
      <c r="F687">
        <v>3580364.42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1.0752688172042569E-2</v>
      </c>
      <c r="Q687">
        <f t="shared" si="995"/>
        <v>38498.54215053605</v>
      </c>
      <c r="R687">
        <f t="shared" si="996"/>
        <v>-123323639.14802237</v>
      </c>
      <c r="S687">
        <f t="shared" si="997"/>
        <v>-1233.2363914802236</v>
      </c>
      <c r="T687">
        <f t="shared" si="998"/>
        <v>-1.2332363914802236</v>
      </c>
    </row>
    <row r="688" spans="1:20" x14ac:dyDescent="0.25">
      <c r="A688" s="5">
        <v>43905</v>
      </c>
      <c r="B688">
        <v>7.0099999999999996E-2</v>
      </c>
      <c r="C688">
        <v>7.6700000000000004E-2</v>
      </c>
      <c r="D688">
        <v>6.7699999999999996E-2</v>
      </c>
      <c r="E688">
        <v>6.8199999999999997E-2</v>
      </c>
      <c r="F688">
        <v>1999231.02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-0.88888888888888884</v>
      </c>
      <c r="Q688">
        <f t="shared" si="995"/>
        <v>-1777094.24</v>
      </c>
      <c r="R688">
        <f t="shared" si="996"/>
        <v>-123362137.69017291</v>
      </c>
      <c r="S688">
        <f t="shared" si="997"/>
        <v>-1233.621376901729</v>
      </c>
      <c r="T688">
        <f t="shared" si="998"/>
        <v>-1.233621376901729</v>
      </c>
    </row>
    <row r="689" spans="1:20" x14ac:dyDescent="0.25">
      <c r="A689" s="5">
        <v>43904</v>
      </c>
      <c r="B689">
        <v>7.4800000000000005E-2</v>
      </c>
      <c r="C689">
        <v>8.4400000000000003E-2</v>
      </c>
      <c r="D689">
        <v>6.7100000000000007E-2</v>
      </c>
      <c r="E689">
        <v>7.0000000000000007E-2</v>
      </c>
      <c r="F689">
        <v>3343656.79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-0.66473988439306353</v>
      </c>
      <c r="Q689">
        <f t="shared" si="995"/>
        <v>-2222662.0280346819</v>
      </c>
      <c r="R689">
        <f t="shared" si="996"/>
        <v>-121585043.45017292</v>
      </c>
      <c r="S689">
        <f t="shared" si="997"/>
        <v>-1215.8504345017291</v>
      </c>
      <c r="T689">
        <f t="shared" si="998"/>
        <v>-1.2158504345017291</v>
      </c>
    </row>
    <row r="690" spans="1:20" x14ac:dyDescent="0.25">
      <c r="A690" s="5">
        <v>43903</v>
      </c>
      <c r="B690">
        <v>6.4699999999999994E-2</v>
      </c>
      <c r="C690">
        <v>9.3299999999999994E-2</v>
      </c>
      <c r="D690">
        <v>4.2999999999999997E-2</v>
      </c>
      <c r="E690">
        <v>7.5499999999999998E-2</v>
      </c>
      <c r="F690">
        <v>6446435.4900000002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0.29224652087475161</v>
      </c>
      <c r="Q690">
        <f t="shared" si="995"/>
        <v>1883948.3439960247</v>
      </c>
      <c r="R690">
        <f t="shared" si="996"/>
        <v>-119362381.42213823</v>
      </c>
      <c r="S690">
        <f t="shared" si="997"/>
        <v>-1193.6238142213822</v>
      </c>
      <c r="T690">
        <f t="shared" si="998"/>
        <v>-1.1936238142213822</v>
      </c>
    </row>
    <row r="691" spans="1:20" x14ac:dyDescent="0.25">
      <c r="A691" s="5">
        <v>43902</v>
      </c>
      <c r="B691">
        <v>0.13689999999999999</v>
      </c>
      <c r="C691">
        <v>0.13730000000000001</v>
      </c>
      <c r="D691">
        <v>6.13E-2</v>
      </c>
      <c r="E691">
        <v>6.54E-2</v>
      </c>
      <c r="F691">
        <v>6752901.25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-0.89210526315789462</v>
      </c>
      <c r="Q691">
        <f t="shared" si="995"/>
        <v>-6024298.7467105258</v>
      </c>
      <c r="R691">
        <f t="shared" si="996"/>
        <v>-121246329.76613425</v>
      </c>
      <c r="S691">
        <f t="shared" si="997"/>
        <v>-1212.4632976613425</v>
      </c>
      <c r="T691">
        <f t="shared" si="998"/>
        <v>-1.2124632976613425</v>
      </c>
    </row>
    <row r="692" spans="1:20" x14ac:dyDescent="0.25">
      <c r="A692" s="5">
        <v>43901</v>
      </c>
      <c r="B692">
        <v>0.1368</v>
      </c>
      <c r="C692">
        <v>0.16600000000000001</v>
      </c>
      <c r="D692">
        <v>0.1239</v>
      </c>
      <c r="E692">
        <v>0.1363</v>
      </c>
      <c r="F692">
        <v>11567772.689999999</v>
      </c>
      <c r="G692">
        <v>0</v>
      </c>
      <c r="L692" t="s">
        <v>8</v>
      </c>
      <c r="M692" t="s">
        <v>8</v>
      </c>
      <c r="N692" t="s">
        <v>8</v>
      </c>
      <c r="P692">
        <f t="shared" si="994"/>
        <v>-0.41092636579572422</v>
      </c>
      <c r="Q692">
        <f t="shared" si="995"/>
        <v>-4753502.7918527285</v>
      </c>
      <c r="R692">
        <f t="shared" si="996"/>
        <v>-115222031.01942372</v>
      </c>
      <c r="S692">
        <f t="shared" si="997"/>
        <v>-1152.2203101942373</v>
      </c>
      <c r="T692">
        <f t="shared" si="998"/>
        <v>-1.1522203101942372</v>
      </c>
    </row>
    <row r="693" spans="1:20" x14ac:dyDescent="0.25">
      <c r="A693" s="5">
        <v>43900</v>
      </c>
      <c r="B693">
        <v>0.11650000000000001</v>
      </c>
      <c r="C693">
        <v>0.14449999999999999</v>
      </c>
      <c r="D693">
        <v>0.11550000000000001</v>
      </c>
      <c r="E693">
        <v>0.13719999999999999</v>
      </c>
      <c r="F693">
        <v>4463679.08</v>
      </c>
      <c r="G693">
        <v>0</v>
      </c>
      <c r="L693" t="s">
        <v>8</v>
      </c>
      <c r="M693" t="s">
        <v>8</v>
      </c>
      <c r="N693" t="s">
        <v>7</v>
      </c>
      <c r="P693">
        <f t="shared" si="994"/>
        <v>0.49655172413793069</v>
      </c>
      <c r="Q693">
        <f t="shared" si="995"/>
        <v>2216447.5431724121</v>
      </c>
      <c r="R693">
        <f t="shared" si="996"/>
        <v>-110468528.227571</v>
      </c>
      <c r="S693">
        <f t="shared" si="997"/>
        <v>-1104.6852822757101</v>
      </c>
      <c r="T693">
        <f t="shared" si="998"/>
        <v>-1.1046852822757101</v>
      </c>
    </row>
    <row r="694" spans="1:20" x14ac:dyDescent="0.25">
      <c r="A694" s="5">
        <v>43899</v>
      </c>
      <c r="B694">
        <v>0.1176</v>
      </c>
      <c r="C694">
        <v>0.12189999999999999</v>
      </c>
      <c r="D694">
        <v>0.1052</v>
      </c>
      <c r="E694">
        <v>0.1167</v>
      </c>
      <c r="F694">
        <v>2133344.0499999998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0.37724550898203607</v>
      </c>
      <c r="Q694">
        <f t="shared" si="995"/>
        <v>804794.46197604819</v>
      </c>
      <c r="R694">
        <f t="shared" si="996"/>
        <v>-112684975.77074341</v>
      </c>
      <c r="S694">
        <f t="shared" si="997"/>
        <v>-1126.849757707434</v>
      </c>
      <c r="T694">
        <f t="shared" si="998"/>
        <v>-1.1268497577074341</v>
      </c>
    </row>
    <row r="695" spans="1:20" x14ac:dyDescent="0.25">
      <c r="A695" s="5">
        <v>43898</v>
      </c>
      <c r="B695">
        <v>0.13600000000000001</v>
      </c>
      <c r="C695">
        <v>0.1363</v>
      </c>
      <c r="D695">
        <v>0.1154</v>
      </c>
      <c r="E695">
        <v>0.1166</v>
      </c>
      <c r="F695">
        <v>1692638.24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-0.88516746411483327</v>
      </c>
      <c r="Q695">
        <f t="shared" si="995"/>
        <v>-1498268.2985645945</v>
      </c>
      <c r="R695">
        <f t="shared" si="996"/>
        <v>-113489770.23271947</v>
      </c>
      <c r="S695">
        <f t="shared" si="997"/>
        <v>-1134.8977023271946</v>
      </c>
      <c r="T695">
        <f t="shared" si="998"/>
        <v>-1.1348977023271947</v>
      </c>
    </row>
    <row r="696" spans="1:20" x14ac:dyDescent="0.25">
      <c r="A696" s="5">
        <v>43897</v>
      </c>
      <c r="B696">
        <v>0.14599999999999999</v>
      </c>
      <c r="C696">
        <v>0.15260000000000001</v>
      </c>
      <c r="D696">
        <v>0.13120000000000001</v>
      </c>
      <c r="E696">
        <v>0.13650000000000001</v>
      </c>
      <c r="F696">
        <v>2125778.65</v>
      </c>
      <c r="G696">
        <v>0</v>
      </c>
      <c r="L696" t="s">
        <v>7</v>
      </c>
      <c r="M696" t="s">
        <v>7</v>
      </c>
      <c r="N696" t="s">
        <v>7</v>
      </c>
      <c r="P696">
        <f t="shared" si="994"/>
        <v>-0.50467289719626185</v>
      </c>
      <c r="Q696">
        <f t="shared" si="995"/>
        <v>-1072822.8700934583</v>
      </c>
      <c r="R696">
        <f t="shared" si="996"/>
        <v>-111991501.93415487</v>
      </c>
      <c r="S696">
        <f t="shared" si="997"/>
        <v>-1119.9150193415487</v>
      </c>
      <c r="T696">
        <f t="shared" si="998"/>
        <v>-1.1199150193415488</v>
      </c>
    </row>
    <row r="697" spans="1:20" x14ac:dyDescent="0.25">
      <c r="A697" s="5">
        <v>43896</v>
      </c>
      <c r="B697">
        <v>0.14710000000000001</v>
      </c>
      <c r="C697">
        <v>0.154</v>
      </c>
      <c r="D697">
        <v>0.1447</v>
      </c>
      <c r="E697">
        <v>0.1449</v>
      </c>
      <c r="F697">
        <v>1634111.75</v>
      </c>
      <c r="G697">
        <v>0</v>
      </c>
      <c r="L697" t="s">
        <v>7</v>
      </c>
      <c r="M697" t="s">
        <v>8</v>
      </c>
      <c r="N697" t="s">
        <v>7</v>
      </c>
      <c r="P697">
        <f t="shared" si="994"/>
        <v>-0.95698924731182677</v>
      </c>
      <c r="Q697">
        <f t="shared" si="995"/>
        <v>-1563827.373655912</v>
      </c>
      <c r="R697">
        <f t="shared" si="996"/>
        <v>-110918679.0640614</v>
      </c>
      <c r="S697">
        <f t="shared" si="997"/>
        <v>-1109.1867906406139</v>
      </c>
      <c r="T697">
        <f t="shared" si="998"/>
        <v>-1.1091867906406139</v>
      </c>
    </row>
    <row r="698" spans="1:20" x14ac:dyDescent="0.25">
      <c r="A698" s="5">
        <v>43895</v>
      </c>
      <c r="B698">
        <v>0.14829999999999999</v>
      </c>
      <c r="C698">
        <v>0.16289999999999999</v>
      </c>
      <c r="D698">
        <v>0.14219999999999999</v>
      </c>
      <c r="E698">
        <v>0.14710000000000001</v>
      </c>
      <c r="F698">
        <v>3212552.83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-0.5265700483091772</v>
      </c>
      <c r="Q698">
        <f t="shared" si="995"/>
        <v>-1691634.0988888841</v>
      </c>
      <c r="R698">
        <f t="shared" si="996"/>
        <v>-109354851.69040549</v>
      </c>
      <c r="S698">
        <f t="shared" si="997"/>
        <v>-1093.5485169040548</v>
      </c>
      <c r="T698">
        <f t="shared" si="998"/>
        <v>-1.0935485169040549</v>
      </c>
    </row>
    <row r="699" spans="1:20" x14ac:dyDescent="0.25">
      <c r="A699" s="5">
        <v>43894</v>
      </c>
      <c r="B699">
        <v>0.1348</v>
      </c>
      <c r="C699">
        <v>0.15090000000000001</v>
      </c>
      <c r="D699">
        <v>0.1323</v>
      </c>
      <c r="E699">
        <v>0.1477</v>
      </c>
      <c r="F699">
        <v>2793850.18</v>
      </c>
      <c r="G699">
        <v>0</v>
      </c>
      <c r="L699" t="s">
        <v>8</v>
      </c>
      <c r="M699" t="s">
        <v>8</v>
      </c>
      <c r="N699" t="s">
        <v>7</v>
      </c>
      <c r="P699">
        <f t="shared" si="994"/>
        <v>0.65591397849462285</v>
      </c>
      <c r="Q699">
        <f t="shared" si="995"/>
        <v>1832525.3868817182</v>
      </c>
      <c r="R699">
        <f t="shared" si="996"/>
        <v>-107663217.5915166</v>
      </c>
      <c r="S699">
        <f t="shared" si="997"/>
        <v>-1076.632175915166</v>
      </c>
      <c r="T699">
        <f t="shared" si="998"/>
        <v>-1.076632175915166</v>
      </c>
    </row>
    <row r="700" spans="1:20" x14ac:dyDescent="0.25">
      <c r="A700" s="5">
        <v>43893</v>
      </c>
      <c r="B700">
        <v>0.13009999999999999</v>
      </c>
      <c r="C700">
        <v>0.14199999999999999</v>
      </c>
      <c r="D700">
        <v>0.12889999999999999</v>
      </c>
      <c r="E700">
        <v>0.1353</v>
      </c>
      <c r="F700">
        <v>2001747.82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-2.2900763358776104E-2</v>
      </c>
      <c r="Q700">
        <f t="shared" si="995"/>
        <v>-45841.553129765947</v>
      </c>
      <c r="R700">
        <f t="shared" si="996"/>
        <v>-109495742.97839832</v>
      </c>
      <c r="S700">
        <f t="shared" si="997"/>
        <v>-1094.9574297839833</v>
      </c>
      <c r="T700">
        <f t="shared" si="998"/>
        <v>-1.0949574297839832</v>
      </c>
    </row>
    <row r="701" spans="1:20" x14ac:dyDescent="0.25">
      <c r="A701" s="5">
        <v>43892</v>
      </c>
      <c r="B701">
        <v>0.1164</v>
      </c>
      <c r="C701">
        <v>0.13550000000000001</v>
      </c>
      <c r="D701">
        <v>0.1134</v>
      </c>
      <c r="E701">
        <v>0.13039999999999999</v>
      </c>
      <c r="F701">
        <v>1976886.11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0.53846153846153677</v>
      </c>
      <c r="Q701">
        <f t="shared" si="995"/>
        <v>1064477.1361538428</v>
      </c>
      <c r="R701">
        <f t="shared" si="996"/>
        <v>-109449901.42526856</v>
      </c>
      <c r="S701">
        <f t="shared" si="997"/>
        <v>-1094.4990142526856</v>
      </c>
      <c r="T701">
        <f t="shared" si="998"/>
        <v>-1.0944990142526856</v>
      </c>
    </row>
    <row r="702" spans="1:20" x14ac:dyDescent="0.25">
      <c r="A702" s="5">
        <v>43891</v>
      </c>
      <c r="B702">
        <v>0.1216</v>
      </c>
      <c r="C702">
        <v>0.12740000000000001</v>
      </c>
      <c r="D702">
        <v>0.115</v>
      </c>
      <c r="E702">
        <v>0.1164</v>
      </c>
      <c r="F702">
        <v>860836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-0.7741935483870972</v>
      </c>
      <c r="Q702">
        <f t="shared" si="995"/>
        <v>-666453.67741935526</v>
      </c>
      <c r="R702">
        <f t="shared" si="996"/>
        <v>-110514378.56142241</v>
      </c>
      <c r="S702">
        <f t="shared" si="997"/>
        <v>-1105.143785614224</v>
      </c>
      <c r="T702">
        <f t="shared" si="998"/>
        <v>-1.1051437856142241</v>
      </c>
    </row>
    <row r="703" spans="1:20" x14ac:dyDescent="0.25">
      <c r="A703" s="5">
        <v>43890</v>
      </c>
      <c r="B703">
        <v>0.1255</v>
      </c>
      <c r="C703">
        <v>0.13270000000000001</v>
      </c>
      <c r="D703">
        <v>0.1207</v>
      </c>
      <c r="E703">
        <v>0.12180000000000001</v>
      </c>
      <c r="F703">
        <v>1747086.33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-0.81666666666666621</v>
      </c>
      <c r="Q703">
        <f t="shared" si="995"/>
        <v>-1426787.1694999991</v>
      </c>
      <c r="R703">
        <f t="shared" si="996"/>
        <v>-109847924.88400306</v>
      </c>
      <c r="S703">
        <f t="shared" si="997"/>
        <v>-1098.4792488400306</v>
      </c>
      <c r="T703">
        <f t="shared" si="998"/>
        <v>-1.0984792488400306</v>
      </c>
    </row>
    <row r="704" spans="1:20" x14ac:dyDescent="0.25">
      <c r="A704" s="5">
        <v>43889</v>
      </c>
      <c r="B704">
        <v>0.12939999999999999</v>
      </c>
      <c r="C704">
        <v>0.1361</v>
      </c>
      <c r="D704">
        <v>0.1169</v>
      </c>
      <c r="E704">
        <v>0.12479999999999999</v>
      </c>
      <c r="F704">
        <v>1778432.57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-0.17708333333333412</v>
      </c>
      <c r="Q704">
        <f t="shared" si="995"/>
        <v>-314930.7676041681</v>
      </c>
      <c r="R704">
        <f t="shared" si="996"/>
        <v>-108421137.71450306</v>
      </c>
      <c r="S704">
        <f t="shared" si="997"/>
        <v>-1084.2113771450306</v>
      </c>
      <c r="T704">
        <f t="shared" si="998"/>
        <v>-1.0842113771450306</v>
      </c>
    </row>
    <row r="705" spans="1:20" x14ac:dyDescent="0.25">
      <c r="A705" s="5">
        <v>43888</v>
      </c>
      <c r="B705">
        <v>0.12809999999999999</v>
      </c>
      <c r="C705">
        <v>0.14000000000000001</v>
      </c>
      <c r="D705">
        <v>0.12139999999999999</v>
      </c>
      <c r="E705">
        <v>0.12939999999999999</v>
      </c>
      <c r="F705">
        <v>3244534.46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-0.13978494623656076</v>
      </c>
      <c r="Q705">
        <f t="shared" si="995"/>
        <v>-453537.0750537687</v>
      </c>
      <c r="R705">
        <f t="shared" si="996"/>
        <v>-108106206.94689889</v>
      </c>
      <c r="S705">
        <f t="shared" si="997"/>
        <v>-1081.062069468989</v>
      </c>
      <c r="T705">
        <f t="shared" si="998"/>
        <v>-1.081062069468989</v>
      </c>
    </row>
    <row r="706" spans="1:20" x14ac:dyDescent="0.25">
      <c r="A706" s="5">
        <v>43887</v>
      </c>
      <c r="B706">
        <v>0.1419</v>
      </c>
      <c r="C706">
        <v>0.14940000000000001</v>
      </c>
      <c r="D706">
        <v>0.1222</v>
      </c>
      <c r="E706">
        <v>0.129</v>
      </c>
      <c r="F706">
        <v>2287338.7799999998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-0.5</v>
      </c>
      <c r="Q706">
        <f t="shared" si="995"/>
        <v>-1143669.3899999999</v>
      </c>
      <c r="R706">
        <f t="shared" si="996"/>
        <v>-107652669.87184513</v>
      </c>
      <c r="S706">
        <f t="shared" si="997"/>
        <v>-1076.5266987184514</v>
      </c>
      <c r="T706">
        <f t="shared" si="998"/>
        <v>-1.0765266987184514</v>
      </c>
    </row>
    <row r="707" spans="1:20" x14ac:dyDescent="0.25">
      <c r="A707" s="5">
        <v>43886</v>
      </c>
      <c r="B707">
        <v>0.1489</v>
      </c>
      <c r="C707">
        <v>0.1489</v>
      </c>
      <c r="D707">
        <v>0.1358</v>
      </c>
      <c r="E707">
        <v>0.1416</v>
      </c>
      <c r="F707">
        <v>1462599.13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-0.11450381679389322</v>
      </c>
      <c r="Q707">
        <f t="shared" si="995"/>
        <v>-167473.18282442761</v>
      </c>
      <c r="R707">
        <f t="shared" si="996"/>
        <v>-106509000.48184513</v>
      </c>
      <c r="S707">
        <f t="shared" si="997"/>
        <v>-1065.0900048184512</v>
      </c>
      <c r="T707">
        <f t="shared" si="998"/>
        <v>-1.0650900048184513</v>
      </c>
    </row>
    <row r="708" spans="1:20" x14ac:dyDescent="0.25">
      <c r="A708" s="5">
        <v>43885</v>
      </c>
      <c r="B708">
        <v>0.16869999999999999</v>
      </c>
      <c r="C708">
        <v>0.16969999999999999</v>
      </c>
      <c r="D708">
        <v>0.1472</v>
      </c>
      <c r="E708">
        <v>0.14829999999999999</v>
      </c>
      <c r="F708">
        <v>2208999.1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-0.90222222222222304</v>
      </c>
      <c r="Q708">
        <f t="shared" si="995"/>
        <v>-1993008.0768888907</v>
      </c>
      <c r="R708">
        <f t="shared" si="996"/>
        <v>-106341527.29902069</v>
      </c>
      <c r="S708">
        <f t="shared" si="997"/>
        <v>-1063.4152729902069</v>
      </c>
      <c r="T708">
        <f t="shared" si="998"/>
        <v>-1.0634152729902069</v>
      </c>
    </row>
    <row r="709" spans="1:20" x14ac:dyDescent="0.25">
      <c r="A709" s="5">
        <v>43884</v>
      </c>
      <c r="B709">
        <v>0.1575</v>
      </c>
      <c r="C709">
        <v>0.186</v>
      </c>
      <c r="D709">
        <v>0.15629999999999999</v>
      </c>
      <c r="E709">
        <v>0.1691</v>
      </c>
      <c r="F709">
        <v>2725334.83</v>
      </c>
      <c r="G709">
        <v>0</v>
      </c>
      <c r="L709" t="s">
        <v>8</v>
      </c>
      <c r="M709" t="s">
        <v>8</v>
      </c>
      <c r="N709" t="s">
        <v>7</v>
      </c>
      <c r="P709">
        <f t="shared" si="994"/>
        <v>-0.13804713804713778</v>
      </c>
      <c r="Q709">
        <f t="shared" si="995"/>
        <v>-376224.67350168276</v>
      </c>
      <c r="R709">
        <f t="shared" si="996"/>
        <v>-104348519.2221318</v>
      </c>
      <c r="S709">
        <f t="shared" si="997"/>
        <v>-1043.4851922213181</v>
      </c>
      <c r="T709">
        <f t="shared" si="998"/>
        <v>-1.0434851922213182</v>
      </c>
    </row>
    <row r="710" spans="1:20" x14ac:dyDescent="0.25">
      <c r="A710" s="5">
        <v>43883</v>
      </c>
      <c r="B710">
        <v>0.15670000000000001</v>
      </c>
      <c r="C710">
        <v>0.16159999999999999</v>
      </c>
      <c r="D710">
        <v>0.1527</v>
      </c>
      <c r="E710">
        <v>0.1575</v>
      </c>
      <c r="F710">
        <v>936930.76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7.8651685393259202E-2</v>
      </c>
      <c r="Q710">
        <f t="shared" ref="Q710:Q766" si="1000">F710*P710</f>
        <v>73691.183370787243</v>
      </c>
      <c r="R710">
        <f t="shared" ref="R710:R766" si="1001">R711+Q710</f>
        <v>-103972294.54863012</v>
      </c>
      <c r="S710">
        <f t="shared" ref="S710:S766" si="1002">R710/100000</f>
        <v>-1039.7229454863011</v>
      </c>
      <c r="T710">
        <f t="shared" ref="T710:T766" si="1003">S710/1000</f>
        <v>-1.0397229454863011</v>
      </c>
    </row>
    <row r="711" spans="1:20" x14ac:dyDescent="0.25">
      <c r="A711" s="5">
        <v>43882</v>
      </c>
      <c r="B711">
        <v>0.1656</v>
      </c>
      <c r="C711">
        <v>0.16600000000000001</v>
      </c>
      <c r="D711">
        <v>0.15340000000000001</v>
      </c>
      <c r="E711">
        <v>0.15579999999999999</v>
      </c>
      <c r="F711">
        <v>1367230.09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-0.6190476190476214</v>
      </c>
      <c r="Q711">
        <f t="shared" si="1000"/>
        <v>-846380.53190476517</v>
      </c>
      <c r="R711">
        <f t="shared" si="1001"/>
        <v>-104045985.7320009</v>
      </c>
      <c r="S711">
        <f t="shared" si="1002"/>
        <v>-1040.459857320009</v>
      </c>
      <c r="T711">
        <f t="shared" si="1003"/>
        <v>-1.040459857320009</v>
      </c>
    </row>
    <row r="712" spans="1:20" x14ac:dyDescent="0.25">
      <c r="A712" s="5">
        <v>43881</v>
      </c>
      <c r="B712">
        <v>0.15229999999999999</v>
      </c>
      <c r="C712">
        <v>0.17</v>
      </c>
      <c r="D712">
        <v>0.14729999999999999</v>
      </c>
      <c r="E712">
        <v>0.16400000000000001</v>
      </c>
      <c r="F712">
        <v>1628028.83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0.47136563876651993</v>
      </c>
      <c r="Q712">
        <f t="shared" si="1000"/>
        <v>767396.84938326012</v>
      </c>
      <c r="R712">
        <f t="shared" si="1001"/>
        <v>-103199605.20009613</v>
      </c>
      <c r="S712">
        <f t="shared" si="1002"/>
        <v>-1031.9960520009613</v>
      </c>
      <c r="T712">
        <f t="shared" si="1003"/>
        <v>-1.0319960520009612</v>
      </c>
    </row>
    <row r="713" spans="1:20" x14ac:dyDescent="0.25">
      <c r="A713" s="5">
        <v>43880</v>
      </c>
      <c r="B713">
        <v>0.16819999999999999</v>
      </c>
      <c r="C713">
        <v>0.17560000000000001</v>
      </c>
      <c r="D713">
        <v>0.15040000000000001</v>
      </c>
      <c r="E713">
        <v>0.15290000000000001</v>
      </c>
      <c r="F713">
        <v>1503342.66</v>
      </c>
      <c r="G713">
        <v>0</v>
      </c>
      <c r="L713" t="s">
        <v>8</v>
      </c>
      <c r="M713" t="s">
        <v>8</v>
      </c>
      <c r="N713" t="s">
        <v>7</v>
      </c>
      <c r="P713">
        <f t="shared" si="999"/>
        <v>-0.8015873015873014</v>
      </c>
      <c r="Q713">
        <f t="shared" si="1000"/>
        <v>-1205060.3861904759</v>
      </c>
      <c r="R713">
        <f t="shared" si="1001"/>
        <v>-103967002.0494794</v>
      </c>
      <c r="S713">
        <f t="shared" si="1002"/>
        <v>-1039.670020494794</v>
      </c>
      <c r="T713">
        <f t="shared" si="1003"/>
        <v>-1.039670020494794</v>
      </c>
    </row>
    <row r="714" spans="1:20" x14ac:dyDescent="0.25">
      <c r="A714" s="5">
        <v>43879</v>
      </c>
      <c r="B714">
        <v>0.1633</v>
      </c>
      <c r="C714">
        <v>0.17100000000000001</v>
      </c>
      <c r="D714">
        <v>0.1547</v>
      </c>
      <c r="E714">
        <v>0.1678</v>
      </c>
      <c r="F714">
        <v>2558284.73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0.60736196319018321</v>
      </c>
      <c r="Q714">
        <f t="shared" si="1000"/>
        <v>1553804.8360122677</v>
      </c>
      <c r="R714">
        <f t="shared" si="1001"/>
        <v>-102761941.66328892</v>
      </c>
      <c r="S714">
        <f t="shared" si="1002"/>
        <v>-1027.6194166328892</v>
      </c>
      <c r="T714">
        <f t="shared" si="1003"/>
        <v>-1.0276194166328891</v>
      </c>
    </row>
    <row r="715" spans="1:20" x14ac:dyDescent="0.25">
      <c r="A715" s="5">
        <v>43878</v>
      </c>
      <c r="B715">
        <v>0.16200000000000001</v>
      </c>
      <c r="C715">
        <v>0.18</v>
      </c>
      <c r="D715">
        <v>0.14299999999999999</v>
      </c>
      <c r="E715">
        <v>0.1623</v>
      </c>
      <c r="F715">
        <v>4387841.57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4.3243243243243724E-2</v>
      </c>
      <c r="Q715">
        <f t="shared" si="1000"/>
        <v>189744.50032432645</v>
      </c>
      <c r="R715">
        <f t="shared" si="1001"/>
        <v>-104315746.4993012</v>
      </c>
      <c r="S715">
        <f t="shared" si="1002"/>
        <v>-1043.1574649930119</v>
      </c>
      <c r="T715">
        <f t="shared" si="1003"/>
        <v>-1.043157464993012</v>
      </c>
    </row>
    <row r="716" spans="1:20" x14ac:dyDescent="0.25">
      <c r="A716" s="5">
        <v>43877</v>
      </c>
      <c r="B716">
        <v>0.17219999999999999</v>
      </c>
      <c r="C716">
        <v>0.19450000000000001</v>
      </c>
      <c r="D716">
        <v>0.151</v>
      </c>
      <c r="E716">
        <v>0.1623</v>
      </c>
      <c r="F716">
        <v>3723670.72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-0.48045977011494245</v>
      </c>
      <c r="Q716">
        <f t="shared" si="1000"/>
        <v>-1789073.9781149423</v>
      </c>
      <c r="R716">
        <f t="shared" si="1001"/>
        <v>-104505490.99962552</v>
      </c>
      <c r="S716">
        <f t="shared" si="1002"/>
        <v>-1045.0549099962552</v>
      </c>
      <c r="T716">
        <f t="shared" si="1003"/>
        <v>-1.0450549099962552</v>
      </c>
    </row>
    <row r="717" spans="1:20" x14ac:dyDescent="0.25">
      <c r="A717" s="5">
        <v>43876</v>
      </c>
      <c r="B717">
        <v>0.18410000000000001</v>
      </c>
      <c r="C717">
        <v>0.21510000000000001</v>
      </c>
      <c r="D717">
        <v>0.17199999999999999</v>
      </c>
      <c r="E717">
        <v>0.17319999999999999</v>
      </c>
      <c r="F717">
        <v>4922590.3499999996</v>
      </c>
      <c r="G717">
        <v>0</v>
      </c>
      <c r="L717" t="s">
        <v>7</v>
      </c>
      <c r="M717" t="s">
        <v>8</v>
      </c>
      <c r="N717" t="s">
        <v>7</v>
      </c>
      <c r="P717">
        <f t="shared" si="999"/>
        <v>-0.94431554524361927</v>
      </c>
      <c r="Q717">
        <f t="shared" si="1000"/>
        <v>-4648478.5903712278</v>
      </c>
      <c r="R717">
        <f t="shared" si="1001"/>
        <v>-102716417.02151057</v>
      </c>
      <c r="S717">
        <f t="shared" si="1002"/>
        <v>-1027.1641702151057</v>
      </c>
      <c r="T717">
        <f t="shared" si="1003"/>
        <v>-1.0271641702151058</v>
      </c>
    </row>
    <row r="718" spans="1:20" x14ac:dyDescent="0.25">
      <c r="A718" s="5">
        <v>43875</v>
      </c>
      <c r="B718">
        <v>0.1792</v>
      </c>
      <c r="C718">
        <v>0.22</v>
      </c>
      <c r="D718">
        <v>0.1719</v>
      </c>
      <c r="E718">
        <v>0.1845</v>
      </c>
      <c r="F718">
        <v>6558620.2400000002</v>
      </c>
      <c r="G718">
        <v>0</v>
      </c>
      <c r="L718" t="s">
        <v>8</v>
      </c>
      <c r="M718" t="s">
        <v>7</v>
      </c>
      <c r="N718" t="s">
        <v>7</v>
      </c>
      <c r="P718">
        <f t="shared" si="999"/>
        <v>-0.47609147609147612</v>
      </c>
      <c r="Q718">
        <f t="shared" si="1000"/>
        <v>-3122503.1911850316</v>
      </c>
      <c r="R718">
        <f t="shared" si="1001"/>
        <v>-98067938.43113935</v>
      </c>
      <c r="S718">
        <f t="shared" si="1002"/>
        <v>-980.67938431139351</v>
      </c>
      <c r="T718">
        <f t="shared" si="1003"/>
        <v>-0.98067938431139345</v>
      </c>
    </row>
    <row r="719" spans="1:20" x14ac:dyDescent="0.25">
      <c r="A719" s="5">
        <v>43874</v>
      </c>
      <c r="B719">
        <v>0.2</v>
      </c>
      <c r="C719">
        <v>0.20799999999999999</v>
      </c>
      <c r="D719">
        <v>0.17499999999999999</v>
      </c>
      <c r="E719">
        <v>0.1792</v>
      </c>
      <c r="F719">
        <v>6794034.3899999997</v>
      </c>
      <c r="G719">
        <v>0</v>
      </c>
      <c r="L719" t="s">
        <v>7</v>
      </c>
      <c r="M719" t="s">
        <v>7</v>
      </c>
      <c r="N719" t="s">
        <v>7</v>
      </c>
      <c r="P719">
        <f t="shared" si="999"/>
        <v>-0.74545454545454493</v>
      </c>
      <c r="Q719">
        <f t="shared" si="1000"/>
        <v>-5064643.8179999962</v>
      </c>
      <c r="R719">
        <f t="shared" si="1001"/>
        <v>-94945435.239954323</v>
      </c>
      <c r="S719">
        <f t="shared" si="1002"/>
        <v>-949.45435239954327</v>
      </c>
      <c r="T719">
        <f t="shared" si="1003"/>
        <v>-0.94945435239954323</v>
      </c>
    </row>
    <row r="720" spans="1:20" x14ac:dyDescent="0.25">
      <c r="A720" s="5">
        <v>43873</v>
      </c>
      <c r="B720">
        <v>0.1792</v>
      </c>
      <c r="C720">
        <v>0.26</v>
      </c>
      <c r="D720">
        <v>0.17910000000000001</v>
      </c>
      <c r="E720">
        <v>0.19919999999999999</v>
      </c>
      <c r="F720">
        <v>24552899.59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-0.50309023485784976</v>
      </c>
      <c r="Q720">
        <f t="shared" si="1000"/>
        <v>-12352324.021174302</v>
      </c>
      <c r="R720">
        <f t="shared" si="1001"/>
        <v>-89880791.421954319</v>
      </c>
      <c r="S720">
        <f t="shared" si="1002"/>
        <v>-898.80791421954314</v>
      </c>
      <c r="T720">
        <f t="shared" si="1003"/>
        <v>-0.89880791421954309</v>
      </c>
    </row>
    <row r="721" spans="1:20" x14ac:dyDescent="0.25">
      <c r="A721" s="5">
        <v>43872</v>
      </c>
      <c r="B721">
        <v>0.15670000000000001</v>
      </c>
      <c r="C721">
        <v>0.19</v>
      </c>
      <c r="D721">
        <v>0.14610000000000001</v>
      </c>
      <c r="E721">
        <v>0.1797</v>
      </c>
      <c r="F721">
        <v>5650141.2699999996</v>
      </c>
      <c r="G721">
        <v>0</v>
      </c>
      <c r="L721" t="s">
        <v>7</v>
      </c>
      <c r="M721" t="s">
        <v>7</v>
      </c>
      <c r="N721" t="s">
        <v>8</v>
      </c>
      <c r="P721">
        <f t="shared" si="999"/>
        <v>0.53075170842824582</v>
      </c>
      <c r="Q721">
        <f t="shared" si="1000"/>
        <v>2998822.1319134384</v>
      </c>
      <c r="R721">
        <f t="shared" si="1001"/>
        <v>-77528467.400780022</v>
      </c>
      <c r="S721">
        <f t="shared" si="1002"/>
        <v>-775.28467400780028</v>
      </c>
      <c r="T721">
        <f t="shared" si="1003"/>
        <v>-0.77528467400780032</v>
      </c>
    </row>
    <row r="722" spans="1:20" x14ac:dyDescent="0.25">
      <c r="A722" s="5">
        <v>43871</v>
      </c>
      <c r="B722">
        <v>0.16869999999999999</v>
      </c>
      <c r="C722">
        <v>0.17399999999999999</v>
      </c>
      <c r="D722">
        <v>0.15</v>
      </c>
      <c r="E722">
        <v>0.15709999999999999</v>
      </c>
      <c r="F722">
        <v>3747506.12</v>
      </c>
      <c r="G722">
        <v>0</v>
      </c>
      <c r="L722" t="s">
        <v>7</v>
      </c>
      <c r="M722" t="s">
        <v>7</v>
      </c>
      <c r="N722" t="s">
        <v>8</v>
      </c>
      <c r="P722">
        <f t="shared" si="999"/>
        <v>-0.40833333333333355</v>
      </c>
      <c r="Q722">
        <f t="shared" si="1000"/>
        <v>-1530231.6656666675</v>
      </c>
      <c r="R722">
        <f t="shared" si="1001"/>
        <v>-80527289.532693461</v>
      </c>
      <c r="S722">
        <f t="shared" si="1002"/>
        <v>-805.27289532693464</v>
      </c>
      <c r="T722">
        <f t="shared" si="1003"/>
        <v>-0.80527289532693469</v>
      </c>
    </row>
    <row r="723" spans="1:20" x14ac:dyDescent="0.25">
      <c r="A723" s="5">
        <v>43870</v>
      </c>
      <c r="B723">
        <v>0.1479</v>
      </c>
      <c r="C723">
        <v>0.1948</v>
      </c>
      <c r="D723">
        <v>0.14449999999999999</v>
      </c>
      <c r="E723">
        <v>0.16869999999999999</v>
      </c>
      <c r="F723">
        <v>8488586.4900000002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-3.7773359840954521E-2</v>
      </c>
      <c r="Q723">
        <f t="shared" si="1000"/>
        <v>-320642.43202783511</v>
      </c>
      <c r="R723">
        <f t="shared" si="1001"/>
        <v>-78997057.867026791</v>
      </c>
      <c r="S723">
        <f t="shared" si="1002"/>
        <v>-789.97057867026786</v>
      </c>
      <c r="T723">
        <f t="shared" si="1003"/>
        <v>-0.78997057867026788</v>
      </c>
    </row>
    <row r="724" spans="1:20" x14ac:dyDescent="0.25">
      <c r="A724" s="5">
        <v>43869</v>
      </c>
      <c r="B724">
        <v>0.14879999999999999</v>
      </c>
      <c r="C724">
        <v>0.16600000000000001</v>
      </c>
      <c r="D724">
        <v>0.13250000000000001</v>
      </c>
      <c r="E724">
        <v>0.1479</v>
      </c>
      <c r="F724">
        <v>6420533.2800000003</v>
      </c>
      <c r="G724">
        <v>0</v>
      </c>
      <c r="L724" t="s">
        <v>7</v>
      </c>
      <c r="M724" t="s">
        <v>7</v>
      </c>
      <c r="N724" t="s">
        <v>7</v>
      </c>
      <c r="P724">
        <f t="shared" si="999"/>
        <v>-8.059701492537337E-2</v>
      </c>
      <c r="Q724">
        <f t="shared" si="1000"/>
        <v>-517475.81659701647</v>
      </c>
      <c r="R724">
        <f t="shared" si="1001"/>
        <v>-78676415.434998959</v>
      </c>
      <c r="S724">
        <f t="shared" si="1002"/>
        <v>-786.76415434998955</v>
      </c>
      <c r="T724">
        <f t="shared" si="1003"/>
        <v>-0.78676415434998959</v>
      </c>
    </row>
    <row r="725" spans="1:20" x14ac:dyDescent="0.25">
      <c r="A725" s="5">
        <v>43868</v>
      </c>
      <c r="B725">
        <v>0.15129999999999999</v>
      </c>
      <c r="C725">
        <v>0.19570000000000001</v>
      </c>
      <c r="D725">
        <v>0.14399999999999999</v>
      </c>
      <c r="E725">
        <v>0.14960000000000001</v>
      </c>
      <c r="F725">
        <v>21897713.600000001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-0.78336557059961243</v>
      </c>
      <c r="Q725">
        <f t="shared" si="1000"/>
        <v>-17153914.909090895</v>
      </c>
      <c r="R725">
        <f t="shared" si="1001"/>
        <v>-78158939.618401945</v>
      </c>
      <c r="S725">
        <f t="shared" si="1002"/>
        <v>-781.58939618401939</v>
      </c>
      <c r="T725">
        <f t="shared" si="1003"/>
        <v>-0.78158939618401935</v>
      </c>
    </row>
    <row r="726" spans="1:20" x14ac:dyDescent="0.25">
      <c r="A726" s="5">
        <v>43867</v>
      </c>
      <c r="B726">
        <v>0.1057</v>
      </c>
      <c r="C726">
        <v>0.183</v>
      </c>
      <c r="D726">
        <v>0.10489999999999999</v>
      </c>
      <c r="E726">
        <v>0.15160000000000001</v>
      </c>
      <c r="F726">
        <v>19390496.530000001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0.1959026888604358</v>
      </c>
      <c r="Q726">
        <f t="shared" si="1000"/>
        <v>3798650.4085659501</v>
      </c>
      <c r="R726">
        <f t="shared" si="1001"/>
        <v>-61005024.709311053</v>
      </c>
      <c r="S726">
        <f t="shared" si="1002"/>
        <v>-610.05024709311056</v>
      </c>
      <c r="T726">
        <f t="shared" si="1003"/>
        <v>-0.61005024709311051</v>
      </c>
    </row>
    <row r="727" spans="1:20" x14ac:dyDescent="0.25">
      <c r="A727" s="5">
        <v>43866</v>
      </c>
      <c r="B727">
        <v>0.1081</v>
      </c>
      <c r="C727">
        <v>0.11070000000000001</v>
      </c>
      <c r="D727">
        <v>0.1032</v>
      </c>
      <c r="E727">
        <v>0.10489999999999999</v>
      </c>
      <c r="F727">
        <v>1651370.07</v>
      </c>
      <c r="G727">
        <v>0</v>
      </c>
      <c r="L727" t="s">
        <v>7</v>
      </c>
      <c r="M727" t="s">
        <v>8</v>
      </c>
      <c r="N727" t="s">
        <v>7</v>
      </c>
      <c r="P727">
        <f t="shared" si="999"/>
        <v>-0.54666666666666885</v>
      </c>
      <c r="Q727">
        <f t="shared" si="1000"/>
        <v>-902748.97160000366</v>
      </c>
      <c r="R727">
        <f t="shared" si="1001"/>
        <v>-64803675.117877007</v>
      </c>
      <c r="S727">
        <f t="shared" si="1002"/>
        <v>-648.03675117877003</v>
      </c>
      <c r="T727">
        <f t="shared" si="1003"/>
        <v>-0.64803675117877002</v>
      </c>
    </row>
    <row r="728" spans="1:20" x14ac:dyDescent="0.25">
      <c r="A728" s="5">
        <v>43865</v>
      </c>
      <c r="B728">
        <v>0.1011</v>
      </c>
      <c r="C728">
        <v>0.11119999999999999</v>
      </c>
      <c r="D728">
        <v>0.10100000000000001</v>
      </c>
      <c r="E728">
        <v>0.1089</v>
      </c>
      <c r="F728">
        <v>2902796.95</v>
      </c>
      <c r="G728">
        <v>0</v>
      </c>
      <c r="L728" t="s">
        <v>8</v>
      </c>
      <c r="M728" t="s">
        <v>8</v>
      </c>
      <c r="N728" t="s">
        <v>7</v>
      </c>
      <c r="P728">
        <f t="shared" si="999"/>
        <v>0.54901960784313741</v>
      </c>
      <c r="Q728">
        <f t="shared" si="1000"/>
        <v>1593692.4431372555</v>
      </c>
      <c r="R728">
        <f t="shared" si="1001"/>
        <v>-63900926.146277003</v>
      </c>
      <c r="S728">
        <f t="shared" si="1002"/>
        <v>-639.00926146277004</v>
      </c>
      <c r="T728">
        <f t="shared" si="1003"/>
        <v>-0.63900926146277004</v>
      </c>
    </row>
    <row r="729" spans="1:20" x14ac:dyDescent="0.25">
      <c r="A729" s="5">
        <v>43864</v>
      </c>
      <c r="B729">
        <v>9.5799999999999996E-2</v>
      </c>
      <c r="C729">
        <v>0.10150000000000001</v>
      </c>
      <c r="D729">
        <v>9.5799999999999996E-2</v>
      </c>
      <c r="E729">
        <v>0.1011</v>
      </c>
      <c r="F729">
        <v>1356191.75</v>
      </c>
      <c r="G729">
        <v>0</v>
      </c>
      <c r="L729" t="s">
        <v>8</v>
      </c>
      <c r="M729" t="s">
        <v>7</v>
      </c>
      <c r="N729" t="s">
        <v>7</v>
      </c>
      <c r="P729">
        <f t="shared" si="999"/>
        <v>0.85964912280701378</v>
      </c>
      <c r="Q729">
        <f t="shared" si="1000"/>
        <v>1165849.048245609</v>
      </c>
      <c r="R729">
        <f t="shared" si="1001"/>
        <v>-65494618.589414261</v>
      </c>
      <c r="S729">
        <f t="shared" si="1002"/>
        <v>-654.94618589414256</v>
      </c>
      <c r="T729">
        <f t="shared" si="1003"/>
        <v>-0.65494618589414255</v>
      </c>
    </row>
    <row r="730" spans="1:20" x14ac:dyDescent="0.25">
      <c r="A730" s="5">
        <v>43863</v>
      </c>
      <c r="B730">
        <v>9.5699999999999993E-2</v>
      </c>
      <c r="C730">
        <v>9.74E-2</v>
      </c>
      <c r="D730">
        <v>9.5000000000000001E-2</v>
      </c>
      <c r="E730">
        <v>9.5699999999999993E-2</v>
      </c>
      <c r="F730">
        <v>678176.99</v>
      </c>
      <c r="G730">
        <v>0</v>
      </c>
      <c r="L730" t="s">
        <v>8</v>
      </c>
      <c r="M730" t="s">
        <v>7</v>
      </c>
      <c r="N730" t="s">
        <v>7</v>
      </c>
      <c r="P730">
        <f t="shared" si="999"/>
        <v>-0.41666666666667296</v>
      </c>
      <c r="Q730">
        <f t="shared" si="1000"/>
        <v>-282573.7458333376</v>
      </c>
      <c r="R730">
        <f t="shared" si="1001"/>
        <v>-66660467.63765987</v>
      </c>
      <c r="S730">
        <f t="shared" si="1002"/>
        <v>-666.60467637659872</v>
      </c>
      <c r="T730">
        <f t="shared" si="1003"/>
        <v>-0.6666046763765987</v>
      </c>
    </row>
    <row r="731" spans="1:20" x14ac:dyDescent="0.25">
      <c r="A731" s="5">
        <v>43862</v>
      </c>
      <c r="B731">
        <v>9.5399999999999999E-2</v>
      </c>
      <c r="C731">
        <v>9.6699999999999994E-2</v>
      </c>
      <c r="D731">
        <v>9.2999999999999999E-2</v>
      </c>
      <c r="E731">
        <v>9.5500000000000002E-2</v>
      </c>
      <c r="F731">
        <v>720613</v>
      </c>
      <c r="G731">
        <v>0</v>
      </c>
      <c r="L731" t="s">
        <v>8</v>
      </c>
      <c r="M731" t="s">
        <v>7</v>
      </c>
      <c r="N731" t="s">
        <v>7</v>
      </c>
      <c r="P731">
        <f t="shared" si="999"/>
        <v>0.35135135135135437</v>
      </c>
      <c r="Q731">
        <f t="shared" si="1000"/>
        <v>253188.35135135351</v>
      </c>
      <c r="R731">
        <f t="shared" si="1001"/>
        <v>-66377893.891826533</v>
      </c>
      <c r="S731">
        <f t="shared" si="1002"/>
        <v>-663.77893891826534</v>
      </c>
      <c r="T731">
        <f t="shared" si="1003"/>
        <v>-0.66377893891826534</v>
      </c>
    </row>
    <row r="732" spans="1:20" x14ac:dyDescent="0.25">
      <c r="A732" s="5">
        <v>43861</v>
      </c>
      <c r="B732">
        <v>9.1399999999999995E-2</v>
      </c>
      <c r="C732">
        <v>9.5899999999999999E-2</v>
      </c>
      <c r="D732">
        <v>9.11E-2</v>
      </c>
      <c r="E732">
        <v>9.5000000000000001E-2</v>
      </c>
      <c r="F732">
        <v>1003571.26</v>
      </c>
      <c r="G732">
        <v>0</v>
      </c>
      <c r="L732" t="s">
        <v>7</v>
      </c>
      <c r="M732" t="s">
        <v>7</v>
      </c>
      <c r="N732" t="s">
        <v>7</v>
      </c>
      <c r="P732">
        <f t="shared" si="999"/>
        <v>0.62500000000000078</v>
      </c>
      <c r="Q732">
        <f t="shared" si="1000"/>
        <v>627232.03750000079</v>
      </c>
      <c r="R732">
        <f t="shared" si="1001"/>
        <v>-66631082.243177883</v>
      </c>
      <c r="S732">
        <f t="shared" si="1002"/>
        <v>-666.31082243177889</v>
      </c>
      <c r="T732">
        <f t="shared" si="1003"/>
        <v>-0.66631082243177886</v>
      </c>
    </row>
    <row r="733" spans="1:20" x14ac:dyDescent="0.25">
      <c r="A733" s="5">
        <v>43860</v>
      </c>
      <c r="B733">
        <v>9.2200000000000004E-2</v>
      </c>
      <c r="C733">
        <v>9.4799999999999995E-2</v>
      </c>
      <c r="D733">
        <v>9.0800000000000006E-2</v>
      </c>
      <c r="E733">
        <v>9.1200000000000003E-2</v>
      </c>
      <c r="F733">
        <v>685138.44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-0.80000000000000071</v>
      </c>
      <c r="Q733">
        <f t="shared" si="1000"/>
        <v>-548110.75200000044</v>
      </c>
      <c r="R733">
        <f t="shared" si="1001"/>
        <v>-67258314.280677885</v>
      </c>
      <c r="S733">
        <f t="shared" si="1002"/>
        <v>-672.58314280677882</v>
      </c>
      <c r="T733">
        <f t="shared" si="1003"/>
        <v>-0.67258314280677878</v>
      </c>
    </row>
    <row r="734" spans="1:20" x14ac:dyDescent="0.25">
      <c r="A734" s="5">
        <v>43859</v>
      </c>
      <c r="B734">
        <v>9.7000000000000003E-2</v>
      </c>
      <c r="C734">
        <v>9.7299999999999998E-2</v>
      </c>
      <c r="D734">
        <v>9.2100000000000001E-2</v>
      </c>
      <c r="E734">
        <v>9.3100000000000002E-2</v>
      </c>
      <c r="F734">
        <v>1409590.02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-0.61538461538461475</v>
      </c>
      <c r="Q734">
        <f t="shared" si="1000"/>
        <v>-867440.01230769139</v>
      </c>
      <c r="R734">
        <f t="shared" si="1001"/>
        <v>-66710203.528677881</v>
      </c>
      <c r="S734">
        <f t="shared" si="1002"/>
        <v>-667.1020352867788</v>
      </c>
      <c r="T734">
        <f t="shared" si="1003"/>
        <v>-0.66710203528677881</v>
      </c>
    </row>
    <row r="735" spans="1:20" x14ac:dyDescent="0.25">
      <c r="A735" s="5">
        <v>43858</v>
      </c>
      <c r="B735">
        <v>9.8000000000000004E-2</v>
      </c>
      <c r="C735">
        <v>9.9500000000000005E-2</v>
      </c>
      <c r="D735">
        <v>9.5000000000000001E-2</v>
      </c>
      <c r="E735">
        <v>9.64E-2</v>
      </c>
      <c r="F735">
        <v>434674.31</v>
      </c>
      <c r="G735">
        <v>0</v>
      </c>
      <c r="L735" t="s">
        <v>7</v>
      </c>
      <c r="M735" t="s">
        <v>7</v>
      </c>
      <c r="N735" t="s">
        <v>7</v>
      </c>
      <c r="P735">
        <f t="shared" si="999"/>
        <v>-0.37777777777777899</v>
      </c>
      <c r="Q735">
        <f t="shared" si="1000"/>
        <v>-164210.29488888942</v>
      </c>
      <c r="R735">
        <f t="shared" si="1001"/>
        <v>-65842763.516370192</v>
      </c>
      <c r="S735">
        <f t="shared" si="1002"/>
        <v>-658.42763516370189</v>
      </c>
      <c r="T735">
        <f t="shared" si="1003"/>
        <v>-0.65842763516370184</v>
      </c>
    </row>
    <row r="736" spans="1:20" x14ac:dyDescent="0.25">
      <c r="A736" s="5">
        <v>43857</v>
      </c>
      <c r="B736">
        <v>9.7699999999999995E-2</v>
      </c>
      <c r="C736">
        <v>9.9000000000000005E-2</v>
      </c>
      <c r="D736">
        <v>9.5899999999999999E-2</v>
      </c>
      <c r="E736">
        <v>9.8000000000000004E-2</v>
      </c>
      <c r="F736">
        <v>945864.03</v>
      </c>
      <c r="G736">
        <v>0</v>
      </c>
      <c r="L736" t="s">
        <v>7</v>
      </c>
      <c r="M736" t="s">
        <v>7</v>
      </c>
      <c r="N736" t="s">
        <v>7</v>
      </c>
      <c r="P736">
        <f t="shared" si="999"/>
        <v>0.35483870967741993</v>
      </c>
      <c r="Q736">
        <f t="shared" si="1000"/>
        <v>335629.1719354844</v>
      </c>
      <c r="R736">
        <f t="shared" si="1001"/>
        <v>-65678553.221481301</v>
      </c>
      <c r="S736">
        <f t="shared" si="1002"/>
        <v>-656.78553221481297</v>
      </c>
      <c r="T736">
        <f t="shared" si="1003"/>
        <v>-0.65678553221481295</v>
      </c>
    </row>
    <row r="737" spans="1:20" x14ac:dyDescent="0.25">
      <c r="A737" s="5">
        <v>43856</v>
      </c>
      <c r="B737">
        <v>9.3700000000000006E-2</v>
      </c>
      <c r="C737">
        <v>9.7799999999999998E-2</v>
      </c>
      <c r="D737">
        <v>9.2999999999999999E-2</v>
      </c>
      <c r="E737">
        <v>9.7799999999999998E-2</v>
      </c>
      <c r="F737">
        <v>406181.99</v>
      </c>
      <c r="G737">
        <v>0</v>
      </c>
      <c r="L737" t="s">
        <v>7</v>
      </c>
      <c r="M737" t="s">
        <v>7</v>
      </c>
      <c r="N737" t="s">
        <v>7</v>
      </c>
      <c r="P737">
        <f t="shared" si="999"/>
        <v>1</v>
      </c>
      <c r="Q737">
        <f t="shared" si="1000"/>
        <v>406181.99</v>
      </c>
      <c r="R737">
        <f t="shared" si="1001"/>
        <v>-66014182.393416785</v>
      </c>
      <c r="S737">
        <f t="shared" si="1002"/>
        <v>-660.14182393416786</v>
      </c>
      <c r="T737">
        <f t="shared" si="1003"/>
        <v>-0.66014182393416787</v>
      </c>
    </row>
    <row r="738" spans="1:20" x14ac:dyDescent="0.25">
      <c r="A738" s="5">
        <v>43855</v>
      </c>
      <c r="B738">
        <v>9.7000000000000003E-2</v>
      </c>
      <c r="C738">
        <v>9.7500000000000003E-2</v>
      </c>
      <c r="D738">
        <v>9.3299999999999994E-2</v>
      </c>
      <c r="E738">
        <v>9.3600000000000003E-2</v>
      </c>
      <c r="F738">
        <v>708825.25</v>
      </c>
      <c r="G738">
        <v>0</v>
      </c>
      <c r="L738" t="s">
        <v>7</v>
      </c>
      <c r="M738" t="s">
        <v>7</v>
      </c>
      <c r="N738" t="s">
        <v>7</v>
      </c>
      <c r="P738">
        <f t="shared" si="999"/>
        <v>-0.85714285714285332</v>
      </c>
      <c r="Q738">
        <f t="shared" si="1000"/>
        <v>-607564.49999999732</v>
      </c>
      <c r="R738">
        <f t="shared" si="1001"/>
        <v>-66420364.383416787</v>
      </c>
      <c r="S738">
        <f t="shared" si="1002"/>
        <v>-664.20364383416791</v>
      </c>
      <c r="T738">
        <f t="shared" si="1003"/>
        <v>-0.66420364383416786</v>
      </c>
    </row>
    <row r="739" spans="1:20" x14ac:dyDescent="0.25">
      <c r="A739" s="5">
        <v>43854</v>
      </c>
      <c r="B739">
        <v>9.9000000000000005E-2</v>
      </c>
      <c r="C739">
        <v>0.1</v>
      </c>
      <c r="D739">
        <v>9.2899999999999996E-2</v>
      </c>
      <c r="E739">
        <v>9.6699999999999994E-2</v>
      </c>
      <c r="F739">
        <v>2089430.75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7.0422535211265624E-2</v>
      </c>
      <c r="Q739">
        <f t="shared" si="1000"/>
        <v>147143.01056337616</v>
      </c>
      <c r="R739">
        <f t="shared" si="1001"/>
        <v>-65812799.883416787</v>
      </c>
      <c r="S739">
        <f t="shared" si="1002"/>
        <v>-658.1279988341679</v>
      </c>
      <c r="T739">
        <f t="shared" si="1003"/>
        <v>-0.65812799883416795</v>
      </c>
    </row>
    <row r="740" spans="1:20" x14ac:dyDescent="0.25">
      <c r="A740" s="5">
        <v>43853</v>
      </c>
      <c r="B740">
        <v>0.1036</v>
      </c>
      <c r="C740">
        <v>0.1057</v>
      </c>
      <c r="D740">
        <v>9.8400000000000001E-2</v>
      </c>
      <c r="E740">
        <v>9.9099999999999994E-2</v>
      </c>
      <c r="F740">
        <v>1025264.57</v>
      </c>
      <c r="G740">
        <v>0</v>
      </c>
      <c r="L740" t="s">
        <v>7</v>
      </c>
      <c r="M740" t="s">
        <v>8</v>
      </c>
      <c r="N740" t="s">
        <v>7</v>
      </c>
      <c r="P740">
        <f t="shared" si="999"/>
        <v>-0.8082191780821939</v>
      </c>
      <c r="Q740">
        <f t="shared" si="1000"/>
        <v>-828638.48808219389</v>
      </c>
      <c r="R740">
        <f t="shared" si="1001"/>
        <v>-65959942.89398016</v>
      </c>
      <c r="S740">
        <f t="shared" si="1002"/>
        <v>-659.59942893980156</v>
      </c>
      <c r="T740">
        <f t="shared" si="1003"/>
        <v>-0.6595994289398015</v>
      </c>
    </row>
    <row r="741" spans="1:20" x14ac:dyDescent="0.25">
      <c r="A741" s="5">
        <v>43852</v>
      </c>
      <c r="B741">
        <v>0.1026</v>
      </c>
      <c r="C741">
        <v>0.1066</v>
      </c>
      <c r="D741">
        <v>0.1017</v>
      </c>
      <c r="E741">
        <v>0.1036</v>
      </c>
      <c r="F741">
        <v>904463.59</v>
      </c>
      <c r="G741">
        <v>0</v>
      </c>
      <c r="L741" t="s">
        <v>7</v>
      </c>
      <c r="M741" t="s">
        <v>8</v>
      </c>
      <c r="N741" t="s">
        <v>7</v>
      </c>
      <c r="P741">
        <f t="shared" si="999"/>
        <v>-0.22448979591836804</v>
      </c>
      <c r="Q741">
        <f t="shared" si="1000"/>
        <v>-203042.8467346945</v>
      </c>
      <c r="R741">
        <f t="shared" si="1001"/>
        <v>-65131304.405897968</v>
      </c>
      <c r="S741">
        <f t="shared" si="1002"/>
        <v>-651.3130440589797</v>
      </c>
      <c r="T741">
        <f t="shared" si="1003"/>
        <v>-0.65131304405897972</v>
      </c>
    </row>
    <row r="742" spans="1:20" x14ac:dyDescent="0.25">
      <c r="A742" s="5">
        <v>43851</v>
      </c>
      <c r="B742">
        <v>0.1085</v>
      </c>
      <c r="C742">
        <v>0.1086</v>
      </c>
      <c r="D742">
        <v>0.1011</v>
      </c>
      <c r="E742">
        <v>0.1027</v>
      </c>
      <c r="F742">
        <v>849099.15</v>
      </c>
      <c r="G742">
        <v>0</v>
      </c>
      <c r="L742" t="s">
        <v>7</v>
      </c>
      <c r="M742" t="s">
        <v>8</v>
      </c>
      <c r="N742" t="s">
        <v>7</v>
      </c>
      <c r="P742">
        <f t="shared" si="999"/>
        <v>-0.57333333333333258</v>
      </c>
      <c r="Q742">
        <f t="shared" si="1000"/>
        <v>-486816.84599999938</v>
      </c>
      <c r="R742">
        <f t="shared" si="1001"/>
        <v>-64928261.559163272</v>
      </c>
      <c r="S742">
        <f t="shared" si="1002"/>
        <v>-649.28261559163275</v>
      </c>
      <c r="T742">
        <f t="shared" si="1003"/>
        <v>-0.64928261559163269</v>
      </c>
    </row>
    <row r="743" spans="1:20" x14ac:dyDescent="0.25">
      <c r="A743" s="5">
        <v>43850</v>
      </c>
      <c r="B743">
        <v>0.1066</v>
      </c>
      <c r="C743">
        <v>0.11269999999999999</v>
      </c>
      <c r="D743">
        <v>0.1027</v>
      </c>
      <c r="E743">
        <v>0.1085</v>
      </c>
      <c r="F743">
        <v>1419303.7</v>
      </c>
      <c r="G743">
        <v>0</v>
      </c>
      <c r="L743" t="s">
        <v>8</v>
      </c>
      <c r="M743" t="s">
        <v>8</v>
      </c>
      <c r="N743" t="s">
        <v>7</v>
      </c>
      <c r="P743">
        <f t="shared" si="999"/>
        <v>0.1600000000000005</v>
      </c>
      <c r="Q743">
        <f t="shared" si="1000"/>
        <v>227088.5920000007</v>
      </c>
      <c r="R743">
        <f t="shared" si="1001"/>
        <v>-64441444.713163272</v>
      </c>
      <c r="S743">
        <f t="shared" si="1002"/>
        <v>-644.41444713163276</v>
      </c>
      <c r="T743">
        <f t="shared" si="1003"/>
        <v>-0.64441444713163276</v>
      </c>
    </row>
    <row r="744" spans="1:20" x14ac:dyDescent="0.25">
      <c r="A744" s="5">
        <v>43849</v>
      </c>
      <c r="B744">
        <v>9.9500000000000005E-2</v>
      </c>
      <c r="C744">
        <v>0.111</v>
      </c>
      <c r="D744">
        <v>9.7100000000000006E-2</v>
      </c>
      <c r="E744">
        <v>0.1066</v>
      </c>
      <c r="F744">
        <v>3393332.39</v>
      </c>
      <c r="G744">
        <v>0</v>
      </c>
      <c r="L744" t="s">
        <v>8</v>
      </c>
      <c r="M744" t="s">
        <v>8</v>
      </c>
      <c r="N744" t="s">
        <v>7</v>
      </c>
      <c r="P744">
        <f t="shared" si="999"/>
        <v>0.36690647482014355</v>
      </c>
      <c r="Q744">
        <f t="shared" si="1000"/>
        <v>1245035.6251079126</v>
      </c>
      <c r="R744">
        <f t="shared" si="1001"/>
        <v>-64668533.305163272</v>
      </c>
      <c r="S744">
        <f t="shared" si="1002"/>
        <v>-646.68533305163271</v>
      </c>
      <c r="T744">
        <f t="shared" si="1003"/>
        <v>-0.64668533305163267</v>
      </c>
    </row>
    <row r="745" spans="1:20" x14ac:dyDescent="0.25">
      <c r="A745" s="5">
        <v>43848</v>
      </c>
      <c r="B745">
        <v>0.1019</v>
      </c>
      <c r="C745">
        <v>0.10589999999999999</v>
      </c>
      <c r="D745">
        <v>9.8500000000000004E-2</v>
      </c>
      <c r="E745">
        <v>9.98E-2</v>
      </c>
      <c r="F745">
        <v>1072063.31</v>
      </c>
      <c r="G745">
        <v>0</v>
      </c>
      <c r="L745" t="s">
        <v>8</v>
      </c>
      <c r="M745" t="s">
        <v>8</v>
      </c>
      <c r="N745" t="s">
        <v>7</v>
      </c>
      <c r="P745">
        <f t="shared" si="999"/>
        <v>-0.64864864864864935</v>
      </c>
      <c r="Q745">
        <f t="shared" si="1000"/>
        <v>-695392.41729729809</v>
      </c>
      <c r="R745">
        <f t="shared" si="1001"/>
        <v>-65913568.930271186</v>
      </c>
      <c r="S745">
        <f t="shared" si="1002"/>
        <v>-659.13568930271185</v>
      </c>
      <c r="T745">
        <f t="shared" si="1003"/>
        <v>-0.65913568930271182</v>
      </c>
    </row>
    <row r="746" spans="1:20" x14ac:dyDescent="0.25">
      <c r="A746" s="5">
        <v>43847</v>
      </c>
      <c r="B746">
        <v>9.8500000000000004E-2</v>
      </c>
      <c r="C746">
        <v>0.1031</v>
      </c>
      <c r="D746">
        <v>9.69E-2</v>
      </c>
      <c r="E746">
        <v>0.1026</v>
      </c>
      <c r="F746">
        <v>1253115.8999999999</v>
      </c>
      <c r="G746">
        <v>0</v>
      </c>
      <c r="L746" t="s">
        <v>8</v>
      </c>
      <c r="M746" t="s">
        <v>8</v>
      </c>
      <c r="N746" t="s">
        <v>7</v>
      </c>
      <c r="P746">
        <f t="shared" si="999"/>
        <v>0.83870967741935465</v>
      </c>
      <c r="Q746">
        <f t="shared" si="1000"/>
        <v>1051000.4322580642</v>
      </c>
      <c r="R746">
        <f t="shared" si="1001"/>
        <v>-65218176.51297389</v>
      </c>
      <c r="S746">
        <f t="shared" si="1002"/>
        <v>-652.18176512973889</v>
      </c>
      <c r="T746">
        <f t="shared" si="1003"/>
        <v>-0.65218176512973891</v>
      </c>
    </row>
    <row r="747" spans="1:20" x14ac:dyDescent="0.25">
      <c r="A747" s="5">
        <v>43846</v>
      </c>
      <c r="B747">
        <v>9.6100000000000005E-2</v>
      </c>
      <c r="C747">
        <v>9.8699999999999996E-2</v>
      </c>
      <c r="D747">
        <v>9.3700000000000006E-2</v>
      </c>
      <c r="E747">
        <v>9.8500000000000004E-2</v>
      </c>
      <c r="F747">
        <v>742910.2</v>
      </c>
      <c r="G747">
        <v>0</v>
      </c>
      <c r="L747" t="s">
        <v>7</v>
      </c>
      <c r="M747" t="s">
        <v>8</v>
      </c>
      <c r="N747" t="s">
        <v>7</v>
      </c>
      <c r="P747">
        <f t="shared" si="999"/>
        <v>0.92000000000000315</v>
      </c>
      <c r="Q747">
        <f t="shared" si="1000"/>
        <v>683477.38400000229</v>
      </c>
      <c r="R747">
        <f t="shared" si="1001"/>
        <v>-66269176.945231952</v>
      </c>
      <c r="S747">
        <f t="shared" si="1002"/>
        <v>-662.69176945231948</v>
      </c>
      <c r="T747">
        <f t="shared" si="1003"/>
        <v>-0.66269176945231945</v>
      </c>
    </row>
    <row r="748" spans="1:20" x14ac:dyDescent="0.25">
      <c r="A748" s="5">
        <v>43845</v>
      </c>
      <c r="B748">
        <v>9.5100000000000004E-2</v>
      </c>
      <c r="C748">
        <v>0.1012</v>
      </c>
      <c r="D748">
        <v>9.4700000000000006E-2</v>
      </c>
      <c r="E748">
        <v>9.6199999999999994E-2</v>
      </c>
      <c r="F748">
        <v>1669596.19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-0.53846153846154177</v>
      </c>
      <c r="Q748">
        <f t="shared" si="1000"/>
        <v>-899013.33307692851</v>
      </c>
      <c r="R748">
        <f t="shared" si="1001"/>
        <v>-66952654.329231955</v>
      </c>
      <c r="S748">
        <f t="shared" si="1002"/>
        <v>-669.5265432923195</v>
      </c>
      <c r="T748">
        <f t="shared" si="1003"/>
        <v>-0.66952654329231953</v>
      </c>
    </row>
    <row r="749" spans="1:20" x14ac:dyDescent="0.25">
      <c r="A749" s="5">
        <v>43844</v>
      </c>
      <c r="B749">
        <v>9.4299999999999995E-2</v>
      </c>
      <c r="C749">
        <v>9.7500000000000003E-2</v>
      </c>
      <c r="D749">
        <v>9.1899999999999996E-2</v>
      </c>
      <c r="E749">
        <v>9.5399999999999999E-2</v>
      </c>
      <c r="F749">
        <v>1483232.32</v>
      </c>
      <c r="G749">
        <v>0</v>
      </c>
      <c r="L749" t="s">
        <v>7</v>
      </c>
      <c r="M749" t="s">
        <v>8</v>
      </c>
      <c r="N749" t="s">
        <v>7</v>
      </c>
      <c r="P749">
        <f t="shared" si="999"/>
        <v>0.24999999999999939</v>
      </c>
      <c r="Q749">
        <f t="shared" si="1000"/>
        <v>370808.07999999908</v>
      </c>
      <c r="R749">
        <f t="shared" si="1001"/>
        <v>-66053640.996155024</v>
      </c>
      <c r="S749">
        <f t="shared" si="1002"/>
        <v>-660.53640996155025</v>
      </c>
      <c r="T749">
        <f t="shared" si="1003"/>
        <v>-0.66053640996155027</v>
      </c>
    </row>
    <row r="750" spans="1:20" x14ac:dyDescent="0.25">
      <c r="A750" s="5">
        <v>43843</v>
      </c>
      <c r="B750">
        <v>9.7799999999999998E-2</v>
      </c>
      <c r="C750">
        <v>0.1</v>
      </c>
      <c r="D750">
        <v>9.3600000000000003E-2</v>
      </c>
      <c r="E750">
        <v>9.4299999999999995E-2</v>
      </c>
      <c r="F750">
        <v>1117952.79</v>
      </c>
      <c r="G750">
        <v>0</v>
      </c>
      <c r="L750" t="s">
        <v>8</v>
      </c>
      <c r="M750" t="s">
        <v>8</v>
      </c>
      <c r="N750" t="s">
        <v>7</v>
      </c>
      <c r="P750">
        <f t="shared" si="999"/>
        <v>-0.78125000000000255</v>
      </c>
      <c r="Q750">
        <f t="shared" si="1000"/>
        <v>-873400.61718750291</v>
      </c>
      <c r="R750">
        <f t="shared" si="1001"/>
        <v>-66424449.076155022</v>
      </c>
      <c r="S750">
        <f t="shared" si="1002"/>
        <v>-664.2444907615502</v>
      </c>
      <c r="T750">
        <f t="shared" si="1003"/>
        <v>-0.66424449076155023</v>
      </c>
    </row>
    <row r="751" spans="1:20" x14ac:dyDescent="0.25">
      <c r="A751" s="5">
        <v>43842</v>
      </c>
      <c r="B751">
        <v>9.0200000000000002E-2</v>
      </c>
      <c r="C751">
        <v>9.8900000000000002E-2</v>
      </c>
      <c r="D751">
        <v>8.9899999999999994E-2</v>
      </c>
      <c r="E751">
        <v>9.8299999999999998E-2</v>
      </c>
      <c r="F751">
        <v>793379.89</v>
      </c>
      <c r="G751">
        <v>0</v>
      </c>
      <c r="L751" t="s">
        <v>8</v>
      </c>
      <c r="M751" t="s">
        <v>8</v>
      </c>
      <c r="N751" t="s">
        <v>7</v>
      </c>
      <c r="P751">
        <f t="shared" si="999"/>
        <v>0.86666666666666603</v>
      </c>
      <c r="Q751">
        <f t="shared" si="1000"/>
        <v>687595.90466666617</v>
      </c>
      <c r="R751">
        <f t="shared" si="1001"/>
        <v>-65551048.458967522</v>
      </c>
      <c r="S751">
        <f t="shared" si="1002"/>
        <v>-655.51048458967523</v>
      </c>
      <c r="T751">
        <f t="shared" si="1003"/>
        <v>-0.6555104845896752</v>
      </c>
    </row>
    <row r="752" spans="1:20" x14ac:dyDescent="0.25">
      <c r="A752" s="5">
        <v>43841</v>
      </c>
      <c r="B752">
        <v>9.1300000000000006E-2</v>
      </c>
      <c r="C752">
        <v>9.3600000000000003E-2</v>
      </c>
      <c r="D752">
        <v>8.9800000000000005E-2</v>
      </c>
      <c r="E752">
        <v>8.9899999999999994E-2</v>
      </c>
      <c r="F752">
        <v>618732.96</v>
      </c>
      <c r="G752">
        <v>0</v>
      </c>
      <c r="L752" t="s">
        <v>7</v>
      </c>
      <c r="M752" t="s">
        <v>8</v>
      </c>
      <c r="N752" t="s">
        <v>7</v>
      </c>
      <c r="P752">
        <f t="shared" si="999"/>
        <v>-0.9473684210526373</v>
      </c>
      <c r="Q752">
        <f t="shared" si="1000"/>
        <v>-586168.06736842461</v>
      </c>
      <c r="R752">
        <f t="shared" si="1001"/>
        <v>-66238644.363634191</v>
      </c>
      <c r="S752">
        <f t="shared" si="1002"/>
        <v>-662.38644363634194</v>
      </c>
      <c r="T752">
        <f t="shared" si="1003"/>
        <v>-0.66238644363634192</v>
      </c>
    </row>
    <row r="753" spans="1:20" x14ac:dyDescent="0.25">
      <c r="A753" s="5">
        <v>43840</v>
      </c>
      <c r="B753">
        <v>9.1399999999999995E-2</v>
      </c>
      <c r="C753">
        <v>9.2700000000000005E-2</v>
      </c>
      <c r="D753">
        <v>8.9099999999999999E-2</v>
      </c>
      <c r="E753">
        <v>9.1300000000000006E-2</v>
      </c>
      <c r="F753">
        <v>746362.47</v>
      </c>
      <c r="G753">
        <v>0</v>
      </c>
      <c r="L753" t="s">
        <v>7</v>
      </c>
      <c r="M753" t="s">
        <v>8</v>
      </c>
      <c r="N753" t="s">
        <v>7</v>
      </c>
      <c r="P753">
        <f t="shared" si="999"/>
        <v>0.22222222222222437</v>
      </c>
      <c r="Q753">
        <f t="shared" si="1000"/>
        <v>165858.32666666826</v>
      </c>
      <c r="R753">
        <f t="shared" si="1001"/>
        <v>-65652476.296265766</v>
      </c>
      <c r="S753">
        <f t="shared" si="1002"/>
        <v>-656.52476296265763</v>
      </c>
      <c r="T753">
        <f t="shared" si="1003"/>
        <v>-0.6565247629626576</v>
      </c>
    </row>
    <row r="754" spans="1:20" x14ac:dyDescent="0.25">
      <c r="A754" s="5">
        <v>43839</v>
      </c>
      <c r="B754">
        <v>9.1399999999999995E-2</v>
      </c>
      <c r="C754">
        <v>0.10100000000000001</v>
      </c>
      <c r="D754">
        <v>8.9700000000000002E-2</v>
      </c>
      <c r="E754">
        <v>9.1200000000000003E-2</v>
      </c>
      <c r="F754">
        <v>1475393.09</v>
      </c>
      <c r="G754">
        <v>0</v>
      </c>
      <c r="L754" t="s">
        <v>8</v>
      </c>
      <c r="M754" t="s">
        <v>8</v>
      </c>
      <c r="N754" t="s">
        <v>7</v>
      </c>
      <c r="P754">
        <f t="shared" si="999"/>
        <v>-0.73451327433628311</v>
      </c>
      <c r="Q754">
        <f t="shared" si="1000"/>
        <v>-1083695.8094690265</v>
      </c>
      <c r="R754">
        <f t="shared" si="1001"/>
        <v>-65818334.622932434</v>
      </c>
      <c r="S754">
        <f t="shared" si="1002"/>
        <v>-658.18334622932434</v>
      </c>
      <c r="T754">
        <f t="shared" si="1003"/>
        <v>-0.6581833462293244</v>
      </c>
    </row>
    <row r="755" spans="1:20" x14ac:dyDescent="0.25">
      <c r="A755" s="5">
        <v>43838</v>
      </c>
      <c r="B755">
        <v>9.64E-2</v>
      </c>
      <c r="C755">
        <v>9.7600000000000006E-2</v>
      </c>
      <c r="D755">
        <v>0.09</v>
      </c>
      <c r="E755">
        <v>9.1399999999999995E-2</v>
      </c>
      <c r="F755">
        <v>2236551.4300000002</v>
      </c>
      <c r="G755">
        <v>0</v>
      </c>
      <c r="L755" t="s">
        <v>7</v>
      </c>
      <c r="M755" t="s">
        <v>8</v>
      </c>
      <c r="N755" t="s">
        <v>7</v>
      </c>
      <c r="P755">
        <f t="shared" si="999"/>
        <v>-0.63157894736842191</v>
      </c>
      <c r="Q755">
        <f t="shared" si="1000"/>
        <v>-1412558.7978947388</v>
      </c>
      <c r="R755">
        <f t="shared" si="1001"/>
        <v>-64734638.813463405</v>
      </c>
      <c r="S755">
        <f t="shared" si="1002"/>
        <v>-647.34638813463403</v>
      </c>
      <c r="T755">
        <f t="shared" si="1003"/>
        <v>-0.64734638813463408</v>
      </c>
    </row>
    <row r="756" spans="1:20" x14ac:dyDescent="0.25">
      <c r="A756" s="5">
        <v>43837</v>
      </c>
      <c r="B756">
        <v>9.6199999999999994E-2</v>
      </c>
      <c r="C756">
        <v>0.1024</v>
      </c>
      <c r="D756">
        <v>9.3600000000000003E-2</v>
      </c>
      <c r="E756">
        <v>9.6699999999999994E-2</v>
      </c>
      <c r="F756">
        <v>2272908.4700000002</v>
      </c>
      <c r="G756">
        <v>0</v>
      </c>
      <c r="L756" t="s">
        <v>7</v>
      </c>
      <c r="M756" t="s">
        <v>8</v>
      </c>
      <c r="N756" t="s">
        <v>7</v>
      </c>
      <c r="P756">
        <f t="shared" si="999"/>
        <v>-0.29545454545454752</v>
      </c>
      <c r="Q756">
        <f t="shared" si="1000"/>
        <v>-671541.13886364107</v>
      </c>
      <c r="R756">
        <f t="shared" si="1001"/>
        <v>-63322080.015568666</v>
      </c>
      <c r="S756">
        <f t="shared" si="1002"/>
        <v>-633.22080015568667</v>
      </c>
      <c r="T756">
        <f t="shared" si="1003"/>
        <v>-0.63322080015568671</v>
      </c>
    </row>
    <row r="757" spans="1:20" x14ac:dyDescent="0.25">
      <c r="A757" s="5">
        <v>43836</v>
      </c>
      <c r="B757">
        <v>9.2100000000000001E-2</v>
      </c>
      <c r="C757">
        <v>0.1019</v>
      </c>
      <c r="D757">
        <v>9.1999999999999998E-2</v>
      </c>
      <c r="E757">
        <v>9.6100000000000005E-2</v>
      </c>
      <c r="F757">
        <v>1767183.1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-0.17171717171717094</v>
      </c>
      <c r="Q757">
        <f t="shared" si="1000"/>
        <v>-303455.68383838248</v>
      </c>
      <c r="R757">
        <f t="shared" si="1001"/>
        <v>-62650538.876705028</v>
      </c>
      <c r="S757">
        <f t="shared" si="1002"/>
        <v>-626.50538876705025</v>
      </c>
      <c r="T757">
        <f t="shared" si="1003"/>
        <v>-0.6265053887670502</v>
      </c>
    </row>
    <row r="758" spans="1:20" x14ac:dyDescent="0.25">
      <c r="A758" s="5">
        <v>43835</v>
      </c>
      <c r="B758">
        <v>9.4500000000000001E-2</v>
      </c>
      <c r="C758">
        <v>9.5000000000000001E-2</v>
      </c>
      <c r="D758">
        <v>9.1300000000000006E-2</v>
      </c>
      <c r="E758">
        <v>9.1999999999999998E-2</v>
      </c>
      <c r="F758">
        <v>610984.75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-0.62162162162162526</v>
      </c>
      <c r="Q758">
        <f t="shared" si="1000"/>
        <v>-379801.33108108334</v>
      </c>
      <c r="R758">
        <f t="shared" si="1001"/>
        <v>-62347083.192866646</v>
      </c>
      <c r="S758">
        <f t="shared" si="1002"/>
        <v>-623.47083192866648</v>
      </c>
      <c r="T758">
        <f t="shared" si="1003"/>
        <v>-0.62347083192866648</v>
      </c>
    </row>
    <row r="759" spans="1:20" x14ac:dyDescent="0.25">
      <c r="A759" s="5">
        <v>43834</v>
      </c>
      <c r="B759">
        <v>9.4399999999999998E-2</v>
      </c>
      <c r="C759">
        <v>9.7500000000000003E-2</v>
      </c>
      <c r="D759">
        <v>9.3799999999999994E-2</v>
      </c>
      <c r="E759">
        <v>9.4399999999999998E-2</v>
      </c>
      <c r="F759">
        <v>451049.32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-0.67567567567567466</v>
      </c>
      <c r="Q759">
        <f t="shared" si="1000"/>
        <v>-304763.05405405362</v>
      </c>
      <c r="R759">
        <f t="shared" si="1001"/>
        <v>-61967281.861785561</v>
      </c>
      <c r="S759">
        <f t="shared" si="1002"/>
        <v>-619.67281861785557</v>
      </c>
      <c r="T759">
        <f t="shared" si="1003"/>
        <v>-0.61967281861785561</v>
      </c>
    </row>
    <row r="760" spans="1:20" x14ac:dyDescent="0.25">
      <c r="A760" s="5">
        <v>43833</v>
      </c>
      <c r="B760">
        <v>8.9499999999999996E-2</v>
      </c>
      <c r="C760">
        <v>9.7500000000000003E-2</v>
      </c>
      <c r="D760">
        <v>8.6900000000000005E-2</v>
      </c>
      <c r="E760">
        <v>9.4500000000000001E-2</v>
      </c>
      <c r="F760">
        <v>2014660.87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0.4339622641509428</v>
      </c>
      <c r="Q760">
        <f t="shared" si="1000"/>
        <v>874286.79264150828</v>
      </c>
      <c r="R760">
        <f t="shared" si="1001"/>
        <v>-61662518.807731509</v>
      </c>
      <c r="S760">
        <f t="shared" si="1002"/>
        <v>-616.6251880773151</v>
      </c>
      <c r="T760">
        <f t="shared" si="1003"/>
        <v>-0.61662518807731515</v>
      </c>
    </row>
    <row r="761" spans="1:20" x14ac:dyDescent="0.25">
      <c r="A761" s="5">
        <v>43832</v>
      </c>
      <c r="B761">
        <v>9.8699999999999996E-2</v>
      </c>
      <c r="C761">
        <v>0.10349999999999999</v>
      </c>
      <c r="D761">
        <v>8.9200000000000002E-2</v>
      </c>
      <c r="E761">
        <v>8.9700000000000002E-2</v>
      </c>
      <c r="F761">
        <v>3094477.49</v>
      </c>
      <c r="G761">
        <v>0</v>
      </c>
      <c r="L761" t="s">
        <v>8</v>
      </c>
      <c r="M761" t="s">
        <v>7</v>
      </c>
      <c r="N761" t="s">
        <v>7</v>
      </c>
      <c r="P761">
        <f t="shared" si="999"/>
        <v>-0.93006993006993</v>
      </c>
      <c r="Q761">
        <f t="shared" si="1000"/>
        <v>-2878080.4627272729</v>
      </c>
      <c r="R761">
        <f t="shared" si="1001"/>
        <v>-62536805.600373015</v>
      </c>
      <c r="S761">
        <f t="shared" si="1002"/>
        <v>-625.3680560037302</v>
      </c>
      <c r="T761">
        <f t="shared" si="1003"/>
        <v>-0.62536805600373024</v>
      </c>
    </row>
    <row r="762" spans="1:20" x14ac:dyDescent="0.25">
      <c r="A762" s="5">
        <v>43831</v>
      </c>
      <c r="B762">
        <v>9.4799999999999995E-2</v>
      </c>
      <c r="C762">
        <v>0.1011</v>
      </c>
      <c r="D762">
        <v>9.3100000000000002E-2</v>
      </c>
      <c r="E762">
        <v>9.8900000000000002E-2</v>
      </c>
      <c r="F762">
        <v>784081.79</v>
      </c>
      <c r="G762">
        <v>0</v>
      </c>
      <c r="L762" t="s">
        <v>8</v>
      </c>
      <c r="M762" t="s">
        <v>7</v>
      </c>
      <c r="N762" t="s">
        <v>7</v>
      </c>
      <c r="P762">
        <f t="shared" si="999"/>
        <v>0.45000000000000112</v>
      </c>
      <c r="Q762">
        <f t="shared" si="1000"/>
        <v>352836.80550000089</v>
      </c>
      <c r="R762">
        <f t="shared" si="1001"/>
        <v>-59658725.137645744</v>
      </c>
      <c r="S762">
        <f t="shared" si="1002"/>
        <v>-596.5872513764574</v>
      </c>
      <c r="T762">
        <f t="shared" si="1003"/>
        <v>-0.59658725137645741</v>
      </c>
    </row>
    <row r="763" spans="1:20" x14ac:dyDescent="0.25">
      <c r="A763" s="5">
        <v>43830</v>
      </c>
      <c r="B763">
        <v>0.1011</v>
      </c>
      <c r="C763">
        <v>0.1028</v>
      </c>
      <c r="D763">
        <v>9.4399999999999998E-2</v>
      </c>
      <c r="E763">
        <v>9.5500000000000002E-2</v>
      </c>
      <c r="F763">
        <v>1031227.36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-0.73809523809523736</v>
      </c>
      <c r="Q763">
        <f t="shared" si="1000"/>
        <v>-761144.00380952307</v>
      </c>
      <c r="R763">
        <f t="shared" si="1001"/>
        <v>-60011561.943145745</v>
      </c>
      <c r="S763">
        <f t="shared" si="1002"/>
        <v>-600.11561943145739</v>
      </c>
      <c r="T763">
        <f t="shared" si="1003"/>
        <v>-0.60011561943145741</v>
      </c>
    </row>
    <row r="764" spans="1:20" x14ac:dyDescent="0.25">
      <c r="A764" s="5">
        <v>43829</v>
      </c>
      <c r="B764">
        <v>0.1007</v>
      </c>
      <c r="C764">
        <v>0.1051</v>
      </c>
      <c r="D764">
        <v>9.8100000000000007E-2</v>
      </c>
      <c r="E764">
        <v>0.1013</v>
      </c>
      <c r="F764">
        <v>1414151.96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-8.5714285714286284E-2</v>
      </c>
      <c r="Q764">
        <f t="shared" si="1000"/>
        <v>-121213.02514285795</v>
      </c>
      <c r="R764">
        <f t="shared" si="1001"/>
        <v>-59250417.939336218</v>
      </c>
      <c r="S764">
        <f t="shared" si="1002"/>
        <v>-592.50417939336216</v>
      </c>
      <c r="T764">
        <f t="shared" si="1003"/>
        <v>-0.5925041793933622</v>
      </c>
    </row>
    <row r="765" spans="1:20" x14ac:dyDescent="0.25">
      <c r="A765" s="5">
        <v>43828</v>
      </c>
      <c r="B765">
        <v>0.11</v>
      </c>
      <c r="C765">
        <v>0.1179</v>
      </c>
      <c r="D765">
        <v>0.1</v>
      </c>
      <c r="E765">
        <v>0.1007</v>
      </c>
      <c r="F765">
        <v>2341617.1</v>
      </c>
      <c r="G765">
        <v>0</v>
      </c>
      <c r="L765" t="s">
        <v>7</v>
      </c>
      <c r="M765" t="s">
        <v>7</v>
      </c>
      <c r="N765" t="s">
        <v>7</v>
      </c>
      <c r="P765">
        <f t="shared" si="999"/>
        <v>-0.92178770949720756</v>
      </c>
      <c r="Q765">
        <f t="shared" si="1000"/>
        <v>-2158473.8631284935</v>
      </c>
      <c r="R765">
        <f t="shared" si="1001"/>
        <v>-59129204.914193362</v>
      </c>
      <c r="S765">
        <f t="shared" si="1002"/>
        <v>-591.2920491419336</v>
      </c>
      <c r="T765">
        <f t="shared" si="1003"/>
        <v>-0.59129204914193356</v>
      </c>
    </row>
    <row r="766" spans="1:20" x14ac:dyDescent="0.25">
      <c r="A766" s="5">
        <v>43827</v>
      </c>
      <c r="B766">
        <v>0.11020000000000001</v>
      </c>
      <c r="C766">
        <v>0.1142</v>
      </c>
      <c r="D766">
        <v>0.1076</v>
      </c>
      <c r="E766">
        <v>0.11</v>
      </c>
      <c r="F766">
        <v>1383466.26</v>
      </c>
      <c r="G766">
        <v>0</v>
      </c>
      <c r="L766" t="s">
        <v>7</v>
      </c>
      <c r="M766" t="s">
        <v>7</v>
      </c>
      <c r="N766" t="s">
        <v>8</v>
      </c>
      <c r="P766">
        <f t="shared" si="999"/>
        <v>-0.27272727272727232</v>
      </c>
      <c r="Q766">
        <f t="shared" si="1000"/>
        <v>-377308.97999999946</v>
      </c>
      <c r="R766">
        <f t="shared" si="1001"/>
        <v>-56970731.051064871</v>
      </c>
      <c r="S766">
        <f t="shared" si="1002"/>
        <v>-569.70731051064877</v>
      </c>
      <c r="T766">
        <f t="shared" si="1003"/>
        <v>-0.56970731051064871</v>
      </c>
    </row>
    <row r="767" spans="1:20" x14ac:dyDescent="0.25">
      <c r="A767" s="5">
        <v>43826</v>
      </c>
      <c r="B767">
        <v>0.11360000000000001</v>
      </c>
      <c r="C767">
        <v>0.1157</v>
      </c>
      <c r="D767">
        <v>0.109</v>
      </c>
      <c r="E767">
        <v>0.11020000000000001</v>
      </c>
      <c r="F767">
        <v>1836161.88</v>
      </c>
      <c r="G767">
        <v>0</v>
      </c>
      <c r="L767" t="s">
        <v>7</v>
      </c>
      <c r="M767" t="s">
        <v>7</v>
      </c>
      <c r="N767" t="s">
        <v>8</v>
      </c>
      <c r="P767">
        <f t="shared" ref="P767:P830" si="1004">IF(C767=D767,0,((E767-D767)-(C767-E767))/(C767-D767))</f>
        <v>-0.64179104477611726</v>
      </c>
      <c r="Q767">
        <f t="shared" ref="Q767:Q830" si="1005">F767*P767</f>
        <v>-1178432.2513432796</v>
      </c>
      <c r="R767">
        <f t="shared" ref="R767:R830" si="1006">R768+Q767</f>
        <v>-56593422.071064875</v>
      </c>
      <c r="S767">
        <f t="shared" ref="S767:S830" si="1007">R767/100000</f>
        <v>-565.93422071064879</v>
      </c>
      <c r="T767">
        <f t="shared" ref="T767:T830" si="1008">S767/1000</f>
        <v>-0.56593422071064881</v>
      </c>
    </row>
    <row r="768" spans="1:20" x14ac:dyDescent="0.25">
      <c r="A768" s="5">
        <v>43825</v>
      </c>
      <c r="B768">
        <v>0.11609999999999999</v>
      </c>
      <c r="C768">
        <v>0.125</v>
      </c>
      <c r="D768">
        <v>0.1134</v>
      </c>
      <c r="E768">
        <v>0.11360000000000001</v>
      </c>
      <c r="F768">
        <v>2592214.9500000002</v>
      </c>
      <c r="G768">
        <v>0</v>
      </c>
      <c r="L768" t="s">
        <v>8</v>
      </c>
      <c r="M768" t="s">
        <v>7</v>
      </c>
      <c r="N768" t="s">
        <v>8</v>
      </c>
      <c r="P768">
        <f t="shared" si="1004"/>
        <v>-0.96551724137930939</v>
      </c>
      <c r="Q768">
        <f t="shared" si="1005"/>
        <v>-2502828.2275862047</v>
      </c>
      <c r="R768">
        <f t="shared" si="1006"/>
        <v>-55414989.819721594</v>
      </c>
      <c r="S768">
        <f t="shared" si="1007"/>
        <v>-554.14989819721598</v>
      </c>
      <c r="T768">
        <f t="shared" si="1008"/>
        <v>-0.55414989819721594</v>
      </c>
    </row>
    <row r="769" spans="1:20" x14ac:dyDescent="0.25">
      <c r="A769" s="5">
        <v>43824</v>
      </c>
      <c r="B769">
        <v>0.1268</v>
      </c>
      <c r="C769">
        <v>0.12709999999999999</v>
      </c>
      <c r="D769">
        <v>0.112</v>
      </c>
      <c r="E769">
        <v>0.1153</v>
      </c>
      <c r="F769">
        <v>3832166.74</v>
      </c>
      <c r="G769">
        <v>0</v>
      </c>
      <c r="L769" t="s">
        <v>7</v>
      </c>
      <c r="M769" t="s">
        <v>7</v>
      </c>
      <c r="N769" t="s">
        <v>8</v>
      </c>
      <c r="P769">
        <f t="shared" si="1004"/>
        <v>-0.5629139072847682</v>
      </c>
      <c r="Q769">
        <f t="shared" si="1005"/>
        <v>-2157179.9529801323</v>
      </c>
      <c r="R769">
        <f t="shared" si="1006"/>
        <v>-52912161.592135392</v>
      </c>
      <c r="S769">
        <f t="shared" si="1007"/>
        <v>-529.12161592135396</v>
      </c>
      <c r="T769">
        <f t="shared" si="1008"/>
        <v>-0.52912161592135398</v>
      </c>
    </row>
    <row r="770" spans="1:20" x14ac:dyDescent="0.25">
      <c r="A770" s="5">
        <v>43823</v>
      </c>
      <c r="B770">
        <v>0.123</v>
      </c>
      <c r="C770">
        <v>0.13950000000000001</v>
      </c>
      <c r="D770">
        <v>0.1208</v>
      </c>
      <c r="E770">
        <v>0.1268</v>
      </c>
      <c r="F770">
        <v>4720657.8</v>
      </c>
      <c r="G770">
        <v>0</v>
      </c>
      <c r="L770" t="s">
        <v>8</v>
      </c>
      <c r="M770" t="s">
        <v>8</v>
      </c>
      <c r="N770" t="s">
        <v>8</v>
      </c>
      <c r="P770">
        <f t="shared" si="1004"/>
        <v>-0.35828877005347715</v>
      </c>
      <c r="Q770">
        <f t="shared" si="1005"/>
        <v>-1691358.6770053532</v>
      </c>
      <c r="R770">
        <f t="shared" si="1006"/>
        <v>-50754981.639155261</v>
      </c>
      <c r="S770">
        <f t="shared" si="1007"/>
        <v>-507.54981639155261</v>
      </c>
      <c r="T770">
        <f t="shared" si="1008"/>
        <v>-0.50754981639155261</v>
      </c>
    </row>
    <row r="771" spans="1:20" x14ac:dyDescent="0.25">
      <c r="A771" s="5">
        <v>43822</v>
      </c>
      <c r="B771">
        <v>0.1227</v>
      </c>
      <c r="C771">
        <v>0.13439999999999999</v>
      </c>
      <c r="D771">
        <v>0.1191</v>
      </c>
      <c r="E771">
        <v>0.123</v>
      </c>
      <c r="F771">
        <v>5140387.63</v>
      </c>
      <c r="G771">
        <v>0</v>
      </c>
      <c r="L771" t="s">
        <v>7</v>
      </c>
      <c r="M771" t="s">
        <v>8</v>
      </c>
      <c r="N771" t="s">
        <v>8</v>
      </c>
      <c r="P771">
        <f t="shared" si="1004"/>
        <v>-0.49019607843137225</v>
      </c>
      <c r="Q771">
        <f t="shared" si="1005"/>
        <v>-2519797.8578431355</v>
      </c>
      <c r="R771">
        <f t="shared" si="1006"/>
        <v>-49063622.962149911</v>
      </c>
      <c r="S771">
        <f t="shared" si="1007"/>
        <v>-490.63622962149913</v>
      </c>
      <c r="T771">
        <f t="shared" si="1008"/>
        <v>-0.49063622962149911</v>
      </c>
    </row>
    <row r="772" spans="1:20" x14ac:dyDescent="0.25">
      <c r="A772" s="5">
        <v>43821</v>
      </c>
      <c r="B772">
        <v>0.10639999999999999</v>
      </c>
      <c r="C772">
        <v>0.13450000000000001</v>
      </c>
      <c r="D772">
        <v>0.1055</v>
      </c>
      <c r="E772">
        <v>0.1227</v>
      </c>
      <c r="F772">
        <v>8986732.3499999996</v>
      </c>
      <c r="G772">
        <v>0</v>
      </c>
      <c r="L772" t="s">
        <v>8</v>
      </c>
      <c r="M772" t="s">
        <v>8</v>
      </c>
      <c r="N772" t="s">
        <v>8</v>
      </c>
      <c r="P772">
        <f t="shared" si="1004"/>
        <v>0.18620689655172412</v>
      </c>
      <c r="Q772">
        <f t="shared" si="1005"/>
        <v>1673391.5410344827</v>
      </c>
      <c r="R772">
        <f t="shared" si="1006"/>
        <v>-46543825.104306772</v>
      </c>
      <c r="S772">
        <f t="shared" si="1007"/>
        <v>-465.43825104306774</v>
      </c>
      <c r="T772">
        <f t="shared" si="1008"/>
        <v>-0.46543825104306774</v>
      </c>
    </row>
    <row r="773" spans="1:20" x14ac:dyDescent="0.25">
      <c r="A773" s="5">
        <v>43820</v>
      </c>
      <c r="B773">
        <v>0.1124</v>
      </c>
      <c r="C773">
        <v>0.1128</v>
      </c>
      <c r="D773">
        <v>0.10390000000000001</v>
      </c>
      <c r="E773">
        <v>0.10639999999999999</v>
      </c>
      <c r="F773">
        <v>5187717.46</v>
      </c>
      <c r="G773">
        <v>0</v>
      </c>
      <c r="L773" t="s">
        <v>7</v>
      </c>
      <c r="M773" t="s">
        <v>7</v>
      </c>
      <c r="N773" t="s">
        <v>8</v>
      </c>
      <c r="P773">
        <f t="shared" si="1004"/>
        <v>-0.43820224719101331</v>
      </c>
      <c r="Q773">
        <f t="shared" si="1005"/>
        <v>-2273269.4487640555</v>
      </c>
      <c r="R773">
        <f t="shared" si="1006"/>
        <v>-48217216.645341255</v>
      </c>
      <c r="S773">
        <f t="shared" si="1007"/>
        <v>-482.17216645341256</v>
      </c>
      <c r="T773">
        <f t="shared" si="1008"/>
        <v>-0.48217216645341254</v>
      </c>
    </row>
    <row r="774" spans="1:20" x14ac:dyDescent="0.25">
      <c r="A774" s="5">
        <v>43819</v>
      </c>
      <c r="B774">
        <v>0.11840000000000001</v>
      </c>
      <c r="C774">
        <v>0.1249</v>
      </c>
      <c r="D774">
        <v>0.1096</v>
      </c>
      <c r="E774">
        <v>0.1123</v>
      </c>
      <c r="F774">
        <v>6528676.1900000004</v>
      </c>
      <c r="G774">
        <v>0</v>
      </c>
      <c r="L774" t="s">
        <v>7</v>
      </c>
      <c r="M774" t="s">
        <v>8</v>
      </c>
      <c r="N774" t="s">
        <v>8</v>
      </c>
      <c r="P774">
        <f t="shared" si="1004"/>
        <v>-0.64705882352941235</v>
      </c>
      <c r="Q774">
        <f t="shared" si="1005"/>
        <v>-4224437.5347058866</v>
      </c>
      <c r="R774">
        <f t="shared" si="1006"/>
        <v>-45943947.196577199</v>
      </c>
      <c r="S774">
        <f t="shared" si="1007"/>
        <v>-459.43947196577199</v>
      </c>
      <c r="T774">
        <f t="shared" si="1008"/>
        <v>-0.45943947196577201</v>
      </c>
    </row>
    <row r="775" spans="1:20" x14ac:dyDescent="0.25">
      <c r="A775" s="5">
        <v>43818</v>
      </c>
      <c r="B775">
        <v>9.6500000000000002E-2</v>
      </c>
      <c r="C775">
        <v>0.12670000000000001</v>
      </c>
      <c r="D775">
        <v>9.5500000000000002E-2</v>
      </c>
      <c r="E775">
        <v>0.11890000000000001</v>
      </c>
      <c r="F775">
        <v>12021107.68</v>
      </c>
      <c r="G775">
        <v>0</v>
      </c>
      <c r="L775" t="s">
        <v>8</v>
      </c>
      <c r="M775" t="s">
        <v>8</v>
      </c>
      <c r="N775" t="s">
        <v>8</v>
      </c>
      <c r="P775">
        <f t="shared" si="1004"/>
        <v>0.5</v>
      </c>
      <c r="Q775">
        <f t="shared" si="1005"/>
        <v>6010553.8399999999</v>
      </c>
      <c r="R775">
        <f t="shared" si="1006"/>
        <v>-41719509.661871314</v>
      </c>
      <c r="S775">
        <f t="shared" si="1007"/>
        <v>-417.19509661871314</v>
      </c>
      <c r="T775">
        <f t="shared" si="1008"/>
        <v>-0.41719509661871312</v>
      </c>
    </row>
    <row r="776" spans="1:20" x14ac:dyDescent="0.25">
      <c r="A776" s="5">
        <v>43817</v>
      </c>
      <c r="B776">
        <v>8.1100000000000005E-2</v>
      </c>
      <c r="C776">
        <v>0.1002</v>
      </c>
      <c r="D776">
        <v>8.1100000000000005E-2</v>
      </c>
      <c r="E776">
        <v>9.6500000000000002E-2</v>
      </c>
      <c r="F776">
        <v>4091912.67</v>
      </c>
      <c r="G776">
        <v>0</v>
      </c>
      <c r="L776" t="s">
        <v>8</v>
      </c>
      <c r="M776" t="s">
        <v>8</v>
      </c>
      <c r="N776" t="s">
        <v>7</v>
      </c>
      <c r="P776">
        <f t="shared" si="1004"/>
        <v>0.61256544502617838</v>
      </c>
      <c r="Q776">
        <f t="shared" si="1005"/>
        <v>2506564.3057068079</v>
      </c>
      <c r="R776">
        <f t="shared" si="1006"/>
        <v>-47730063.50187131</v>
      </c>
      <c r="S776">
        <f t="shared" si="1007"/>
        <v>-477.30063501871308</v>
      </c>
      <c r="T776">
        <f t="shared" si="1008"/>
        <v>-0.47730063501871306</v>
      </c>
    </row>
    <row r="777" spans="1:20" x14ac:dyDescent="0.25">
      <c r="A777" s="5">
        <v>43816</v>
      </c>
      <c r="B777">
        <v>8.5199999999999998E-2</v>
      </c>
      <c r="C777">
        <v>8.5500000000000007E-2</v>
      </c>
      <c r="D777">
        <v>8.0399999999999999E-2</v>
      </c>
      <c r="E777">
        <v>8.1100000000000005E-2</v>
      </c>
      <c r="F777">
        <v>731654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-0.72549019607842935</v>
      </c>
      <c r="Q777">
        <f t="shared" si="1005"/>
        <v>-530807.80392156716</v>
      </c>
      <c r="R777">
        <f t="shared" si="1006"/>
        <v>-50236627.807578117</v>
      </c>
      <c r="S777">
        <f t="shared" si="1007"/>
        <v>-502.36627807578117</v>
      </c>
      <c r="T777">
        <f t="shared" si="1008"/>
        <v>-0.50236627807578116</v>
      </c>
    </row>
    <row r="778" spans="1:20" x14ac:dyDescent="0.25">
      <c r="A778" s="5">
        <v>43815</v>
      </c>
      <c r="B778">
        <v>9.2100000000000001E-2</v>
      </c>
      <c r="C778">
        <v>9.7000000000000003E-2</v>
      </c>
      <c r="D778">
        <v>8.43E-2</v>
      </c>
      <c r="E778">
        <v>8.5400000000000004E-2</v>
      </c>
      <c r="F778">
        <v>1797416.89</v>
      </c>
      <c r="G778">
        <v>0</v>
      </c>
      <c r="L778" t="s">
        <v>7</v>
      </c>
      <c r="M778" t="s">
        <v>8</v>
      </c>
      <c r="N778" t="s">
        <v>7</v>
      </c>
      <c r="P778">
        <f t="shared" si="1004"/>
        <v>-0.82677165354330651</v>
      </c>
      <c r="Q778">
        <f t="shared" si="1005"/>
        <v>-1486053.3342519675</v>
      </c>
      <c r="R778">
        <f t="shared" si="1006"/>
        <v>-49705820.003656551</v>
      </c>
      <c r="S778">
        <f t="shared" si="1007"/>
        <v>-497.05820003656549</v>
      </c>
      <c r="T778">
        <f t="shared" si="1008"/>
        <v>-0.49705820003656548</v>
      </c>
    </row>
    <row r="779" spans="1:20" x14ac:dyDescent="0.25">
      <c r="A779" s="5">
        <v>43814</v>
      </c>
      <c r="B779">
        <v>8.2299999999999998E-2</v>
      </c>
      <c r="C779">
        <v>9.9500000000000005E-2</v>
      </c>
      <c r="D779">
        <v>8.1699999999999995E-2</v>
      </c>
      <c r="E779">
        <v>9.1899999999999996E-2</v>
      </c>
      <c r="F779">
        <v>3613339.7</v>
      </c>
      <c r="G779">
        <v>0</v>
      </c>
      <c r="L779" t="s">
        <v>8</v>
      </c>
      <c r="M779" t="s">
        <v>8</v>
      </c>
      <c r="N779" t="s">
        <v>7</v>
      </c>
      <c r="P779">
        <f t="shared" si="1004"/>
        <v>0.14606741573033649</v>
      </c>
      <c r="Q779">
        <f t="shared" si="1005"/>
        <v>527791.19213482935</v>
      </c>
      <c r="R779">
        <f t="shared" si="1006"/>
        <v>-48219766.669404581</v>
      </c>
      <c r="S779">
        <f t="shared" si="1007"/>
        <v>-482.19766669404584</v>
      </c>
      <c r="T779">
        <f t="shared" si="1008"/>
        <v>-0.48219766669404585</v>
      </c>
    </row>
    <row r="780" spans="1:20" x14ac:dyDescent="0.25">
      <c r="A780" s="5">
        <v>43813</v>
      </c>
      <c r="B780">
        <v>8.5999999999999993E-2</v>
      </c>
      <c r="C780">
        <v>8.6800000000000002E-2</v>
      </c>
      <c r="D780">
        <v>8.1699999999999995E-2</v>
      </c>
      <c r="E780">
        <v>8.2000000000000003E-2</v>
      </c>
      <c r="F780">
        <v>568792.93000000005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-0.88235294117646734</v>
      </c>
      <c r="Q780">
        <f t="shared" si="1005"/>
        <v>-501876.11470588058</v>
      </c>
      <c r="R780">
        <f t="shared" si="1006"/>
        <v>-48747557.861539409</v>
      </c>
      <c r="S780">
        <f t="shared" si="1007"/>
        <v>-487.47557861539411</v>
      </c>
      <c r="T780">
        <f t="shared" si="1008"/>
        <v>-0.48747557861539409</v>
      </c>
    </row>
    <row r="781" spans="1:20" x14ac:dyDescent="0.25">
      <c r="A781" s="5">
        <v>43812</v>
      </c>
      <c r="B781">
        <v>8.4900000000000003E-2</v>
      </c>
      <c r="C781">
        <v>9.1700000000000004E-2</v>
      </c>
      <c r="D781">
        <v>8.43E-2</v>
      </c>
      <c r="E781">
        <v>8.5400000000000004E-2</v>
      </c>
      <c r="F781">
        <v>1275690.49</v>
      </c>
      <c r="G781">
        <v>0</v>
      </c>
      <c r="L781" t="s">
        <v>8</v>
      </c>
      <c r="M781" t="s">
        <v>7</v>
      </c>
      <c r="N781" t="s">
        <v>7</v>
      </c>
      <c r="P781">
        <f t="shared" si="1004"/>
        <v>-0.70270270270270185</v>
      </c>
      <c r="Q781">
        <f t="shared" si="1005"/>
        <v>-896431.155135134</v>
      </c>
      <c r="R781">
        <f t="shared" si="1006"/>
        <v>-48245681.746833526</v>
      </c>
      <c r="S781">
        <f t="shared" si="1007"/>
        <v>-482.45681746833526</v>
      </c>
      <c r="T781">
        <f t="shared" si="1008"/>
        <v>-0.48245681746833524</v>
      </c>
    </row>
    <row r="782" spans="1:20" x14ac:dyDescent="0.25">
      <c r="A782" s="5">
        <v>43811</v>
      </c>
      <c r="B782">
        <v>8.8999999999999996E-2</v>
      </c>
      <c r="C782">
        <v>8.9599999999999999E-2</v>
      </c>
      <c r="D782">
        <v>8.43E-2</v>
      </c>
      <c r="E782">
        <v>8.48E-2</v>
      </c>
      <c r="F782">
        <v>1349176.78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-0.81132075471698095</v>
      </c>
      <c r="Q782">
        <f t="shared" si="1005"/>
        <v>-1094615.1233962262</v>
      </c>
      <c r="R782">
        <f t="shared" si="1006"/>
        <v>-47349250.591698393</v>
      </c>
      <c r="S782">
        <f t="shared" si="1007"/>
        <v>-473.49250591698393</v>
      </c>
      <c r="T782">
        <f t="shared" si="1008"/>
        <v>-0.47349250591698394</v>
      </c>
    </row>
    <row r="783" spans="1:20" x14ac:dyDescent="0.25">
      <c r="A783" s="5">
        <v>43810</v>
      </c>
      <c r="B783">
        <v>9.0200000000000002E-2</v>
      </c>
      <c r="C783">
        <v>9.3100000000000002E-2</v>
      </c>
      <c r="D783">
        <v>8.7599999999999997E-2</v>
      </c>
      <c r="E783">
        <v>8.8400000000000006E-2</v>
      </c>
      <c r="F783">
        <v>669509.81999999995</v>
      </c>
      <c r="G783">
        <v>0</v>
      </c>
      <c r="L783" t="s">
        <v>7</v>
      </c>
      <c r="M783" t="s">
        <v>7</v>
      </c>
      <c r="N783" t="s">
        <v>7</v>
      </c>
      <c r="P783">
        <f t="shared" si="1004"/>
        <v>-0.70909090909090611</v>
      </c>
      <c r="Q783">
        <f t="shared" si="1005"/>
        <v>-474743.32690908888</v>
      </c>
      <c r="R783">
        <f t="shared" si="1006"/>
        <v>-46254635.468302168</v>
      </c>
      <c r="S783">
        <f t="shared" si="1007"/>
        <v>-462.54635468302166</v>
      </c>
      <c r="T783">
        <f t="shared" si="1008"/>
        <v>-0.46254635468302169</v>
      </c>
    </row>
    <row r="784" spans="1:20" x14ac:dyDescent="0.25">
      <c r="A784" s="5">
        <v>43809</v>
      </c>
      <c r="B784">
        <v>9.8100000000000007E-2</v>
      </c>
      <c r="C784">
        <v>9.8699999999999996E-2</v>
      </c>
      <c r="D784">
        <v>8.8300000000000003E-2</v>
      </c>
      <c r="E784">
        <v>9.0200000000000002E-2</v>
      </c>
      <c r="F784">
        <v>1405869.64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-0.63461538461538458</v>
      </c>
      <c r="Q784">
        <f t="shared" si="1005"/>
        <v>-892186.50230769219</v>
      </c>
      <c r="R784">
        <f t="shared" si="1006"/>
        <v>-45779892.14139308</v>
      </c>
      <c r="S784">
        <f t="shared" si="1007"/>
        <v>-457.79892141393083</v>
      </c>
      <c r="T784">
        <f t="shared" si="1008"/>
        <v>-0.4577989214139308</v>
      </c>
    </row>
    <row r="785" spans="1:20" x14ac:dyDescent="0.25">
      <c r="A785" s="5">
        <v>43808</v>
      </c>
      <c r="B785">
        <v>9.9900000000000003E-2</v>
      </c>
      <c r="C785">
        <v>0.1066</v>
      </c>
      <c r="D785">
        <v>9.7600000000000006E-2</v>
      </c>
      <c r="E785">
        <v>9.8900000000000002E-2</v>
      </c>
      <c r="F785">
        <v>2388062.0299999998</v>
      </c>
      <c r="G785">
        <v>0</v>
      </c>
      <c r="L785" t="s">
        <v>8</v>
      </c>
      <c r="M785" t="s">
        <v>8</v>
      </c>
      <c r="N785" t="s">
        <v>7</v>
      </c>
      <c r="P785">
        <f t="shared" si="1004"/>
        <v>-0.71111111111111192</v>
      </c>
      <c r="Q785">
        <f t="shared" si="1005"/>
        <v>-1698177.4435555574</v>
      </c>
      <c r="R785">
        <f t="shared" si="1006"/>
        <v>-44887705.63908539</v>
      </c>
      <c r="S785">
        <f t="shared" si="1007"/>
        <v>-448.87705639085391</v>
      </c>
      <c r="T785">
        <f t="shared" si="1008"/>
        <v>-0.4488770563908539</v>
      </c>
    </row>
    <row r="786" spans="1:20" x14ac:dyDescent="0.25">
      <c r="A786" s="5">
        <v>43807</v>
      </c>
      <c r="B786">
        <v>9.4500000000000001E-2</v>
      </c>
      <c r="C786">
        <v>0.10299999999999999</v>
      </c>
      <c r="D786">
        <v>9.2799999999999994E-2</v>
      </c>
      <c r="E786">
        <v>0.10059999999999999</v>
      </c>
      <c r="F786">
        <v>2506281.67</v>
      </c>
      <c r="G786">
        <v>0</v>
      </c>
      <c r="L786" t="s">
        <v>8</v>
      </c>
      <c r="M786" t="s">
        <v>7</v>
      </c>
      <c r="N786" t="s">
        <v>7</v>
      </c>
      <c r="P786">
        <f t="shared" si="1004"/>
        <v>0.52941176470588247</v>
      </c>
      <c r="Q786">
        <f t="shared" si="1005"/>
        <v>1326855.0017647061</v>
      </c>
      <c r="R786">
        <f t="shared" si="1006"/>
        <v>-43189528.195529833</v>
      </c>
      <c r="S786">
        <f t="shared" si="1007"/>
        <v>-431.89528195529834</v>
      </c>
      <c r="T786">
        <f t="shared" si="1008"/>
        <v>-0.43189528195529836</v>
      </c>
    </row>
    <row r="787" spans="1:20" x14ac:dyDescent="0.25">
      <c r="A787" s="5">
        <v>43806</v>
      </c>
      <c r="B787">
        <v>9.8000000000000004E-2</v>
      </c>
      <c r="C787">
        <v>9.8799999999999999E-2</v>
      </c>
      <c r="D787">
        <v>9.3899999999999997E-2</v>
      </c>
      <c r="E787">
        <v>9.4E-2</v>
      </c>
      <c r="F787">
        <v>1035540.84</v>
      </c>
      <c r="G787">
        <v>0</v>
      </c>
      <c r="L787" t="s">
        <v>8</v>
      </c>
      <c r="M787" t="s">
        <v>7</v>
      </c>
      <c r="N787" t="s">
        <v>7</v>
      </c>
      <c r="P787">
        <f t="shared" si="1004"/>
        <v>-0.9591836734693866</v>
      </c>
      <c r="Q787">
        <f t="shared" si="1005"/>
        <v>-993273.86693877424</v>
      </c>
      <c r="R787">
        <f t="shared" si="1006"/>
        <v>-44516383.197294541</v>
      </c>
      <c r="S787">
        <f t="shared" si="1007"/>
        <v>-445.16383197294539</v>
      </c>
      <c r="T787">
        <f t="shared" si="1008"/>
        <v>-0.4451638319729454</v>
      </c>
    </row>
    <row r="788" spans="1:20" x14ac:dyDescent="0.25">
      <c r="A788" s="5">
        <v>43805</v>
      </c>
      <c r="B788">
        <v>9.3399999999999997E-2</v>
      </c>
      <c r="C788">
        <v>9.98E-2</v>
      </c>
      <c r="D788">
        <v>9.2799999999999994E-2</v>
      </c>
      <c r="E788">
        <v>9.8400000000000001E-2</v>
      </c>
      <c r="F788">
        <v>1638680</v>
      </c>
      <c r="G788">
        <v>0</v>
      </c>
      <c r="L788" t="s">
        <v>8</v>
      </c>
      <c r="M788" t="s">
        <v>7</v>
      </c>
      <c r="N788" t="s">
        <v>7</v>
      </c>
      <c r="P788">
        <f t="shared" si="1004"/>
        <v>0.60000000000000075</v>
      </c>
      <c r="Q788">
        <f t="shared" si="1005"/>
        <v>983208.00000000128</v>
      </c>
      <c r="R788">
        <f t="shared" si="1006"/>
        <v>-43523109.330355763</v>
      </c>
      <c r="S788">
        <f t="shared" si="1007"/>
        <v>-435.23109330355766</v>
      </c>
      <c r="T788">
        <f t="shared" si="1008"/>
        <v>-0.43523109330355764</v>
      </c>
    </row>
    <row r="789" spans="1:20" x14ac:dyDescent="0.25">
      <c r="A789" s="5">
        <v>43804</v>
      </c>
      <c r="B789">
        <v>9.64E-2</v>
      </c>
      <c r="C789">
        <v>9.7000000000000003E-2</v>
      </c>
      <c r="D789">
        <v>9.11E-2</v>
      </c>
      <c r="E789">
        <v>9.3200000000000005E-2</v>
      </c>
      <c r="F789">
        <v>1254021.72</v>
      </c>
      <c r="G789">
        <v>0</v>
      </c>
      <c r="L789" t="s">
        <v>7</v>
      </c>
      <c r="M789" t="s">
        <v>7</v>
      </c>
      <c r="N789" t="s">
        <v>7</v>
      </c>
      <c r="P789">
        <f t="shared" si="1004"/>
        <v>-0.28813559322033772</v>
      </c>
      <c r="Q789">
        <f t="shared" si="1005"/>
        <v>-361328.29220338824</v>
      </c>
      <c r="R789">
        <f t="shared" si="1006"/>
        <v>-44506317.330355763</v>
      </c>
      <c r="S789">
        <f t="shared" si="1007"/>
        <v>-445.06317330355762</v>
      </c>
      <c r="T789">
        <f t="shared" si="1008"/>
        <v>-0.4450631733035576</v>
      </c>
    </row>
    <row r="790" spans="1:20" x14ac:dyDescent="0.25">
      <c r="A790" s="5">
        <v>43803</v>
      </c>
      <c r="B790">
        <v>0.1018</v>
      </c>
      <c r="C790">
        <v>0.10199999999999999</v>
      </c>
      <c r="D790">
        <v>9.5000000000000001E-2</v>
      </c>
      <c r="E790">
        <v>9.69E-2</v>
      </c>
      <c r="F790">
        <v>2219699.5299999998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-0.45714285714285685</v>
      </c>
      <c r="Q790">
        <f t="shared" si="1005"/>
        <v>-1014719.7851428564</v>
      </c>
      <c r="R790">
        <f t="shared" si="1006"/>
        <v>-44144989.038152374</v>
      </c>
      <c r="S790">
        <f t="shared" si="1007"/>
        <v>-441.44989038152374</v>
      </c>
      <c r="T790">
        <f t="shared" si="1008"/>
        <v>-0.44144989038152377</v>
      </c>
    </row>
    <row r="791" spans="1:20" x14ac:dyDescent="0.25">
      <c r="A791" s="5">
        <v>43802</v>
      </c>
      <c r="B791">
        <v>0.1047</v>
      </c>
      <c r="C791">
        <v>0.1056</v>
      </c>
      <c r="D791">
        <v>0.1</v>
      </c>
      <c r="E791">
        <v>0.1018</v>
      </c>
      <c r="F791">
        <v>2185524.7599999998</v>
      </c>
      <c r="G791">
        <v>0</v>
      </c>
      <c r="L791" t="s">
        <v>7</v>
      </c>
      <c r="M791" t="s">
        <v>7</v>
      </c>
      <c r="N791" t="s">
        <v>7</v>
      </c>
      <c r="P791">
        <f t="shared" si="1004"/>
        <v>-0.35714285714285787</v>
      </c>
      <c r="Q791">
        <f t="shared" si="1005"/>
        <v>-780544.55714285863</v>
      </c>
      <c r="R791">
        <f t="shared" si="1006"/>
        <v>-43130269.25300952</v>
      </c>
      <c r="S791">
        <f t="shared" si="1007"/>
        <v>-431.30269253009521</v>
      </c>
      <c r="T791">
        <f t="shared" si="1008"/>
        <v>-0.43130269253009523</v>
      </c>
    </row>
    <row r="792" spans="1:20" x14ac:dyDescent="0.25">
      <c r="A792" s="5">
        <v>43801</v>
      </c>
      <c r="B792">
        <v>0.1071</v>
      </c>
      <c r="C792">
        <v>0.1084</v>
      </c>
      <c r="D792">
        <v>0.10349999999999999</v>
      </c>
      <c r="E792">
        <v>0.1046</v>
      </c>
      <c r="F792">
        <v>1315887.43</v>
      </c>
      <c r="G792">
        <v>0</v>
      </c>
      <c r="L792" t="s">
        <v>7</v>
      </c>
      <c r="M792" t="s">
        <v>7</v>
      </c>
      <c r="N792" t="s">
        <v>7</v>
      </c>
      <c r="P792">
        <f t="shared" si="1004"/>
        <v>-0.55102040816326392</v>
      </c>
      <c r="Q792">
        <f t="shared" si="1005"/>
        <v>-725080.82877550833</v>
      </c>
      <c r="R792">
        <f t="shared" si="1006"/>
        <v>-42349724.695866659</v>
      </c>
      <c r="S792">
        <f t="shared" si="1007"/>
        <v>-423.49724695866661</v>
      </c>
      <c r="T792">
        <f t="shared" si="1008"/>
        <v>-0.42349724695866658</v>
      </c>
    </row>
    <row r="793" spans="1:20" x14ac:dyDescent="0.25">
      <c r="A793" s="5">
        <v>43800</v>
      </c>
      <c r="B793">
        <v>0.1104</v>
      </c>
      <c r="C793">
        <v>0.1104</v>
      </c>
      <c r="D793">
        <v>0.10539999999999999</v>
      </c>
      <c r="E793">
        <v>0.1071</v>
      </c>
      <c r="F793">
        <v>917153.91</v>
      </c>
      <c r="G793">
        <v>0</v>
      </c>
      <c r="L793" t="s">
        <v>7</v>
      </c>
      <c r="M793" t="s">
        <v>7</v>
      </c>
      <c r="N793" t="s">
        <v>7</v>
      </c>
      <c r="P793">
        <f t="shared" si="1004"/>
        <v>-0.31999999999999779</v>
      </c>
      <c r="Q793">
        <f t="shared" si="1005"/>
        <v>-293489.25119999796</v>
      </c>
      <c r="R793">
        <f t="shared" si="1006"/>
        <v>-41624643.867091149</v>
      </c>
      <c r="S793">
        <f t="shared" si="1007"/>
        <v>-416.24643867091152</v>
      </c>
      <c r="T793">
        <f t="shared" si="1008"/>
        <v>-0.41624643867091149</v>
      </c>
    </row>
    <row r="794" spans="1:20" x14ac:dyDescent="0.25">
      <c r="A794" s="5">
        <v>43799</v>
      </c>
      <c r="B794">
        <v>0.1164</v>
      </c>
      <c r="C794">
        <v>0.1173</v>
      </c>
      <c r="D794">
        <v>0.1085</v>
      </c>
      <c r="E794">
        <v>0.11020000000000001</v>
      </c>
      <c r="F794">
        <v>1365602.6</v>
      </c>
      <c r="G794">
        <v>0</v>
      </c>
      <c r="L794" t="s">
        <v>7</v>
      </c>
      <c r="M794" t="s">
        <v>7</v>
      </c>
      <c r="N794" t="s">
        <v>7</v>
      </c>
      <c r="P794">
        <f t="shared" si="1004"/>
        <v>-0.61363636363636209</v>
      </c>
      <c r="Q794">
        <f t="shared" si="1005"/>
        <v>-837983.4136363616</v>
      </c>
      <c r="R794">
        <f t="shared" si="1006"/>
        <v>-41331154.615891151</v>
      </c>
      <c r="S794">
        <f t="shared" si="1007"/>
        <v>-413.31154615891148</v>
      </c>
      <c r="T794">
        <f t="shared" si="1008"/>
        <v>-0.41331154615891147</v>
      </c>
    </row>
    <row r="795" spans="1:20" x14ac:dyDescent="0.25">
      <c r="A795" s="5">
        <v>43798</v>
      </c>
      <c r="B795">
        <v>0.1152</v>
      </c>
      <c r="C795">
        <v>0.1203</v>
      </c>
      <c r="D795">
        <v>0.114</v>
      </c>
      <c r="E795">
        <v>0.1164</v>
      </c>
      <c r="F795">
        <v>1528806.69</v>
      </c>
      <c r="G795">
        <v>0</v>
      </c>
      <c r="L795" t="s">
        <v>8</v>
      </c>
      <c r="M795" t="s">
        <v>7</v>
      </c>
      <c r="N795" t="s">
        <v>7</v>
      </c>
      <c r="P795">
        <f t="shared" si="1004"/>
        <v>-0.2380952380952383</v>
      </c>
      <c r="Q795">
        <f t="shared" si="1005"/>
        <v>-364001.59285714314</v>
      </c>
      <c r="R795">
        <f t="shared" si="1006"/>
        <v>-40493171.202254787</v>
      </c>
      <c r="S795">
        <f t="shared" si="1007"/>
        <v>-404.93171202254786</v>
      </c>
      <c r="T795">
        <f t="shared" si="1008"/>
        <v>-0.40493171202254785</v>
      </c>
    </row>
    <row r="796" spans="1:20" x14ac:dyDescent="0.25">
      <c r="A796" s="5">
        <v>43797</v>
      </c>
      <c r="B796">
        <v>0.1134</v>
      </c>
      <c r="C796">
        <v>0.1225</v>
      </c>
      <c r="D796">
        <v>0.112</v>
      </c>
      <c r="E796">
        <v>0.11509999999999999</v>
      </c>
      <c r="F796">
        <v>3217861.77</v>
      </c>
      <c r="G796">
        <v>0</v>
      </c>
      <c r="L796" t="s">
        <v>8</v>
      </c>
      <c r="M796" t="s">
        <v>7</v>
      </c>
      <c r="N796" t="s">
        <v>7</v>
      </c>
      <c r="P796">
        <f t="shared" si="1004"/>
        <v>-0.40952380952381084</v>
      </c>
      <c r="Q796">
        <f t="shared" si="1005"/>
        <v>-1317791.0105714328</v>
      </c>
      <c r="R796">
        <f t="shared" si="1006"/>
        <v>-40129169.609397642</v>
      </c>
      <c r="S796">
        <f t="shared" si="1007"/>
        <v>-401.29169609397644</v>
      </c>
      <c r="T796">
        <f t="shared" si="1008"/>
        <v>-0.40129169609397641</v>
      </c>
    </row>
    <row r="797" spans="1:20" x14ac:dyDescent="0.25">
      <c r="A797" s="5">
        <v>43796</v>
      </c>
      <c r="B797">
        <v>0.1148</v>
      </c>
      <c r="C797">
        <v>0.11609999999999999</v>
      </c>
      <c r="D797">
        <v>0.1065</v>
      </c>
      <c r="E797">
        <v>0.1129</v>
      </c>
      <c r="F797">
        <v>2614524.02</v>
      </c>
      <c r="G797">
        <v>0</v>
      </c>
      <c r="L797" t="s">
        <v>7</v>
      </c>
      <c r="M797" t="s">
        <v>7</v>
      </c>
      <c r="N797" t="s">
        <v>7</v>
      </c>
      <c r="P797">
        <f t="shared" si="1004"/>
        <v>0.33333333333333431</v>
      </c>
      <c r="Q797">
        <f t="shared" si="1005"/>
        <v>871508.00666666927</v>
      </c>
      <c r="R797">
        <f t="shared" si="1006"/>
        <v>-38811378.598826207</v>
      </c>
      <c r="S797">
        <f t="shared" si="1007"/>
        <v>-388.11378598826207</v>
      </c>
      <c r="T797">
        <f t="shared" si="1008"/>
        <v>-0.38811378598826207</v>
      </c>
    </row>
    <row r="798" spans="1:20" x14ac:dyDescent="0.25">
      <c r="A798" s="5">
        <v>43795</v>
      </c>
      <c r="B798">
        <v>0.115</v>
      </c>
      <c r="C798">
        <v>0.1159</v>
      </c>
      <c r="D798">
        <v>0.1105</v>
      </c>
      <c r="E798">
        <v>0.1138</v>
      </c>
      <c r="F798">
        <v>2727102.39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0.22222222222222079</v>
      </c>
      <c r="Q798">
        <f t="shared" si="1005"/>
        <v>606022.75333332946</v>
      </c>
      <c r="R798">
        <f t="shared" si="1006"/>
        <v>-39682886.605492875</v>
      </c>
      <c r="S798">
        <f t="shared" si="1007"/>
        <v>-396.82886605492877</v>
      </c>
      <c r="T798">
        <f t="shared" si="1008"/>
        <v>-0.39682886605492879</v>
      </c>
    </row>
    <row r="799" spans="1:20" x14ac:dyDescent="0.25">
      <c r="A799" s="5">
        <v>43794</v>
      </c>
      <c r="B799">
        <v>0.12570000000000001</v>
      </c>
      <c r="C799">
        <v>0.12570000000000001</v>
      </c>
      <c r="D799">
        <v>0.1045</v>
      </c>
      <c r="E799">
        <v>0.11550000000000001</v>
      </c>
      <c r="F799">
        <v>8706539.6099999994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3.7735849056604182E-2</v>
      </c>
      <c r="Q799">
        <f t="shared" si="1005"/>
        <v>328548.66452830541</v>
      </c>
      <c r="R799">
        <f t="shared" si="1006"/>
        <v>-40288909.358826205</v>
      </c>
      <c r="S799">
        <f t="shared" si="1007"/>
        <v>-402.88909358826203</v>
      </c>
      <c r="T799">
        <f t="shared" si="1008"/>
        <v>-0.40288909358826203</v>
      </c>
    </row>
    <row r="800" spans="1:20" x14ac:dyDescent="0.25">
      <c r="A800" s="5">
        <v>43793</v>
      </c>
      <c r="B800">
        <v>0.1225</v>
      </c>
      <c r="C800">
        <v>0.1404</v>
      </c>
      <c r="D800">
        <v>0.11990000000000001</v>
      </c>
      <c r="E800">
        <v>0.12570000000000001</v>
      </c>
      <c r="F800">
        <v>9471139.3000000007</v>
      </c>
      <c r="G800">
        <v>0</v>
      </c>
      <c r="L800" t="s">
        <v>8</v>
      </c>
      <c r="M800" t="s">
        <v>8</v>
      </c>
      <c r="N800" t="s">
        <v>7</v>
      </c>
      <c r="P800">
        <f t="shared" si="1004"/>
        <v>-0.43414634146341441</v>
      </c>
      <c r="Q800">
        <f t="shared" si="1005"/>
        <v>-4111860.476585364</v>
      </c>
      <c r="R800">
        <f t="shared" si="1006"/>
        <v>-40617458.023354508</v>
      </c>
      <c r="S800">
        <f t="shared" si="1007"/>
        <v>-406.1745802335451</v>
      </c>
      <c r="T800">
        <f t="shared" si="1008"/>
        <v>-0.40617458023354508</v>
      </c>
    </row>
    <row r="801" spans="1:20" x14ac:dyDescent="0.25">
      <c r="A801" s="5">
        <v>43792</v>
      </c>
      <c r="B801">
        <v>0.114</v>
      </c>
      <c r="C801">
        <v>0.13569999999999999</v>
      </c>
      <c r="D801">
        <v>0.10829999999999999</v>
      </c>
      <c r="E801">
        <v>0.1231</v>
      </c>
      <c r="F801">
        <v>6631005.0700000003</v>
      </c>
      <c r="G801">
        <v>0</v>
      </c>
      <c r="L801" t="s">
        <v>8</v>
      </c>
      <c r="M801" t="s">
        <v>8</v>
      </c>
      <c r="N801" t="s">
        <v>7</v>
      </c>
      <c r="P801">
        <f t="shared" si="1004"/>
        <v>8.0291970802920512E-2</v>
      </c>
      <c r="Q801">
        <f t="shared" si="1005"/>
        <v>532416.46547445795</v>
      </c>
      <c r="R801">
        <f t="shared" si="1006"/>
        <v>-36505597.546769142</v>
      </c>
      <c r="S801">
        <f t="shared" si="1007"/>
        <v>-365.05597546769144</v>
      </c>
      <c r="T801">
        <f t="shared" si="1008"/>
        <v>-0.36505597546769142</v>
      </c>
    </row>
    <row r="802" spans="1:20" x14ac:dyDescent="0.25">
      <c r="A802" s="5">
        <v>43791</v>
      </c>
      <c r="B802">
        <v>0.1295</v>
      </c>
      <c r="C802">
        <v>0.13220000000000001</v>
      </c>
      <c r="D802">
        <v>0.10489999999999999</v>
      </c>
      <c r="E802">
        <v>0.114</v>
      </c>
      <c r="F802">
        <v>5083336.5199999996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-0.33333333333333298</v>
      </c>
      <c r="Q802">
        <f t="shared" si="1005"/>
        <v>-1694445.5066666647</v>
      </c>
      <c r="R802">
        <f t="shared" si="1006"/>
        <v>-37038014.012243599</v>
      </c>
      <c r="S802">
        <f t="shared" si="1007"/>
        <v>-370.38014012243599</v>
      </c>
      <c r="T802">
        <f t="shared" si="1008"/>
        <v>-0.37038014012243597</v>
      </c>
    </row>
    <row r="803" spans="1:20" x14ac:dyDescent="0.25">
      <c r="A803" s="5">
        <v>43790</v>
      </c>
      <c r="B803">
        <v>0.1469</v>
      </c>
      <c r="C803">
        <v>0.14849999999999999</v>
      </c>
      <c r="D803">
        <v>0.12670000000000001</v>
      </c>
      <c r="E803">
        <v>0.1295</v>
      </c>
      <c r="F803">
        <v>2539048.2599999998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-0.74311926605504597</v>
      </c>
      <c r="Q803">
        <f t="shared" si="1005"/>
        <v>-1886815.6794495413</v>
      </c>
      <c r="R803">
        <f t="shared" si="1006"/>
        <v>-35343568.505576931</v>
      </c>
      <c r="S803">
        <f t="shared" si="1007"/>
        <v>-353.43568505576928</v>
      </c>
      <c r="T803">
        <f t="shared" si="1008"/>
        <v>-0.35343568505576928</v>
      </c>
    </row>
    <row r="804" spans="1:20" x14ac:dyDescent="0.25">
      <c r="A804" s="5">
        <v>43789</v>
      </c>
      <c r="B804">
        <v>0.157</v>
      </c>
      <c r="C804">
        <v>0.15909999999999999</v>
      </c>
      <c r="D804">
        <v>0.1452</v>
      </c>
      <c r="E804">
        <v>0.1469</v>
      </c>
      <c r="F804">
        <v>1281751.56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-0.75539568345323627</v>
      </c>
      <c r="Q804">
        <f t="shared" si="1005"/>
        <v>-968229.59568345186</v>
      </c>
      <c r="R804">
        <f t="shared" si="1006"/>
        <v>-33456752.826127388</v>
      </c>
      <c r="S804">
        <f t="shared" si="1007"/>
        <v>-334.56752826127388</v>
      </c>
      <c r="T804">
        <f t="shared" si="1008"/>
        <v>-0.33456752826127389</v>
      </c>
    </row>
    <row r="805" spans="1:20" x14ac:dyDescent="0.25">
      <c r="A805" s="5">
        <v>43788</v>
      </c>
      <c r="B805">
        <v>0.16900000000000001</v>
      </c>
      <c r="C805">
        <v>0.16900000000000001</v>
      </c>
      <c r="D805">
        <v>0.15290000000000001</v>
      </c>
      <c r="E805">
        <v>0.157</v>
      </c>
      <c r="F805">
        <v>2196885.7599999998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-0.49068322981366563</v>
      </c>
      <c r="Q805">
        <f t="shared" si="1005"/>
        <v>-1077975.0002484494</v>
      </c>
      <c r="R805">
        <f t="shared" si="1006"/>
        <v>-32488523.230443936</v>
      </c>
      <c r="S805">
        <f t="shared" si="1007"/>
        <v>-324.88523230443934</v>
      </c>
      <c r="T805">
        <f t="shared" si="1008"/>
        <v>-0.32488523230443933</v>
      </c>
    </row>
    <row r="806" spans="1:20" x14ac:dyDescent="0.25">
      <c r="A806" s="5">
        <v>43787</v>
      </c>
      <c r="B806">
        <v>0.17899999999999999</v>
      </c>
      <c r="C806">
        <v>0.17929999999999999</v>
      </c>
      <c r="D806">
        <v>0.16500000000000001</v>
      </c>
      <c r="E806">
        <v>0.1676</v>
      </c>
      <c r="F806">
        <v>1499495.06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-0.63636363636363702</v>
      </c>
      <c r="Q806">
        <f t="shared" si="1005"/>
        <v>-954224.12909091008</v>
      </c>
      <c r="R806">
        <f t="shared" si="1006"/>
        <v>-31410548.230195485</v>
      </c>
      <c r="S806">
        <f t="shared" si="1007"/>
        <v>-314.10548230195485</v>
      </c>
      <c r="T806">
        <f t="shared" si="1008"/>
        <v>-0.31410548230195484</v>
      </c>
    </row>
    <row r="807" spans="1:20" x14ac:dyDescent="0.25">
      <c r="A807" s="5">
        <v>43786</v>
      </c>
      <c r="B807">
        <v>0.18210000000000001</v>
      </c>
      <c r="C807">
        <v>0.18410000000000001</v>
      </c>
      <c r="D807">
        <v>0.17860000000000001</v>
      </c>
      <c r="E807">
        <v>0.1792</v>
      </c>
      <c r="F807">
        <v>932831.87</v>
      </c>
      <c r="G807">
        <v>0</v>
      </c>
      <c r="L807" t="s">
        <v>8</v>
      </c>
      <c r="M807" t="s">
        <v>7</v>
      </c>
      <c r="N807" t="s">
        <v>7</v>
      </c>
      <c r="P807">
        <f t="shared" si="1004"/>
        <v>-0.78181818181818585</v>
      </c>
      <c r="Q807">
        <f t="shared" si="1005"/>
        <v>-729304.91654545825</v>
      </c>
      <c r="R807">
        <f t="shared" si="1006"/>
        <v>-30456324.101104576</v>
      </c>
      <c r="S807">
        <f t="shared" si="1007"/>
        <v>-304.56324101104576</v>
      </c>
      <c r="T807">
        <f t="shared" si="1008"/>
        <v>-0.30456324101104576</v>
      </c>
    </row>
    <row r="808" spans="1:20" x14ac:dyDescent="0.25">
      <c r="A808" s="5">
        <v>43785</v>
      </c>
      <c r="B808">
        <v>0.1847</v>
      </c>
      <c r="C808">
        <v>0.1893</v>
      </c>
      <c r="D808">
        <v>0.1822</v>
      </c>
      <c r="E808">
        <v>0.1822</v>
      </c>
      <c r="F808">
        <v>1344544.2</v>
      </c>
      <c r="G808">
        <v>0</v>
      </c>
      <c r="L808" t="s">
        <v>8</v>
      </c>
      <c r="M808" t="s">
        <v>7</v>
      </c>
      <c r="N808" t="s">
        <v>7</v>
      </c>
      <c r="P808">
        <f t="shared" si="1004"/>
        <v>-1</v>
      </c>
      <c r="Q808">
        <f t="shared" si="1005"/>
        <v>-1344544.2</v>
      </c>
      <c r="R808">
        <f t="shared" si="1006"/>
        <v>-29727019.184559118</v>
      </c>
      <c r="S808">
        <f t="shared" si="1007"/>
        <v>-297.27019184559117</v>
      </c>
      <c r="T808">
        <f t="shared" si="1008"/>
        <v>-0.29727019184559117</v>
      </c>
    </row>
    <row r="809" spans="1:20" x14ac:dyDescent="0.25">
      <c r="A809" s="5">
        <v>43784</v>
      </c>
      <c r="B809">
        <v>0.18260000000000001</v>
      </c>
      <c r="C809">
        <v>0.18559999999999999</v>
      </c>
      <c r="D809">
        <v>0.17319999999999999</v>
      </c>
      <c r="E809">
        <v>0.185</v>
      </c>
      <c r="F809">
        <v>2818162.23</v>
      </c>
      <c r="G809">
        <v>0</v>
      </c>
      <c r="L809" t="s">
        <v>7</v>
      </c>
      <c r="M809" t="s">
        <v>7</v>
      </c>
      <c r="N809" t="s">
        <v>7</v>
      </c>
      <c r="P809">
        <f t="shared" si="1004"/>
        <v>0.90322580645161454</v>
      </c>
      <c r="Q809">
        <f t="shared" si="1005"/>
        <v>2545436.8529032306</v>
      </c>
      <c r="R809">
        <f t="shared" si="1006"/>
        <v>-28382474.984559119</v>
      </c>
      <c r="S809">
        <f t="shared" si="1007"/>
        <v>-283.82474984559121</v>
      </c>
      <c r="T809">
        <f t="shared" si="1008"/>
        <v>-0.2838247498455912</v>
      </c>
    </row>
    <row r="810" spans="1:20" x14ac:dyDescent="0.25">
      <c r="A810" s="5">
        <v>43783</v>
      </c>
      <c r="B810">
        <v>0.19450000000000001</v>
      </c>
      <c r="C810">
        <v>0.19500000000000001</v>
      </c>
      <c r="D810">
        <v>0.1822</v>
      </c>
      <c r="E810">
        <v>0.1825</v>
      </c>
      <c r="F810">
        <v>1509655.21</v>
      </c>
      <c r="G810">
        <v>0</v>
      </c>
      <c r="L810" t="s">
        <v>7</v>
      </c>
      <c r="M810" t="s">
        <v>7</v>
      </c>
      <c r="N810" t="s">
        <v>7</v>
      </c>
      <c r="P810">
        <f t="shared" si="1004"/>
        <v>-0.95312500000000089</v>
      </c>
      <c r="Q810">
        <f t="shared" si="1005"/>
        <v>-1438890.1220312512</v>
      </c>
      <c r="R810">
        <f t="shared" si="1006"/>
        <v>-30927911.837462351</v>
      </c>
      <c r="S810">
        <f t="shared" si="1007"/>
        <v>-309.27911837462352</v>
      </c>
      <c r="T810">
        <f t="shared" si="1008"/>
        <v>-0.30927911837462352</v>
      </c>
    </row>
    <row r="811" spans="1:20" x14ac:dyDescent="0.25">
      <c r="A811" s="5">
        <v>43782</v>
      </c>
      <c r="B811">
        <v>0.19139999999999999</v>
      </c>
      <c r="C811">
        <v>0.19600000000000001</v>
      </c>
      <c r="D811">
        <v>0.19020000000000001</v>
      </c>
      <c r="E811">
        <v>0.19320000000000001</v>
      </c>
      <c r="F811">
        <v>948242.34</v>
      </c>
      <c r="G811">
        <v>0</v>
      </c>
      <c r="L811" t="s">
        <v>7</v>
      </c>
      <c r="M811" t="s">
        <v>7</v>
      </c>
      <c r="N811" t="s">
        <v>7</v>
      </c>
      <c r="P811">
        <f t="shared" si="1004"/>
        <v>3.4482758620690647E-2</v>
      </c>
      <c r="Q811">
        <f t="shared" si="1005"/>
        <v>32698.011724138869</v>
      </c>
      <c r="R811">
        <f t="shared" si="1006"/>
        <v>-29489021.715431098</v>
      </c>
      <c r="S811">
        <f t="shared" si="1007"/>
        <v>-294.89021715431096</v>
      </c>
      <c r="T811">
        <f t="shared" si="1008"/>
        <v>-0.29489021715431096</v>
      </c>
    </row>
    <row r="812" spans="1:20" x14ac:dyDescent="0.25">
      <c r="A812" s="5">
        <v>43781</v>
      </c>
      <c r="B812">
        <v>0.19520000000000001</v>
      </c>
      <c r="C812">
        <v>0.19600000000000001</v>
      </c>
      <c r="D812">
        <v>0.18740000000000001</v>
      </c>
      <c r="E812">
        <v>0.19159999999999999</v>
      </c>
      <c r="F812">
        <v>1297003.57</v>
      </c>
      <c r="G812">
        <v>0</v>
      </c>
      <c r="L812" t="s">
        <v>7</v>
      </c>
      <c r="M812" t="s">
        <v>7</v>
      </c>
      <c r="N812" t="s">
        <v>7</v>
      </c>
      <c r="P812">
        <f t="shared" si="1004"/>
        <v>-2.3255813953492275E-2</v>
      </c>
      <c r="Q812">
        <f t="shared" si="1005"/>
        <v>-30162.873720935295</v>
      </c>
      <c r="R812">
        <f t="shared" si="1006"/>
        <v>-29521719.727155238</v>
      </c>
      <c r="S812">
        <f t="shared" si="1007"/>
        <v>-295.21719727155238</v>
      </c>
      <c r="T812">
        <f t="shared" si="1008"/>
        <v>-0.29521719727155238</v>
      </c>
    </row>
    <row r="813" spans="1:20" x14ac:dyDescent="0.25">
      <c r="A813" s="5">
        <v>43780</v>
      </c>
      <c r="B813">
        <v>0.1996</v>
      </c>
      <c r="C813">
        <v>0.20269999999999999</v>
      </c>
      <c r="D813">
        <v>0.1915</v>
      </c>
      <c r="E813">
        <v>0.1951</v>
      </c>
      <c r="F813">
        <v>2088239.06</v>
      </c>
      <c r="G813">
        <v>0</v>
      </c>
      <c r="L813" t="s">
        <v>7</v>
      </c>
      <c r="M813" t="s">
        <v>7</v>
      </c>
      <c r="N813" t="s">
        <v>7</v>
      </c>
      <c r="P813">
        <f t="shared" si="1004"/>
        <v>-0.35714285714285787</v>
      </c>
      <c r="Q813">
        <f t="shared" si="1005"/>
        <v>-745799.66428571579</v>
      </c>
      <c r="R813">
        <f t="shared" si="1006"/>
        <v>-29491556.853434302</v>
      </c>
      <c r="S813">
        <f t="shared" si="1007"/>
        <v>-294.91556853434304</v>
      </c>
      <c r="T813">
        <f t="shared" si="1008"/>
        <v>-0.29491556853434303</v>
      </c>
    </row>
    <row r="814" spans="1:20" x14ac:dyDescent="0.25">
      <c r="A814" s="5">
        <v>43779</v>
      </c>
      <c r="B814">
        <v>0.2056</v>
      </c>
      <c r="C814">
        <v>0.21</v>
      </c>
      <c r="D814">
        <v>0.1991</v>
      </c>
      <c r="E814">
        <v>0.19950000000000001</v>
      </c>
      <c r="F814">
        <v>2438251.58</v>
      </c>
      <c r="G814">
        <v>0</v>
      </c>
      <c r="L814" t="s">
        <v>7</v>
      </c>
      <c r="M814" t="s">
        <v>7</v>
      </c>
      <c r="N814" t="s">
        <v>7</v>
      </c>
      <c r="P814">
        <f t="shared" si="1004"/>
        <v>-0.92660550458715385</v>
      </c>
      <c r="Q814">
        <f t="shared" si="1005"/>
        <v>-2259297.3355963253</v>
      </c>
      <c r="R814">
        <f t="shared" si="1006"/>
        <v>-28745757.189148586</v>
      </c>
      <c r="S814">
        <f t="shared" si="1007"/>
        <v>-287.45757189148588</v>
      </c>
      <c r="T814">
        <f t="shared" si="1008"/>
        <v>-0.28745757189148591</v>
      </c>
    </row>
    <row r="815" spans="1:20" x14ac:dyDescent="0.25">
      <c r="A815" s="5">
        <v>43778</v>
      </c>
      <c r="B815">
        <v>0.21290000000000001</v>
      </c>
      <c r="C815">
        <v>0.22309999999999999</v>
      </c>
      <c r="D815">
        <v>0.20180000000000001</v>
      </c>
      <c r="E815">
        <v>0.2056</v>
      </c>
      <c r="F815">
        <v>3965826.21</v>
      </c>
      <c r="G815">
        <v>0</v>
      </c>
      <c r="L815" t="s">
        <v>8</v>
      </c>
      <c r="M815" t="s">
        <v>7</v>
      </c>
      <c r="N815" t="s">
        <v>7</v>
      </c>
      <c r="P815">
        <f t="shared" si="1004"/>
        <v>-0.64319248826291076</v>
      </c>
      <c r="Q815">
        <f t="shared" si="1005"/>
        <v>-2550789.6280281688</v>
      </c>
      <c r="R815">
        <f t="shared" si="1006"/>
        <v>-26486459.85355226</v>
      </c>
      <c r="S815">
        <f t="shared" si="1007"/>
        <v>-264.86459853552259</v>
      </c>
      <c r="T815">
        <f t="shared" si="1008"/>
        <v>-0.26486459853552258</v>
      </c>
    </row>
    <row r="816" spans="1:20" x14ac:dyDescent="0.25">
      <c r="A816" s="5">
        <v>43777</v>
      </c>
      <c r="B816">
        <v>0.21959999999999999</v>
      </c>
      <c r="C816">
        <v>0.2208</v>
      </c>
      <c r="D816">
        <v>0.19850000000000001</v>
      </c>
      <c r="E816">
        <v>0.21490000000000001</v>
      </c>
      <c r="F816">
        <v>5359697.8600000003</v>
      </c>
      <c r="G816">
        <v>0</v>
      </c>
      <c r="L816" t="s">
        <v>8</v>
      </c>
      <c r="M816" t="s">
        <v>7</v>
      </c>
      <c r="N816" t="s">
        <v>7</v>
      </c>
      <c r="P816">
        <f t="shared" si="1004"/>
        <v>0.47085201793722042</v>
      </c>
      <c r="Q816">
        <f t="shared" si="1005"/>
        <v>2523624.552914802</v>
      </c>
      <c r="R816">
        <f t="shared" si="1006"/>
        <v>-23935670.22552409</v>
      </c>
      <c r="S816">
        <f t="shared" si="1007"/>
        <v>-239.35670225524089</v>
      </c>
      <c r="T816">
        <f t="shared" si="1008"/>
        <v>-0.23935670225524089</v>
      </c>
    </row>
    <row r="817" spans="1:20" x14ac:dyDescent="0.25">
      <c r="A817" s="5">
        <v>43776</v>
      </c>
      <c r="B817">
        <v>0.20319999999999999</v>
      </c>
      <c r="C817">
        <v>0.22309999999999999</v>
      </c>
      <c r="D817">
        <v>0.20080000000000001</v>
      </c>
      <c r="E817">
        <v>0.2203</v>
      </c>
      <c r="F817">
        <v>5459661.46</v>
      </c>
      <c r="G817">
        <v>0</v>
      </c>
      <c r="L817" t="s">
        <v>7</v>
      </c>
      <c r="M817" t="s">
        <v>7</v>
      </c>
      <c r="N817" t="s">
        <v>7</v>
      </c>
      <c r="P817">
        <f t="shared" si="1004"/>
        <v>0.74887892376681631</v>
      </c>
      <c r="Q817">
        <f t="shared" si="1005"/>
        <v>4088625.398295965</v>
      </c>
      <c r="R817">
        <f t="shared" si="1006"/>
        <v>-26459294.778438892</v>
      </c>
      <c r="S817">
        <f t="shared" si="1007"/>
        <v>-264.59294778438891</v>
      </c>
      <c r="T817">
        <f t="shared" si="1008"/>
        <v>-0.26459294778438891</v>
      </c>
    </row>
    <row r="818" spans="1:20" x14ac:dyDescent="0.25">
      <c r="A818" s="5">
        <v>43775</v>
      </c>
      <c r="B818">
        <v>0.2215</v>
      </c>
      <c r="C818">
        <v>0.22720000000000001</v>
      </c>
      <c r="D818">
        <v>0.20250000000000001</v>
      </c>
      <c r="E818">
        <v>0.20280000000000001</v>
      </c>
      <c r="F818">
        <v>4348726.7</v>
      </c>
      <c r="G818">
        <v>0</v>
      </c>
      <c r="L818" t="s">
        <v>7</v>
      </c>
      <c r="M818" t="s">
        <v>7</v>
      </c>
      <c r="N818" t="s">
        <v>7</v>
      </c>
      <c r="P818">
        <f t="shared" si="1004"/>
        <v>-0.97570850202429193</v>
      </c>
      <c r="Q818">
        <f t="shared" si="1005"/>
        <v>-4243089.6141700428</v>
      </c>
      <c r="R818">
        <f t="shared" si="1006"/>
        <v>-30547920.176734857</v>
      </c>
      <c r="S818">
        <f t="shared" si="1007"/>
        <v>-305.47920176734857</v>
      </c>
      <c r="T818">
        <f t="shared" si="1008"/>
        <v>-0.30547920176734855</v>
      </c>
    </row>
    <row r="819" spans="1:20" x14ac:dyDescent="0.25">
      <c r="A819" s="5">
        <v>43774</v>
      </c>
      <c r="B819">
        <v>0.2215</v>
      </c>
      <c r="C819">
        <v>0.22869999999999999</v>
      </c>
      <c r="D819">
        <v>0.2104</v>
      </c>
      <c r="E819">
        <v>0.22059999999999999</v>
      </c>
      <c r="F819">
        <v>6719134.79</v>
      </c>
      <c r="G819">
        <v>0</v>
      </c>
      <c r="L819" t="s">
        <v>7</v>
      </c>
      <c r="M819" t="s">
        <v>7</v>
      </c>
      <c r="N819" t="s">
        <v>7</v>
      </c>
      <c r="P819">
        <f t="shared" si="1004"/>
        <v>0.11475409836065534</v>
      </c>
      <c r="Q819">
        <f t="shared" si="1005"/>
        <v>771048.25459016126</v>
      </c>
      <c r="R819">
        <f t="shared" si="1006"/>
        <v>-26304830.562564816</v>
      </c>
      <c r="S819">
        <f t="shared" si="1007"/>
        <v>-263.04830562564814</v>
      </c>
      <c r="T819">
        <f t="shared" si="1008"/>
        <v>-0.26304830562564813</v>
      </c>
    </row>
    <row r="820" spans="1:20" x14ac:dyDescent="0.25">
      <c r="A820" s="5">
        <v>43773</v>
      </c>
      <c r="B820">
        <v>0.23280000000000001</v>
      </c>
      <c r="C820">
        <v>0.2467</v>
      </c>
      <c r="D820">
        <v>0.21740000000000001</v>
      </c>
      <c r="E820">
        <v>0.22109999999999999</v>
      </c>
      <c r="F820">
        <v>11232858.59</v>
      </c>
      <c r="G820">
        <v>0</v>
      </c>
      <c r="L820" t="s">
        <v>7</v>
      </c>
      <c r="M820" t="s">
        <v>7</v>
      </c>
      <c r="N820" t="s">
        <v>7</v>
      </c>
      <c r="P820">
        <f t="shared" si="1004"/>
        <v>-0.7474402730375439</v>
      </c>
      <c r="Q820">
        <f t="shared" si="1005"/>
        <v>-8395890.891501721</v>
      </c>
      <c r="R820">
        <f t="shared" si="1006"/>
        <v>-27075878.817154977</v>
      </c>
      <c r="S820">
        <f t="shared" si="1007"/>
        <v>-270.75878817154978</v>
      </c>
      <c r="T820">
        <f t="shared" si="1008"/>
        <v>-0.2707587881715498</v>
      </c>
    </row>
    <row r="821" spans="1:20" x14ac:dyDescent="0.25">
      <c r="A821" s="5">
        <v>43772</v>
      </c>
      <c r="B821">
        <v>0.19539999999999999</v>
      </c>
      <c r="C821">
        <v>0.26200000000000001</v>
      </c>
      <c r="D821">
        <v>0.19289999999999999</v>
      </c>
      <c r="E821">
        <v>0.23519999999999999</v>
      </c>
      <c r="F821">
        <v>12606871.74</v>
      </c>
      <c r="G821">
        <v>0</v>
      </c>
      <c r="L821" t="s">
        <v>8</v>
      </c>
      <c r="M821" t="s">
        <v>8</v>
      </c>
      <c r="N821" t="s">
        <v>7</v>
      </c>
      <c r="P821">
        <f t="shared" si="1004"/>
        <v>0.22431259044862489</v>
      </c>
      <c r="Q821">
        <f t="shared" si="1005"/>
        <v>2827880.0574529632</v>
      </c>
      <c r="R821">
        <f t="shared" si="1006"/>
        <v>-18679987.925653256</v>
      </c>
      <c r="S821">
        <f t="shared" si="1007"/>
        <v>-186.79987925653256</v>
      </c>
      <c r="T821">
        <f t="shared" si="1008"/>
        <v>-0.18679987925653257</v>
      </c>
    </row>
    <row r="822" spans="1:20" x14ac:dyDescent="0.25">
      <c r="A822" s="5">
        <v>43771</v>
      </c>
      <c r="B822">
        <v>0.1903</v>
      </c>
      <c r="C822">
        <v>0.2024</v>
      </c>
      <c r="D822">
        <v>0.18809999999999999</v>
      </c>
      <c r="E822">
        <v>0.19539999999999999</v>
      </c>
      <c r="F822">
        <v>3273725.12</v>
      </c>
      <c r="G822">
        <v>0</v>
      </c>
      <c r="L822" t="s">
        <v>8</v>
      </c>
      <c r="M822" t="s">
        <v>7</v>
      </c>
      <c r="N822" t="s">
        <v>7</v>
      </c>
      <c r="P822">
        <f t="shared" si="1004"/>
        <v>2.0979020979020598E-2</v>
      </c>
      <c r="Q822">
        <f t="shared" si="1005"/>
        <v>68679.547972026732</v>
      </c>
      <c r="R822">
        <f t="shared" si="1006"/>
        <v>-21507867.983106218</v>
      </c>
      <c r="S822">
        <f t="shared" si="1007"/>
        <v>-215.07867983106217</v>
      </c>
      <c r="T822">
        <f t="shared" si="1008"/>
        <v>-0.21507867983106219</v>
      </c>
    </row>
    <row r="823" spans="1:20" x14ac:dyDescent="0.25">
      <c r="A823" s="5">
        <v>43770</v>
      </c>
      <c r="B823">
        <v>0.193</v>
      </c>
      <c r="C823">
        <v>0.19670000000000001</v>
      </c>
      <c r="D823">
        <v>0.18690000000000001</v>
      </c>
      <c r="E823">
        <v>0.19109999999999999</v>
      </c>
      <c r="F823">
        <v>2527720.46</v>
      </c>
      <c r="G823">
        <v>0</v>
      </c>
      <c r="L823" t="s">
        <v>8</v>
      </c>
      <c r="M823" t="s">
        <v>7</v>
      </c>
      <c r="N823" t="s">
        <v>7</v>
      </c>
      <c r="P823">
        <f t="shared" si="1004"/>
        <v>-0.1428571428571469</v>
      </c>
      <c r="Q823">
        <f t="shared" si="1005"/>
        <v>-361102.92285715305</v>
      </c>
      <c r="R823">
        <f t="shared" si="1006"/>
        <v>-21576547.531078245</v>
      </c>
      <c r="S823">
        <f t="shared" si="1007"/>
        <v>-215.76547531078245</v>
      </c>
      <c r="T823">
        <f t="shared" si="1008"/>
        <v>-0.21576547531078244</v>
      </c>
    </row>
    <row r="824" spans="1:20" x14ac:dyDescent="0.25">
      <c r="A824" s="5">
        <v>43769</v>
      </c>
      <c r="B824">
        <v>0.19620000000000001</v>
      </c>
      <c r="C824">
        <v>0.20960000000000001</v>
      </c>
      <c r="D824">
        <v>0.18160000000000001</v>
      </c>
      <c r="E824">
        <v>0.19209999999999999</v>
      </c>
      <c r="F824">
        <v>5337839.3899999997</v>
      </c>
      <c r="G824">
        <v>0</v>
      </c>
      <c r="L824" t="s">
        <v>7</v>
      </c>
      <c r="M824" t="s">
        <v>7</v>
      </c>
      <c r="N824" t="s">
        <v>7</v>
      </c>
      <c r="P824">
        <f t="shared" si="1004"/>
        <v>-0.25000000000000122</v>
      </c>
      <c r="Q824">
        <f t="shared" si="1005"/>
        <v>-1334459.8475000064</v>
      </c>
      <c r="R824">
        <f t="shared" si="1006"/>
        <v>-21215444.608221091</v>
      </c>
      <c r="S824">
        <f t="shared" si="1007"/>
        <v>-212.15444608221091</v>
      </c>
      <c r="T824">
        <f t="shared" si="1008"/>
        <v>-0.2121544460822109</v>
      </c>
    </row>
    <row r="825" spans="1:20" x14ac:dyDescent="0.25">
      <c r="A825" s="5">
        <v>43768</v>
      </c>
      <c r="B825">
        <v>0.21099999999999999</v>
      </c>
      <c r="C825">
        <v>0.214</v>
      </c>
      <c r="D825">
        <v>0.19320000000000001</v>
      </c>
      <c r="E825">
        <v>0.19739999999999999</v>
      </c>
      <c r="F825">
        <v>2725399.59</v>
      </c>
      <c r="G825">
        <v>0</v>
      </c>
      <c r="L825" t="s">
        <v>7</v>
      </c>
      <c r="M825" t="s">
        <v>7</v>
      </c>
      <c r="N825" t="s">
        <v>7</v>
      </c>
      <c r="P825">
        <f t="shared" si="1004"/>
        <v>-0.59615384615384759</v>
      </c>
      <c r="Q825">
        <f t="shared" si="1005"/>
        <v>-1624757.4478846192</v>
      </c>
      <c r="R825">
        <f t="shared" si="1006"/>
        <v>-19880984.760721084</v>
      </c>
      <c r="S825">
        <f t="shared" si="1007"/>
        <v>-198.80984760721083</v>
      </c>
      <c r="T825">
        <f t="shared" si="1008"/>
        <v>-0.19880984760721082</v>
      </c>
    </row>
    <row r="826" spans="1:20" x14ac:dyDescent="0.25">
      <c r="A826" s="5">
        <v>43767</v>
      </c>
      <c r="B826">
        <v>0.21329999999999999</v>
      </c>
      <c r="C826">
        <v>0.22289999999999999</v>
      </c>
      <c r="D826">
        <v>0.20760000000000001</v>
      </c>
      <c r="E826">
        <v>0.21099999999999999</v>
      </c>
      <c r="F826">
        <v>3277198.86</v>
      </c>
      <c r="G826">
        <v>0</v>
      </c>
      <c r="L826" t="s">
        <v>8</v>
      </c>
      <c r="M826" t="s">
        <v>7</v>
      </c>
      <c r="N826" t="s">
        <v>7</v>
      </c>
      <c r="P826">
        <f t="shared" si="1004"/>
        <v>-0.5555555555555568</v>
      </c>
      <c r="Q826">
        <f t="shared" si="1005"/>
        <v>-1820666.0333333374</v>
      </c>
      <c r="R826">
        <f t="shared" si="1006"/>
        <v>-18256227.312836464</v>
      </c>
      <c r="S826">
        <f t="shared" si="1007"/>
        <v>-182.56227312836464</v>
      </c>
      <c r="T826">
        <f t="shared" si="1008"/>
        <v>-0.18256227312836465</v>
      </c>
    </row>
    <row r="827" spans="1:20" x14ac:dyDescent="0.25">
      <c r="A827" s="5">
        <v>43766</v>
      </c>
      <c r="B827">
        <v>0.21360000000000001</v>
      </c>
      <c r="C827">
        <v>0.25</v>
      </c>
      <c r="D827">
        <v>0.20499999999999999</v>
      </c>
      <c r="E827">
        <v>0.21260000000000001</v>
      </c>
      <c r="F827">
        <v>7968877.2999999998</v>
      </c>
      <c r="G827">
        <v>0</v>
      </c>
      <c r="L827" t="s">
        <v>7</v>
      </c>
      <c r="M827" t="s">
        <v>8</v>
      </c>
      <c r="N827" t="s">
        <v>7</v>
      </c>
      <c r="P827">
        <f t="shared" si="1004"/>
        <v>-0.66222222222222127</v>
      </c>
      <c r="Q827">
        <f t="shared" si="1005"/>
        <v>-5277167.6342222141</v>
      </c>
      <c r="R827">
        <f t="shared" si="1006"/>
        <v>-16435561.279503126</v>
      </c>
      <c r="S827">
        <f t="shared" si="1007"/>
        <v>-164.35561279503125</v>
      </c>
      <c r="T827">
        <f t="shared" si="1008"/>
        <v>-0.16435561279503125</v>
      </c>
    </row>
    <row r="828" spans="1:20" x14ac:dyDescent="0.25">
      <c r="A828" s="5">
        <v>43765</v>
      </c>
      <c r="B828">
        <v>0.26200000000000001</v>
      </c>
      <c r="C828">
        <v>0.27360000000000001</v>
      </c>
      <c r="D828">
        <v>0.2084</v>
      </c>
      <c r="E828">
        <v>0.21210000000000001</v>
      </c>
      <c r="F828">
        <v>6204081.96</v>
      </c>
      <c r="G828">
        <v>0</v>
      </c>
      <c r="L828" t="s">
        <v>7</v>
      </c>
      <c r="M828" t="s">
        <v>7</v>
      </c>
      <c r="N828" t="s">
        <v>7</v>
      </c>
      <c r="P828">
        <f t="shared" si="1004"/>
        <v>-0.88650306748466234</v>
      </c>
      <c r="Q828">
        <f t="shared" si="1005"/>
        <v>-5499937.6884662565</v>
      </c>
      <c r="R828">
        <f t="shared" si="1006"/>
        <v>-11158393.645280913</v>
      </c>
      <c r="S828">
        <f t="shared" si="1007"/>
        <v>-111.58393645280913</v>
      </c>
      <c r="T828">
        <f t="shared" si="1008"/>
        <v>-0.11158393645280913</v>
      </c>
    </row>
    <row r="829" spans="1:20" x14ac:dyDescent="0.25">
      <c r="A829" s="5">
        <v>43764</v>
      </c>
      <c r="B829">
        <v>0.376</v>
      </c>
      <c r="C829">
        <v>0.3795</v>
      </c>
      <c r="D829">
        <v>0.25030000000000002</v>
      </c>
      <c r="E829">
        <v>0.26200000000000001</v>
      </c>
      <c r="F829">
        <v>11681713.869999999</v>
      </c>
      <c r="G829">
        <v>0</v>
      </c>
      <c r="L829" t="s">
        <v>7</v>
      </c>
      <c r="M829" t="s">
        <v>7</v>
      </c>
      <c r="N829" t="s">
        <v>7</v>
      </c>
      <c r="P829">
        <f t="shared" si="1004"/>
        <v>-0.8188854489164088</v>
      </c>
      <c r="Q829">
        <f t="shared" si="1005"/>
        <v>-9565985.5065479893</v>
      </c>
      <c r="R829">
        <f t="shared" si="1006"/>
        <v>-5658455.956814656</v>
      </c>
      <c r="S829">
        <f t="shared" si="1007"/>
        <v>-56.58455956814656</v>
      </c>
      <c r="T829">
        <f t="shared" si="1008"/>
        <v>-5.6584559568146557E-2</v>
      </c>
    </row>
    <row r="830" spans="1:20" x14ac:dyDescent="0.25">
      <c r="A830" s="5">
        <v>43763</v>
      </c>
      <c r="B830">
        <v>0.30120000000000002</v>
      </c>
      <c r="C830">
        <v>0.5</v>
      </c>
      <c r="D830">
        <v>0.2</v>
      </c>
      <c r="E830">
        <v>0.376</v>
      </c>
      <c r="F830">
        <v>22543439.710000001</v>
      </c>
      <c r="G830">
        <v>0</v>
      </c>
      <c r="P830">
        <f t="shared" si="1004"/>
        <v>0.17333333333333331</v>
      </c>
      <c r="Q830">
        <f t="shared" si="1005"/>
        <v>3907529.5497333328</v>
      </c>
      <c r="R830">
        <f t="shared" si="1006"/>
        <v>3907529.5497333328</v>
      </c>
      <c r="S830">
        <f t="shared" si="1007"/>
        <v>39.075295497333329</v>
      </c>
      <c r="T830">
        <f t="shared" si="1008"/>
        <v>3.907529549733333E-2</v>
      </c>
    </row>
    <row r="831" spans="1:20" x14ac:dyDescent="0.25">
      <c r="A831" s="5"/>
      <c r="C831" s="4"/>
      <c r="D831" s="4"/>
    </row>
    <row r="832" spans="1:20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PJ572" sqref="PJ57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$A$571</v>
      </c>
      <c r="D111" s="1" t="str">
        <f>ADDRESS(C121-1,D121,1,1)</f>
        <v>$PJ$571</v>
      </c>
      <c r="E111"/>
    </row>
    <row r="112" spans="1:5" x14ac:dyDescent="0.25">
      <c r="A112" s="7">
        <v>12164.144957890772</v>
      </c>
      <c r="C112" s="1" t="str">
        <f>ADDRESS(C121,1,1,1)</f>
        <v>$A$572</v>
      </c>
      <c r="D112" s="1" t="str">
        <f>ADDRESS(C121,D121-1,1,1)</f>
        <v>$PI$572</v>
      </c>
      <c r="E112"/>
    </row>
    <row r="113" spans="1:5" x14ac:dyDescent="0.25">
      <c r="A113" s="7">
        <v>11925.63231165762</v>
      </c>
      <c r="C113" s="1" t="str">
        <f>ADDRESS(C121+1,1,1,1)</f>
        <v>$A$573</v>
      </c>
      <c r="D113" s="1" t="str">
        <f>ADDRESS(C121-1,D121+1,1,1)</f>
        <v>$PK$571</v>
      </c>
    </row>
    <row r="114" spans="1:5" x14ac:dyDescent="0.25">
      <c r="A114" s="7">
        <v>11691.796383978059</v>
      </c>
      <c r="C114" s="1" t="str">
        <f>ADDRESS(C121,D121,1,1)</f>
        <v>$PJ$572</v>
      </c>
      <c r="D114" s="1" t="str">
        <f>ADDRESS(C121+1,D121+1,1,1)</f>
        <v>$PK$573</v>
      </c>
    </row>
    <row r="115" spans="1:5" x14ac:dyDescent="0.25">
      <c r="A115" s="7">
        <v>11462.545474488292</v>
      </c>
      <c r="C115" s="1" t="str">
        <f>ADDRESS(C121+1,D121,1,1)</f>
        <v>$PJ$573</v>
      </c>
    </row>
    <row r="116" spans="1:5" x14ac:dyDescent="0.25">
      <c r="A116" s="7">
        <v>11237.789680870874</v>
      </c>
      <c r="C116" s="1">
        <f>C117-1</f>
        <v>571</v>
      </c>
    </row>
    <row r="117" spans="1:5" x14ac:dyDescent="0.25">
      <c r="A117" s="7">
        <v>11017.440863598895</v>
      </c>
      <c r="C117" s="1">
        <f>C121</f>
        <v>572</v>
      </c>
      <c r="D117" s="1">
        <f>D121</f>
        <v>426</v>
      </c>
    </row>
    <row r="118" spans="1:5" x14ac:dyDescent="0.25">
      <c r="A118" s="7">
        <v>10801.412611371465</v>
      </c>
      <c r="C118" s="1">
        <f>C117+1</f>
        <v>573</v>
      </c>
      <c r="D118" s="1">
        <f>D117+1</f>
        <v>427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572</v>
      </c>
      <c r="D121" s="19">
        <v>426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R572</v>
      </c>
      <c r="D123" s="1" t="str">
        <f>"C"&amp;D121</f>
        <v>C426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1.3458683383241299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397" x14ac:dyDescent="0.25">
      <c r="A513" s="7">
        <v>4.3292504462035977</v>
      </c>
      <c r="B513"/>
      <c r="C513"/>
      <c r="D513"/>
      <c r="E513"/>
    </row>
    <row r="514" spans="1:397" x14ac:dyDescent="0.25">
      <c r="A514" s="7">
        <v>4.2443631825525463</v>
      </c>
      <c r="B514"/>
      <c r="C514"/>
      <c r="D514"/>
      <c r="E514"/>
    </row>
    <row r="515" spans="1:397" x14ac:dyDescent="0.25">
      <c r="A515" s="7">
        <v>4.1611403750515157</v>
      </c>
      <c r="B515"/>
      <c r="C515"/>
      <c r="D515"/>
      <c r="E515"/>
    </row>
    <row r="516" spans="1:397" x14ac:dyDescent="0.25">
      <c r="A516" s="7">
        <v>4.0795493873054074</v>
      </c>
      <c r="B516"/>
      <c r="C516"/>
      <c r="D516"/>
      <c r="E516"/>
    </row>
    <row r="517" spans="1:397" x14ac:dyDescent="0.25">
      <c r="A517" s="7">
        <v>3.9995582228484383</v>
      </c>
      <c r="B517"/>
      <c r="C517"/>
      <c r="D517"/>
      <c r="E517"/>
    </row>
    <row r="518" spans="1:397" x14ac:dyDescent="0.25">
      <c r="A518" s="7">
        <v>3.9211355125965079</v>
      </c>
      <c r="B518"/>
      <c r="C518"/>
      <c r="D518"/>
      <c r="E518"/>
    </row>
    <row r="519" spans="1:397" x14ac:dyDescent="0.25">
      <c r="A519" s="7">
        <v>3.844250502545596</v>
      </c>
      <c r="B519"/>
      <c r="C519"/>
      <c r="D519"/>
      <c r="E519"/>
    </row>
    <row r="520" spans="1:397" x14ac:dyDescent="0.25">
      <c r="A520" s="7">
        <v>3.7688730417113687</v>
      </c>
      <c r="B520"/>
      <c r="C520"/>
      <c r="D520"/>
      <c r="E520"/>
    </row>
    <row r="521" spans="1:397" x14ac:dyDescent="0.25">
      <c r="A521" s="7">
        <v>3.6949735703052635</v>
      </c>
      <c r="B521"/>
      <c r="C521"/>
      <c r="D521"/>
      <c r="E521"/>
    </row>
    <row r="522" spans="1:397" x14ac:dyDescent="0.25">
      <c r="A522" s="7">
        <v>3.6225231081424152</v>
      </c>
      <c r="B522"/>
      <c r="C522"/>
      <c r="D522"/>
      <c r="E522"/>
    </row>
    <row r="523" spans="1:397" x14ac:dyDescent="0.25">
      <c r="A523" s="7">
        <v>3.5514932432768775</v>
      </c>
      <c r="B523"/>
      <c r="C523"/>
      <c r="D523"/>
      <c r="E523"/>
    </row>
    <row r="524" spans="1:397" x14ac:dyDescent="0.25">
      <c r="A524" s="7">
        <v>3.4818561208596837</v>
      </c>
      <c r="B524"/>
      <c r="C524"/>
      <c r="D524"/>
      <c r="E524"/>
    </row>
    <row r="525" spans="1:397" x14ac:dyDescent="0.25">
      <c r="A525" s="7">
        <v>3.4135844322153761</v>
      </c>
      <c r="B525"/>
      <c r="C525"/>
      <c r="D525"/>
      <c r="E525"/>
    </row>
    <row r="526" spans="1:397" x14ac:dyDescent="0.25">
      <c r="A526" s="7">
        <v>3.3466514041327216</v>
      </c>
      <c r="B526"/>
      <c r="C526"/>
      <c r="D526"/>
      <c r="E526"/>
    </row>
    <row r="527" spans="1:397" x14ac:dyDescent="0.25">
      <c r="A527" s="7">
        <v>3.2810307883654133</v>
      </c>
      <c r="B527"/>
      <c r="C527"/>
      <c r="D527"/>
      <c r="E527"/>
    </row>
    <row r="528" spans="1:397" x14ac:dyDescent="0.25">
      <c r="A528" s="7">
        <v>3.2166968513386403</v>
      </c>
      <c r="B528"/>
      <c r="C528"/>
      <c r="D528"/>
      <c r="E528"/>
      <c r="OG528" s="27" t="s">
        <v>8</v>
      </c>
    </row>
    <row r="529" spans="1:422" x14ac:dyDescent="0.25">
      <c r="A529" s="7">
        <v>3.1536243640574906</v>
      </c>
      <c r="B529"/>
      <c r="C529"/>
      <c r="D529"/>
      <c r="E529"/>
      <c r="OG529" s="27" t="s">
        <v>8</v>
      </c>
      <c r="OH529" s="27" t="s">
        <v>7</v>
      </c>
    </row>
    <row r="530" spans="1:422" x14ac:dyDescent="0.25">
      <c r="A530" s="7">
        <v>3.0917885922132262</v>
      </c>
      <c r="B530"/>
      <c r="C530"/>
      <c r="D530"/>
      <c r="E530"/>
      <c r="OG530" s="27" t="s">
        <v>8</v>
      </c>
      <c r="OH530" s="27" t="s">
        <v>7</v>
      </c>
    </row>
    <row r="531" spans="1:422" x14ac:dyDescent="0.25">
      <c r="A531" s="7">
        <v>3.0311652864835552</v>
      </c>
      <c r="B531"/>
      <c r="C531"/>
      <c r="D531"/>
      <c r="E531"/>
      <c r="OG531" s="27" t="s">
        <v>8</v>
      </c>
      <c r="OH531" s="27" t="s">
        <v>7</v>
      </c>
    </row>
    <row r="532" spans="1:422" x14ac:dyDescent="0.25">
      <c r="A532" s="7">
        <v>2.9717306730230932</v>
      </c>
      <c r="B532"/>
      <c r="C532"/>
      <c r="D532"/>
      <c r="E532"/>
      <c r="OG532" s="27" t="s">
        <v>8</v>
      </c>
      <c r="OH532" s="27" t="s">
        <v>7</v>
      </c>
    </row>
    <row r="533" spans="1:422" x14ac:dyDescent="0.25">
      <c r="A533" s="7">
        <v>2.9134614441402875</v>
      </c>
      <c r="B533"/>
      <c r="C533"/>
      <c r="D533"/>
      <c r="E533"/>
      <c r="OG533" s="27" t="s">
        <v>8</v>
      </c>
      <c r="OH533" s="27" t="s">
        <v>7</v>
      </c>
    </row>
    <row r="534" spans="1:422" x14ac:dyDescent="0.25">
      <c r="A534" s="7">
        <v>2.8563347491571447</v>
      </c>
      <c r="B534"/>
      <c r="C534"/>
      <c r="D534"/>
      <c r="E534"/>
      <c r="OG534" s="27" t="s">
        <v>8</v>
      </c>
      <c r="OH534" s="27" t="s">
        <v>7</v>
      </c>
    </row>
    <row r="535" spans="1:422" x14ac:dyDescent="0.25">
      <c r="A535" s="7">
        <v>2.8003281854481812</v>
      </c>
      <c r="B535"/>
      <c r="C535"/>
      <c r="D535"/>
      <c r="E535"/>
      <c r="JQ535" s="27" t="s">
        <v>8</v>
      </c>
      <c r="NI535" s="27" t="s">
        <v>8</v>
      </c>
      <c r="OG535" s="27" t="s">
        <v>8</v>
      </c>
      <c r="OH535" s="27" t="s">
        <v>7</v>
      </c>
    </row>
    <row r="536" spans="1:422" x14ac:dyDescent="0.25">
      <c r="A536" s="7">
        <v>2.7454197896550796</v>
      </c>
      <c r="B536"/>
      <c r="C536"/>
      <c r="D536"/>
      <c r="E536"/>
      <c r="JQ536" s="27" t="s">
        <v>8</v>
      </c>
      <c r="JR536" s="27" t="s">
        <v>7</v>
      </c>
      <c r="NI536" s="27" t="s">
        <v>8</v>
      </c>
      <c r="NJ536" s="27" t="s">
        <v>7</v>
      </c>
      <c r="OG536" s="27" t="s">
        <v>8</v>
      </c>
      <c r="OH536" s="27" t="s">
        <v>7</v>
      </c>
    </row>
    <row r="537" spans="1:422" x14ac:dyDescent="0.25">
      <c r="A537" s="7">
        <v>2.6915880290736074</v>
      </c>
      <c r="B537"/>
      <c r="C537"/>
      <c r="D537"/>
      <c r="E537"/>
      <c r="JQ537" s="27" t="s">
        <v>8</v>
      </c>
      <c r="JR537" s="27" t="s">
        <v>7</v>
      </c>
      <c r="JU537" s="27" t="s">
        <v>8</v>
      </c>
      <c r="NI537" s="27" t="s">
        <v>8</v>
      </c>
      <c r="NJ537" s="27" t="s">
        <v>7</v>
      </c>
      <c r="OG537" s="27" t="s">
        <v>8</v>
      </c>
      <c r="OH537" s="27" t="s">
        <v>7</v>
      </c>
      <c r="OS537" s="27" t="s">
        <v>8</v>
      </c>
    </row>
    <row r="538" spans="1:422" x14ac:dyDescent="0.25">
      <c r="A538" s="7">
        <v>2.6388117932094191</v>
      </c>
      <c r="B538"/>
      <c r="C538"/>
      <c r="D538"/>
      <c r="E538"/>
      <c r="JQ538" s="27" t="s">
        <v>8</v>
      </c>
      <c r="JR538" s="27" t="s">
        <v>7</v>
      </c>
      <c r="JU538" s="27" t="s">
        <v>8</v>
      </c>
      <c r="JV538" s="27" t="s">
        <v>7</v>
      </c>
      <c r="JW538" s="27" t="s">
        <v>8</v>
      </c>
      <c r="NI538" s="27" t="s">
        <v>8</v>
      </c>
      <c r="NJ538" s="27" t="s">
        <v>7</v>
      </c>
      <c r="OG538" s="27" t="s">
        <v>8</v>
      </c>
      <c r="OH538" s="27" t="s">
        <v>7</v>
      </c>
      <c r="OS538" s="27" t="s">
        <v>8</v>
      </c>
      <c r="OT538" s="27" t="s">
        <v>7</v>
      </c>
    </row>
    <row r="539" spans="1:422" x14ac:dyDescent="0.25">
      <c r="A539" s="7">
        <v>2.5870703854994304</v>
      </c>
      <c r="B539"/>
      <c r="C539"/>
      <c r="D539"/>
      <c r="E539"/>
      <c r="JQ539" s="27" t="s">
        <v>8</v>
      </c>
      <c r="JR539" s="27" t="s">
        <v>7</v>
      </c>
      <c r="JU539" s="27" t="s">
        <v>8</v>
      </c>
      <c r="JV539" s="27" t="s">
        <v>7</v>
      </c>
      <c r="JW539" s="27" t="s">
        <v>8</v>
      </c>
      <c r="JX539" s="27" t="s">
        <v>7</v>
      </c>
      <c r="NE539" s="27" t="s">
        <v>8</v>
      </c>
      <c r="NI539" s="27" t="s">
        <v>8</v>
      </c>
      <c r="NJ539" s="27" t="s">
        <v>7</v>
      </c>
      <c r="OG539" s="27" t="s">
        <v>8</v>
      </c>
      <c r="OH539" s="27" t="s">
        <v>7</v>
      </c>
      <c r="OS539" s="27" t="s">
        <v>8</v>
      </c>
      <c r="OT539" s="27" t="s">
        <v>7</v>
      </c>
    </row>
    <row r="540" spans="1:422" x14ac:dyDescent="0.25">
      <c r="A540" s="7">
        <v>2.53634351519552</v>
      </c>
      <c r="B540"/>
      <c r="C540"/>
      <c r="D540"/>
      <c r="E540"/>
      <c r="JQ540" s="27" t="s">
        <v>8</v>
      </c>
      <c r="JR540" s="27" t="s">
        <v>7</v>
      </c>
      <c r="JU540" s="27" t="s">
        <v>8</v>
      </c>
      <c r="JV540" s="27" t="s">
        <v>7</v>
      </c>
      <c r="JW540" s="27" t="s">
        <v>8</v>
      </c>
      <c r="JX540" s="27" t="s">
        <v>7</v>
      </c>
      <c r="NE540" s="27" t="s">
        <v>8</v>
      </c>
      <c r="NF540" s="27" t="s">
        <v>7</v>
      </c>
      <c r="NI540" s="27" t="s">
        <v>8</v>
      </c>
      <c r="NJ540" s="27" t="s">
        <v>7</v>
      </c>
      <c r="OG540" s="27" t="s">
        <v>8</v>
      </c>
      <c r="OH540" s="27" t="s">
        <v>7</v>
      </c>
      <c r="OS540" s="27" t="s">
        <v>8</v>
      </c>
      <c r="OT540" s="27" t="s">
        <v>7</v>
      </c>
    </row>
    <row r="541" spans="1:422" x14ac:dyDescent="0.25">
      <c r="A541" s="7">
        <v>2.4866112894073726</v>
      </c>
      <c r="B541"/>
      <c r="C541"/>
      <c r="D541"/>
      <c r="E541"/>
      <c r="JQ541" s="27" t="s">
        <v>8</v>
      </c>
      <c r="JR541" s="27" t="s">
        <v>7</v>
      </c>
      <c r="JU541" s="27" t="s">
        <v>8</v>
      </c>
      <c r="JV541" s="27" t="s">
        <v>7</v>
      </c>
      <c r="JW541" s="27" t="s">
        <v>8</v>
      </c>
      <c r="JX541" s="27" t="s">
        <v>7</v>
      </c>
      <c r="NE541" s="27" t="s">
        <v>8</v>
      </c>
      <c r="NF541" s="27" t="s">
        <v>7</v>
      </c>
      <c r="NI541" s="27" t="s">
        <v>8</v>
      </c>
      <c r="NJ541" s="27" t="s">
        <v>7</v>
      </c>
      <c r="NW541" s="27" t="s">
        <v>8</v>
      </c>
      <c r="OG541" s="27" t="s">
        <v>8</v>
      </c>
      <c r="OH541" s="27" t="s">
        <v>7</v>
      </c>
      <c r="OS541" s="27" t="s">
        <v>8</v>
      </c>
      <c r="OT541" s="27" t="s">
        <v>7</v>
      </c>
    </row>
    <row r="542" spans="1:422" x14ac:dyDescent="0.25">
      <c r="A542" s="7">
        <v>2.4378542053013459</v>
      </c>
      <c r="B542"/>
      <c r="C542"/>
      <c r="D542"/>
      <c r="E542"/>
      <c r="JQ542" s="27" t="s">
        <v>8</v>
      </c>
      <c r="JR542" s="27" t="s">
        <v>7</v>
      </c>
      <c r="JU542" s="27" t="s">
        <v>8</v>
      </c>
      <c r="JV542" s="27" t="s">
        <v>7</v>
      </c>
      <c r="JW542" s="27" t="s">
        <v>8</v>
      </c>
      <c r="JX542" s="27" t="s">
        <v>7</v>
      </c>
      <c r="NE542" s="27" t="s">
        <v>8</v>
      </c>
      <c r="NF542" s="27" t="s">
        <v>7</v>
      </c>
      <c r="NG542" s="27" t="s">
        <v>8</v>
      </c>
      <c r="NI542" s="27" t="s">
        <v>8</v>
      </c>
      <c r="NJ542" s="27" t="s">
        <v>7</v>
      </c>
      <c r="NK542" s="27" t="s">
        <v>8</v>
      </c>
      <c r="NS542" s="27" t="s">
        <v>8</v>
      </c>
      <c r="NU542" s="27" t="s">
        <v>8</v>
      </c>
      <c r="NW542" s="27" t="s">
        <v>8</v>
      </c>
      <c r="NX542" s="27" t="s">
        <v>7</v>
      </c>
      <c r="OG542" s="27" t="s">
        <v>8</v>
      </c>
      <c r="OH542" s="27" t="s">
        <v>7</v>
      </c>
      <c r="OS542" s="27" t="s">
        <v>8</v>
      </c>
      <c r="OT542" s="27" t="s">
        <v>7</v>
      </c>
      <c r="OW542" s="27" t="s">
        <v>8</v>
      </c>
      <c r="PE542" s="27" t="s">
        <v>8</v>
      </c>
    </row>
    <row r="543" spans="1:422" x14ac:dyDescent="0.25">
      <c r="A543" s="7">
        <v>2.3900531424522997</v>
      </c>
      <c r="B543"/>
      <c r="C543"/>
      <c r="D543"/>
      <c r="E543"/>
      <c r="JQ543" s="27" t="s">
        <v>8</v>
      </c>
      <c r="JR543" s="27" t="s">
        <v>7</v>
      </c>
      <c r="JU543" s="27" t="s">
        <v>8</v>
      </c>
      <c r="JV543" s="27" t="s">
        <v>7</v>
      </c>
      <c r="JW543" s="27" t="s">
        <v>8</v>
      </c>
      <c r="JX543" s="27" t="s">
        <v>7</v>
      </c>
      <c r="NE543" s="27" t="s">
        <v>8</v>
      </c>
      <c r="NF543" s="27" t="s">
        <v>7</v>
      </c>
      <c r="NG543" s="27" t="s">
        <v>8</v>
      </c>
      <c r="NH543" s="27" t="s">
        <v>7</v>
      </c>
      <c r="NI543" s="27" t="s">
        <v>8</v>
      </c>
      <c r="NJ543" s="27" t="s">
        <v>7</v>
      </c>
      <c r="NK543" s="27" t="s">
        <v>8</v>
      </c>
      <c r="NL543" s="27" t="s">
        <v>7</v>
      </c>
      <c r="NS543" s="27" t="s">
        <v>8</v>
      </c>
      <c r="NT543" s="27" t="s">
        <v>7</v>
      </c>
      <c r="NU543" s="27" t="s">
        <v>8</v>
      </c>
      <c r="NV543" s="27" t="s">
        <v>7</v>
      </c>
      <c r="NW543" s="27" t="s">
        <v>8</v>
      </c>
      <c r="NX543" s="27" t="s">
        <v>7</v>
      </c>
      <c r="OG543" s="27" t="s">
        <v>8</v>
      </c>
      <c r="OH543" s="27" t="s">
        <v>7</v>
      </c>
      <c r="OI543" s="27" t="s">
        <v>8</v>
      </c>
      <c r="OQ543" s="27" t="s">
        <v>8</v>
      </c>
      <c r="OS543" s="27" t="s">
        <v>8</v>
      </c>
      <c r="OT543" s="27" t="s">
        <v>7</v>
      </c>
      <c r="OU543" s="27" t="s">
        <v>8</v>
      </c>
      <c r="OW543" s="27" t="s">
        <v>8</v>
      </c>
      <c r="OX543" s="27" t="s">
        <v>7</v>
      </c>
      <c r="PE543" s="27" t="s">
        <v>8</v>
      </c>
      <c r="PF543" s="27" t="s">
        <v>7</v>
      </c>
    </row>
    <row r="544" spans="1:422" x14ac:dyDescent="0.25">
      <c r="A544" s="7">
        <v>2.343189355345392</v>
      </c>
      <c r="B544"/>
      <c r="C544"/>
      <c r="D544"/>
      <c r="E544"/>
      <c r="JQ544" s="27" t="s">
        <v>8</v>
      </c>
      <c r="JR544" s="27" t="s">
        <v>7</v>
      </c>
      <c r="JU544" s="27" t="s">
        <v>8</v>
      </c>
      <c r="JV544" s="27" t="s">
        <v>7</v>
      </c>
      <c r="JW544" s="27" t="s">
        <v>8</v>
      </c>
      <c r="JX544" s="27" t="s">
        <v>7</v>
      </c>
      <c r="NE544" s="27" t="s">
        <v>8</v>
      </c>
      <c r="NF544" s="27" t="s">
        <v>7</v>
      </c>
      <c r="NG544" s="27" t="s">
        <v>8</v>
      </c>
      <c r="NH544" s="27" t="s">
        <v>7</v>
      </c>
      <c r="NI544" s="27" t="s">
        <v>8</v>
      </c>
      <c r="NJ544" s="27" t="s">
        <v>7</v>
      </c>
      <c r="NK544" s="27" t="s">
        <v>8</v>
      </c>
      <c r="NL544" s="27" t="s">
        <v>7</v>
      </c>
      <c r="NM544" s="27" t="s">
        <v>8</v>
      </c>
      <c r="NS544" s="27" t="s">
        <v>8</v>
      </c>
      <c r="NT544" s="27" t="s">
        <v>7</v>
      </c>
      <c r="NU544" s="27" t="s">
        <v>8</v>
      </c>
      <c r="NV544" s="27" t="s">
        <v>7</v>
      </c>
      <c r="NW544" s="27" t="s">
        <v>8</v>
      </c>
      <c r="NX544" s="27" t="s">
        <v>7</v>
      </c>
      <c r="OG544" s="27" t="s">
        <v>8</v>
      </c>
      <c r="OH544" s="27" t="s">
        <v>7</v>
      </c>
      <c r="OI544" s="27" t="s">
        <v>8</v>
      </c>
      <c r="OJ544" s="27" t="s">
        <v>7</v>
      </c>
      <c r="OQ544" s="27" t="s">
        <v>8</v>
      </c>
      <c r="OR544" s="27" t="s">
        <v>7</v>
      </c>
      <c r="OS544" s="27" t="s">
        <v>8</v>
      </c>
      <c r="OT544" s="27" t="s">
        <v>7</v>
      </c>
      <c r="OU544" s="27" t="s">
        <v>8</v>
      </c>
      <c r="OV544" s="27" t="s">
        <v>7</v>
      </c>
      <c r="OW544" s="27" t="s">
        <v>8</v>
      </c>
      <c r="OX544" s="27" t="s">
        <v>7</v>
      </c>
      <c r="PE544" s="27" t="s">
        <v>8</v>
      </c>
      <c r="PF544" s="27" t="s">
        <v>7</v>
      </c>
    </row>
    <row r="545" spans="1:422" x14ac:dyDescent="0.25">
      <c r="A545" s="7">
        <v>2.2972444660248938</v>
      </c>
      <c r="B545"/>
      <c r="C545"/>
      <c r="D545"/>
      <c r="E545"/>
      <c r="JQ545" s="27" t="s">
        <v>8</v>
      </c>
      <c r="JR545" s="27" t="s">
        <v>7</v>
      </c>
      <c r="JU545" s="27" t="s">
        <v>8</v>
      </c>
      <c r="JV545" s="27" t="s">
        <v>7</v>
      </c>
      <c r="JW545" s="27" t="s">
        <v>8</v>
      </c>
      <c r="JX545" s="27" t="s">
        <v>7</v>
      </c>
      <c r="KA545" s="27" t="s">
        <v>8</v>
      </c>
      <c r="NE545" s="27" t="s">
        <v>8</v>
      </c>
      <c r="NF545" s="27" t="s">
        <v>7</v>
      </c>
      <c r="NG545" s="27" t="s">
        <v>8</v>
      </c>
      <c r="NH545" s="27" t="s">
        <v>7</v>
      </c>
      <c r="NI545" s="27" t="s">
        <v>8</v>
      </c>
      <c r="NJ545" s="27" t="s">
        <v>7</v>
      </c>
      <c r="NK545" s="27" t="s">
        <v>8</v>
      </c>
      <c r="NL545" s="27" t="s">
        <v>7</v>
      </c>
      <c r="NM545" s="27" t="s">
        <v>8</v>
      </c>
      <c r="NN545" s="27" t="s">
        <v>7</v>
      </c>
      <c r="NS545" s="27" t="s">
        <v>8</v>
      </c>
      <c r="NT545" s="27" t="s">
        <v>7</v>
      </c>
      <c r="NU545" s="27" t="s">
        <v>8</v>
      </c>
      <c r="NV545" s="27" t="s">
        <v>7</v>
      </c>
      <c r="NW545" s="27" t="s">
        <v>8</v>
      </c>
      <c r="NX545" s="27" t="s">
        <v>7</v>
      </c>
      <c r="OG545" s="27" t="s">
        <v>8</v>
      </c>
      <c r="OH545" s="27" t="s">
        <v>7</v>
      </c>
      <c r="OI545" s="27" t="s">
        <v>8</v>
      </c>
      <c r="OJ545" s="27" t="s">
        <v>7</v>
      </c>
      <c r="OQ545" s="27" t="s">
        <v>8</v>
      </c>
      <c r="OR545" s="27" t="s">
        <v>7</v>
      </c>
      <c r="OS545" s="27" t="s">
        <v>8</v>
      </c>
      <c r="OT545" s="27" t="s">
        <v>7</v>
      </c>
      <c r="OU545" s="27" t="s">
        <v>8</v>
      </c>
      <c r="OV545" s="27" t="s">
        <v>7</v>
      </c>
      <c r="OW545" s="27" t="s">
        <v>8</v>
      </c>
      <c r="OX545" s="27" t="s">
        <v>7</v>
      </c>
      <c r="PE545" s="27" t="s">
        <v>8</v>
      </c>
      <c r="PF545" s="27" t="s">
        <v>7</v>
      </c>
    </row>
    <row r="546" spans="1:422" x14ac:dyDescent="0.25">
      <c r="A546" s="7">
        <v>2.252200456887151</v>
      </c>
      <c r="B546"/>
      <c r="C546"/>
      <c r="D546"/>
      <c r="E546"/>
      <c r="JQ546" s="27" t="s">
        <v>8</v>
      </c>
      <c r="JR546" s="27" t="s">
        <v>7</v>
      </c>
      <c r="JU546" s="27" t="s">
        <v>8</v>
      </c>
      <c r="JV546" s="27" t="s">
        <v>7</v>
      </c>
      <c r="JW546" s="27" t="s">
        <v>8</v>
      </c>
      <c r="JX546" s="27" t="s">
        <v>7</v>
      </c>
      <c r="KA546" s="27" t="s">
        <v>8</v>
      </c>
      <c r="KB546" s="27" t="s">
        <v>7</v>
      </c>
      <c r="NE546" s="27" t="s">
        <v>8</v>
      </c>
      <c r="NF546" s="27" t="s">
        <v>7</v>
      </c>
      <c r="NG546" s="27" t="s">
        <v>8</v>
      </c>
      <c r="NH546" s="27" t="s">
        <v>7</v>
      </c>
      <c r="NI546" s="27" t="s">
        <v>8</v>
      </c>
      <c r="NJ546" s="27" t="s">
        <v>7</v>
      </c>
      <c r="NK546" s="27" t="s">
        <v>8</v>
      </c>
      <c r="NL546" s="27" t="s">
        <v>7</v>
      </c>
      <c r="NM546" s="27" t="s">
        <v>8</v>
      </c>
      <c r="NN546" s="27" t="s">
        <v>7</v>
      </c>
      <c r="NS546" s="27" t="s">
        <v>8</v>
      </c>
      <c r="NT546" s="27" t="s">
        <v>7</v>
      </c>
      <c r="NU546" s="27" t="s">
        <v>8</v>
      </c>
      <c r="NV546" s="27" t="s">
        <v>7</v>
      </c>
      <c r="NW546" s="27" t="s">
        <v>8</v>
      </c>
      <c r="NX546" s="27" t="s">
        <v>7</v>
      </c>
      <c r="OA546" s="27" t="s">
        <v>8</v>
      </c>
      <c r="OG546" s="27" t="s">
        <v>8</v>
      </c>
      <c r="OH546" s="27" t="s">
        <v>7</v>
      </c>
      <c r="OI546" s="27" t="s">
        <v>8</v>
      </c>
      <c r="OJ546" s="27" t="s">
        <v>7</v>
      </c>
      <c r="OM546" s="27" t="s">
        <v>8</v>
      </c>
      <c r="OQ546" s="27" t="s">
        <v>8</v>
      </c>
      <c r="OR546" s="27" t="s">
        <v>7</v>
      </c>
      <c r="OT546" s="27" t="s">
        <v>7</v>
      </c>
      <c r="OU546" s="27" t="s">
        <v>8</v>
      </c>
      <c r="OV546" s="27" t="s">
        <v>7</v>
      </c>
      <c r="OX546" s="27" t="s">
        <v>7</v>
      </c>
      <c r="PE546" s="27" t="s">
        <v>8</v>
      </c>
      <c r="PF546" s="27" t="s">
        <v>7</v>
      </c>
    </row>
    <row r="547" spans="1:422" x14ac:dyDescent="0.25">
      <c r="A547" s="7">
        <v>2.208039663614854</v>
      </c>
      <c r="B547"/>
      <c r="C547"/>
      <c r="D547"/>
      <c r="E547"/>
      <c r="JQ547" s="27" t="s">
        <v>8</v>
      </c>
      <c r="JR547" s="27" t="s">
        <v>7</v>
      </c>
      <c r="JU547" s="27" t="s">
        <v>8</v>
      </c>
      <c r="JV547" s="27" t="s">
        <v>7</v>
      </c>
      <c r="JW547" s="27" t="s">
        <v>8</v>
      </c>
      <c r="JX547" s="27" t="s">
        <v>7</v>
      </c>
      <c r="KA547" s="27" t="s">
        <v>8</v>
      </c>
      <c r="KB547" s="27" t="s">
        <v>7</v>
      </c>
      <c r="NE547" s="27" t="s">
        <v>8</v>
      </c>
      <c r="NF547" s="27" t="s">
        <v>7</v>
      </c>
      <c r="NG547" s="27" t="s">
        <v>8</v>
      </c>
      <c r="NH547" s="27" t="s">
        <v>7</v>
      </c>
      <c r="NI547" s="27" t="s">
        <v>8</v>
      </c>
      <c r="NJ547" s="27" t="s">
        <v>7</v>
      </c>
      <c r="NL547" s="27" t="s">
        <v>7</v>
      </c>
      <c r="NM547" s="27" t="s">
        <v>8</v>
      </c>
      <c r="NN547" s="27" t="s">
        <v>7</v>
      </c>
      <c r="NS547" s="27" t="s">
        <v>8</v>
      </c>
      <c r="NT547" s="27" t="s">
        <v>7</v>
      </c>
      <c r="NU547" s="27" t="s">
        <v>8</v>
      </c>
      <c r="NV547" s="27" t="s">
        <v>7</v>
      </c>
      <c r="NX547" s="27" t="s">
        <v>7</v>
      </c>
      <c r="OA547" s="27" t="s">
        <v>8</v>
      </c>
      <c r="OB547" s="27" t="s">
        <v>7</v>
      </c>
      <c r="OG547" s="27" t="s">
        <v>8</v>
      </c>
      <c r="OH547" s="27" t="s">
        <v>7</v>
      </c>
      <c r="OI547" s="27" t="s">
        <v>8</v>
      </c>
      <c r="OJ547" s="27" t="s">
        <v>7</v>
      </c>
      <c r="OM547" s="27" t="s">
        <v>8</v>
      </c>
      <c r="ON547" s="27" t="s">
        <v>7</v>
      </c>
      <c r="OQ547" s="27" t="s">
        <v>8</v>
      </c>
      <c r="OT547" s="27" t="s">
        <v>7</v>
      </c>
      <c r="OU547" s="27" t="s">
        <v>8</v>
      </c>
      <c r="OX547" s="27" t="s">
        <v>7</v>
      </c>
      <c r="PE547" s="27" t="s">
        <v>8</v>
      </c>
      <c r="PF547" s="27" t="s">
        <v>7</v>
      </c>
    </row>
    <row r="548" spans="1:422" x14ac:dyDescent="0.25">
      <c r="A548" s="7">
        <v>2.1647447682498568</v>
      </c>
      <c r="B548"/>
      <c r="C548"/>
      <c r="D548"/>
      <c r="E548"/>
      <c r="JQ548" s="27" t="s">
        <v>8</v>
      </c>
      <c r="JR548" s="27" t="s">
        <v>7</v>
      </c>
      <c r="JU548" s="27" t="s">
        <v>8</v>
      </c>
      <c r="JV548" s="27" t="s">
        <v>7</v>
      </c>
      <c r="JW548" s="27" t="s">
        <v>8</v>
      </c>
      <c r="JX548" s="27" t="s">
        <v>7</v>
      </c>
      <c r="KA548" s="27" t="s">
        <v>8</v>
      </c>
      <c r="KB548" s="27" t="s">
        <v>7</v>
      </c>
      <c r="NE548" s="27" t="s">
        <v>8</v>
      </c>
      <c r="NF548" s="27" t="s">
        <v>7</v>
      </c>
      <c r="NG548" s="27" t="s">
        <v>8</v>
      </c>
      <c r="NH548" s="27" t="s">
        <v>7</v>
      </c>
      <c r="NI548" s="27" t="s">
        <v>8</v>
      </c>
      <c r="NL548" s="27" t="s">
        <v>7</v>
      </c>
      <c r="NM548" s="27" t="s">
        <v>8</v>
      </c>
      <c r="NN548" s="27" t="s">
        <v>7</v>
      </c>
      <c r="NS548" s="27" t="s">
        <v>8</v>
      </c>
      <c r="NT548" s="27" t="s">
        <v>7</v>
      </c>
      <c r="NU548" s="27" t="s">
        <v>8</v>
      </c>
      <c r="NX548" s="27" t="s">
        <v>7</v>
      </c>
      <c r="NY548" s="27" t="s">
        <v>8</v>
      </c>
      <c r="OA548" s="27" t="s">
        <v>8</v>
      </c>
      <c r="OB548" s="27" t="s">
        <v>7</v>
      </c>
      <c r="OG548" s="27" t="s">
        <v>8</v>
      </c>
      <c r="OH548" s="27" t="s">
        <v>7</v>
      </c>
      <c r="OI548" s="27" t="s">
        <v>8</v>
      </c>
      <c r="OJ548" s="27" t="s">
        <v>7</v>
      </c>
      <c r="OM548" s="27" t="s">
        <v>8</v>
      </c>
      <c r="ON548" s="27" t="s">
        <v>7</v>
      </c>
      <c r="OQ548" s="27" t="s">
        <v>8</v>
      </c>
      <c r="OT548" s="27" t="s">
        <v>7</v>
      </c>
      <c r="OU548" s="27" t="s">
        <v>8</v>
      </c>
      <c r="OX548" s="27" t="s">
        <v>7</v>
      </c>
      <c r="PA548" s="27" t="s">
        <v>8</v>
      </c>
      <c r="PC548" s="27" t="s">
        <v>8</v>
      </c>
      <c r="PE548" s="27" t="s">
        <v>8</v>
      </c>
      <c r="PF548" s="27" t="s">
        <v>7</v>
      </c>
    </row>
    <row r="549" spans="1:422" x14ac:dyDescent="0.25">
      <c r="A549" s="7">
        <v>2.1222987924018204</v>
      </c>
      <c r="B549"/>
      <c r="C549"/>
      <c r="D549"/>
      <c r="E549"/>
      <c r="JQ549" s="27" t="s">
        <v>8</v>
      </c>
      <c r="JR549" s="27" t="s">
        <v>7</v>
      </c>
      <c r="JS549" s="27" t="s">
        <v>8</v>
      </c>
      <c r="JU549" s="27" t="s">
        <v>8</v>
      </c>
      <c r="JV549" s="27" t="s">
        <v>7</v>
      </c>
      <c r="JW549" s="27" t="s">
        <v>8</v>
      </c>
      <c r="JX549" s="27" t="s">
        <v>7</v>
      </c>
      <c r="KA549" s="27" t="s">
        <v>8</v>
      </c>
      <c r="KB549" s="27" t="s">
        <v>7</v>
      </c>
      <c r="KC549" s="27" t="s">
        <v>8</v>
      </c>
      <c r="KE549" s="27" t="s">
        <v>8</v>
      </c>
      <c r="NE549" s="27" t="s">
        <v>8</v>
      </c>
      <c r="NF549" s="27" t="s">
        <v>7</v>
      </c>
      <c r="NG549" s="27" t="s">
        <v>8</v>
      </c>
      <c r="NH549" s="27" t="s">
        <v>7</v>
      </c>
      <c r="NI549" s="27" t="s">
        <v>8</v>
      </c>
      <c r="NL549" s="27" t="s">
        <v>7</v>
      </c>
      <c r="NN549" s="27" t="s">
        <v>7</v>
      </c>
      <c r="NS549" s="27" t="s">
        <v>8</v>
      </c>
      <c r="NT549" s="27" t="s">
        <v>7</v>
      </c>
      <c r="NU549" s="27" t="s">
        <v>8</v>
      </c>
      <c r="NX549" s="27" t="s">
        <v>7</v>
      </c>
      <c r="NY549" s="27" t="s">
        <v>8</v>
      </c>
      <c r="NZ549" s="27" t="s">
        <v>7</v>
      </c>
      <c r="OA549" s="27" t="s">
        <v>8</v>
      </c>
      <c r="OB549" s="27" t="s">
        <v>7</v>
      </c>
      <c r="OG549" s="27" t="s">
        <v>8</v>
      </c>
      <c r="OH549" s="27" t="s">
        <v>7</v>
      </c>
      <c r="OI549" s="27" t="s">
        <v>8</v>
      </c>
      <c r="OJ549" s="27" t="s">
        <v>7</v>
      </c>
      <c r="OK549" s="27" t="s">
        <v>8</v>
      </c>
      <c r="OM549" s="27" t="s">
        <v>8</v>
      </c>
      <c r="ON549" s="27" t="s">
        <v>7</v>
      </c>
      <c r="OO549" s="27" t="s">
        <v>8</v>
      </c>
      <c r="OQ549" s="27" t="s">
        <v>8</v>
      </c>
      <c r="OT549" s="27" t="s">
        <v>7</v>
      </c>
      <c r="OU549" s="27" t="s">
        <v>8</v>
      </c>
      <c r="OX549" s="27" t="s">
        <v>7</v>
      </c>
      <c r="PA549" s="27" t="s">
        <v>8</v>
      </c>
      <c r="PB549" s="27" t="s">
        <v>7</v>
      </c>
      <c r="PC549" s="27" t="s">
        <v>8</v>
      </c>
      <c r="PD549" s="27" t="s">
        <v>7</v>
      </c>
      <c r="PE549" s="27" t="s">
        <v>8</v>
      </c>
      <c r="PF549" s="27" t="s">
        <v>7</v>
      </c>
    </row>
    <row r="550" spans="1:422" x14ac:dyDescent="0.25">
      <c r="A550" s="7">
        <v>2.0806850905900198</v>
      </c>
      <c r="B550"/>
      <c r="C550"/>
      <c r="D550"/>
      <c r="E550"/>
      <c r="JQ550" s="27" t="s">
        <v>8</v>
      </c>
      <c r="JR550" s="27" t="s">
        <v>7</v>
      </c>
      <c r="JS550" s="27" t="s">
        <v>8</v>
      </c>
      <c r="JT550" s="27" t="s">
        <v>7</v>
      </c>
      <c r="JU550" s="27" t="s">
        <v>8</v>
      </c>
      <c r="JV550" s="27" t="s">
        <v>7</v>
      </c>
      <c r="JW550" s="27" t="s">
        <v>8</v>
      </c>
      <c r="JX550" s="27" t="s">
        <v>7</v>
      </c>
      <c r="KA550" s="27" t="s">
        <v>8</v>
      </c>
      <c r="KB550" s="27" t="s">
        <v>7</v>
      </c>
      <c r="KC550" s="27" t="s">
        <v>8</v>
      </c>
      <c r="KD550" s="27" t="s">
        <v>7</v>
      </c>
      <c r="KE550" s="27" t="s">
        <v>8</v>
      </c>
      <c r="KF550" s="27" t="s">
        <v>7</v>
      </c>
      <c r="NE550" s="27" t="s">
        <v>8</v>
      </c>
      <c r="NF550" s="27" t="s">
        <v>7</v>
      </c>
      <c r="NG550" s="27" t="s">
        <v>8</v>
      </c>
      <c r="NH550" s="27" t="s">
        <v>7</v>
      </c>
      <c r="NI550" s="27" t="s">
        <v>8</v>
      </c>
      <c r="NN550" s="27" t="s">
        <v>7</v>
      </c>
      <c r="NQ550" s="27" t="s">
        <v>8</v>
      </c>
      <c r="NS550" s="27" t="s">
        <v>8</v>
      </c>
      <c r="NT550" s="27" t="s">
        <v>7</v>
      </c>
      <c r="NU550" s="27" t="s">
        <v>8</v>
      </c>
      <c r="NX550" s="27" t="s">
        <v>7</v>
      </c>
      <c r="NY550" s="27" t="s">
        <v>8</v>
      </c>
      <c r="NZ550" s="27" t="s">
        <v>7</v>
      </c>
      <c r="OA550" s="27" t="s">
        <v>8</v>
      </c>
      <c r="OB550" s="27" t="s">
        <v>7</v>
      </c>
      <c r="OC550" s="27" t="s">
        <v>8</v>
      </c>
      <c r="OG550" s="27" t="s">
        <v>8</v>
      </c>
      <c r="OH550" s="27" t="s">
        <v>7</v>
      </c>
      <c r="OI550" s="27" t="s">
        <v>8</v>
      </c>
      <c r="OJ550" s="27" t="s">
        <v>7</v>
      </c>
      <c r="OK550" s="27" t="s">
        <v>8</v>
      </c>
      <c r="OL550" s="27" t="s">
        <v>7</v>
      </c>
      <c r="OM550" s="27" t="s">
        <v>8</v>
      </c>
      <c r="ON550" s="27" t="s">
        <v>7</v>
      </c>
      <c r="OO550" s="27" t="s">
        <v>8</v>
      </c>
      <c r="OP550" s="27" t="s">
        <v>7</v>
      </c>
      <c r="OQ550" s="27" t="s">
        <v>8</v>
      </c>
      <c r="OT550" s="27" t="s">
        <v>7</v>
      </c>
      <c r="OX550" s="27" t="s">
        <v>7</v>
      </c>
      <c r="OY550" s="27" t="s">
        <v>8</v>
      </c>
      <c r="PA550" s="27" t="s">
        <v>8</v>
      </c>
      <c r="PB550" s="27" t="s">
        <v>7</v>
      </c>
      <c r="PC550" s="27" t="s">
        <v>8</v>
      </c>
      <c r="PD550" s="27" t="s">
        <v>7</v>
      </c>
      <c r="PE550" s="27" t="s">
        <v>8</v>
      </c>
      <c r="PF550" s="27" t="s">
        <v>7</v>
      </c>
    </row>
    <row r="551" spans="1:422" x14ac:dyDescent="0.25">
      <c r="A551" s="7">
        <v>2.0398873437157055</v>
      </c>
      <c r="B551"/>
      <c r="C551"/>
      <c r="D551"/>
      <c r="E551"/>
      <c r="JQ551" s="27" t="s">
        <v>8</v>
      </c>
      <c r="JR551" s="27" t="s">
        <v>7</v>
      </c>
      <c r="JS551" s="27" t="s">
        <v>8</v>
      </c>
      <c r="JT551" s="27" t="s">
        <v>7</v>
      </c>
      <c r="JU551" s="27" t="s">
        <v>8</v>
      </c>
      <c r="JV551" s="27" t="s">
        <v>7</v>
      </c>
      <c r="JW551" s="27" t="s">
        <v>8</v>
      </c>
      <c r="JX551" s="27" t="s">
        <v>7</v>
      </c>
      <c r="KA551" s="27" t="s">
        <v>8</v>
      </c>
      <c r="KB551" s="27" t="s">
        <v>7</v>
      </c>
      <c r="KC551" s="27" t="s">
        <v>8</v>
      </c>
      <c r="KD551" s="27" t="s">
        <v>7</v>
      </c>
      <c r="KE551" s="27" t="s">
        <v>8</v>
      </c>
      <c r="KF551" s="27" t="s">
        <v>7</v>
      </c>
      <c r="NE551" s="27" t="s">
        <v>8</v>
      </c>
      <c r="NF551" s="27" t="s">
        <v>7</v>
      </c>
      <c r="NG551" s="27" t="s">
        <v>8</v>
      </c>
      <c r="NH551" s="27" t="s">
        <v>7</v>
      </c>
      <c r="NI551" s="27" t="s">
        <v>8</v>
      </c>
      <c r="NN551" s="27" t="s">
        <v>7</v>
      </c>
      <c r="NQ551" s="27" t="s">
        <v>8</v>
      </c>
      <c r="NR551" s="27" t="s">
        <v>7</v>
      </c>
      <c r="NS551" s="27" t="s">
        <v>8</v>
      </c>
      <c r="NT551" s="27" t="s">
        <v>7</v>
      </c>
      <c r="NX551" s="27" t="s">
        <v>7</v>
      </c>
      <c r="NZ551" s="27" t="s">
        <v>7</v>
      </c>
      <c r="OA551" s="27" t="s">
        <v>8</v>
      </c>
      <c r="OB551" s="27" t="s">
        <v>7</v>
      </c>
      <c r="OC551" s="27" t="s">
        <v>8</v>
      </c>
      <c r="OD551" s="27" t="s">
        <v>7</v>
      </c>
      <c r="OG551" s="27" t="s">
        <v>8</v>
      </c>
      <c r="OH551" s="27" t="s">
        <v>7</v>
      </c>
      <c r="OI551" s="27" t="s">
        <v>8</v>
      </c>
      <c r="OJ551" s="27" t="s">
        <v>7</v>
      </c>
      <c r="OK551" s="27" t="s">
        <v>8</v>
      </c>
      <c r="OL551" s="27" t="s">
        <v>7</v>
      </c>
      <c r="OM551" s="27" t="s">
        <v>8</v>
      </c>
      <c r="ON551" s="27" t="s">
        <v>7</v>
      </c>
      <c r="OO551" s="27" t="s">
        <v>8</v>
      </c>
      <c r="OP551" s="27" t="s">
        <v>7</v>
      </c>
      <c r="OQ551" s="27" t="s">
        <v>8</v>
      </c>
      <c r="OX551" s="27" t="s">
        <v>7</v>
      </c>
      <c r="OY551" s="27" t="s">
        <v>8</v>
      </c>
      <c r="OZ551" s="27" t="s">
        <v>7</v>
      </c>
      <c r="PA551" s="27" t="s">
        <v>8</v>
      </c>
      <c r="PB551" s="27" t="s">
        <v>7</v>
      </c>
      <c r="PC551" s="27" t="s">
        <v>8</v>
      </c>
      <c r="PD551" s="27" t="s">
        <v>7</v>
      </c>
      <c r="PE551" s="27" t="s">
        <v>8</v>
      </c>
      <c r="PF551" s="27" t="s">
        <v>7</v>
      </c>
    </row>
    <row r="552" spans="1:422" x14ac:dyDescent="0.25">
      <c r="A552" s="7">
        <v>1.9998895526624565</v>
      </c>
      <c r="B552"/>
      <c r="C552"/>
      <c r="D552"/>
      <c r="E552"/>
      <c r="JQ552" s="27" t="s">
        <v>8</v>
      </c>
      <c r="JR552" s="27" t="s">
        <v>7</v>
      </c>
      <c r="JS552" s="27" t="s">
        <v>8</v>
      </c>
      <c r="JT552" s="27" t="s">
        <v>7</v>
      </c>
      <c r="JU552" s="27" t="s">
        <v>8</v>
      </c>
      <c r="JV552" s="27" t="s">
        <v>7</v>
      </c>
      <c r="JW552" s="27" t="s">
        <v>8</v>
      </c>
      <c r="JX552" s="27" t="s">
        <v>7</v>
      </c>
      <c r="KA552" s="27" t="s">
        <v>8</v>
      </c>
      <c r="KB552" s="27" t="s">
        <v>7</v>
      </c>
      <c r="KC552" s="27" t="s">
        <v>8</v>
      </c>
      <c r="KD552" s="27" t="s">
        <v>7</v>
      </c>
      <c r="KE552" s="27" t="s">
        <v>8</v>
      </c>
      <c r="KF552" s="27" t="s">
        <v>7</v>
      </c>
      <c r="NE552" s="27" t="s">
        <v>8</v>
      </c>
      <c r="NF552" s="27" t="s">
        <v>7</v>
      </c>
      <c r="NG552" s="27" t="s">
        <v>8</v>
      </c>
      <c r="NH552" s="27" t="s">
        <v>7</v>
      </c>
      <c r="NI552" s="27" t="s">
        <v>8</v>
      </c>
      <c r="NN552" s="27" t="s">
        <v>7</v>
      </c>
      <c r="NQ552" s="27" t="s">
        <v>8</v>
      </c>
      <c r="NR552" s="27" t="s">
        <v>7</v>
      </c>
      <c r="NS552" s="27" t="s">
        <v>8</v>
      </c>
      <c r="NZ552" s="27" t="s">
        <v>7</v>
      </c>
      <c r="OA552" s="27" t="s">
        <v>8</v>
      </c>
      <c r="OB552" s="27" t="s">
        <v>7</v>
      </c>
      <c r="OC552" s="27" t="s">
        <v>8</v>
      </c>
      <c r="OD552" s="27" t="s">
        <v>7</v>
      </c>
      <c r="OG552" s="27" t="s">
        <v>8</v>
      </c>
      <c r="OH552" s="27" t="s">
        <v>7</v>
      </c>
      <c r="OI552" s="27" t="s">
        <v>8</v>
      </c>
      <c r="OJ552" s="27" t="s">
        <v>7</v>
      </c>
      <c r="OK552" s="27" t="s">
        <v>8</v>
      </c>
      <c r="OL552" s="27" t="s">
        <v>7</v>
      </c>
      <c r="OM552" s="27" t="s">
        <v>8</v>
      </c>
      <c r="ON552" s="27" t="s">
        <v>7</v>
      </c>
      <c r="OP552" s="27" t="s">
        <v>7</v>
      </c>
      <c r="OQ552" s="27" t="s">
        <v>8</v>
      </c>
      <c r="OX552" s="27" t="s">
        <v>7</v>
      </c>
      <c r="OY552" s="27" t="s">
        <v>8</v>
      </c>
      <c r="OZ552" s="27" t="s">
        <v>7</v>
      </c>
      <c r="PA552" s="27" t="s">
        <v>8</v>
      </c>
      <c r="PB552" s="27" t="s">
        <v>7</v>
      </c>
      <c r="PD552" s="27" t="s">
        <v>7</v>
      </c>
      <c r="PE552" s="27" t="s">
        <v>8</v>
      </c>
      <c r="PF552" s="27" t="s">
        <v>7</v>
      </c>
    </row>
    <row r="553" spans="1:422" x14ac:dyDescent="0.25">
      <c r="A553" s="7">
        <v>1.9606760320220162</v>
      </c>
      <c r="B553"/>
      <c r="C553"/>
      <c r="D553"/>
      <c r="E553"/>
      <c r="JQ553" s="27" t="s">
        <v>8</v>
      </c>
      <c r="JR553" s="27" t="s">
        <v>7</v>
      </c>
      <c r="JS553" s="27" t="s">
        <v>8</v>
      </c>
      <c r="JT553" s="27" t="s">
        <v>7</v>
      </c>
      <c r="JU553" s="27" t="s">
        <v>8</v>
      </c>
      <c r="JV553" s="27" t="s">
        <v>7</v>
      </c>
      <c r="JW553" s="27" t="s">
        <v>8</v>
      </c>
      <c r="JX553" s="27" t="s">
        <v>7</v>
      </c>
      <c r="JY553" s="27" t="s">
        <v>8</v>
      </c>
      <c r="KA553" s="27" t="s">
        <v>8</v>
      </c>
      <c r="KB553" s="27" t="s">
        <v>7</v>
      </c>
      <c r="KD553" s="27" t="s">
        <v>7</v>
      </c>
      <c r="KE553" s="27" t="s">
        <v>8</v>
      </c>
      <c r="KF553" s="27" t="s">
        <v>7</v>
      </c>
      <c r="NE553" s="27" t="s">
        <v>8</v>
      </c>
      <c r="NF553" s="27" t="s">
        <v>7</v>
      </c>
      <c r="NG553" s="27" t="s">
        <v>8</v>
      </c>
      <c r="NH553" s="27" t="s">
        <v>7</v>
      </c>
      <c r="NI553" s="27" t="s">
        <v>8</v>
      </c>
      <c r="NN553" s="27" t="s">
        <v>7</v>
      </c>
      <c r="NO553" s="27" t="s">
        <v>8</v>
      </c>
      <c r="NQ553" s="27" t="s">
        <v>8</v>
      </c>
      <c r="NR553" s="27" t="s">
        <v>7</v>
      </c>
      <c r="NS553" s="27" t="s">
        <v>8</v>
      </c>
      <c r="NZ553" s="27" t="s">
        <v>7</v>
      </c>
      <c r="OA553" s="27" t="s">
        <v>8</v>
      </c>
      <c r="OB553" s="27" t="s">
        <v>7</v>
      </c>
      <c r="OD553" s="27" t="s">
        <v>7</v>
      </c>
      <c r="OG553" s="27" t="s">
        <v>8</v>
      </c>
      <c r="OH553" s="27" t="s">
        <v>7</v>
      </c>
      <c r="OI553" s="27" t="s">
        <v>8</v>
      </c>
      <c r="OJ553" s="27" t="s">
        <v>7</v>
      </c>
      <c r="OL553" s="27" t="s">
        <v>7</v>
      </c>
      <c r="OM553" s="27" t="s">
        <v>8</v>
      </c>
      <c r="OP553" s="27" t="s">
        <v>7</v>
      </c>
      <c r="OX553" s="27" t="s">
        <v>7</v>
      </c>
      <c r="OZ553" s="27" t="s">
        <v>7</v>
      </c>
      <c r="PA553" s="27" t="s">
        <v>8</v>
      </c>
      <c r="PD553" s="27" t="s">
        <v>7</v>
      </c>
      <c r="PF553" s="27" t="s">
        <v>7</v>
      </c>
    </row>
    <row r="554" spans="1:422" x14ac:dyDescent="0.25">
      <c r="A554" s="7">
        <v>1.9222314039431532</v>
      </c>
      <c r="B554"/>
      <c r="C554"/>
      <c r="D554"/>
      <c r="E554"/>
      <c r="JQ554" s="27" t="s">
        <v>8</v>
      </c>
      <c r="JR554" s="27" t="s">
        <v>7</v>
      </c>
      <c r="JS554" s="27" t="s">
        <v>8</v>
      </c>
      <c r="JT554" s="27" t="s">
        <v>7</v>
      </c>
      <c r="JU554" s="27" t="s">
        <v>8</v>
      </c>
      <c r="JV554" s="27" t="s">
        <v>7</v>
      </c>
      <c r="JW554" s="27" t="s">
        <v>8</v>
      </c>
      <c r="JX554" s="27" t="s">
        <v>7</v>
      </c>
      <c r="JY554" s="27" t="s">
        <v>8</v>
      </c>
      <c r="JZ554" s="27" t="s">
        <v>7</v>
      </c>
      <c r="KA554" s="27" t="s">
        <v>8</v>
      </c>
      <c r="KD554" s="27" t="s">
        <v>7</v>
      </c>
      <c r="KE554" s="27" t="s">
        <v>8</v>
      </c>
      <c r="KF554" s="27" t="s">
        <v>7</v>
      </c>
      <c r="KG554" s="27" t="s">
        <v>8</v>
      </c>
      <c r="NE554" s="27" t="s">
        <v>8</v>
      </c>
      <c r="NF554" s="27" t="s">
        <v>7</v>
      </c>
      <c r="NG554" s="27" t="s">
        <v>8</v>
      </c>
      <c r="NH554" s="27" t="s">
        <v>7</v>
      </c>
      <c r="NN554" s="27" t="s">
        <v>7</v>
      </c>
      <c r="NO554" s="27" t="s">
        <v>8</v>
      </c>
      <c r="NP554" s="27" t="s">
        <v>7</v>
      </c>
      <c r="NQ554" s="27" t="s">
        <v>8</v>
      </c>
      <c r="NR554" s="27" t="s">
        <v>7</v>
      </c>
      <c r="NS554" s="27" t="s">
        <v>8</v>
      </c>
      <c r="NZ554" s="27" t="s">
        <v>7</v>
      </c>
      <c r="OA554" s="27" t="s">
        <v>8</v>
      </c>
      <c r="OD554" s="27" t="s">
        <v>7</v>
      </c>
      <c r="OE554" s="27" t="s">
        <v>8</v>
      </c>
      <c r="OG554" s="27" t="s">
        <v>8</v>
      </c>
      <c r="OH554" s="27" t="s">
        <v>7</v>
      </c>
      <c r="OI554" s="27" t="s">
        <v>8</v>
      </c>
      <c r="OL554" s="27" t="s">
        <v>7</v>
      </c>
      <c r="OM554" s="27" t="s">
        <v>8</v>
      </c>
      <c r="OZ554" s="27" t="s">
        <v>7</v>
      </c>
      <c r="PA554" s="27" t="s">
        <v>8</v>
      </c>
      <c r="PF554" s="27" t="s">
        <v>7</v>
      </c>
    </row>
    <row r="555" spans="1:422" x14ac:dyDescent="0.25">
      <c r="A555" s="7">
        <v>1.8845405921011305</v>
      </c>
      <c r="B555"/>
      <c r="C555"/>
      <c r="D555"/>
      <c r="E555"/>
      <c r="JQ555" s="27" t="s">
        <v>8</v>
      </c>
      <c r="JR555" s="27" t="s">
        <v>7</v>
      </c>
      <c r="JS555" s="27" t="s">
        <v>8</v>
      </c>
      <c r="JT555" s="27" t="s">
        <v>7</v>
      </c>
      <c r="JV555" s="27" t="s">
        <v>7</v>
      </c>
      <c r="JW555" s="27" t="s">
        <v>8</v>
      </c>
      <c r="JX555" s="27" t="s">
        <v>7</v>
      </c>
      <c r="JY555" s="27" t="s">
        <v>8</v>
      </c>
      <c r="JZ555" s="27" t="s">
        <v>7</v>
      </c>
      <c r="KA555" s="27" t="s">
        <v>8</v>
      </c>
      <c r="KD555" s="27" t="s">
        <v>7</v>
      </c>
      <c r="KF555" s="27" t="s">
        <v>7</v>
      </c>
      <c r="KG555" s="27" t="s">
        <v>8</v>
      </c>
      <c r="KH555" s="27" t="s">
        <v>7</v>
      </c>
      <c r="NE555" s="27" t="s">
        <v>8</v>
      </c>
      <c r="NF555" s="27" t="s">
        <v>7</v>
      </c>
      <c r="NG555" s="27" t="s">
        <v>8</v>
      </c>
      <c r="NN555" s="27" t="s">
        <v>7</v>
      </c>
      <c r="NO555" s="27" t="s">
        <v>8</v>
      </c>
      <c r="NP555" s="27" t="s">
        <v>7</v>
      </c>
      <c r="NQ555" s="27" t="s">
        <v>8</v>
      </c>
      <c r="NR555" s="27" t="s">
        <v>7</v>
      </c>
      <c r="NZ555" s="27" t="s">
        <v>7</v>
      </c>
      <c r="OD555" s="27" t="s">
        <v>7</v>
      </c>
      <c r="OE555" s="27" t="s">
        <v>8</v>
      </c>
      <c r="OF555" s="27" t="s">
        <v>7</v>
      </c>
      <c r="OG555" s="27" t="s">
        <v>8</v>
      </c>
      <c r="OH555" s="27" t="s">
        <v>7</v>
      </c>
      <c r="OI555" s="27" t="s">
        <v>8</v>
      </c>
      <c r="OL555" s="27" t="s">
        <v>7</v>
      </c>
      <c r="OM555" s="27" t="s">
        <v>8</v>
      </c>
      <c r="OZ555" s="27" t="s">
        <v>7</v>
      </c>
      <c r="PA555" s="27" t="s">
        <v>8</v>
      </c>
      <c r="PF555" s="27" t="s">
        <v>7</v>
      </c>
    </row>
    <row r="556" spans="1:422" x14ac:dyDescent="0.25">
      <c r="A556" s="7">
        <v>1.8475888157854219</v>
      </c>
      <c r="B556"/>
      <c r="C556"/>
      <c r="D556"/>
      <c r="E556"/>
      <c r="JQ556" s="27" t="s">
        <v>8</v>
      </c>
      <c r="JR556" s="27" t="s">
        <v>7</v>
      </c>
      <c r="JS556" s="27" t="s">
        <v>8</v>
      </c>
      <c r="JV556" s="27" t="s">
        <v>7</v>
      </c>
      <c r="JW556" s="27" t="s">
        <v>8</v>
      </c>
      <c r="JX556" s="27" t="s">
        <v>7</v>
      </c>
      <c r="JY556" s="27" t="s">
        <v>8</v>
      </c>
      <c r="JZ556" s="27" t="s">
        <v>7</v>
      </c>
      <c r="KA556" s="27" t="s">
        <v>8</v>
      </c>
      <c r="KF556" s="27" t="s">
        <v>7</v>
      </c>
      <c r="KG556" s="27" t="s">
        <v>8</v>
      </c>
      <c r="KH556" s="27" t="s">
        <v>7</v>
      </c>
      <c r="NE556" s="27" t="s">
        <v>8</v>
      </c>
      <c r="NF556" s="27" t="s">
        <v>7</v>
      </c>
      <c r="NN556" s="27" t="s">
        <v>7</v>
      </c>
      <c r="NO556" s="27" t="s">
        <v>8</v>
      </c>
      <c r="NP556" s="27" t="s">
        <v>7</v>
      </c>
      <c r="NQ556" s="27" t="s">
        <v>8</v>
      </c>
      <c r="OD556" s="27" t="s">
        <v>7</v>
      </c>
      <c r="OE556" s="27" t="s">
        <v>8</v>
      </c>
      <c r="OF556" s="27" t="s">
        <v>7</v>
      </c>
      <c r="OG556" s="27" t="s">
        <v>8</v>
      </c>
      <c r="OH556" s="27" t="s">
        <v>7</v>
      </c>
      <c r="OI556" s="27" t="s">
        <v>8</v>
      </c>
      <c r="OL556" s="27" t="s">
        <v>7</v>
      </c>
      <c r="OM556" s="27" t="s">
        <v>8</v>
      </c>
      <c r="OZ556" s="27" t="s">
        <v>7</v>
      </c>
      <c r="PF556" s="27" t="s">
        <v>7</v>
      </c>
    </row>
    <row r="557" spans="1:422" x14ac:dyDescent="0.25">
      <c r="A557" s="7">
        <v>1.8113615841033548</v>
      </c>
      <c r="B557"/>
      <c r="C557"/>
      <c r="D557"/>
      <c r="E557"/>
      <c r="JQ557" s="27" t="s">
        <v>8</v>
      </c>
      <c r="JR557" s="27" t="s">
        <v>7</v>
      </c>
      <c r="JS557" s="27" t="s">
        <v>8</v>
      </c>
      <c r="JV557" s="27" t="s">
        <v>7</v>
      </c>
      <c r="JX557" s="27" t="s">
        <v>7</v>
      </c>
      <c r="JY557" s="27" t="s">
        <v>8</v>
      </c>
      <c r="JZ557" s="27" t="s">
        <v>7</v>
      </c>
      <c r="KA557" s="27" t="s">
        <v>8</v>
      </c>
      <c r="KF557" s="27" t="s">
        <v>7</v>
      </c>
      <c r="KG557" s="27" t="s">
        <v>8</v>
      </c>
      <c r="KH557" s="27" t="s">
        <v>7</v>
      </c>
      <c r="NE557" s="27" t="s">
        <v>8</v>
      </c>
      <c r="NN557" s="27" t="s">
        <v>7</v>
      </c>
      <c r="NP557" s="27" t="s">
        <v>7</v>
      </c>
      <c r="NQ557" s="27" t="s">
        <v>8</v>
      </c>
      <c r="OD557" s="27" t="s">
        <v>7</v>
      </c>
      <c r="OF557" s="27" t="s">
        <v>7</v>
      </c>
      <c r="OH557" s="27" t="s">
        <v>7</v>
      </c>
      <c r="OI557" s="27" t="s">
        <v>8</v>
      </c>
      <c r="OL557" s="27" t="s">
        <v>7</v>
      </c>
      <c r="OM557" s="27" t="s">
        <v>8</v>
      </c>
      <c r="PF557" s="27" t="s">
        <v>7</v>
      </c>
    </row>
    <row r="558" spans="1:422" x14ac:dyDescent="0.25">
      <c r="A558" s="7">
        <v>1.7758446902974065</v>
      </c>
      <c r="B558"/>
      <c r="C558"/>
      <c r="D558"/>
      <c r="E558"/>
      <c r="JQ558" s="27" t="s">
        <v>8</v>
      </c>
      <c r="JR558" s="27" t="s">
        <v>7</v>
      </c>
      <c r="JS558" s="27" t="s">
        <v>8</v>
      </c>
      <c r="JX558" s="27" t="s">
        <v>7</v>
      </c>
      <c r="JY558" s="27" t="s">
        <v>8</v>
      </c>
      <c r="JZ558" s="27" t="s">
        <v>7</v>
      </c>
      <c r="KA558" s="27" t="s">
        <v>8</v>
      </c>
      <c r="KF558" s="27" t="s">
        <v>7</v>
      </c>
      <c r="KG558" s="27" t="s">
        <v>8</v>
      </c>
      <c r="KH558" s="27" t="s">
        <v>7</v>
      </c>
      <c r="NE558" s="27" t="s">
        <v>8</v>
      </c>
      <c r="NP558" s="27" t="s">
        <v>7</v>
      </c>
      <c r="OH558" s="27" t="s">
        <v>7</v>
      </c>
      <c r="OL558" s="27" t="s">
        <v>7</v>
      </c>
      <c r="PF558" s="27" t="s">
        <v>7</v>
      </c>
    </row>
    <row r="559" spans="1:422" x14ac:dyDescent="0.25">
      <c r="A559" s="7">
        <v>1.7410242061739281</v>
      </c>
      <c r="B559"/>
      <c r="C559"/>
      <c r="D559"/>
      <c r="E559"/>
      <c r="JQ559" s="27" t="s">
        <v>8</v>
      </c>
      <c r="JR559" s="27" t="s">
        <v>7</v>
      </c>
      <c r="JS559" s="27" t="s">
        <v>8</v>
      </c>
      <c r="JX559" s="27" t="s">
        <v>7</v>
      </c>
      <c r="JY559" s="27" t="s">
        <v>8</v>
      </c>
      <c r="JZ559" s="27" t="s">
        <v>7</v>
      </c>
      <c r="KA559" s="27" t="s">
        <v>8</v>
      </c>
      <c r="KF559" s="27" t="s">
        <v>7</v>
      </c>
      <c r="KG559" s="27" t="s">
        <v>8</v>
      </c>
      <c r="KH559" s="27" t="s">
        <v>7</v>
      </c>
      <c r="MM559" s="27" t="s">
        <v>8</v>
      </c>
      <c r="NE559" s="27" t="s">
        <v>8</v>
      </c>
      <c r="PF559" s="27" t="s">
        <v>7</v>
      </c>
    </row>
    <row r="560" spans="1:422" x14ac:dyDescent="0.25">
      <c r="A560" s="7">
        <v>1.7068864766411058</v>
      </c>
      <c r="B560"/>
      <c r="C560"/>
      <c r="D560"/>
      <c r="E560"/>
      <c r="JQ560" s="27" t="s">
        <v>8</v>
      </c>
      <c r="JR560" s="27" t="s">
        <v>7</v>
      </c>
      <c r="JS560" s="27" t="s">
        <v>8</v>
      </c>
      <c r="JX560" s="27" t="s">
        <v>7</v>
      </c>
      <c r="JZ560" s="27" t="s">
        <v>7</v>
      </c>
      <c r="KA560" s="27" t="s">
        <v>8</v>
      </c>
      <c r="KF560" s="27" t="s">
        <v>7</v>
      </c>
      <c r="KG560" s="27" t="s">
        <v>8</v>
      </c>
      <c r="KH560" s="27" t="s">
        <v>7</v>
      </c>
      <c r="KI560" s="27" t="s">
        <v>8</v>
      </c>
      <c r="MM560" s="27" t="s">
        <v>8</v>
      </c>
      <c r="MN560" s="27" t="s">
        <v>7</v>
      </c>
      <c r="MO560" s="27" t="s">
        <v>8</v>
      </c>
      <c r="NE560" s="27" t="s">
        <v>8</v>
      </c>
      <c r="PF560" s="27" t="s">
        <v>7</v>
      </c>
    </row>
    <row r="561" spans="1:426" x14ac:dyDescent="0.25">
      <c r="A561" s="7">
        <v>1.6734181143540252</v>
      </c>
      <c r="B561"/>
      <c r="C561"/>
      <c r="D561"/>
      <c r="E561"/>
      <c r="JQ561" s="27" t="s">
        <v>8</v>
      </c>
      <c r="JR561" s="27" t="s">
        <v>7</v>
      </c>
      <c r="JS561" s="27" t="s">
        <v>8</v>
      </c>
      <c r="JZ561" s="27" t="s">
        <v>7</v>
      </c>
      <c r="KA561" s="27" t="s">
        <v>8</v>
      </c>
      <c r="KF561" s="27" t="s">
        <v>7</v>
      </c>
      <c r="KG561" s="27" t="s">
        <v>8</v>
      </c>
      <c r="KH561" s="27" t="s">
        <v>7</v>
      </c>
      <c r="KI561" s="27" t="s">
        <v>8</v>
      </c>
      <c r="KJ561" s="27" t="s">
        <v>7</v>
      </c>
      <c r="MM561" s="27" t="s">
        <v>8</v>
      </c>
      <c r="MN561" s="27" t="s">
        <v>7</v>
      </c>
      <c r="MO561" s="27" t="s">
        <v>8</v>
      </c>
      <c r="MP561" s="27" t="s">
        <v>7</v>
      </c>
      <c r="NE561" s="27" t="s">
        <v>8</v>
      </c>
      <c r="PF561" s="27" t="s">
        <v>7</v>
      </c>
    </row>
    <row r="562" spans="1:426" x14ac:dyDescent="0.25">
      <c r="A562" s="7">
        <v>1.6406059944647307</v>
      </c>
      <c r="B562"/>
      <c r="C562"/>
      <c r="D562"/>
      <c r="E562"/>
      <c r="JQ562" s="27" t="s">
        <v>8</v>
      </c>
      <c r="JR562" s="27" t="s">
        <v>7</v>
      </c>
      <c r="JS562" s="27" t="s">
        <v>8</v>
      </c>
      <c r="JZ562" s="27" t="s">
        <v>7</v>
      </c>
      <c r="KF562" s="27" t="s">
        <v>7</v>
      </c>
      <c r="KH562" s="27" t="s">
        <v>7</v>
      </c>
      <c r="KI562" s="27" t="s">
        <v>8</v>
      </c>
      <c r="KJ562" s="27" t="s">
        <v>7</v>
      </c>
      <c r="MM562" s="27" t="s">
        <v>8</v>
      </c>
      <c r="MN562" s="27" t="s">
        <v>7</v>
      </c>
      <c r="MO562" s="27" t="s">
        <v>8</v>
      </c>
      <c r="MP562" s="27" t="s">
        <v>7</v>
      </c>
      <c r="NE562" s="27" t="s">
        <v>8</v>
      </c>
      <c r="PF562" s="27" t="s">
        <v>7</v>
      </c>
    </row>
    <row r="563" spans="1:426" x14ac:dyDescent="0.25">
      <c r="A563" s="7">
        <v>1.6084372494752261</v>
      </c>
      <c r="B563"/>
      <c r="C563"/>
      <c r="D563"/>
      <c r="E563"/>
      <c r="JQ563" s="27" t="s">
        <v>8</v>
      </c>
      <c r="JR563" s="27" t="s">
        <v>7</v>
      </c>
      <c r="JS563" s="27" t="s">
        <v>8</v>
      </c>
      <c r="KH563" s="27" t="s">
        <v>7</v>
      </c>
      <c r="KI563" s="27" t="s">
        <v>8</v>
      </c>
      <c r="KJ563" s="27" t="s">
        <v>7</v>
      </c>
      <c r="MM563" s="27" t="s">
        <v>8</v>
      </c>
      <c r="MN563" s="27" t="s">
        <v>7</v>
      </c>
      <c r="MO563" s="27" t="s">
        <v>8</v>
      </c>
      <c r="MP563" s="27" t="s">
        <v>7</v>
      </c>
      <c r="NE563" s="27" t="s">
        <v>8</v>
      </c>
      <c r="PF563" s="27" t="s">
        <v>7</v>
      </c>
    </row>
    <row r="564" spans="1:426" x14ac:dyDescent="0.25">
      <c r="A564" s="7">
        <v>1.5768992641913981</v>
      </c>
      <c r="B564"/>
      <c r="C564"/>
      <c r="D564"/>
      <c r="E564"/>
      <c r="JQ564" s="27" t="s">
        <v>8</v>
      </c>
      <c r="JR564" s="27" t="s">
        <v>7</v>
      </c>
      <c r="JS564" s="27" t="s">
        <v>8</v>
      </c>
      <c r="KH564" s="27" t="s">
        <v>7</v>
      </c>
      <c r="KI564" s="27" t="s">
        <v>8</v>
      </c>
      <c r="KJ564" s="27" t="s">
        <v>7</v>
      </c>
      <c r="MG564" s="27" t="s">
        <v>8</v>
      </c>
      <c r="MM564" s="27" t="s">
        <v>8</v>
      </c>
      <c r="MN564" s="27" t="s">
        <v>7</v>
      </c>
      <c r="MO564" s="27" t="s">
        <v>8</v>
      </c>
      <c r="MP564" s="27" t="s">
        <v>7</v>
      </c>
      <c r="MU564" s="27" t="s">
        <v>8</v>
      </c>
      <c r="NE564" s="27" t="s">
        <v>8</v>
      </c>
      <c r="PF564" s="27" t="s">
        <v>7</v>
      </c>
    </row>
    <row r="565" spans="1:426" x14ac:dyDescent="0.25">
      <c r="A565" s="7">
        <v>1.5459796707758806</v>
      </c>
      <c r="B565"/>
      <c r="C565"/>
      <c r="D565"/>
      <c r="E565"/>
      <c r="JQ565" s="27" t="s">
        <v>8</v>
      </c>
      <c r="JR565" s="27" t="s">
        <v>7</v>
      </c>
      <c r="KH565" s="27" t="s">
        <v>7</v>
      </c>
      <c r="KI565" s="27" t="s">
        <v>8</v>
      </c>
      <c r="KJ565" s="27" t="s">
        <v>7</v>
      </c>
      <c r="LY565" s="27" t="s">
        <v>8</v>
      </c>
      <c r="ME565" s="27" t="s">
        <v>8</v>
      </c>
      <c r="MG565" s="27" t="s">
        <v>8</v>
      </c>
      <c r="MH565" s="27" t="s">
        <v>7</v>
      </c>
      <c r="MM565" s="27" t="s">
        <v>8</v>
      </c>
      <c r="MN565" s="27" t="s">
        <v>7</v>
      </c>
      <c r="MP565" s="27" t="s">
        <v>7</v>
      </c>
      <c r="MS565" s="27" t="s">
        <v>8</v>
      </c>
      <c r="MU565" s="27" t="s">
        <v>8</v>
      </c>
      <c r="MV565" s="27" t="s">
        <v>7</v>
      </c>
      <c r="NE565" s="27" t="s">
        <v>8</v>
      </c>
      <c r="PF565" s="27" t="s">
        <v>7</v>
      </c>
    </row>
    <row r="566" spans="1:426" x14ac:dyDescent="0.25">
      <c r="A566" s="7">
        <v>1.5156663438979221</v>
      </c>
      <c r="B566"/>
      <c r="C566"/>
      <c r="D566"/>
      <c r="E566"/>
      <c r="JQ566" s="27" t="s">
        <v>8</v>
      </c>
      <c r="KH566" s="27" t="s">
        <v>7</v>
      </c>
      <c r="KJ566" s="27" t="s">
        <v>7</v>
      </c>
      <c r="LY566" s="27" t="s">
        <v>8</v>
      </c>
      <c r="LZ566" s="27" t="s">
        <v>7</v>
      </c>
      <c r="ME566" s="27" t="s">
        <v>8</v>
      </c>
      <c r="MF566" s="27" t="s">
        <v>7</v>
      </c>
      <c r="MG566" s="27" t="s">
        <v>8</v>
      </c>
      <c r="MH566" s="27" t="s">
        <v>7</v>
      </c>
      <c r="MM566" s="27" t="s">
        <v>8</v>
      </c>
      <c r="MP566" s="27" t="s">
        <v>7</v>
      </c>
      <c r="MQ566" s="27" t="s">
        <v>8</v>
      </c>
      <c r="MS566" s="27" t="s">
        <v>8</v>
      </c>
      <c r="MT566" s="27" t="s">
        <v>7</v>
      </c>
      <c r="MU566" s="27" t="s">
        <v>8</v>
      </c>
      <c r="MV566" s="27" t="s">
        <v>7</v>
      </c>
      <c r="NE566" s="27" t="s">
        <v>8</v>
      </c>
      <c r="PF566" s="27" t="s">
        <v>7</v>
      </c>
      <c r="PI566" s="27" t="s">
        <v>8</v>
      </c>
    </row>
    <row r="567" spans="1:426" x14ac:dyDescent="0.25">
      <c r="A567" s="7">
        <v>1.4859473959783549</v>
      </c>
      <c r="B567"/>
      <c r="C567"/>
      <c r="D567"/>
      <c r="E567"/>
      <c r="JQ567" s="27" t="s">
        <v>8</v>
      </c>
      <c r="KJ567" s="27" t="s">
        <v>7</v>
      </c>
      <c r="LY567" s="27" t="s">
        <v>8</v>
      </c>
      <c r="LZ567" s="27" t="s">
        <v>7</v>
      </c>
      <c r="ME567" s="27" t="s">
        <v>8</v>
      </c>
      <c r="MF567" s="27" t="s">
        <v>7</v>
      </c>
      <c r="MG567" s="27" t="s">
        <v>8</v>
      </c>
      <c r="MH567" s="27" t="s">
        <v>7</v>
      </c>
      <c r="MI567" s="27" t="s">
        <v>8</v>
      </c>
      <c r="MK567" s="27" t="s">
        <v>8</v>
      </c>
      <c r="MM567" s="27" t="s">
        <v>8</v>
      </c>
      <c r="MP567" s="27" t="s">
        <v>7</v>
      </c>
      <c r="MQ567" s="27" t="s">
        <v>8</v>
      </c>
      <c r="MR567" s="27" t="s">
        <v>7</v>
      </c>
      <c r="MS567" s="27" t="s">
        <v>8</v>
      </c>
      <c r="MT567" s="27" t="s">
        <v>7</v>
      </c>
      <c r="MU567" s="27" t="s">
        <v>8</v>
      </c>
      <c r="MV567" s="27" t="s">
        <v>7</v>
      </c>
      <c r="NE567" s="27" t="s">
        <v>8</v>
      </c>
      <c r="PF567" s="27" t="s">
        <v>7</v>
      </c>
      <c r="PG567" s="27" t="s">
        <v>8</v>
      </c>
      <c r="PI567" s="27" t="s">
        <v>8</v>
      </c>
      <c r="PJ567" s="27" t="s">
        <v>7</v>
      </c>
    </row>
    <row r="568" spans="1:426" x14ac:dyDescent="0.25">
      <c r="A568" s="7">
        <v>1.4568111725277988</v>
      </c>
      <c r="B568"/>
      <c r="C568"/>
      <c r="D568"/>
      <c r="E568"/>
      <c r="JQ568" s="27" t="s">
        <v>8</v>
      </c>
      <c r="KJ568" s="27" t="s">
        <v>7</v>
      </c>
      <c r="LO568" s="27" t="s">
        <v>8</v>
      </c>
      <c r="LY568" s="27" t="s">
        <v>8</v>
      </c>
      <c r="LZ568" s="27" t="s">
        <v>7</v>
      </c>
      <c r="MC568" s="27" t="s">
        <v>8</v>
      </c>
      <c r="ME568" s="27" t="s">
        <v>8</v>
      </c>
      <c r="MF568" s="27" t="s">
        <v>7</v>
      </c>
      <c r="MG568" s="27" t="s">
        <v>8</v>
      </c>
      <c r="MH568" s="27" t="s">
        <v>7</v>
      </c>
      <c r="MI568" s="27" t="s">
        <v>8</v>
      </c>
      <c r="MJ568" s="27" t="s">
        <v>7</v>
      </c>
      <c r="MK568" s="27" t="s">
        <v>8</v>
      </c>
      <c r="ML568" s="27" t="s">
        <v>7</v>
      </c>
      <c r="MM568" s="27" t="s">
        <v>8</v>
      </c>
      <c r="MP568" s="27" t="s">
        <v>7</v>
      </c>
      <c r="MQ568" s="27" t="s">
        <v>8</v>
      </c>
      <c r="MR568" s="27" t="s">
        <v>7</v>
      </c>
      <c r="MS568" s="27" t="s">
        <v>8</v>
      </c>
      <c r="MT568" s="27" t="s">
        <v>7</v>
      </c>
      <c r="MV568" s="27" t="s">
        <v>7</v>
      </c>
      <c r="NE568" s="27" t="s">
        <v>8</v>
      </c>
      <c r="PF568" s="27" t="s">
        <v>7</v>
      </c>
      <c r="PG568" s="27" t="s">
        <v>8</v>
      </c>
      <c r="PH568" s="27" t="s">
        <v>7</v>
      </c>
      <c r="PI568" s="27" t="s">
        <v>8</v>
      </c>
      <c r="PJ568" s="27" t="s">
        <v>7</v>
      </c>
    </row>
    <row r="569" spans="1:426" x14ac:dyDescent="0.25">
      <c r="A569" s="7">
        <v>1.4282462475762734</v>
      </c>
      <c r="B569"/>
      <c r="C569"/>
      <c r="D569"/>
      <c r="E569"/>
      <c r="JI569" s="27" t="s">
        <v>8</v>
      </c>
      <c r="JQ569" s="27" t="s">
        <v>8</v>
      </c>
      <c r="KJ569" s="27" t="s">
        <v>7</v>
      </c>
      <c r="KK569" s="27" t="s">
        <v>8</v>
      </c>
      <c r="KO569" s="27" t="s">
        <v>8</v>
      </c>
      <c r="LO569" s="27" t="s">
        <v>8</v>
      </c>
      <c r="LP569" s="27" t="s">
        <v>7</v>
      </c>
      <c r="LY569" s="27" t="s">
        <v>8</v>
      </c>
      <c r="LZ569" s="27" t="s">
        <v>7</v>
      </c>
      <c r="MA569" s="27" t="s">
        <v>8</v>
      </c>
      <c r="MC569" s="27" t="s">
        <v>8</v>
      </c>
      <c r="MD569" s="27" t="s">
        <v>7</v>
      </c>
      <c r="ME569" s="27" t="s">
        <v>8</v>
      </c>
      <c r="MF569" s="27" t="s">
        <v>7</v>
      </c>
      <c r="MG569" s="27" t="s">
        <v>8</v>
      </c>
      <c r="MH569" s="27" t="s">
        <v>7</v>
      </c>
      <c r="MI569" s="27" t="s">
        <v>8</v>
      </c>
      <c r="MJ569" s="27" t="s">
        <v>7</v>
      </c>
      <c r="MK569" s="27" t="s">
        <v>8</v>
      </c>
      <c r="ML569" s="27" t="s">
        <v>7</v>
      </c>
      <c r="MM569" s="27" t="s">
        <v>8</v>
      </c>
      <c r="MP569" s="27" t="s">
        <v>7</v>
      </c>
      <c r="MQ569" s="27" t="s">
        <v>8</v>
      </c>
      <c r="MR569" s="27" t="s">
        <v>7</v>
      </c>
      <c r="MS569" s="27" t="s">
        <v>8</v>
      </c>
      <c r="MV569" s="27" t="s">
        <v>7</v>
      </c>
      <c r="MW569" s="27" t="s">
        <v>8</v>
      </c>
      <c r="NC569" s="27" t="s">
        <v>8</v>
      </c>
      <c r="NE569" s="27" t="s">
        <v>8</v>
      </c>
      <c r="PF569" s="27" t="s">
        <v>7</v>
      </c>
      <c r="PG569" s="27" t="s">
        <v>8</v>
      </c>
      <c r="PH569" s="27" t="s">
        <v>7</v>
      </c>
      <c r="PI569" s="27" t="s">
        <v>8</v>
      </c>
      <c r="PJ569" s="27" t="s">
        <v>7</v>
      </c>
    </row>
    <row r="570" spans="1:426" x14ac:dyDescent="0.25">
      <c r="A570" s="7">
        <v>1.4002414191924248</v>
      </c>
      <c r="B570"/>
      <c r="C570"/>
      <c r="D570"/>
      <c r="E570"/>
      <c r="JA570" s="27" t="s">
        <v>8</v>
      </c>
      <c r="JI570" s="27" t="s">
        <v>8</v>
      </c>
      <c r="JJ570" s="27" t="s">
        <v>7</v>
      </c>
      <c r="JQ570" s="27" t="s">
        <v>8</v>
      </c>
      <c r="KJ570" s="27" t="s">
        <v>7</v>
      </c>
      <c r="KK570" s="27" t="s">
        <v>8</v>
      </c>
      <c r="KL570" s="27" t="s">
        <v>7</v>
      </c>
      <c r="KO570" s="27" t="s">
        <v>8</v>
      </c>
      <c r="KP570" s="27" t="s">
        <v>7</v>
      </c>
      <c r="LO570" s="27" t="s">
        <v>8</v>
      </c>
      <c r="LP570" s="27" t="s">
        <v>7</v>
      </c>
      <c r="LY570" s="27" t="s">
        <v>8</v>
      </c>
      <c r="LZ570" s="27" t="s">
        <v>7</v>
      </c>
      <c r="MA570" s="27" t="s">
        <v>8</v>
      </c>
      <c r="MB570" s="27" t="s">
        <v>7</v>
      </c>
      <c r="MC570" s="27" t="s">
        <v>8</v>
      </c>
      <c r="MD570" s="27" t="s">
        <v>7</v>
      </c>
      <c r="ME570" s="27" t="s">
        <v>8</v>
      </c>
      <c r="MF570" s="27" t="s">
        <v>7</v>
      </c>
      <c r="MG570" s="27" t="s">
        <v>8</v>
      </c>
      <c r="MH570" s="27" t="s">
        <v>7</v>
      </c>
      <c r="MI570" s="27" t="s">
        <v>8</v>
      </c>
      <c r="MJ570" s="27" t="s">
        <v>7</v>
      </c>
      <c r="MK570" s="27" t="s">
        <v>8</v>
      </c>
      <c r="ML570" s="27" t="s">
        <v>7</v>
      </c>
      <c r="MP570" s="27" t="s">
        <v>7</v>
      </c>
      <c r="MQ570" s="27" t="s">
        <v>8</v>
      </c>
      <c r="MR570" s="27" t="s">
        <v>7</v>
      </c>
      <c r="MS570" s="27" t="s">
        <v>8</v>
      </c>
      <c r="MV570" s="27" t="s">
        <v>7</v>
      </c>
      <c r="MW570" s="27" t="s">
        <v>8</v>
      </c>
      <c r="MX570" s="27" t="s">
        <v>7</v>
      </c>
      <c r="NC570" s="27" t="s">
        <v>8</v>
      </c>
      <c r="ND570" s="27" t="s">
        <v>7</v>
      </c>
      <c r="NE570" s="27" t="s">
        <v>8</v>
      </c>
      <c r="PF570" s="27" t="s">
        <v>7</v>
      </c>
      <c r="PG570" s="27" t="s">
        <v>8</v>
      </c>
      <c r="PH570" s="27" t="s">
        <v>7</v>
      </c>
      <c r="PI570" s="27" t="s">
        <v>8</v>
      </c>
      <c r="PJ570" s="27" t="s">
        <v>7</v>
      </c>
    </row>
    <row r="571" spans="1:426" x14ac:dyDescent="0.25">
      <c r="A571" s="7">
        <v>1.3727857050906125</v>
      </c>
      <c r="B571"/>
      <c r="C571"/>
      <c r="D571"/>
      <c r="E571"/>
      <c r="JA571" s="27" t="s">
        <v>8</v>
      </c>
      <c r="JB571" s="27" t="s">
        <v>7</v>
      </c>
      <c r="JI571" s="27" t="s">
        <v>8</v>
      </c>
      <c r="JJ571" s="27" t="s">
        <v>7</v>
      </c>
      <c r="JQ571" s="27" t="s">
        <v>8</v>
      </c>
      <c r="KJ571" s="27" t="s">
        <v>7</v>
      </c>
      <c r="KK571" s="27" t="s">
        <v>8</v>
      </c>
      <c r="KL571" s="27" t="s">
        <v>7</v>
      </c>
      <c r="KO571" s="27" t="s">
        <v>8</v>
      </c>
      <c r="KP571" s="27" t="s">
        <v>7</v>
      </c>
      <c r="LO571" s="27" t="s">
        <v>8</v>
      </c>
      <c r="LP571" s="27" t="s">
        <v>7</v>
      </c>
      <c r="LQ571" s="27" t="s">
        <v>8</v>
      </c>
      <c r="LY571" s="27" t="s">
        <v>8</v>
      </c>
      <c r="LZ571" s="27" t="s">
        <v>7</v>
      </c>
      <c r="MA571" s="27" t="s">
        <v>8</v>
      </c>
      <c r="MB571" s="27" t="s">
        <v>7</v>
      </c>
      <c r="MC571" s="27" t="s">
        <v>8</v>
      </c>
      <c r="MD571" s="27" t="s">
        <v>7</v>
      </c>
      <c r="ME571" s="27" t="s">
        <v>8</v>
      </c>
      <c r="MF571" s="27" t="s">
        <v>7</v>
      </c>
      <c r="MG571" s="27" t="s">
        <v>8</v>
      </c>
      <c r="MH571" s="27" t="s">
        <v>7</v>
      </c>
      <c r="MJ571" s="27" t="s">
        <v>7</v>
      </c>
      <c r="MK571" s="27" t="s">
        <v>8</v>
      </c>
      <c r="MP571" s="27" t="s">
        <v>7</v>
      </c>
      <c r="MQ571" s="27" t="s">
        <v>8</v>
      </c>
      <c r="MR571" s="27" t="s">
        <v>7</v>
      </c>
      <c r="MS571" s="27" t="s">
        <v>8</v>
      </c>
      <c r="MV571" s="27" t="s">
        <v>7</v>
      </c>
      <c r="MW571" s="27" t="s">
        <v>8</v>
      </c>
      <c r="MX571" s="27" t="s">
        <v>7</v>
      </c>
      <c r="NC571" s="27" t="s">
        <v>8</v>
      </c>
      <c r="ND571" s="27" t="s">
        <v>7</v>
      </c>
      <c r="NE571" s="27" t="s">
        <v>8</v>
      </c>
      <c r="PF571" s="27" t="s">
        <v>7</v>
      </c>
      <c r="PG571" s="27" t="s">
        <v>8</v>
      </c>
      <c r="PH571" s="27" t="s">
        <v>7</v>
      </c>
      <c r="PI571" s="27" t="s">
        <v>8</v>
      </c>
      <c r="PJ571" s="27" t="s">
        <v>7</v>
      </c>
    </row>
    <row r="572" spans="1:426" x14ac:dyDescent="0.25">
      <c r="A572" s="7">
        <v>1.3458683383241299</v>
      </c>
      <c r="B572"/>
      <c r="C572"/>
      <c r="D572"/>
      <c r="E572"/>
      <c r="JA572" s="27" t="s">
        <v>8</v>
      </c>
      <c r="JB572" s="27" t="s">
        <v>7</v>
      </c>
      <c r="JI572" s="27" t="s">
        <v>8</v>
      </c>
      <c r="JJ572" s="27" t="s">
        <v>7</v>
      </c>
      <c r="JK572" s="27" t="s">
        <v>8</v>
      </c>
      <c r="JQ572" s="27" t="s">
        <v>8</v>
      </c>
      <c r="KJ572" s="27" t="s">
        <v>7</v>
      </c>
      <c r="KK572" s="27" t="s">
        <v>8</v>
      </c>
      <c r="KL572" s="27" t="s">
        <v>7</v>
      </c>
      <c r="KO572" s="27" t="s">
        <v>8</v>
      </c>
      <c r="KP572" s="27" t="s">
        <v>7</v>
      </c>
      <c r="LO572" s="27" t="s">
        <v>8</v>
      </c>
      <c r="LP572" s="27" t="s">
        <v>7</v>
      </c>
      <c r="LQ572" s="27" t="s">
        <v>8</v>
      </c>
      <c r="LR572" s="27" t="s">
        <v>7</v>
      </c>
      <c r="LW572" s="27" t="s">
        <v>8</v>
      </c>
      <c r="LY572" s="27" t="s">
        <v>8</v>
      </c>
      <c r="LZ572" s="27" t="s">
        <v>7</v>
      </c>
      <c r="MA572" s="27" t="s">
        <v>8</v>
      </c>
      <c r="MB572" s="27" t="s">
        <v>7</v>
      </c>
      <c r="MC572" s="27" t="s">
        <v>8</v>
      </c>
      <c r="MD572" s="27" t="s">
        <v>7</v>
      </c>
      <c r="ME572" s="27" t="s">
        <v>8</v>
      </c>
      <c r="MF572" s="27" t="s">
        <v>7</v>
      </c>
      <c r="MG572" s="27" t="s">
        <v>8</v>
      </c>
      <c r="MJ572" s="27" t="s">
        <v>7</v>
      </c>
      <c r="MK572" s="27" t="s">
        <v>8</v>
      </c>
      <c r="MP572" s="27" t="s">
        <v>7</v>
      </c>
      <c r="MQ572" s="27" t="s">
        <v>8</v>
      </c>
      <c r="MR572" s="27" t="s">
        <v>7</v>
      </c>
      <c r="MV572" s="27" t="s">
        <v>7</v>
      </c>
      <c r="MW572" s="27" t="s">
        <v>8</v>
      </c>
      <c r="MX572" s="27" t="s">
        <v>7</v>
      </c>
      <c r="NC572" s="27" t="s">
        <v>8</v>
      </c>
      <c r="ND572" s="27" t="s">
        <v>7</v>
      </c>
      <c r="PF572" s="27" t="s">
        <v>7</v>
      </c>
      <c r="PG572" s="27" t="s">
        <v>8</v>
      </c>
      <c r="PH572" s="27" t="s">
        <v>7</v>
      </c>
      <c r="PI572" s="27" t="s">
        <v>8</v>
      </c>
      <c r="PJ572" s="27" t="s">
        <v>7</v>
      </c>
    </row>
    <row r="573" spans="1:426" x14ac:dyDescent="0.25">
      <c r="A573" s="7">
        <v>1.3194787630628724</v>
      </c>
      <c r="B573"/>
      <c r="C573"/>
      <c r="D573"/>
      <c r="E573"/>
      <c r="JA573" s="27" t="s">
        <v>8</v>
      </c>
      <c r="JB573" s="27" t="s">
        <v>7</v>
      </c>
      <c r="JI573" s="27" t="s">
        <v>8</v>
      </c>
      <c r="JJ573" s="27" t="s">
        <v>7</v>
      </c>
      <c r="JK573" s="27" t="s">
        <v>8</v>
      </c>
      <c r="JL573" s="27" t="s">
        <v>7</v>
      </c>
      <c r="JQ573" s="27" t="s">
        <v>8</v>
      </c>
      <c r="KJ573" s="27" t="s">
        <v>7</v>
      </c>
      <c r="KL573" s="27" t="s">
        <v>7</v>
      </c>
      <c r="KO573" s="27" t="s">
        <v>8</v>
      </c>
      <c r="KP573" s="27" t="s">
        <v>7</v>
      </c>
      <c r="LO573" s="27" t="s">
        <v>8</v>
      </c>
      <c r="LP573" s="27" t="s">
        <v>7</v>
      </c>
      <c r="LQ573" s="27" t="s">
        <v>8</v>
      </c>
      <c r="LR573" s="27" t="s">
        <v>7</v>
      </c>
      <c r="LW573" s="27" t="s">
        <v>8</v>
      </c>
      <c r="LX573" s="27" t="s">
        <v>7</v>
      </c>
      <c r="LY573" s="27" t="s">
        <v>8</v>
      </c>
      <c r="LZ573" s="27" t="s">
        <v>7</v>
      </c>
      <c r="MA573" s="27" t="s">
        <v>8</v>
      </c>
      <c r="MB573" s="27" t="s">
        <v>7</v>
      </c>
      <c r="MC573" s="27" t="s">
        <v>8</v>
      </c>
      <c r="MD573" s="27" t="s">
        <v>7</v>
      </c>
      <c r="MF573" s="27" t="s">
        <v>7</v>
      </c>
      <c r="MG573" s="27" t="s">
        <v>8</v>
      </c>
      <c r="MJ573" s="27" t="s">
        <v>7</v>
      </c>
      <c r="MP573" s="27" t="s">
        <v>7</v>
      </c>
      <c r="MQ573" s="27" t="s">
        <v>8</v>
      </c>
      <c r="MV573" s="27" t="s">
        <v>7</v>
      </c>
      <c r="MW573" s="27" t="s">
        <v>8</v>
      </c>
      <c r="MX573" s="27" t="s">
        <v>7</v>
      </c>
      <c r="NC573" s="27" t="s">
        <v>8</v>
      </c>
      <c r="PF573" s="27" t="s">
        <v>7</v>
      </c>
      <c r="PG573" s="27" t="s">
        <v>8</v>
      </c>
      <c r="PH573" s="27" t="s">
        <v>7</v>
      </c>
      <c r="PI573" s="27" t="s">
        <v>8</v>
      </c>
    </row>
    <row r="574" spans="1:426" x14ac:dyDescent="0.25">
      <c r="A574" s="7">
        <v>1.2936066304537963</v>
      </c>
      <c r="B574"/>
      <c r="C574"/>
      <c r="D574"/>
      <c r="E574"/>
      <c r="JA574" s="27" t="s">
        <v>8</v>
      </c>
      <c r="JB574" s="27" t="s">
        <v>7</v>
      </c>
      <c r="JG574" s="27" t="s">
        <v>8</v>
      </c>
      <c r="JI574" s="27" t="s">
        <v>8</v>
      </c>
      <c r="JJ574" s="27" t="s">
        <v>7</v>
      </c>
      <c r="JK574" s="27" t="s">
        <v>8</v>
      </c>
      <c r="JL574" s="27" t="s">
        <v>7</v>
      </c>
      <c r="JM574" s="27" t="s">
        <v>8</v>
      </c>
      <c r="JO574" s="27" t="s">
        <v>8</v>
      </c>
      <c r="JQ574" s="27" t="s">
        <v>8</v>
      </c>
      <c r="KL574" s="27" t="s">
        <v>7</v>
      </c>
      <c r="KO574" s="27" t="s">
        <v>8</v>
      </c>
      <c r="KP574" s="27" t="s">
        <v>7</v>
      </c>
      <c r="LO574" s="27" t="s">
        <v>8</v>
      </c>
      <c r="LP574" s="27" t="s">
        <v>7</v>
      </c>
      <c r="LQ574" s="27" t="s">
        <v>8</v>
      </c>
      <c r="LR574" s="27" t="s">
        <v>7</v>
      </c>
      <c r="LS574" s="27" t="s">
        <v>8</v>
      </c>
      <c r="LW574" s="27" t="s">
        <v>8</v>
      </c>
      <c r="LX574" s="27" t="s">
        <v>7</v>
      </c>
      <c r="LY574" s="27" t="s">
        <v>8</v>
      </c>
      <c r="LZ574" s="27" t="s">
        <v>7</v>
      </c>
      <c r="MA574" s="27" t="s">
        <v>8</v>
      </c>
      <c r="MB574" s="27" t="s">
        <v>7</v>
      </c>
      <c r="MF574" s="27" t="s">
        <v>7</v>
      </c>
      <c r="MP574" s="27" t="s">
        <v>7</v>
      </c>
      <c r="MQ574" s="27" t="s">
        <v>8</v>
      </c>
      <c r="MV574" s="27" t="s">
        <v>7</v>
      </c>
      <c r="MW574" s="27" t="s">
        <v>8</v>
      </c>
      <c r="MX574" s="27" t="s">
        <v>7</v>
      </c>
      <c r="MY574" s="27" t="s">
        <v>8</v>
      </c>
      <c r="NA574" s="27" t="s">
        <v>8</v>
      </c>
      <c r="NC574" s="27" t="s">
        <v>8</v>
      </c>
      <c r="PF574" s="27" t="s">
        <v>7</v>
      </c>
      <c r="PG574" s="27" t="s">
        <v>8</v>
      </c>
      <c r="PH574" s="27" t="s">
        <v>7</v>
      </c>
      <c r="PI574" s="27" t="s">
        <v>8</v>
      </c>
    </row>
    <row r="575" spans="1:426" x14ac:dyDescent="0.25">
      <c r="A575" s="7">
        <v>1.2682417945625455</v>
      </c>
      <c r="B575"/>
      <c r="C575"/>
      <c r="D575"/>
      <c r="E575"/>
      <c r="JA575" s="27" t="s">
        <v>8</v>
      </c>
      <c r="JB575" s="27" t="s">
        <v>7</v>
      </c>
      <c r="JC575" s="27" t="s">
        <v>8</v>
      </c>
      <c r="JG575" s="27" t="s">
        <v>8</v>
      </c>
      <c r="JH575" s="27" t="s">
        <v>7</v>
      </c>
      <c r="JI575" s="27" t="s">
        <v>8</v>
      </c>
      <c r="JJ575" s="27" t="s">
        <v>7</v>
      </c>
      <c r="JK575" s="27" t="s">
        <v>8</v>
      </c>
      <c r="JL575" s="27" t="s">
        <v>7</v>
      </c>
      <c r="JM575" s="27" t="s">
        <v>8</v>
      </c>
      <c r="JN575" s="27" t="s">
        <v>7</v>
      </c>
      <c r="JO575" s="27" t="s">
        <v>8</v>
      </c>
      <c r="JP575" s="27" t="s">
        <v>7</v>
      </c>
      <c r="JQ575" s="27" t="s">
        <v>8</v>
      </c>
      <c r="KL575" s="27" t="s">
        <v>7</v>
      </c>
      <c r="KO575" s="27" t="s">
        <v>8</v>
      </c>
      <c r="KP575" s="27" t="s">
        <v>7</v>
      </c>
      <c r="LM575" s="27" t="s">
        <v>8</v>
      </c>
      <c r="LO575" s="27" t="s">
        <v>8</v>
      </c>
      <c r="LP575" s="27" t="s">
        <v>7</v>
      </c>
      <c r="LQ575" s="27" t="s">
        <v>8</v>
      </c>
      <c r="LR575" s="27" t="s">
        <v>7</v>
      </c>
      <c r="LS575" s="27" t="s">
        <v>8</v>
      </c>
      <c r="LT575" s="27" t="s">
        <v>7</v>
      </c>
      <c r="LW575" s="27" t="s">
        <v>8</v>
      </c>
      <c r="LX575" s="27" t="s">
        <v>7</v>
      </c>
      <c r="LY575" s="27" t="s">
        <v>8</v>
      </c>
      <c r="LZ575" s="27" t="s">
        <v>7</v>
      </c>
      <c r="MP575" s="27" t="s">
        <v>7</v>
      </c>
      <c r="MQ575" s="27" t="s">
        <v>8</v>
      </c>
      <c r="MV575" s="27" t="s">
        <v>7</v>
      </c>
      <c r="MW575" s="27" t="s">
        <v>8</v>
      </c>
      <c r="MX575" s="27" t="s">
        <v>7</v>
      </c>
      <c r="MY575" s="27" t="s">
        <v>8</v>
      </c>
      <c r="MZ575" s="27" t="s">
        <v>7</v>
      </c>
      <c r="NA575" s="27" t="s">
        <v>8</v>
      </c>
      <c r="NB575" s="27" t="s">
        <v>7</v>
      </c>
      <c r="NC575" s="27" t="s">
        <v>8</v>
      </c>
      <c r="PF575" s="27" t="s">
        <v>7</v>
      </c>
      <c r="PH575" s="27" t="s">
        <v>7</v>
      </c>
      <c r="PI575" s="27" t="s">
        <v>8</v>
      </c>
    </row>
    <row r="576" spans="1:426" x14ac:dyDescent="0.25">
      <c r="A576" s="7">
        <v>1.2433743083946525</v>
      </c>
      <c r="B576"/>
      <c r="C576"/>
      <c r="D576"/>
      <c r="E576"/>
      <c r="JA576" s="27" t="s">
        <v>8</v>
      </c>
      <c r="JB576" s="27" t="s">
        <v>7</v>
      </c>
      <c r="JC576" s="27" t="s">
        <v>8</v>
      </c>
      <c r="JD576" s="27" t="s">
        <v>7</v>
      </c>
      <c r="JE576" s="27" t="s">
        <v>8</v>
      </c>
      <c r="JG576" s="27" t="s">
        <v>8</v>
      </c>
      <c r="JH576" s="27" t="s">
        <v>7</v>
      </c>
      <c r="JI576" s="27" t="s">
        <v>8</v>
      </c>
      <c r="JJ576" s="27" t="s">
        <v>7</v>
      </c>
      <c r="JK576" s="27" t="s">
        <v>8</v>
      </c>
      <c r="JL576" s="27" t="s">
        <v>7</v>
      </c>
      <c r="JM576" s="27" t="s">
        <v>8</v>
      </c>
      <c r="JN576" s="27" t="s">
        <v>7</v>
      </c>
      <c r="JO576" s="27" t="s">
        <v>8</v>
      </c>
      <c r="JP576" s="27" t="s">
        <v>7</v>
      </c>
      <c r="JQ576" s="27" t="s">
        <v>8</v>
      </c>
      <c r="KL576" s="27" t="s">
        <v>7</v>
      </c>
      <c r="KO576" s="27" t="s">
        <v>8</v>
      </c>
      <c r="KP576" s="27" t="s">
        <v>7</v>
      </c>
      <c r="LM576" s="27" t="s">
        <v>8</v>
      </c>
      <c r="LN576" s="27" t="s">
        <v>7</v>
      </c>
      <c r="LO576" s="27" t="s">
        <v>8</v>
      </c>
      <c r="LP576" s="27" t="s">
        <v>7</v>
      </c>
      <c r="LQ576" s="27" t="s">
        <v>8</v>
      </c>
      <c r="LR576" s="27" t="s">
        <v>7</v>
      </c>
      <c r="LS576" s="27" t="s">
        <v>8</v>
      </c>
      <c r="LT576" s="27" t="s">
        <v>7</v>
      </c>
      <c r="LW576" s="27" t="s">
        <v>8</v>
      </c>
      <c r="LX576" s="27" t="s">
        <v>7</v>
      </c>
      <c r="LY576" s="27" t="s">
        <v>8</v>
      </c>
      <c r="MP576" s="27" t="s">
        <v>7</v>
      </c>
      <c r="MQ576" s="27" t="s">
        <v>8</v>
      </c>
      <c r="MV576" s="27" t="s">
        <v>7</v>
      </c>
      <c r="MW576" s="27" t="s">
        <v>8</v>
      </c>
      <c r="MX576" s="27" t="s">
        <v>7</v>
      </c>
      <c r="MY576" s="27" t="s">
        <v>8</v>
      </c>
      <c r="MZ576" s="27" t="s">
        <v>7</v>
      </c>
      <c r="NA576" s="27" t="s">
        <v>8</v>
      </c>
      <c r="NB576" s="27" t="s">
        <v>7</v>
      </c>
      <c r="NC576" s="27" t="s">
        <v>8</v>
      </c>
      <c r="PH576" s="27" t="s">
        <v>7</v>
      </c>
      <c r="PI576" s="27" t="s">
        <v>8</v>
      </c>
    </row>
    <row r="577" spans="1:425" x14ac:dyDescent="0.25">
      <c r="A577" s="7">
        <v>1.2189944199947573</v>
      </c>
      <c r="B577"/>
      <c r="C577"/>
      <c r="D577"/>
      <c r="E577"/>
      <c r="JA577" s="27" t="s">
        <v>8</v>
      </c>
      <c r="JB577" s="27" t="s">
        <v>7</v>
      </c>
      <c r="JC577" s="27" t="s">
        <v>8</v>
      </c>
      <c r="JD577" s="27" t="s">
        <v>7</v>
      </c>
      <c r="JE577" s="27" t="s">
        <v>8</v>
      </c>
      <c r="JF577" s="27" t="s">
        <v>7</v>
      </c>
      <c r="JG577" s="27" t="s">
        <v>8</v>
      </c>
      <c r="JH577" s="27" t="s">
        <v>7</v>
      </c>
      <c r="JI577" s="27" t="s">
        <v>8</v>
      </c>
      <c r="JJ577" s="27" t="s">
        <v>7</v>
      </c>
      <c r="JL577" s="27" t="s">
        <v>7</v>
      </c>
      <c r="JM577" s="27" t="s">
        <v>8</v>
      </c>
      <c r="JN577" s="27" t="s">
        <v>7</v>
      </c>
      <c r="JO577" s="27" t="s">
        <v>8</v>
      </c>
      <c r="JP577" s="27" t="s">
        <v>7</v>
      </c>
      <c r="JQ577" s="27" t="s">
        <v>8</v>
      </c>
      <c r="KL577" s="27" t="s">
        <v>7</v>
      </c>
      <c r="KM577" s="27" t="s">
        <v>8</v>
      </c>
      <c r="KO577" s="27" t="s">
        <v>8</v>
      </c>
      <c r="KP577" s="27" t="s">
        <v>7</v>
      </c>
      <c r="LM577" s="27" t="s">
        <v>8</v>
      </c>
      <c r="LN577" s="27" t="s">
        <v>7</v>
      </c>
      <c r="LO577" s="27" t="s">
        <v>8</v>
      </c>
      <c r="LP577" s="27" t="s">
        <v>7</v>
      </c>
      <c r="LQ577" s="27" t="s">
        <v>8</v>
      </c>
      <c r="LR577" s="27" t="s">
        <v>7</v>
      </c>
      <c r="LS577" s="27" t="s">
        <v>8</v>
      </c>
      <c r="LT577" s="27" t="s">
        <v>7</v>
      </c>
      <c r="LW577" s="27" t="s">
        <v>8</v>
      </c>
      <c r="LX577" s="27" t="s">
        <v>7</v>
      </c>
      <c r="MP577" s="27" t="s">
        <v>7</v>
      </c>
      <c r="MQ577" s="27" t="s">
        <v>8</v>
      </c>
      <c r="MV577" s="27" t="s">
        <v>7</v>
      </c>
      <c r="MW577" s="27" t="s">
        <v>8</v>
      </c>
      <c r="MX577" s="27" t="s">
        <v>7</v>
      </c>
      <c r="MY577" s="27" t="s">
        <v>8</v>
      </c>
      <c r="MZ577" s="27" t="s">
        <v>7</v>
      </c>
      <c r="NA577" s="27" t="s">
        <v>8</v>
      </c>
      <c r="NB577" s="27" t="s">
        <v>7</v>
      </c>
      <c r="NC577" s="27" t="s">
        <v>8</v>
      </c>
      <c r="PH577" s="27" t="s">
        <v>7</v>
      </c>
      <c r="PI577" s="27" t="s">
        <v>8</v>
      </c>
    </row>
    <row r="578" spans="1:425" x14ac:dyDescent="0.25">
      <c r="A578" s="7">
        <v>1.1950925686223111</v>
      </c>
      <c r="B578"/>
      <c r="C578"/>
      <c r="D578"/>
      <c r="E578"/>
      <c r="IW578" s="27" t="s">
        <v>8</v>
      </c>
      <c r="JA578" s="27" t="s">
        <v>8</v>
      </c>
      <c r="JB578" s="27" t="s">
        <v>7</v>
      </c>
      <c r="JC578" s="27" t="s">
        <v>8</v>
      </c>
      <c r="JD578" s="27" t="s">
        <v>7</v>
      </c>
      <c r="JE578" s="27" t="s">
        <v>8</v>
      </c>
      <c r="JF578" s="27" t="s">
        <v>7</v>
      </c>
      <c r="JG578" s="27" t="s">
        <v>8</v>
      </c>
      <c r="JH578" s="27" t="s">
        <v>7</v>
      </c>
      <c r="JI578" s="27" t="s">
        <v>8</v>
      </c>
      <c r="JL578" s="27" t="s">
        <v>7</v>
      </c>
      <c r="JM578" s="27" t="s">
        <v>8</v>
      </c>
      <c r="JN578" s="27" t="s">
        <v>7</v>
      </c>
      <c r="JO578" s="27" t="s">
        <v>8</v>
      </c>
      <c r="JP578" s="27" t="s">
        <v>7</v>
      </c>
      <c r="JQ578" s="27" t="s">
        <v>8</v>
      </c>
      <c r="KL578" s="27" t="s">
        <v>7</v>
      </c>
      <c r="KM578" s="27" t="s">
        <v>8</v>
      </c>
      <c r="KN578" s="27" t="s">
        <v>7</v>
      </c>
      <c r="KO578" s="27" t="s">
        <v>8</v>
      </c>
      <c r="KP578" s="27" t="s">
        <v>7</v>
      </c>
      <c r="KQ578" s="27" t="s">
        <v>8</v>
      </c>
      <c r="LM578" s="27" t="s">
        <v>8</v>
      </c>
      <c r="LN578" s="27" t="s">
        <v>7</v>
      </c>
      <c r="LO578" s="27" t="s">
        <v>8</v>
      </c>
      <c r="LP578" s="27" t="s">
        <v>7</v>
      </c>
      <c r="LQ578" s="27" t="s">
        <v>8</v>
      </c>
      <c r="LR578" s="27" t="s">
        <v>7</v>
      </c>
      <c r="LS578" s="27" t="s">
        <v>8</v>
      </c>
      <c r="LT578" s="27" t="s">
        <v>7</v>
      </c>
      <c r="LU578" s="27" t="s">
        <v>8</v>
      </c>
      <c r="LW578" s="27" t="s">
        <v>8</v>
      </c>
      <c r="MP578" s="27" t="s">
        <v>7</v>
      </c>
      <c r="MQ578" s="27" t="s">
        <v>8</v>
      </c>
      <c r="MV578" s="27" t="s">
        <v>7</v>
      </c>
      <c r="MW578" s="27" t="s">
        <v>8</v>
      </c>
      <c r="MX578" s="27" t="s">
        <v>7</v>
      </c>
      <c r="MZ578" s="27" t="s">
        <v>7</v>
      </c>
      <c r="NA578" s="27" t="s">
        <v>8</v>
      </c>
      <c r="NB578" s="27" t="s">
        <v>7</v>
      </c>
      <c r="NC578" s="27" t="s">
        <v>8</v>
      </c>
      <c r="PH578" s="27" t="s">
        <v>7</v>
      </c>
    </row>
    <row r="579" spans="1:425" x14ac:dyDescent="0.25">
      <c r="A579" s="7">
        <v>1.1716593810022657</v>
      </c>
      <c r="B579"/>
      <c r="C579"/>
      <c r="D579"/>
      <c r="E579"/>
      <c r="IW579" s="27" t="s">
        <v>8</v>
      </c>
      <c r="IX579" s="27" t="s">
        <v>7</v>
      </c>
      <c r="JA579" s="27" t="s">
        <v>8</v>
      </c>
      <c r="JB579" s="27" t="s">
        <v>7</v>
      </c>
      <c r="JC579" s="27" t="s">
        <v>8</v>
      </c>
      <c r="JD579" s="27" t="s">
        <v>7</v>
      </c>
      <c r="JE579" s="27" t="s">
        <v>8</v>
      </c>
      <c r="JF579" s="27" t="s">
        <v>7</v>
      </c>
      <c r="JG579" s="27" t="s">
        <v>8</v>
      </c>
      <c r="JH579" s="27" t="s">
        <v>7</v>
      </c>
      <c r="JI579" s="27" t="s">
        <v>8</v>
      </c>
      <c r="JL579" s="27" t="s">
        <v>7</v>
      </c>
      <c r="JM579" s="27" t="s">
        <v>8</v>
      </c>
      <c r="JN579" s="27" t="s">
        <v>7</v>
      </c>
      <c r="JP579" s="27" t="s">
        <v>7</v>
      </c>
      <c r="JQ579" s="27" t="s">
        <v>8</v>
      </c>
      <c r="KL579" s="27" t="s">
        <v>7</v>
      </c>
      <c r="KM579" s="27" t="s">
        <v>8</v>
      </c>
      <c r="KN579" s="27" t="s">
        <v>7</v>
      </c>
      <c r="KO579" s="27" t="s">
        <v>8</v>
      </c>
      <c r="KP579" s="27" t="s">
        <v>7</v>
      </c>
      <c r="KQ579" s="27" t="s">
        <v>8</v>
      </c>
      <c r="KR579" s="27" t="s">
        <v>7</v>
      </c>
      <c r="LM579" s="27" t="s">
        <v>8</v>
      </c>
      <c r="LN579" s="27" t="s">
        <v>7</v>
      </c>
      <c r="LO579" s="27" t="s">
        <v>8</v>
      </c>
      <c r="LP579" s="27" t="s">
        <v>7</v>
      </c>
      <c r="LQ579" s="27" t="s">
        <v>8</v>
      </c>
      <c r="LR579" s="27" t="s">
        <v>7</v>
      </c>
      <c r="LS579" s="27" t="s">
        <v>8</v>
      </c>
      <c r="LT579" s="27" t="s">
        <v>7</v>
      </c>
      <c r="LU579" s="27" t="s">
        <v>8</v>
      </c>
      <c r="LV579" s="27" t="s">
        <v>7</v>
      </c>
      <c r="LW579" s="27" t="s">
        <v>8</v>
      </c>
      <c r="MP579" s="27" t="s">
        <v>7</v>
      </c>
      <c r="MQ579" s="27" t="s">
        <v>8</v>
      </c>
      <c r="MV579" s="27" t="s">
        <v>7</v>
      </c>
      <c r="MW579" s="27" t="s">
        <v>8</v>
      </c>
      <c r="MZ579" s="27" t="s">
        <v>7</v>
      </c>
      <c r="NB579" s="27" t="s">
        <v>7</v>
      </c>
      <c r="NC579" s="27" t="s">
        <v>8</v>
      </c>
    </row>
    <row r="580" spans="1:425" x14ac:dyDescent="0.25">
      <c r="A580" s="7">
        <v>1.14868566764928</v>
      </c>
      <c r="B580"/>
      <c r="C580"/>
      <c r="D580"/>
      <c r="E580"/>
      <c r="IW580" s="27" t="s">
        <v>8</v>
      </c>
      <c r="IX580" s="27" t="s">
        <v>7</v>
      </c>
      <c r="JA580" s="27" t="s">
        <v>8</v>
      </c>
      <c r="JB580" s="27" t="s">
        <v>7</v>
      </c>
      <c r="JC580" s="27" t="s">
        <v>8</v>
      </c>
      <c r="JD580" s="27" t="s">
        <v>7</v>
      </c>
      <c r="JF580" s="27" t="s">
        <v>7</v>
      </c>
      <c r="JG580" s="27" t="s">
        <v>8</v>
      </c>
      <c r="JH580" s="27" t="s">
        <v>7</v>
      </c>
      <c r="JI580" s="27" t="s">
        <v>8</v>
      </c>
      <c r="JL580" s="27" t="s">
        <v>7</v>
      </c>
      <c r="JM580" s="27" t="s">
        <v>8</v>
      </c>
      <c r="JP580" s="27" t="s">
        <v>7</v>
      </c>
      <c r="JQ580" s="27" t="s">
        <v>8</v>
      </c>
      <c r="KL580" s="27" t="s">
        <v>7</v>
      </c>
      <c r="KM580" s="27" t="s">
        <v>8</v>
      </c>
      <c r="KN580" s="27" t="s">
        <v>7</v>
      </c>
      <c r="KO580" s="27" t="s">
        <v>8</v>
      </c>
      <c r="KP580" s="27" t="s">
        <v>7</v>
      </c>
      <c r="KQ580" s="27" t="s">
        <v>8</v>
      </c>
      <c r="KR580" s="27" t="s">
        <v>7</v>
      </c>
      <c r="LM580" s="27" t="s">
        <v>8</v>
      </c>
      <c r="LN580" s="27" t="s">
        <v>7</v>
      </c>
      <c r="LO580" s="27" t="s">
        <v>8</v>
      </c>
      <c r="LP580" s="27" t="s">
        <v>7</v>
      </c>
      <c r="LQ580" s="27" t="s">
        <v>8</v>
      </c>
      <c r="LR580" s="27" t="s">
        <v>7</v>
      </c>
      <c r="LS580" s="27" t="s">
        <v>8</v>
      </c>
      <c r="LT580" s="27" t="s">
        <v>7</v>
      </c>
      <c r="LU580" s="27" t="s">
        <v>8</v>
      </c>
      <c r="LV580" s="27" t="s">
        <v>7</v>
      </c>
      <c r="LW580" s="27" t="s">
        <v>8</v>
      </c>
      <c r="MP580" s="27" t="s">
        <v>7</v>
      </c>
      <c r="MV580" s="27" t="s">
        <v>7</v>
      </c>
      <c r="MW580" s="27" t="s">
        <v>8</v>
      </c>
      <c r="NB580" s="27" t="s">
        <v>7</v>
      </c>
      <c r="NC580" s="27" t="s">
        <v>8</v>
      </c>
    </row>
    <row r="581" spans="1:425" x14ac:dyDescent="0.25">
      <c r="A581" s="7">
        <v>1.1261624192640001</v>
      </c>
      <c r="B581"/>
      <c r="C581"/>
      <c r="D581"/>
      <c r="E581"/>
      <c r="IW581" s="27" t="s">
        <v>8</v>
      </c>
      <c r="IX581" s="27" t="s">
        <v>7</v>
      </c>
      <c r="IY581" s="27" t="s">
        <v>8</v>
      </c>
      <c r="JA581" s="27" t="s">
        <v>8</v>
      </c>
      <c r="JB581" s="27" t="s">
        <v>7</v>
      </c>
      <c r="JF581" s="27" t="s">
        <v>7</v>
      </c>
      <c r="JG581" s="27" t="s">
        <v>8</v>
      </c>
      <c r="JH581" s="27" t="s">
        <v>7</v>
      </c>
      <c r="JI581" s="27" t="s">
        <v>8</v>
      </c>
      <c r="JL581" s="27" t="s">
        <v>7</v>
      </c>
      <c r="JM581" s="27" t="s">
        <v>8</v>
      </c>
      <c r="JP581" s="27" t="s">
        <v>7</v>
      </c>
      <c r="KL581" s="27" t="s">
        <v>7</v>
      </c>
      <c r="KM581" s="27" t="s">
        <v>8</v>
      </c>
      <c r="KN581" s="27" t="s">
        <v>7</v>
      </c>
      <c r="KO581" s="27" t="s">
        <v>8</v>
      </c>
      <c r="KP581" s="27" t="s">
        <v>7</v>
      </c>
      <c r="KQ581" s="27" t="s">
        <v>8</v>
      </c>
      <c r="KR581" s="27" t="s">
        <v>7</v>
      </c>
      <c r="LM581" s="27" t="s">
        <v>8</v>
      </c>
      <c r="LN581" s="27" t="s">
        <v>7</v>
      </c>
      <c r="LO581" s="27" t="s">
        <v>8</v>
      </c>
      <c r="LP581" s="27" t="s">
        <v>7</v>
      </c>
      <c r="LR581" s="27" t="s">
        <v>7</v>
      </c>
      <c r="LS581" s="27" t="s">
        <v>8</v>
      </c>
      <c r="LT581" s="27" t="s">
        <v>7</v>
      </c>
      <c r="LV581" s="27" t="s">
        <v>7</v>
      </c>
      <c r="LW581" s="27" t="s">
        <v>8</v>
      </c>
      <c r="MV581" s="27" t="s">
        <v>7</v>
      </c>
      <c r="MW581" s="27" t="s">
        <v>8</v>
      </c>
      <c r="NB581" s="27" t="s">
        <v>7</v>
      </c>
    </row>
    <row r="582" spans="1:425" x14ac:dyDescent="0.25">
      <c r="A582" s="7">
        <v>1.1040808032</v>
      </c>
      <c r="B582"/>
      <c r="C582"/>
      <c r="D582"/>
      <c r="E582"/>
      <c r="IW582" s="27" t="s">
        <v>8</v>
      </c>
      <c r="IX582" s="27" t="s">
        <v>7</v>
      </c>
      <c r="IY582" s="27" t="s">
        <v>8</v>
      </c>
      <c r="IZ582" s="27" t="s">
        <v>7</v>
      </c>
      <c r="JA582" s="27" t="s">
        <v>8</v>
      </c>
      <c r="JF582" s="27" t="s">
        <v>7</v>
      </c>
      <c r="JG582" s="27" t="s">
        <v>8</v>
      </c>
      <c r="JH582" s="27" t="s">
        <v>7</v>
      </c>
      <c r="JI582" s="27" t="s">
        <v>8</v>
      </c>
      <c r="JL582" s="27" t="s">
        <v>7</v>
      </c>
      <c r="JM582" s="27" t="s">
        <v>8</v>
      </c>
      <c r="KL582" s="27" t="s">
        <v>7</v>
      </c>
      <c r="KM582" s="27" t="s">
        <v>8</v>
      </c>
      <c r="KN582" s="27" t="s">
        <v>7</v>
      </c>
      <c r="KO582" s="27" t="s">
        <v>8</v>
      </c>
      <c r="KP582" s="27" t="s">
        <v>7</v>
      </c>
      <c r="KQ582" s="27" t="s">
        <v>8</v>
      </c>
      <c r="KR582" s="27" t="s">
        <v>7</v>
      </c>
      <c r="LM582" s="27" t="s">
        <v>8</v>
      </c>
      <c r="LN582" s="27" t="s">
        <v>7</v>
      </c>
      <c r="LO582" s="27" t="s">
        <v>8</v>
      </c>
      <c r="LR582" s="27" t="s">
        <v>7</v>
      </c>
      <c r="LS582" s="27" t="s">
        <v>8</v>
      </c>
      <c r="LV582" s="27" t="s">
        <v>7</v>
      </c>
      <c r="LW582" s="27" t="s">
        <v>8</v>
      </c>
      <c r="MV582" s="27" t="s">
        <v>7</v>
      </c>
    </row>
    <row r="583" spans="1:425" x14ac:dyDescent="0.25">
      <c r="A583" s="7">
        <v>1.08243216</v>
      </c>
      <c r="B583"/>
      <c r="C583"/>
      <c r="D583"/>
      <c r="E583"/>
      <c r="IW583" s="27" t="s">
        <v>8</v>
      </c>
      <c r="IX583" s="27" t="s">
        <v>7</v>
      </c>
      <c r="IY583" s="27" t="s">
        <v>8</v>
      </c>
      <c r="IZ583" s="27" t="s">
        <v>7</v>
      </c>
      <c r="JA583" s="27" t="s">
        <v>8</v>
      </c>
      <c r="JF583" s="27" t="s">
        <v>7</v>
      </c>
      <c r="JH583" s="27" t="s">
        <v>7</v>
      </c>
      <c r="JL583" s="27" t="s">
        <v>7</v>
      </c>
      <c r="KL583" s="27" t="s">
        <v>7</v>
      </c>
      <c r="KM583" s="27" t="s">
        <v>8</v>
      </c>
      <c r="KN583" s="27" t="s">
        <v>7</v>
      </c>
      <c r="KO583" s="27" t="s">
        <v>8</v>
      </c>
      <c r="KP583" s="27" t="s">
        <v>7</v>
      </c>
      <c r="KQ583" s="27" t="s">
        <v>8</v>
      </c>
      <c r="KR583" s="27" t="s">
        <v>7</v>
      </c>
      <c r="KU583" s="27" t="s">
        <v>8</v>
      </c>
      <c r="LM583" s="27" t="s">
        <v>8</v>
      </c>
      <c r="LN583" s="27" t="s">
        <v>7</v>
      </c>
      <c r="LO583" s="27" t="s">
        <v>8</v>
      </c>
      <c r="LR583" s="27" t="s">
        <v>7</v>
      </c>
      <c r="LS583" s="27" t="s">
        <v>8</v>
      </c>
      <c r="LV583" s="27" t="s">
        <v>7</v>
      </c>
      <c r="LW583" s="27" t="s">
        <v>8</v>
      </c>
    </row>
    <row r="584" spans="1:425" x14ac:dyDescent="0.25">
      <c r="A584" s="7">
        <v>1.0612079999999999</v>
      </c>
      <c r="B584"/>
      <c r="C584"/>
      <c r="D584"/>
      <c r="E584"/>
      <c r="IW584" s="27" t="s">
        <v>8</v>
      </c>
      <c r="IX584" s="27" t="s">
        <v>7</v>
      </c>
      <c r="IY584" s="27" t="s">
        <v>8</v>
      </c>
      <c r="IZ584" s="27" t="s">
        <v>7</v>
      </c>
      <c r="JA584" s="27" t="s">
        <v>8</v>
      </c>
      <c r="KL584" s="27" t="s">
        <v>7</v>
      </c>
      <c r="KM584" s="27" t="s">
        <v>8</v>
      </c>
      <c r="KN584" s="27" t="s">
        <v>7</v>
      </c>
      <c r="KO584" s="27" t="s">
        <v>8</v>
      </c>
      <c r="KP584" s="27" t="s">
        <v>7</v>
      </c>
      <c r="KQ584" s="27" t="s">
        <v>8</v>
      </c>
      <c r="KR584" s="27" t="s">
        <v>7</v>
      </c>
      <c r="KU584" s="27" t="s">
        <v>8</v>
      </c>
      <c r="KV584" s="27" t="s">
        <v>7</v>
      </c>
      <c r="LM584" s="27" t="s">
        <v>8</v>
      </c>
      <c r="LN584" s="27" t="s">
        <v>7</v>
      </c>
      <c r="LO584" s="27" t="s">
        <v>8</v>
      </c>
      <c r="LR584" s="27" t="s">
        <v>7</v>
      </c>
      <c r="LS584" s="27" t="s">
        <v>8</v>
      </c>
      <c r="LV584" s="27" t="s">
        <v>7</v>
      </c>
    </row>
    <row r="585" spans="1:425" x14ac:dyDescent="0.25">
      <c r="A585" s="7">
        <v>1.0404</v>
      </c>
      <c r="B585"/>
      <c r="C585"/>
      <c r="D585"/>
      <c r="E585"/>
      <c r="IW585" s="27" t="s">
        <v>8</v>
      </c>
      <c r="IX585" s="27" t="s">
        <v>7</v>
      </c>
      <c r="IY585" s="27" t="s">
        <v>8</v>
      </c>
      <c r="IZ585" s="27" t="s">
        <v>7</v>
      </c>
      <c r="JA585" s="27" t="s">
        <v>8</v>
      </c>
      <c r="KL585" s="27" t="s">
        <v>7</v>
      </c>
      <c r="KM585" s="27" t="s">
        <v>8</v>
      </c>
      <c r="KN585" s="27" t="s">
        <v>7</v>
      </c>
      <c r="KO585" s="27" t="s">
        <v>8</v>
      </c>
      <c r="KP585" s="27" t="s">
        <v>7</v>
      </c>
      <c r="KQ585" s="27" t="s">
        <v>8</v>
      </c>
      <c r="KR585" s="27" t="s">
        <v>7</v>
      </c>
      <c r="KS585" s="27" t="s">
        <v>8</v>
      </c>
      <c r="KU585" s="27" t="s">
        <v>8</v>
      </c>
      <c r="KV585" s="27" t="s">
        <v>7</v>
      </c>
      <c r="KW585" s="27" t="s">
        <v>8</v>
      </c>
      <c r="LC585" s="27" t="s">
        <v>8</v>
      </c>
      <c r="LM585" s="27" t="s">
        <v>8</v>
      </c>
      <c r="LN585" s="27" t="s">
        <v>7</v>
      </c>
      <c r="LO585" s="27" t="s">
        <v>8</v>
      </c>
      <c r="LR585" s="27" t="s">
        <v>7</v>
      </c>
      <c r="LS585" s="27" t="s">
        <v>8</v>
      </c>
    </row>
    <row r="586" spans="1:425" x14ac:dyDescent="0.25">
      <c r="A586" s="7">
        <v>1.02</v>
      </c>
      <c r="B586"/>
      <c r="C586"/>
      <c r="D586"/>
      <c r="E586"/>
      <c r="IW586" s="27" t="s">
        <v>8</v>
      </c>
      <c r="IX586" s="27" t="s">
        <v>7</v>
      </c>
      <c r="IY586" s="27" t="s">
        <v>8</v>
      </c>
      <c r="IZ586" s="27" t="s">
        <v>7</v>
      </c>
      <c r="JA586" s="27" t="s">
        <v>8</v>
      </c>
      <c r="KL586" s="27" t="s">
        <v>7</v>
      </c>
      <c r="KM586" s="27" t="s">
        <v>8</v>
      </c>
      <c r="KN586" s="27" t="s">
        <v>7</v>
      </c>
      <c r="KO586" s="27" t="s">
        <v>8</v>
      </c>
      <c r="KP586" s="27" t="s">
        <v>7</v>
      </c>
      <c r="KQ586" s="27" t="s">
        <v>8</v>
      </c>
      <c r="KR586" s="27" t="s">
        <v>7</v>
      </c>
      <c r="KS586" s="27" t="s">
        <v>8</v>
      </c>
      <c r="KT586" s="27" t="s">
        <v>7</v>
      </c>
      <c r="KU586" s="27" t="s">
        <v>8</v>
      </c>
      <c r="KV586" s="27" t="s">
        <v>7</v>
      </c>
      <c r="KW586" s="27" t="s">
        <v>8</v>
      </c>
      <c r="KX586" s="27" t="s">
        <v>7</v>
      </c>
      <c r="LC586" s="27" t="s">
        <v>8</v>
      </c>
      <c r="LD586" s="27" t="s">
        <v>7</v>
      </c>
      <c r="LM586" s="27" t="s">
        <v>8</v>
      </c>
      <c r="LN586" s="27" t="s">
        <v>7</v>
      </c>
      <c r="LR586" s="27" t="s">
        <v>7</v>
      </c>
      <c r="LS586" s="27" t="s">
        <v>8</v>
      </c>
    </row>
    <row r="587" spans="1:425" x14ac:dyDescent="0.25">
      <c r="A587" s="7">
        <v>1</v>
      </c>
      <c r="B587"/>
      <c r="C587"/>
      <c r="D587"/>
      <c r="E587" s="29" t="s">
        <v>8</v>
      </c>
      <c r="IW587" s="27" t="s">
        <v>8</v>
      </c>
      <c r="IX587" s="27" t="s">
        <v>7</v>
      </c>
      <c r="IY587" s="27" t="s">
        <v>8</v>
      </c>
      <c r="IZ587" s="27" t="s">
        <v>7</v>
      </c>
      <c r="JA587" s="27" t="s">
        <v>8</v>
      </c>
      <c r="KL587" s="27" t="s">
        <v>7</v>
      </c>
      <c r="KM587" s="27" t="s">
        <v>8</v>
      </c>
      <c r="KN587" s="27" t="s">
        <v>7</v>
      </c>
      <c r="KO587" s="27" t="s">
        <v>8</v>
      </c>
      <c r="KP587" s="27" t="s">
        <v>7</v>
      </c>
      <c r="KQ587" s="27" t="s">
        <v>8</v>
      </c>
      <c r="KR587" s="27" t="s">
        <v>7</v>
      </c>
      <c r="KS587" s="27" t="s">
        <v>8</v>
      </c>
      <c r="KT587" s="27" t="s">
        <v>7</v>
      </c>
      <c r="KU587" s="27" t="s">
        <v>8</v>
      </c>
      <c r="KV587" s="27" t="s">
        <v>7</v>
      </c>
      <c r="KW587" s="27" t="s">
        <v>8</v>
      </c>
      <c r="KX587" s="27" t="s">
        <v>7</v>
      </c>
      <c r="LA587" s="27" t="s">
        <v>8</v>
      </c>
      <c r="LC587" s="27" t="s">
        <v>8</v>
      </c>
      <c r="LD587" s="27" t="s">
        <v>7</v>
      </c>
      <c r="LM587" s="27" t="s">
        <v>8</v>
      </c>
      <c r="LR587" s="27" t="s">
        <v>7</v>
      </c>
      <c r="LS587" s="27" t="s">
        <v>8</v>
      </c>
    </row>
    <row r="588" spans="1:425" x14ac:dyDescent="0.25">
      <c r="A588" s="7">
        <v>0.98039215686274506</v>
      </c>
      <c r="B588"/>
      <c r="C588"/>
      <c r="D588"/>
      <c r="E588"/>
      <c r="F588" s="27" t="s">
        <v>7</v>
      </c>
      <c r="IW588" s="27" t="s">
        <v>8</v>
      </c>
      <c r="IX588" s="27" t="s">
        <v>7</v>
      </c>
      <c r="IY588" s="27" t="s">
        <v>8</v>
      </c>
      <c r="IZ588" s="27" t="s">
        <v>7</v>
      </c>
      <c r="JA588" s="27" t="s">
        <v>8</v>
      </c>
      <c r="KL588" s="27" t="s">
        <v>7</v>
      </c>
      <c r="KM588" s="27" t="s">
        <v>8</v>
      </c>
      <c r="KN588" s="27" t="s">
        <v>7</v>
      </c>
      <c r="KO588" s="27" t="s">
        <v>8</v>
      </c>
      <c r="KP588" s="27" t="s">
        <v>7</v>
      </c>
      <c r="KQ588" s="27" t="s">
        <v>8</v>
      </c>
      <c r="KR588" s="27" t="s">
        <v>7</v>
      </c>
      <c r="KS588" s="27" t="s">
        <v>8</v>
      </c>
      <c r="KT588" s="27" t="s">
        <v>7</v>
      </c>
      <c r="KU588" s="27" t="s">
        <v>8</v>
      </c>
      <c r="KV588" s="27" t="s">
        <v>7</v>
      </c>
      <c r="KW588" s="27" t="s">
        <v>8</v>
      </c>
      <c r="KX588" s="27" t="s">
        <v>7</v>
      </c>
      <c r="LA588" s="27" t="s">
        <v>8</v>
      </c>
      <c r="LB588" s="27" t="s">
        <v>7</v>
      </c>
      <c r="LC588" s="27" t="s">
        <v>8</v>
      </c>
      <c r="LD588" s="27" t="s">
        <v>7</v>
      </c>
      <c r="LM588" s="27" t="s">
        <v>8</v>
      </c>
      <c r="LR588" s="27" t="s">
        <v>7</v>
      </c>
      <c r="LS588" s="27" t="s">
        <v>8</v>
      </c>
    </row>
    <row r="589" spans="1:425" x14ac:dyDescent="0.25">
      <c r="A589" s="7">
        <v>0.96116878123798544</v>
      </c>
      <c r="B589"/>
      <c r="C589"/>
      <c r="D589"/>
      <c r="E589"/>
      <c r="F589" s="27" t="s">
        <v>7</v>
      </c>
      <c r="IW589" s="27" t="s">
        <v>8</v>
      </c>
      <c r="IX589" s="27" t="s">
        <v>7</v>
      </c>
      <c r="IY589" s="27" t="s">
        <v>8</v>
      </c>
      <c r="IZ589" s="27" t="s">
        <v>7</v>
      </c>
      <c r="JA589" s="27" t="s">
        <v>8</v>
      </c>
      <c r="KL589" s="27" t="s">
        <v>7</v>
      </c>
      <c r="KM589" s="27" t="s">
        <v>8</v>
      </c>
      <c r="KN589" s="27" t="s">
        <v>7</v>
      </c>
      <c r="KO589" s="27" t="s">
        <v>8</v>
      </c>
      <c r="KP589" s="27" t="s">
        <v>7</v>
      </c>
      <c r="KQ589" s="27" t="s">
        <v>8</v>
      </c>
      <c r="KR589" s="27" t="s">
        <v>7</v>
      </c>
      <c r="KS589" s="27" t="s">
        <v>8</v>
      </c>
      <c r="KT589" s="27" t="s">
        <v>7</v>
      </c>
      <c r="KU589" s="27" t="s">
        <v>8</v>
      </c>
      <c r="KV589" s="27" t="s">
        <v>7</v>
      </c>
      <c r="KW589" s="27" t="s">
        <v>8</v>
      </c>
      <c r="KX589" s="27" t="s">
        <v>7</v>
      </c>
      <c r="LA589" s="27" t="s">
        <v>8</v>
      </c>
      <c r="LB589" s="27" t="s">
        <v>7</v>
      </c>
      <c r="LC589" s="27" t="s">
        <v>8</v>
      </c>
      <c r="LD589" s="27" t="s">
        <v>7</v>
      </c>
      <c r="LM589" s="27" t="s">
        <v>8</v>
      </c>
      <c r="LR589" s="27" t="s">
        <v>7</v>
      </c>
      <c r="LS589" s="27" t="s">
        <v>8</v>
      </c>
    </row>
    <row r="590" spans="1:425" x14ac:dyDescent="0.25">
      <c r="A590" s="7">
        <v>0.94232233454704462</v>
      </c>
      <c r="B590"/>
      <c r="C590"/>
      <c r="D590"/>
      <c r="E590"/>
      <c r="F590" s="27" t="s">
        <v>7</v>
      </c>
      <c r="IW590" s="27" t="s">
        <v>8</v>
      </c>
      <c r="IX590" s="27" t="s">
        <v>7</v>
      </c>
      <c r="IY590" s="27" t="s">
        <v>8</v>
      </c>
      <c r="IZ590" s="27" t="s">
        <v>7</v>
      </c>
      <c r="JA590" s="27" t="s">
        <v>8</v>
      </c>
      <c r="KL590" s="27" t="s">
        <v>7</v>
      </c>
      <c r="KM590" s="27" t="s">
        <v>8</v>
      </c>
      <c r="KN590" s="27" t="s">
        <v>7</v>
      </c>
      <c r="KO590" s="27" t="s">
        <v>8</v>
      </c>
      <c r="KP590" s="27" t="s">
        <v>7</v>
      </c>
      <c r="KR590" s="27" t="s">
        <v>7</v>
      </c>
      <c r="KS590" s="27" t="s">
        <v>8</v>
      </c>
      <c r="KT590" s="27" t="s">
        <v>7</v>
      </c>
      <c r="KU590" s="27" t="s">
        <v>8</v>
      </c>
      <c r="KV590" s="27" t="s">
        <v>7</v>
      </c>
      <c r="KX590" s="27" t="s">
        <v>7</v>
      </c>
      <c r="KY590" s="27" t="s">
        <v>8</v>
      </c>
      <c r="LA590" s="27" t="s">
        <v>8</v>
      </c>
      <c r="LB590" s="27" t="s">
        <v>7</v>
      </c>
      <c r="LC590" s="27" t="s">
        <v>8</v>
      </c>
      <c r="LD590" s="27" t="s">
        <v>7</v>
      </c>
      <c r="LM590" s="27" t="s">
        <v>8</v>
      </c>
      <c r="LR590" s="27" t="s">
        <v>7</v>
      </c>
      <c r="LS590" s="27" t="s">
        <v>8</v>
      </c>
    </row>
    <row r="591" spans="1:425" x14ac:dyDescent="0.25">
      <c r="A591" s="7">
        <v>0.92384542602651432</v>
      </c>
      <c r="B591"/>
      <c r="C591"/>
      <c r="D591"/>
      <c r="E591"/>
      <c r="F591" s="27" t="s">
        <v>7</v>
      </c>
      <c r="IW591" s="27" t="s">
        <v>8</v>
      </c>
      <c r="IX591" s="27" t="s">
        <v>7</v>
      </c>
      <c r="IY591" s="27" t="s">
        <v>8</v>
      </c>
      <c r="IZ591" s="27" t="s">
        <v>7</v>
      </c>
      <c r="JA591" s="27" t="s">
        <v>8</v>
      </c>
      <c r="KL591" s="27" t="s">
        <v>7</v>
      </c>
      <c r="KM591" s="27" t="s">
        <v>8</v>
      </c>
      <c r="KN591" s="27" t="s">
        <v>7</v>
      </c>
      <c r="KO591" s="27" t="s">
        <v>8</v>
      </c>
      <c r="KR591" s="27" t="s">
        <v>7</v>
      </c>
      <c r="KT591" s="27" t="s">
        <v>7</v>
      </c>
      <c r="KU591" s="27" t="s">
        <v>8</v>
      </c>
      <c r="KX591" s="27" t="s">
        <v>7</v>
      </c>
      <c r="KY591" s="27" t="s">
        <v>8</v>
      </c>
      <c r="KZ591" s="27" t="s">
        <v>7</v>
      </c>
      <c r="LA591" s="27" t="s">
        <v>8</v>
      </c>
      <c r="LB591" s="27" t="s">
        <v>7</v>
      </c>
      <c r="LC591" s="27" t="s">
        <v>8</v>
      </c>
      <c r="LD591" s="27" t="s">
        <v>7</v>
      </c>
      <c r="LM591" s="27" t="s">
        <v>8</v>
      </c>
      <c r="LR591" s="27" t="s">
        <v>7</v>
      </c>
      <c r="LS591" s="27" t="s">
        <v>8</v>
      </c>
    </row>
    <row r="592" spans="1:425" x14ac:dyDescent="0.25">
      <c r="A592" s="7">
        <v>0.90573080982991594</v>
      </c>
      <c r="B592"/>
      <c r="C592"/>
      <c r="D592"/>
      <c r="E592"/>
      <c r="F592" s="27" t="s">
        <v>7</v>
      </c>
      <c r="IW592" s="27" t="s">
        <v>8</v>
      </c>
      <c r="IX592" s="27" t="s">
        <v>7</v>
      </c>
      <c r="IY592" s="27" t="s">
        <v>8</v>
      </c>
      <c r="IZ592" s="27" t="s">
        <v>7</v>
      </c>
      <c r="JA592" s="27" t="s">
        <v>8</v>
      </c>
      <c r="KL592" s="27" t="s">
        <v>7</v>
      </c>
      <c r="KM592" s="27" t="s">
        <v>8</v>
      </c>
      <c r="KN592" s="27" t="s">
        <v>7</v>
      </c>
      <c r="KO592" s="27" t="s">
        <v>8</v>
      </c>
      <c r="KT592" s="27" t="s">
        <v>7</v>
      </c>
      <c r="KX592" s="27" t="s">
        <v>7</v>
      </c>
      <c r="KY592" s="27" t="s">
        <v>8</v>
      </c>
      <c r="KZ592" s="27" t="s">
        <v>7</v>
      </c>
      <c r="LA592" s="27" t="s">
        <v>8</v>
      </c>
      <c r="LB592" s="27" t="s">
        <v>7</v>
      </c>
      <c r="LC592" s="27" t="s">
        <v>8</v>
      </c>
      <c r="LD592" s="27" t="s">
        <v>7</v>
      </c>
      <c r="LM592" s="27" t="s">
        <v>8</v>
      </c>
      <c r="LR592" s="27" t="s">
        <v>7</v>
      </c>
      <c r="LS592" s="27" t="s">
        <v>8</v>
      </c>
    </row>
    <row r="593" spans="1:331" x14ac:dyDescent="0.25">
      <c r="A593" s="7">
        <v>0.8879713821861922</v>
      </c>
      <c r="B593"/>
      <c r="C593"/>
      <c r="D593"/>
      <c r="E593"/>
      <c r="F593" s="27" t="s">
        <v>7</v>
      </c>
      <c r="IS593" s="27" t="s">
        <v>8</v>
      </c>
      <c r="IW593" s="27" t="s">
        <v>8</v>
      </c>
      <c r="IX593" s="27" t="s">
        <v>7</v>
      </c>
      <c r="IZ593" s="27" t="s">
        <v>7</v>
      </c>
      <c r="KL593" s="27" t="s">
        <v>7</v>
      </c>
      <c r="KM593" s="27" t="s">
        <v>8</v>
      </c>
      <c r="KN593" s="27" t="s">
        <v>7</v>
      </c>
      <c r="KO593" s="27" t="s">
        <v>8</v>
      </c>
      <c r="KX593" s="27" t="s">
        <v>7</v>
      </c>
      <c r="KY593" s="27" t="s">
        <v>8</v>
      </c>
      <c r="KZ593" s="27" t="s">
        <v>7</v>
      </c>
      <c r="LB593" s="27" t="s">
        <v>7</v>
      </c>
      <c r="LC593" s="27" t="s">
        <v>8</v>
      </c>
      <c r="LD593" s="27" t="s">
        <v>7</v>
      </c>
      <c r="LI593" s="27" t="s">
        <v>8</v>
      </c>
      <c r="LK593" s="27" t="s">
        <v>8</v>
      </c>
      <c r="LM593" s="27" t="s">
        <v>8</v>
      </c>
      <c r="LR593" s="27" t="s">
        <v>7</v>
      </c>
      <c r="LS593" s="27" t="s">
        <v>8</v>
      </c>
    </row>
    <row r="594" spans="1:331" x14ac:dyDescent="0.25">
      <c r="A594" s="7">
        <v>0.87056017861391399</v>
      </c>
      <c r="B594"/>
      <c r="C594"/>
      <c r="D594"/>
      <c r="E594"/>
      <c r="F594" s="27" t="s">
        <v>7</v>
      </c>
      <c r="IS594" s="27" t="s">
        <v>8</v>
      </c>
      <c r="IT594" s="27" t="s">
        <v>7</v>
      </c>
      <c r="IW594" s="27" t="s">
        <v>8</v>
      </c>
      <c r="KL594" s="27" t="s">
        <v>7</v>
      </c>
      <c r="KM594" s="27" t="s">
        <v>8</v>
      </c>
      <c r="KN594" s="27" t="s">
        <v>7</v>
      </c>
      <c r="KO594" s="27" t="s">
        <v>8</v>
      </c>
      <c r="KX594" s="27" t="s">
        <v>7</v>
      </c>
      <c r="KY594" s="27" t="s">
        <v>8</v>
      </c>
      <c r="LB594" s="27" t="s">
        <v>7</v>
      </c>
      <c r="LC594" s="27" t="s">
        <v>8</v>
      </c>
      <c r="LD594" s="27" t="s">
        <v>7</v>
      </c>
      <c r="LI594" s="27" t="s">
        <v>8</v>
      </c>
      <c r="LJ594" s="27" t="s">
        <v>7</v>
      </c>
      <c r="LK594" s="27" t="s">
        <v>8</v>
      </c>
      <c r="LL594" s="27" t="s">
        <v>7</v>
      </c>
      <c r="LM594" s="27" t="s">
        <v>8</v>
      </c>
      <c r="LR594" s="18" t="s">
        <v>7</v>
      </c>
      <c r="LS594" s="27" t="s">
        <v>8</v>
      </c>
    </row>
    <row r="595" spans="1:331" x14ac:dyDescent="0.25">
      <c r="A595" s="7">
        <v>0.85349037119011173</v>
      </c>
      <c r="B595"/>
      <c r="C595"/>
      <c r="D595"/>
      <c r="E595"/>
      <c r="F595" s="27" t="s">
        <v>7</v>
      </c>
      <c r="IS595" s="27" t="s">
        <v>8</v>
      </c>
      <c r="IT595" s="27" t="s">
        <v>7</v>
      </c>
      <c r="IW595" s="27" t="s">
        <v>8</v>
      </c>
      <c r="KL595" s="27" t="s">
        <v>7</v>
      </c>
      <c r="KM595" s="27" t="s">
        <v>8</v>
      </c>
      <c r="KN595" s="27" t="s">
        <v>7</v>
      </c>
      <c r="KO595" s="27" t="s">
        <v>8</v>
      </c>
      <c r="KX595" s="27" t="s">
        <v>7</v>
      </c>
      <c r="KY595" s="27" t="s">
        <v>8</v>
      </c>
      <c r="LB595" s="27" t="s">
        <v>7</v>
      </c>
      <c r="LC595" s="27" t="s">
        <v>8</v>
      </c>
      <c r="LD595" s="27" t="s">
        <v>7</v>
      </c>
      <c r="LI595" s="27" t="s">
        <v>8</v>
      </c>
      <c r="LJ595" s="27" t="s">
        <v>7</v>
      </c>
      <c r="LK595" s="27" t="s">
        <v>8</v>
      </c>
      <c r="LL595" s="27" t="s">
        <v>7</v>
      </c>
      <c r="LM595" s="27" t="s">
        <v>8</v>
      </c>
      <c r="LR595" s="27" t="s">
        <v>7</v>
      </c>
      <c r="LS595" s="27" t="s">
        <v>8</v>
      </c>
    </row>
    <row r="596" spans="1:331" x14ac:dyDescent="0.25">
      <c r="A596" s="7">
        <v>0.83675526587265858</v>
      </c>
      <c r="B596"/>
      <c r="C596"/>
      <c r="D596"/>
      <c r="E596"/>
      <c r="F596" s="27" t="s">
        <v>7</v>
      </c>
      <c r="IS596" s="27" t="s">
        <v>8</v>
      </c>
      <c r="IT596" s="27" t="s">
        <v>7</v>
      </c>
      <c r="IU596" s="27" t="s">
        <v>8</v>
      </c>
      <c r="IW596" s="27" t="s">
        <v>8</v>
      </c>
      <c r="KL596" s="27" t="s">
        <v>7</v>
      </c>
      <c r="KM596" s="27" t="s">
        <v>8</v>
      </c>
      <c r="KN596" s="27" t="s">
        <v>7</v>
      </c>
      <c r="KO596" s="27" t="s">
        <v>8</v>
      </c>
      <c r="KX596" s="27" t="s">
        <v>7</v>
      </c>
      <c r="LB596" s="27" t="s">
        <v>7</v>
      </c>
      <c r="LC596" s="27" t="s">
        <v>8</v>
      </c>
      <c r="LD596" s="27" t="s">
        <v>7</v>
      </c>
      <c r="LI596" s="27" t="s">
        <v>8</v>
      </c>
      <c r="LJ596" s="27" t="s">
        <v>7</v>
      </c>
      <c r="LK596" s="27" t="s">
        <v>8</v>
      </c>
      <c r="LL596" s="27" t="s">
        <v>7</v>
      </c>
      <c r="LM596" s="27" t="s">
        <v>8</v>
      </c>
      <c r="LR596" s="27" t="s">
        <v>7</v>
      </c>
      <c r="LS596" s="27" t="s">
        <v>8</v>
      </c>
    </row>
    <row r="597" spans="1:331" x14ac:dyDescent="0.25">
      <c r="A597" s="7">
        <v>0.82034829987515545</v>
      </c>
      <c r="B597"/>
      <c r="C597"/>
      <c r="D597"/>
      <c r="E597"/>
      <c r="F597" s="27" t="s">
        <v>7</v>
      </c>
      <c r="IS597" s="27" t="s">
        <v>8</v>
      </c>
      <c r="IT597" s="27" t="s">
        <v>7</v>
      </c>
      <c r="IU597" s="27" t="s">
        <v>8</v>
      </c>
      <c r="IV597" s="27" t="s">
        <v>7</v>
      </c>
      <c r="IW597" s="27" t="s">
        <v>8</v>
      </c>
      <c r="KL597" s="27" t="s">
        <v>7</v>
      </c>
      <c r="KM597" s="27" t="s">
        <v>8</v>
      </c>
      <c r="KN597" s="27" t="s">
        <v>7</v>
      </c>
      <c r="KO597" s="27" t="s">
        <v>8</v>
      </c>
      <c r="LB597" s="27" t="s">
        <v>7</v>
      </c>
      <c r="LD597" s="27" t="s">
        <v>7</v>
      </c>
      <c r="LI597" s="27" t="s">
        <v>8</v>
      </c>
      <c r="LJ597" s="27" t="s">
        <v>7</v>
      </c>
      <c r="LK597" s="27" t="s">
        <v>8</v>
      </c>
      <c r="LL597" s="27" t="s">
        <v>7</v>
      </c>
      <c r="LM597" s="27" t="s">
        <v>8</v>
      </c>
      <c r="LR597" s="27" t="s">
        <v>7</v>
      </c>
      <c r="LS597" s="27" t="s">
        <v>8</v>
      </c>
    </row>
    <row r="598" spans="1:331" x14ac:dyDescent="0.25">
      <c r="A598" s="7">
        <v>0.80426303909328967</v>
      </c>
      <c r="B598"/>
      <c r="C598"/>
      <c r="D598"/>
      <c r="E598"/>
      <c r="F598" s="27" t="s">
        <v>7</v>
      </c>
      <c r="IS598" s="27" t="s">
        <v>8</v>
      </c>
      <c r="IT598" s="27" t="s">
        <v>7</v>
      </c>
      <c r="IU598" s="27" t="s">
        <v>8</v>
      </c>
      <c r="IV598" s="27" t="s">
        <v>7</v>
      </c>
      <c r="IW598" s="27" t="s">
        <v>8</v>
      </c>
      <c r="KL598" s="27" t="s">
        <v>7</v>
      </c>
      <c r="KM598" s="27" t="s">
        <v>8</v>
      </c>
      <c r="KN598" s="27" t="s">
        <v>7</v>
      </c>
      <c r="KO598" s="27" t="s">
        <v>8</v>
      </c>
      <c r="LD598" s="27" t="s">
        <v>7</v>
      </c>
      <c r="LI598" s="27" t="s">
        <v>8</v>
      </c>
      <c r="LJ598" s="27" t="s">
        <v>7</v>
      </c>
      <c r="LK598" s="27" t="s">
        <v>8</v>
      </c>
      <c r="LL598" s="27" t="s">
        <v>7</v>
      </c>
      <c r="LM598" s="27" t="s">
        <v>8</v>
      </c>
      <c r="LR598" s="27" t="s">
        <v>7</v>
      </c>
      <c r="LS598" s="27" t="s">
        <v>8</v>
      </c>
    </row>
    <row r="599" spans="1:331" x14ac:dyDescent="0.25">
      <c r="A599" s="7">
        <v>0.78849317558165644</v>
      </c>
      <c r="B599"/>
      <c r="C599"/>
      <c r="D599"/>
      <c r="E599"/>
      <c r="F599" s="27" t="s">
        <v>7</v>
      </c>
      <c r="IS599" s="27" t="s">
        <v>8</v>
      </c>
      <c r="IT599" s="27" t="s">
        <v>7</v>
      </c>
      <c r="IU599" s="27" t="s">
        <v>8</v>
      </c>
      <c r="IV599" s="27" t="s">
        <v>7</v>
      </c>
      <c r="IW599" s="27" t="s">
        <v>8</v>
      </c>
      <c r="KL599" s="27" t="s">
        <v>7</v>
      </c>
      <c r="KM599" s="27" t="s">
        <v>8</v>
      </c>
      <c r="KN599" s="27" t="s">
        <v>7</v>
      </c>
      <c r="KO599" s="27" t="s">
        <v>8</v>
      </c>
      <c r="LD599" s="27" t="s">
        <v>7</v>
      </c>
      <c r="LG599" s="27" t="s">
        <v>8</v>
      </c>
      <c r="LI599" s="27" t="s">
        <v>8</v>
      </c>
      <c r="LJ599" s="27" t="s">
        <v>7</v>
      </c>
      <c r="LL599" s="27" t="s">
        <v>7</v>
      </c>
      <c r="LR599" s="27" t="s">
        <v>7</v>
      </c>
      <c r="LS599" s="27" t="s">
        <v>8</v>
      </c>
    </row>
    <row r="600" spans="1:331" x14ac:dyDescent="0.25">
      <c r="A600" s="7">
        <v>0.77303252508005538</v>
      </c>
      <c r="B600"/>
      <c r="C600"/>
      <c r="D600"/>
      <c r="E600"/>
      <c r="F600" s="27" t="s">
        <v>7</v>
      </c>
      <c r="IO600" s="27" t="s">
        <v>8</v>
      </c>
      <c r="IS600" s="27" t="s">
        <v>8</v>
      </c>
      <c r="IT600" s="27" t="s">
        <v>7</v>
      </c>
      <c r="IU600" s="27" t="s">
        <v>8</v>
      </c>
      <c r="IV600" s="27" t="s">
        <v>7</v>
      </c>
      <c r="IW600" s="27" t="s">
        <v>8</v>
      </c>
      <c r="KL600" s="27" t="s">
        <v>7</v>
      </c>
      <c r="KN600" s="27" t="s">
        <v>7</v>
      </c>
      <c r="KO600" s="27" t="s">
        <v>8</v>
      </c>
      <c r="LD600" s="27" t="s">
        <v>7</v>
      </c>
      <c r="LG600" s="27" t="s">
        <v>8</v>
      </c>
      <c r="LH600" s="27" t="s">
        <v>7</v>
      </c>
      <c r="LI600" s="27" t="s">
        <v>8</v>
      </c>
      <c r="LR600" s="27" t="s">
        <v>7</v>
      </c>
    </row>
    <row r="601" spans="1:331" x14ac:dyDescent="0.25">
      <c r="A601" s="7">
        <v>0.75787502458828959</v>
      </c>
      <c r="B601"/>
      <c r="C601"/>
      <c r="D601"/>
      <c r="E601"/>
      <c r="F601" s="27" t="s">
        <v>7</v>
      </c>
      <c r="IO601" s="27" t="s">
        <v>8</v>
      </c>
      <c r="IP601" s="27" t="s">
        <v>7</v>
      </c>
      <c r="IS601" s="27" t="s">
        <v>8</v>
      </c>
      <c r="IT601" s="27" t="s">
        <v>7</v>
      </c>
      <c r="IU601" s="27" t="s">
        <v>8</v>
      </c>
      <c r="IV601" s="27" t="s">
        <v>7</v>
      </c>
      <c r="IW601" s="27" t="s">
        <v>8</v>
      </c>
      <c r="KN601" s="27" t="s">
        <v>7</v>
      </c>
      <c r="LD601" s="27" t="s">
        <v>7</v>
      </c>
      <c r="LE601" s="27" t="s">
        <v>8</v>
      </c>
      <c r="LG601" s="27" t="s">
        <v>8</v>
      </c>
      <c r="LH601" s="27" t="s">
        <v>7</v>
      </c>
      <c r="LI601" s="27" t="s">
        <v>8</v>
      </c>
    </row>
    <row r="602" spans="1:331" x14ac:dyDescent="0.25">
      <c r="A602" s="7">
        <v>0.74301472998851925</v>
      </c>
      <c r="B602"/>
      <c r="C602"/>
      <c r="D602"/>
      <c r="E602"/>
      <c r="F602" s="27" t="s">
        <v>7</v>
      </c>
      <c r="IO602" s="27" t="s">
        <v>8</v>
      </c>
      <c r="IP602" s="27" t="s">
        <v>7</v>
      </c>
      <c r="IS602" s="27" t="s">
        <v>8</v>
      </c>
      <c r="IT602" s="27" t="s">
        <v>7</v>
      </c>
      <c r="IU602" s="27" t="s">
        <v>8</v>
      </c>
      <c r="IV602" s="27" t="s">
        <v>7</v>
      </c>
      <c r="IW602" s="27" t="s">
        <v>8</v>
      </c>
      <c r="LD602" s="27" t="s">
        <v>7</v>
      </c>
      <c r="LE602" s="27" t="s">
        <v>8</v>
      </c>
      <c r="LF602" s="27" t="s">
        <v>7</v>
      </c>
      <c r="LG602" s="27" t="s">
        <v>8</v>
      </c>
      <c r="LH602" s="27" t="s">
        <v>7</v>
      </c>
    </row>
    <row r="603" spans="1:331" x14ac:dyDescent="0.25">
      <c r="A603" s="7">
        <v>0.72844581371423456</v>
      </c>
      <c r="B603"/>
      <c r="C603"/>
      <c r="D603"/>
      <c r="E603"/>
      <c r="F603" s="27" t="s">
        <v>7</v>
      </c>
      <c r="IO603" s="27" t="s">
        <v>8</v>
      </c>
      <c r="IP603" s="27" t="s">
        <v>7</v>
      </c>
      <c r="IQ603" s="27" t="s">
        <v>8</v>
      </c>
      <c r="IS603" s="27" t="s">
        <v>8</v>
      </c>
      <c r="IT603" s="27" t="s">
        <v>7</v>
      </c>
      <c r="IV603" s="27" t="s">
        <v>7</v>
      </c>
      <c r="IW603" s="27" t="s">
        <v>8</v>
      </c>
      <c r="LD603" s="27" t="s">
        <v>7</v>
      </c>
      <c r="LE603" s="27" t="s">
        <v>8</v>
      </c>
      <c r="LF603" s="27" t="s">
        <v>7</v>
      </c>
      <c r="LG603" s="27" t="s">
        <v>8</v>
      </c>
    </row>
    <row r="604" spans="1:331" x14ac:dyDescent="0.25">
      <c r="A604" s="7">
        <v>0.71416256246493581</v>
      </c>
      <c r="B604"/>
      <c r="C604"/>
      <c r="D604"/>
      <c r="E604"/>
      <c r="F604" s="27" t="s">
        <v>7</v>
      </c>
      <c r="IO604" s="27" t="s">
        <v>8</v>
      </c>
      <c r="IP604" s="27" t="s">
        <v>7</v>
      </c>
      <c r="IQ604" s="27" t="s">
        <v>8</v>
      </c>
      <c r="IR604" s="27" t="s">
        <v>7</v>
      </c>
      <c r="IS604" s="27" t="s">
        <v>8</v>
      </c>
      <c r="IV604" s="27" t="s">
        <v>7</v>
      </c>
      <c r="IW604" s="27" t="s">
        <v>8</v>
      </c>
      <c r="LD604" s="27" t="s">
        <v>7</v>
      </c>
      <c r="LE604" s="27" t="s">
        <v>8</v>
      </c>
      <c r="LF604" s="27" t="s">
        <v>7</v>
      </c>
      <c r="LG604" s="27" t="s">
        <v>8</v>
      </c>
    </row>
    <row r="605" spans="1:331" x14ac:dyDescent="0.25">
      <c r="A605" s="7">
        <v>0.7001593749656233</v>
      </c>
      <c r="B605"/>
      <c r="C605"/>
      <c r="D605"/>
      <c r="E605"/>
      <c r="F605" s="27" t="s">
        <v>7</v>
      </c>
      <c r="IM605" s="27" t="s">
        <v>8</v>
      </c>
      <c r="IO605" s="27" t="s">
        <v>8</v>
      </c>
      <c r="IP605" s="27" t="s">
        <v>7</v>
      </c>
      <c r="IQ605" s="27" t="s">
        <v>8</v>
      </c>
      <c r="IR605" s="27" t="s">
        <v>7</v>
      </c>
      <c r="IS605" s="27" t="s">
        <v>8</v>
      </c>
      <c r="IV605" s="27" t="s">
        <v>7</v>
      </c>
      <c r="IW605" s="27" t="s">
        <v>8</v>
      </c>
      <c r="LD605" s="27" t="s">
        <v>7</v>
      </c>
      <c r="LE605" s="27" t="s">
        <v>8</v>
      </c>
      <c r="LF605" s="27" t="s">
        <v>7</v>
      </c>
      <c r="LG605" s="27" t="s">
        <v>8</v>
      </c>
    </row>
    <row r="606" spans="1:331" x14ac:dyDescent="0.25">
      <c r="A606" s="7">
        <v>0.68643075977021883</v>
      </c>
      <c r="B606"/>
      <c r="C606"/>
      <c r="D606"/>
      <c r="E606"/>
      <c r="F606" s="27" t="s">
        <v>7</v>
      </c>
      <c r="IM606" s="27" t="s">
        <v>8</v>
      </c>
      <c r="IN606" s="27" t="s">
        <v>7</v>
      </c>
      <c r="IO606" s="27" t="s">
        <v>8</v>
      </c>
      <c r="IP606" s="27" t="s">
        <v>7</v>
      </c>
      <c r="IQ606" s="27" t="s">
        <v>8</v>
      </c>
      <c r="IR606" s="27" t="s">
        <v>7</v>
      </c>
      <c r="IS606" s="27" t="s">
        <v>8</v>
      </c>
      <c r="IV606" s="27" t="s">
        <v>7</v>
      </c>
      <c r="IW606" s="27" t="s">
        <v>8</v>
      </c>
      <c r="LD606" s="27" t="s">
        <v>7</v>
      </c>
      <c r="LE606" s="27" t="s">
        <v>8</v>
      </c>
      <c r="LF606" s="27" t="s">
        <v>7</v>
      </c>
      <c r="LG606" s="27" t="s">
        <v>8</v>
      </c>
    </row>
    <row r="607" spans="1:331" x14ac:dyDescent="0.25">
      <c r="A607" s="7">
        <v>0.67297133310805768</v>
      </c>
      <c r="B607"/>
      <c r="C607"/>
      <c r="D607"/>
      <c r="E607"/>
      <c r="F607" s="27" t="s">
        <v>7</v>
      </c>
      <c r="IM607" s="27" t="s">
        <v>8</v>
      </c>
      <c r="IN607" s="27" t="s">
        <v>7</v>
      </c>
      <c r="IO607" s="27" t="s">
        <v>8</v>
      </c>
      <c r="IP607" s="27" t="s">
        <v>7</v>
      </c>
      <c r="IQ607" s="27" t="s">
        <v>8</v>
      </c>
      <c r="IR607" s="27" t="s">
        <v>7</v>
      </c>
      <c r="IS607" s="27" t="s">
        <v>8</v>
      </c>
      <c r="IV607" s="27" t="s">
        <v>7</v>
      </c>
      <c r="IW607" s="27" t="s">
        <v>8</v>
      </c>
      <c r="LD607" s="27" t="s">
        <v>7</v>
      </c>
      <c r="LE607" s="27" t="s">
        <v>8</v>
      </c>
      <c r="LF607" s="27" t="s">
        <v>7</v>
      </c>
      <c r="LG607" s="27" t="s">
        <v>8</v>
      </c>
    </row>
    <row r="608" spans="1:331" x14ac:dyDescent="0.25">
      <c r="A608" s="7">
        <v>0.65977581677260566</v>
      </c>
      <c r="B608"/>
      <c r="C608"/>
      <c r="D608"/>
      <c r="E608"/>
      <c r="F608" s="27" t="s">
        <v>7</v>
      </c>
      <c r="IM608" s="27" t="s">
        <v>8</v>
      </c>
      <c r="IN608" s="27" t="s">
        <v>7</v>
      </c>
      <c r="IO608" s="27" t="s">
        <v>8</v>
      </c>
      <c r="IP608" s="27" t="s">
        <v>7</v>
      </c>
      <c r="IQ608" s="27" t="s">
        <v>8</v>
      </c>
      <c r="IR608" s="27" t="s">
        <v>7</v>
      </c>
      <c r="IV608" s="27" t="s">
        <v>7</v>
      </c>
      <c r="IW608" s="27" t="s">
        <v>8</v>
      </c>
      <c r="LD608" s="27" t="s">
        <v>7</v>
      </c>
      <c r="LE608" s="27" t="s">
        <v>8</v>
      </c>
      <c r="LF608" s="27" t="s">
        <v>7</v>
      </c>
      <c r="LG608" s="27" t="s">
        <v>8</v>
      </c>
    </row>
    <row r="609" spans="1:319" x14ac:dyDescent="0.25">
      <c r="A609" s="7">
        <v>0.64683903605157422</v>
      </c>
      <c r="B609"/>
      <c r="C609"/>
      <c r="D609"/>
      <c r="E609"/>
      <c r="F609" s="27" t="s">
        <v>7</v>
      </c>
      <c r="IM609" s="27" t="s">
        <v>8</v>
      </c>
      <c r="IN609" s="27" t="s">
        <v>7</v>
      </c>
      <c r="IO609" s="27" t="s">
        <v>8</v>
      </c>
      <c r="IP609" s="27" t="s">
        <v>7</v>
      </c>
      <c r="IQ609" s="27" t="s">
        <v>8</v>
      </c>
      <c r="IV609" s="27" t="s">
        <v>7</v>
      </c>
      <c r="IW609" s="27" t="s">
        <v>8</v>
      </c>
      <c r="LD609" s="27" t="s">
        <v>7</v>
      </c>
      <c r="LE609" s="27" t="s">
        <v>8</v>
      </c>
      <c r="LF609" s="27" t="s">
        <v>7</v>
      </c>
      <c r="LG609" s="27" t="s">
        <v>8</v>
      </c>
    </row>
    <row r="610" spans="1:319" x14ac:dyDescent="0.25">
      <c r="A610" s="7">
        <v>0.63415591769762181</v>
      </c>
      <c r="B610"/>
      <c r="C610"/>
      <c r="D610"/>
      <c r="E610"/>
      <c r="F610" s="27" t="s">
        <v>7</v>
      </c>
      <c r="IM610" s="27" t="s">
        <v>8</v>
      </c>
      <c r="IN610" s="27" t="s">
        <v>7</v>
      </c>
      <c r="IO610" s="27" t="s">
        <v>8</v>
      </c>
      <c r="IP610" s="27" t="s">
        <v>7</v>
      </c>
      <c r="IQ610" s="27" t="s">
        <v>8</v>
      </c>
      <c r="IV610" s="27" t="s">
        <v>7</v>
      </c>
      <c r="IW610" s="27" t="s">
        <v>8</v>
      </c>
      <c r="LD610" s="27" t="s">
        <v>7</v>
      </c>
      <c r="LE610" s="27" t="s">
        <v>8</v>
      </c>
      <c r="LF610" s="27" t="s">
        <v>7</v>
      </c>
      <c r="LG610" s="27" t="s">
        <v>8</v>
      </c>
    </row>
    <row r="611" spans="1:319" x14ac:dyDescent="0.25">
      <c r="A611" s="7">
        <v>0.62172148793884496</v>
      </c>
      <c r="B611"/>
      <c r="C611"/>
      <c r="D611"/>
      <c r="E611"/>
      <c r="F611" s="27" t="s">
        <v>7</v>
      </c>
      <c r="IM611" s="27" t="s">
        <v>8</v>
      </c>
      <c r="IN611" s="27" t="s">
        <v>7</v>
      </c>
      <c r="IO611" s="27" t="s">
        <v>8</v>
      </c>
      <c r="IP611" s="27" t="s">
        <v>7</v>
      </c>
      <c r="IQ611" s="27" t="s">
        <v>8</v>
      </c>
      <c r="IV611" s="27" t="s">
        <v>7</v>
      </c>
      <c r="IW611" s="27" t="s">
        <v>8</v>
      </c>
      <c r="LD611" s="27" t="s">
        <v>7</v>
      </c>
      <c r="LE611" s="27" t="s">
        <v>8</v>
      </c>
      <c r="LF611" s="27" t="s">
        <v>7</v>
      </c>
      <c r="LG611" s="27" t="s">
        <v>8</v>
      </c>
    </row>
    <row r="612" spans="1:319" x14ac:dyDescent="0.25">
      <c r="A612" s="7">
        <v>0.60953087052827937</v>
      </c>
      <c r="B612"/>
      <c r="C612"/>
      <c r="D612"/>
      <c r="E612"/>
      <c r="F612" s="27" t="s">
        <v>7</v>
      </c>
      <c r="IM612" s="27" t="s">
        <v>8</v>
      </c>
      <c r="IN612" s="27" t="s">
        <v>7</v>
      </c>
      <c r="IO612" s="27" t="s">
        <v>8</v>
      </c>
      <c r="IP612" s="27" t="s">
        <v>7</v>
      </c>
      <c r="IQ612" s="27" t="s">
        <v>8</v>
      </c>
      <c r="IV612" s="27" t="s">
        <v>7</v>
      </c>
      <c r="LD612" s="27" t="s">
        <v>7</v>
      </c>
      <c r="LE612" s="27" t="s">
        <v>8</v>
      </c>
      <c r="LF612" s="27" t="s">
        <v>7</v>
      </c>
    </row>
    <row r="613" spans="1:319" x14ac:dyDescent="0.25">
      <c r="A613" s="7">
        <v>0.59757928483164646</v>
      </c>
      <c r="B613"/>
      <c r="C613"/>
      <c r="D613"/>
      <c r="E613"/>
      <c r="F613" s="27" t="s">
        <v>7</v>
      </c>
      <c r="HW613" s="27" t="s">
        <v>8</v>
      </c>
      <c r="IM613" s="27" t="s">
        <v>8</v>
      </c>
      <c r="IN613" s="27" t="s">
        <v>7</v>
      </c>
      <c r="IO613" s="27" t="s">
        <v>8</v>
      </c>
      <c r="IP613" s="27" t="s">
        <v>7</v>
      </c>
      <c r="IQ613" s="27" t="s">
        <v>8</v>
      </c>
      <c r="LD613" s="27" t="s">
        <v>7</v>
      </c>
      <c r="LE613" s="27" t="s">
        <v>8</v>
      </c>
    </row>
    <row r="614" spans="1:319" x14ac:dyDescent="0.25">
      <c r="A614" s="7">
        <v>0.58586204395259456</v>
      </c>
      <c r="B614"/>
      <c r="C614"/>
      <c r="D614"/>
      <c r="E614"/>
      <c r="F614" s="27" t="s">
        <v>7</v>
      </c>
      <c r="HW614" s="27" t="s">
        <v>8</v>
      </c>
      <c r="HX614" s="27" t="s">
        <v>7</v>
      </c>
      <c r="IM614" s="27" t="s">
        <v>8</v>
      </c>
      <c r="IN614" s="27" t="s">
        <v>7</v>
      </c>
      <c r="IO614" s="27" t="s">
        <v>8</v>
      </c>
      <c r="IP614" s="27" t="s">
        <v>7</v>
      </c>
      <c r="LD614" s="27" t="s">
        <v>7</v>
      </c>
      <c r="LE614" s="27" t="s">
        <v>8</v>
      </c>
    </row>
    <row r="615" spans="1:319" x14ac:dyDescent="0.25">
      <c r="A615" s="7">
        <v>0.57437455289470052</v>
      </c>
      <c r="B615"/>
      <c r="C615"/>
      <c r="D615"/>
      <c r="E615"/>
      <c r="F615" s="27" t="s">
        <v>7</v>
      </c>
      <c r="HW615" s="27" t="s">
        <v>8</v>
      </c>
      <c r="HX615" s="27" t="s">
        <v>7</v>
      </c>
      <c r="IM615" s="27" t="s">
        <v>8</v>
      </c>
      <c r="IN615" s="27" t="s">
        <v>7</v>
      </c>
      <c r="IO615" s="27" t="s">
        <v>8</v>
      </c>
      <c r="LD615" s="27" t="s">
        <v>7</v>
      </c>
      <c r="LE615" s="27" t="s">
        <v>8</v>
      </c>
    </row>
    <row r="616" spans="1:319" x14ac:dyDescent="0.25">
      <c r="A616" s="7">
        <v>0.56311230675951029</v>
      </c>
      <c r="B616"/>
      <c r="C616"/>
      <c r="D616"/>
      <c r="E616"/>
      <c r="F616" s="27" t="s">
        <v>7</v>
      </c>
      <c r="HS616" s="27" t="s">
        <v>8</v>
      </c>
      <c r="HW616" s="27" t="s">
        <v>8</v>
      </c>
      <c r="HX616" s="27" t="s">
        <v>7</v>
      </c>
      <c r="IM616" s="27" t="s">
        <v>8</v>
      </c>
      <c r="IN616" s="27" t="s">
        <v>7</v>
      </c>
      <c r="IO616" s="27" t="s">
        <v>8</v>
      </c>
      <c r="LD616" s="27" t="s">
        <v>7</v>
      </c>
      <c r="LE616" s="27" t="s">
        <v>8</v>
      </c>
    </row>
    <row r="617" spans="1:319" x14ac:dyDescent="0.25">
      <c r="A617" s="7">
        <v>0.55207088897991208</v>
      </c>
      <c r="B617"/>
      <c r="C617"/>
      <c r="D617"/>
      <c r="E617"/>
      <c r="F617" s="27" t="s">
        <v>7</v>
      </c>
      <c r="HS617" s="27" t="s">
        <v>8</v>
      </c>
      <c r="HT617" s="27" t="s">
        <v>7</v>
      </c>
      <c r="HW617" s="27" t="s">
        <v>8</v>
      </c>
      <c r="HX617" s="27" t="s">
        <v>7</v>
      </c>
      <c r="IM617" s="27" t="s">
        <v>8</v>
      </c>
      <c r="IN617" s="27" t="s">
        <v>7</v>
      </c>
      <c r="IO617" s="27" t="s">
        <v>8</v>
      </c>
      <c r="LD617" s="27" t="s">
        <v>7</v>
      </c>
      <c r="LE617" s="27" t="s">
        <v>8</v>
      </c>
    </row>
    <row r="618" spans="1:319" x14ac:dyDescent="0.25">
      <c r="A618" s="7">
        <v>0.54124596958814908</v>
      </c>
      <c r="B618"/>
      <c r="C618"/>
      <c r="D618"/>
      <c r="E618"/>
      <c r="F618" s="27" t="s">
        <v>7</v>
      </c>
      <c r="HQ618" s="27" t="s">
        <v>8</v>
      </c>
      <c r="HS618" s="27" t="s">
        <v>8</v>
      </c>
      <c r="HT618" s="27" t="s">
        <v>7</v>
      </c>
      <c r="HW618" s="27" t="s">
        <v>8</v>
      </c>
      <c r="HX618" s="27" t="s">
        <v>7</v>
      </c>
      <c r="IM618" s="27" t="s">
        <v>8</v>
      </c>
      <c r="IN618" s="27" t="s">
        <v>7</v>
      </c>
      <c r="IO618" s="27" t="s">
        <v>8</v>
      </c>
      <c r="LD618" s="27" t="s">
        <v>7</v>
      </c>
      <c r="LE618" s="27" t="s">
        <v>8</v>
      </c>
    </row>
    <row r="619" spans="1:319" x14ac:dyDescent="0.25">
      <c r="A619" s="7">
        <v>0.53063330351779314</v>
      </c>
      <c r="B619"/>
      <c r="C619"/>
      <c r="D619"/>
      <c r="E619"/>
      <c r="F619" s="27" t="s">
        <v>7</v>
      </c>
      <c r="HQ619" s="27" t="s">
        <v>8</v>
      </c>
      <c r="HR619" s="27" t="s">
        <v>7</v>
      </c>
      <c r="HS619" s="27" t="s">
        <v>8</v>
      </c>
      <c r="HT619" s="27" t="s">
        <v>7</v>
      </c>
      <c r="HW619" s="27" t="s">
        <v>8</v>
      </c>
      <c r="HX619" s="27" t="s">
        <v>7</v>
      </c>
      <c r="IM619" s="27" t="s">
        <v>8</v>
      </c>
      <c r="IN619" s="27" t="s">
        <v>7</v>
      </c>
      <c r="IO619" s="27" t="s">
        <v>8</v>
      </c>
      <c r="LD619" s="27" t="s">
        <v>7</v>
      </c>
      <c r="LE619" s="27" t="s">
        <v>8</v>
      </c>
    </row>
    <row r="620" spans="1:319" x14ac:dyDescent="0.25">
      <c r="A620" s="7">
        <v>0.52022872893901284</v>
      </c>
      <c r="B620"/>
      <c r="C620"/>
      <c r="D620"/>
      <c r="E620"/>
      <c r="F620" s="27" t="s">
        <v>7</v>
      </c>
      <c r="HO620" s="27" t="s">
        <v>8</v>
      </c>
      <c r="HQ620" s="27" t="s">
        <v>8</v>
      </c>
      <c r="HR620" s="27" t="s">
        <v>7</v>
      </c>
      <c r="HS620" s="27" t="s">
        <v>8</v>
      </c>
      <c r="HT620" s="27" t="s">
        <v>7</v>
      </c>
      <c r="HU620" s="27" t="s">
        <v>8</v>
      </c>
      <c r="HW620" s="27" t="s">
        <v>8</v>
      </c>
      <c r="HX620" s="27" t="s">
        <v>7</v>
      </c>
      <c r="HY620" s="27" t="s">
        <v>8</v>
      </c>
      <c r="IM620" s="27" t="s">
        <v>8</v>
      </c>
      <c r="IN620" s="27" t="s">
        <v>7</v>
      </c>
      <c r="IO620" s="27" t="s">
        <v>8</v>
      </c>
      <c r="LD620" s="27" t="s">
        <v>7</v>
      </c>
      <c r="LE620" s="27" t="s">
        <v>8</v>
      </c>
    </row>
    <row r="621" spans="1:319" x14ac:dyDescent="0.25">
      <c r="A621" s="7">
        <v>0.51002816562648323</v>
      </c>
      <c r="B621"/>
      <c r="C621"/>
      <c r="D621"/>
      <c r="E621"/>
      <c r="F621" s="27" t="s">
        <v>7</v>
      </c>
      <c r="HO621" s="27" t="s">
        <v>8</v>
      </c>
      <c r="HP621" s="27" t="s">
        <v>7</v>
      </c>
      <c r="HQ621" s="27" t="s">
        <v>8</v>
      </c>
      <c r="HR621" s="27" t="s">
        <v>7</v>
      </c>
      <c r="HS621" s="27" t="s">
        <v>8</v>
      </c>
      <c r="HT621" s="27" t="s">
        <v>7</v>
      </c>
      <c r="HU621" s="27" t="s">
        <v>8</v>
      </c>
      <c r="HV621" s="27" t="s">
        <v>7</v>
      </c>
      <c r="HW621" s="27" t="s">
        <v>8</v>
      </c>
      <c r="HX621" s="27" t="s">
        <v>7</v>
      </c>
      <c r="HY621" s="27" t="s">
        <v>8</v>
      </c>
      <c r="HZ621" s="27" t="s">
        <v>7</v>
      </c>
      <c r="IA621" s="27" t="s">
        <v>8</v>
      </c>
      <c r="IM621" s="27" t="s">
        <v>8</v>
      </c>
      <c r="IN621" s="27" t="s">
        <v>7</v>
      </c>
      <c r="IO621" s="27" t="s">
        <v>8</v>
      </c>
      <c r="LD621" s="27" t="s">
        <v>7</v>
      </c>
      <c r="LE621" s="27" t="s">
        <v>8</v>
      </c>
    </row>
    <row r="622" spans="1:319" x14ac:dyDescent="0.25">
      <c r="A622" s="7">
        <v>0.50002761335929735</v>
      </c>
      <c r="B622"/>
      <c r="C622"/>
      <c r="D622"/>
      <c r="E622"/>
      <c r="F622" s="27" t="s">
        <v>7</v>
      </c>
      <c r="HO622" s="27" t="s">
        <v>8</v>
      </c>
      <c r="HP622" s="27" t="s">
        <v>7</v>
      </c>
      <c r="HQ622" s="27" t="s">
        <v>8</v>
      </c>
      <c r="HR622" s="27" t="s">
        <v>7</v>
      </c>
      <c r="HS622" s="27" t="s">
        <v>8</v>
      </c>
      <c r="HT622" s="27" t="s">
        <v>7</v>
      </c>
      <c r="HU622" s="27" t="s">
        <v>8</v>
      </c>
      <c r="HV622" s="27" t="s">
        <v>7</v>
      </c>
      <c r="HW622" s="27" t="s">
        <v>8</v>
      </c>
      <c r="HX622" s="27" t="s">
        <v>7</v>
      </c>
      <c r="HY622" s="27" t="s">
        <v>8</v>
      </c>
      <c r="HZ622" s="27" t="s">
        <v>7</v>
      </c>
      <c r="IA622" s="27" t="s">
        <v>8</v>
      </c>
      <c r="IB622" s="27" t="s">
        <v>7</v>
      </c>
      <c r="IC622" s="27" t="s">
        <v>8</v>
      </c>
      <c r="IM622" s="27" t="s">
        <v>8</v>
      </c>
      <c r="IN622" s="27" t="s">
        <v>7</v>
      </c>
      <c r="LD622" s="27" t="s">
        <v>7</v>
      </c>
    </row>
    <row r="623" spans="1:319" x14ac:dyDescent="0.25">
      <c r="A623" s="7">
        <v>0.49022315035225228</v>
      </c>
      <c r="B623"/>
      <c r="C623"/>
      <c r="D623"/>
      <c r="E623"/>
      <c r="F623" s="27" t="s">
        <v>7</v>
      </c>
      <c r="HO623" s="27" t="s">
        <v>8</v>
      </c>
      <c r="HP623" s="27" t="s">
        <v>7</v>
      </c>
      <c r="HQ623" s="27" t="s">
        <v>8</v>
      </c>
      <c r="HR623" s="27" t="s">
        <v>7</v>
      </c>
      <c r="HT623" s="27" t="s">
        <v>7</v>
      </c>
      <c r="HU623" s="27" t="s">
        <v>8</v>
      </c>
      <c r="HV623" s="27" t="s">
        <v>7</v>
      </c>
      <c r="HW623" s="27" t="s">
        <v>8</v>
      </c>
      <c r="HX623" s="27" t="s">
        <v>7</v>
      </c>
      <c r="HY623" s="27" t="s">
        <v>8</v>
      </c>
      <c r="HZ623" s="27" t="s">
        <v>7</v>
      </c>
      <c r="IA623" s="27" t="s">
        <v>8</v>
      </c>
      <c r="IB623" s="27" t="s">
        <v>7</v>
      </c>
      <c r="IC623" s="27" t="s">
        <v>8</v>
      </c>
      <c r="ID623" s="27" t="s">
        <v>7</v>
      </c>
      <c r="II623" s="27" t="s">
        <v>8</v>
      </c>
      <c r="IM623" s="27" t="s">
        <v>8</v>
      </c>
    </row>
    <row r="624" spans="1:319" x14ac:dyDescent="0.25">
      <c r="A624" s="7">
        <v>0.48061093171789437</v>
      </c>
      <c r="B624"/>
      <c r="C624"/>
      <c r="D624"/>
      <c r="E624"/>
      <c r="F624" s="27" t="s">
        <v>7</v>
      </c>
      <c r="HO624" s="27" t="s">
        <v>8</v>
      </c>
      <c r="HP624" s="27" t="s">
        <v>7</v>
      </c>
      <c r="HQ624" s="27" t="s">
        <v>8</v>
      </c>
      <c r="HT624" s="27" t="s">
        <v>7</v>
      </c>
      <c r="HU624" s="27" t="s">
        <v>8</v>
      </c>
      <c r="HV624" s="27" t="s">
        <v>7</v>
      </c>
      <c r="HW624" s="27" t="s">
        <v>8</v>
      </c>
      <c r="HX624" s="27" t="s">
        <v>7</v>
      </c>
      <c r="HY624" s="27" t="s">
        <v>8</v>
      </c>
      <c r="HZ624" s="27" t="s">
        <v>7</v>
      </c>
      <c r="IA624" s="27" t="s">
        <v>8</v>
      </c>
      <c r="IB624" s="27" t="s">
        <v>7</v>
      </c>
      <c r="IC624" s="27" t="s">
        <v>8</v>
      </c>
      <c r="ID624" s="27" t="s">
        <v>7</v>
      </c>
      <c r="II624" s="27" t="s">
        <v>8</v>
      </c>
      <c r="IJ624" s="27" t="s">
        <v>7</v>
      </c>
      <c r="IM624" s="27" t="s">
        <v>8</v>
      </c>
    </row>
    <row r="625" spans="1:247" x14ac:dyDescent="0.25">
      <c r="A625" s="7">
        <v>0.47118718795871994</v>
      </c>
      <c r="B625"/>
      <c r="C625"/>
      <c r="D625"/>
      <c r="E625"/>
      <c r="F625" s="27" t="s">
        <v>7</v>
      </c>
      <c r="HO625" s="27" t="s">
        <v>8</v>
      </c>
      <c r="HP625" s="27" t="s">
        <v>7</v>
      </c>
      <c r="HQ625" s="27" t="s">
        <v>8</v>
      </c>
      <c r="HT625" s="27" t="s">
        <v>7</v>
      </c>
      <c r="HU625" s="27" t="s">
        <v>8</v>
      </c>
      <c r="HV625" s="27" t="s">
        <v>7</v>
      </c>
      <c r="HW625" s="27" t="s">
        <v>8</v>
      </c>
      <c r="HX625" s="27" t="s">
        <v>7</v>
      </c>
      <c r="HY625" s="27" t="s">
        <v>8</v>
      </c>
      <c r="HZ625" s="27" t="s">
        <v>7</v>
      </c>
      <c r="IB625" s="27" t="s">
        <v>7</v>
      </c>
      <c r="IC625" s="27" t="s">
        <v>8</v>
      </c>
      <c r="ID625" s="27" t="s">
        <v>7</v>
      </c>
      <c r="II625" s="27" t="s">
        <v>8</v>
      </c>
      <c r="IJ625" s="27" t="s">
        <v>7</v>
      </c>
      <c r="IK625" s="27" t="s">
        <v>8</v>
      </c>
      <c r="IM625" s="27" t="s">
        <v>8</v>
      </c>
    </row>
    <row r="626" spans="1:247" x14ac:dyDescent="0.25">
      <c r="A626" s="7">
        <v>0.46194822348894116</v>
      </c>
      <c r="B626"/>
      <c r="C626"/>
      <c r="D626"/>
      <c r="E626"/>
      <c r="F626" s="27" t="s">
        <v>7</v>
      </c>
      <c r="HO626" s="27" t="s">
        <v>8</v>
      </c>
      <c r="HP626" s="27" t="s">
        <v>7</v>
      </c>
      <c r="HQ626" s="27" t="s">
        <v>8</v>
      </c>
      <c r="HT626" s="27" t="s">
        <v>7</v>
      </c>
      <c r="HV626" s="27" t="s">
        <v>7</v>
      </c>
      <c r="HW626" s="27" t="s">
        <v>8</v>
      </c>
      <c r="HX626" s="27" t="s">
        <v>7</v>
      </c>
      <c r="HY626" s="27" t="s">
        <v>8</v>
      </c>
      <c r="IB626" s="27" t="s">
        <v>7</v>
      </c>
      <c r="IC626" s="27" t="s">
        <v>8</v>
      </c>
      <c r="ID626" s="27" t="s">
        <v>7</v>
      </c>
      <c r="IE626" s="27" t="s">
        <v>8</v>
      </c>
      <c r="II626" s="27" t="s">
        <v>8</v>
      </c>
      <c r="IJ626" s="27" t="s">
        <v>7</v>
      </c>
      <c r="IK626" s="27" t="s">
        <v>8</v>
      </c>
      <c r="IL626" s="27" t="s">
        <v>7</v>
      </c>
      <c r="IM626" s="27" t="s">
        <v>8</v>
      </c>
    </row>
    <row r="627" spans="1:247" x14ac:dyDescent="0.25">
      <c r="A627" s="7">
        <v>0.45289041518523643</v>
      </c>
      <c r="B627"/>
      <c r="C627"/>
      <c r="D627"/>
      <c r="E627"/>
      <c r="F627" s="27" t="s">
        <v>7</v>
      </c>
      <c r="HO627" s="27" t="s">
        <v>8</v>
      </c>
      <c r="HP627" s="27" t="s">
        <v>7</v>
      </c>
      <c r="HQ627" s="27" t="s">
        <v>8</v>
      </c>
      <c r="HV627" s="27" t="s">
        <v>7</v>
      </c>
      <c r="HW627" s="27" t="s">
        <v>8</v>
      </c>
      <c r="HX627" s="27" t="s">
        <v>7</v>
      </c>
      <c r="HY627" s="27" t="s">
        <v>8</v>
      </c>
      <c r="IB627" s="27" t="s">
        <v>7</v>
      </c>
      <c r="IC627" s="27" t="s">
        <v>8</v>
      </c>
      <c r="ID627" s="27" t="s">
        <v>7</v>
      </c>
      <c r="IE627" s="27" t="s">
        <v>8</v>
      </c>
      <c r="IF627" s="27" t="s">
        <v>7</v>
      </c>
      <c r="II627" s="27" t="s">
        <v>8</v>
      </c>
      <c r="IJ627" s="27" t="s">
        <v>7</v>
      </c>
      <c r="IK627" s="27" t="s">
        <v>8</v>
      </c>
      <c r="IL627" s="27" t="s">
        <v>7</v>
      </c>
      <c r="IM627" s="27" t="s">
        <v>8</v>
      </c>
    </row>
    <row r="628" spans="1:247" x14ac:dyDescent="0.25">
      <c r="A628" s="7">
        <v>0.44401021096591808</v>
      </c>
      <c r="B628"/>
      <c r="C628"/>
      <c r="D628"/>
      <c r="E628"/>
      <c r="F628" s="27" t="s">
        <v>7</v>
      </c>
      <c r="HK628" s="27" t="s">
        <v>8</v>
      </c>
      <c r="HM628" s="27" t="s">
        <v>8</v>
      </c>
      <c r="HO628" s="27" t="s">
        <v>8</v>
      </c>
      <c r="HP628" s="27" t="s">
        <v>7</v>
      </c>
      <c r="HQ628" s="27" t="s">
        <v>8</v>
      </c>
      <c r="HV628" s="27" t="s">
        <v>7</v>
      </c>
      <c r="HW628" s="27" t="s">
        <v>8</v>
      </c>
      <c r="HX628" s="27" t="s">
        <v>7</v>
      </c>
      <c r="IB628" s="27" t="s">
        <v>7</v>
      </c>
      <c r="IC628" s="27" t="s">
        <v>8</v>
      </c>
      <c r="ID628" s="27" t="s">
        <v>7</v>
      </c>
      <c r="IE628" s="27" t="s">
        <v>8</v>
      </c>
      <c r="IF628" s="27" t="s">
        <v>7</v>
      </c>
      <c r="IG628" s="27" t="s">
        <v>8</v>
      </c>
      <c r="II628" s="27" t="s">
        <v>8</v>
      </c>
      <c r="IJ628" s="27" t="s">
        <v>7</v>
      </c>
      <c r="IK628" s="27" t="s">
        <v>8</v>
      </c>
      <c r="IL628" s="27" t="s">
        <v>7</v>
      </c>
      <c r="IM628" s="27" t="s">
        <v>8</v>
      </c>
    </row>
    <row r="629" spans="1:247" x14ac:dyDescent="0.25">
      <c r="A629" s="7">
        <v>0.4353041283979589</v>
      </c>
      <c r="B629"/>
      <c r="C629"/>
      <c r="D629"/>
      <c r="E629"/>
      <c r="F629" s="27" t="s">
        <v>7</v>
      </c>
      <c r="HK629" s="27" t="s">
        <v>8</v>
      </c>
      <c r="HL629" s="27" t="s">
        <v>7</v>
      </c>
      <c r="HM629" s="27" t="s">
        <v>8</v>
      </c>
      <c r="HN629" s="27" t="s">
        <v>7</v>
      </c>
      <c r="HO629" s="27" t="s">
        <v>8</v>
      </c>
      <c r="HP629" s="27" t="s">
        <v>7</v>
      </c>
      <c r="HQ629" s="27" t="s">
        <v>8</v>
      </c>
      <c r="HV629" s="27" t="s">
        <v>7</v>
      </c>
      <c r="HW629" s="27" t="s">
        <v>8</v>
      </c>
      <c r="IB629" s="27" t="s">
        <v>7</v>
      </c>
      <c r="ID629" s="27" t="s">
        <v>7</v>
      </c>
      <c r="IE629" s="27" t="s">
        <v>8</v>
      </c>
      <c r="IF629" s="27" t="s">
        <v>7</v>
      </c>
      <c r="IG629" s="27" t="s">
        <v>8</v>
      </c>
      <c r="IH629" s="27" t="s">
        <v>7</v>
      </c>
      <c r="II629" s="27" t="s">
        <v>8</v>
      </c>
      <c r="IJ629" s="27" t="s">
        <v>7</v>
      </c>
      <c r="IL629" s="27" t="s">
        <v>7</v>
      </c>
    </row>
    <row r="630" spans="1:247" x14ac:dyDescent="0.25">
      <c r="A630" s="7">
        <v>0.4267687533313323</v>
      </c>
      <c r="B630"/>
      <c r="C630"/>
      <c r="D630"/>
      <c r="E630"/>
      <c r="F630" s="27" t="s">
        <v>7</v>
      </c>
      <c r="HK630" s="27" t="s">
        <v>8</v>
      </c>
      <c r="HL630" s="27" t="s">
        <v>7</v>
      </c>
      <c r="HM630" s="27" t="s">
        <v>8</v>
      </c>
      <c r="HN630" s="27" t="s">
        <v>7</v>
      </c>
      <c r="HO630" s="27" t="s">
        <v>8</v>
      </c>
      <c r="HP630" s="27" t="s">
        <v>7</v>
      </c>
      <c r="HV630" s="27" t="s">
        <v>7</v>
      </c>
      <c r="HW630" s="27" t="s">
        <v>8</v>
      </c>
      <c r="ID630" s="27" t="s">
        <v>7</v>
      </c>
      <c r="IF630" s="27" t="s">
        <v>7</v>
      </c>
      <c r="IG630" s="27" t="s">
        <v>8</v>
      </c>
      <c r="IH630" s="27" t="s">
        <v>7</v>
      </c>
      <c r="II630" s="27" t="s">
        <v>8</v>
      </c>
    </row>
    <row r="631" spans="1:247" x14ac:dyDescent="0.25">
      <c r="A631" s="7">
        <v>0.41840073856012971</v>
      </c>
      <c r="B631"/>
      <c r="C631"/>
      <c r="D631"/>
      <c r="E631"/>
      <c r="F631" s="27" t="s">
        <v>7</v>
      </c>
      <c r="HK631" s="27" t="s">
        <v>8</v>
      </c>
      <c r="HL631" s="27" t="s">
        <v>7</v>
      </c>
      <c r="HM631" s="27" t="s">
        <v>8</v>
      </c>
      <c r="HN631" s="27" t="s">
        <v>7</v>
      </c>
      <c r="HO631" s="27" t="s">
        <v>8</v>
      </c>
      <c r="HV631" s="27" t="s">
        <v>7</v>
      </c>
      <c r="HW631" s="27" t="s">
        <v>8</v>
      </c>
      <c r="IF631" s="27" t="s">
        <v>7</v>
      </c>
      <c r="IH631" s="27" t="s">
        <v>7</v>
      </c>
    </row>
    <row r="632" spans="1:247" x14ac:dyDescent="0.25">
      <c r="A632" s="7">
        <v>0.41019680250993112</v>
      </c>
      <c r="B632"/>
      <c r="C632"/>
      <c r="D632"/>
      <c r="E632"/>
      <c r="F632" s="27" t="s">
        <v>7</v>
      </c>
      <c r="HK632" s="27" t="s">
        <v>8</v>
      </c>
      <c r="HL632" s="27" t="s">
        <v>7</v>
      </c>
      <c r="HM632" s="27" t="s">
        <v>8</v>
      </c>
      <c r="HN632" s="27" t="s">
        <v>7</v>
      </c>
      <c r="HO632" s="27" t="s">
        <v>8</v>
      </c>
      <c r="HV632" s="27" t="s">
        <v>7</v>
      </c>
      <c r="HW632" s="27" t="s">
        <v>8</v>
      </c>
    </row>
    <row r="633" spans="1:247" x14ac:dyDescent="0.25">
      <c r="A633" s="7">
        <v>0.40215372795091286</v>
      </c>
      <c r="B633"/>
      <c r="C633"/>
      <c r="D633"/>
      <c r="E633"/>
      <c r="F633" s="27" t="s">
        <v>7</v>
      </c>
      <c r="HK633" s="27" t="s">
        <v>8</v>
      </c>
      <c r="HL633" s="27" t="s">
        <v>7</v>
      </c>
      <c r="HM633" s="27" t="s">
        <v>8</v>
      </c>
      <c r="HN633" s="27" t="s">
        <v>7</v>
      </c>
      <c r="HO633" s="27" t="s">
        <v>8</v>
      </c>
      <c r="HV633" s="27" t="s">
        <v>7</v>
      </c>
      <c r="HW633" s="27" t="s">
        <v>8</v>
      </c>
    </row>
    <row r="634" spans="1:247" x14ac:dyDescent="0.25">
      <c r="A634" s="7">
        <v>0.39426836073618904</v>
      </c>
      <c r="B634"/>
      <c r="C634"/>
      <c r="D634"/>
      <c r="E634"/>
      <c r="F634" s="27" t="s">
        <v>7</v>
      </c>
      <c r="HK634" s="27" t="s">
        <v>8</v>
      </c>
      <c r="HL634" s="27" t="s">
        <v>7</v>
      </c>
      <c r="HM634" s="27" t="s">
        <v>8</v>
      </c>
      <c r="HN634" s="27" t="s">
        <v>7</v>
      </c>
      <c r="HO634" s="27" t="s">
        <v>8</v>
      </c>
      <c r="HV634" s="27" t="s">
        <v>7</v>
      </c>
    </row>
    <row r="635" spans="1:247" x14ac:dyDescent="0.25">
      <c r="A635" s="7">
        <v>0.38653760856489122</v>
      </c>
      <c r="B635"/>
      <c r="C635"/>
      <c r="D635"/>
      <c r="E635"/>
      <c r="F635" s="27" t="s">
        <v>7</v>
      </c>
      <c r="HK635" s="27" t="s">
        <v>8</v>
      </c>
      <c r="HL635" s="27" t="s">
        <v>7</v>
      </c>
      <c r="HM635" s="27" t="s">
        <v>8</v>
      </c>
      <c r="HN635" s="27" t="s">
        <v>7</v>
      </c>
      <c r="HO635" s="27" t="s">
        <v>8</v>
      </c>
    </row>
    <row r="636" spans="1:247" x14ac:dyDescent="0.25">
      <c r="A636" s="7">
        <v>0.37895843976950117</v>
      </c>
      <c r="B636"/>
      <c r="C636"/>
      <c r="D636"/>
      <c r="E636"/>
      <c r="F636" s="27" t="s">
        <v>7</v>
      </c>
      <c r="HK636" s="27" t="s">
        <v>8</v>
      </c>
      <c r="HL636" s="27" t="s">
        <v>7</v>
      </c>
      <c r="HM636" s="27" t="s">
        <v>8</v>
      </c>
      <c r="HN636" s="27" t="s">
        <v>7</v>
      </c>
    </row>
    <row r="637" spans="1:247" x14ac:dyDescent="0.25">
      <c r="A637" s="7">
        <v>0.37152788212696197</v>
      </c>
      <c r="B637"/>
      <c r="C637"/>
      <c r="D637"/>
      <c r="E637"/>
      <c r="F637" s="27" t="s">
        <v>7</v>
      </c>
      <c r="HK637" s="27" t="s">
        <v>8</v>
      </c>
      <c r="HL637" s="27" t="s">
        <v>7</v>
      </c>
      <c r="HM637" s="27" t="s">
        <v>8</v>
      </c>
    </row>
    <row r="638" spans="1:247" x14ac:dyDescent="0.25">
      <c r="A638" s="7">
        <v>0.36424302169310002</v>
      </c>
      <c r="B638"/>
      <c r="C638"/>
      <c r="D638"/>
      <c r="E638"/>
      <c r="F638" s="27" t="s">
        <v>7</v>
      </c>
      <c r="HK638" s="27" t="s">
        <v>8</v>
      </c>
      <c r="HL638" s="27" t="s">
        <v>7</v>
      </c>
      <c r="HM638" s="27" t="s">
        <v>8</v>
      </c>
    </row>
    <row r="639" spans="1:247" x14ac:dyDescent="0.25">
      <c r="A639" s="7">
        <v>0.35710100165990194</v>
      </c>
      <c r="B639"/>
      <c r="C639"/>
      <c r="D639"/>
      <c r="E639"/>
      <c r="F639" s="27" t="s">
        <v>7</v>
      </c>
      <c r="HK639" s="27" t="s">
        <v>8</v>
      </c>
      <c r="HL639" s="27" t="s">
        <v>7</v>
      </c>
    </row>
    <row r="640" spans="1:247" x14ac:dyDescent="0.25">
      <c r="A640" s="7">
        <v>0.35009902123519804</v>
      </c>
      <c r="B640"/>
      <c r="C640"/>
      <c r="D640"/>
      <c r="E640"/>
      <c r="F640" s="27" t="s">
        <v>7</v>
      </c>
      <c r="HK640" s="27" t="s">
        <v>8</v>
      </c>
    </row>
    <row r="641" spans="1:219" x14ac:dyDescent="0.25">
      <c r="A641" s="7">
        <v>0.34323433454431179</v>
      </c>
      <c r="B641"/>
      <c r="C641"/>
      <c r="D641"/>
      <c r="E641"/>
      <c r="F641" s="27" t="s">
        <v>7</v>
      </c>
      <c r="HE641" s="27" t="s">
        <v>8</v>
      </c>
      <c r="HK641" s="27" t="s">
        <v>8</v>
      </c>
    </row>
    <row r="642" spans="1:219" x14ac:dyDescent="0.25">
      <c r="A642" s="7">
        <v>0.33650424955324681</v>
      </c>
      <c r="B642"/>
      <c r="C642"/>
      <c r="D642"/>
      <c r="E642"/>
      <c r="F642" s="27" t="s">
        <v>7</v>
      </c>
      <c r="HE642" s="27" t="s">
        <v>8</v>
      </c>
      <c r="HF642" s="27" t="s">
        <v>7</v>
      </c>
      <c r="HK642" s="27" t="s">
        <v>8</v>
      </c>
    </row>
    <row r="643" spans="1:219" x14ac:dyDescent="0.25">
      <c r="A643" s="7">
        <v>0.3299061270129871</v>
      </c>
      <c r="B643"/>
      <c r="C643"/>
      <c r="D643"/>
      <c r="E643"/>
      <c r="F643" s="27" t="s">
        <v>7</v>
      </c>
      <c r="HE643" s="27" t="s">
        <v>8</v>
      </c>
      <c r="HF643" s="27" t="s">
        <v>7</v>
      </c>
      <c r="HK643" s="27" t="s">
        <v>8</v>
      </c>
    </row>
    <row r="644" spans="1:219" x14ac:dyDescent="0.25">
      <c r="A644" s="7">
        <v>0.32343737942449713</v>
      </c>
      <c r="B644"/>
      <c r="C644"/>
      <c r="D644"/>
      <c r="E644"/>
      <c r="F644" s="27" t="s">
        <v>7</v>
      </c>
      <c r="HE644" s="27" t="s">
        <v>8</v>
      </c>
      <c r="HF644" s="27" t="s">
        <v>7</v>
      </c>
      <c r="HK644" s="27" t="s">
        <v>8</v>
      </c>
    </row>
    <row r="645" spans="1:219" x14ac:dyDescent="0.25">
      <c r="A645" s="7">
        <v>0.31709547002401678</v>
      </c>
      <c r="B645"/>
      <c r="C645"/>
      <c r="D645"/>
      <c r="E645"/>
      <c r="F645" s="27" t="s">
        <v>7</v>
      </c>
      <c r="EW645" s="27" t="s">
        <v>8</v>
      </c>
      <c r="HC645" s="27" t="s">
        <v>8</v>
      </c>
      <c r="HE645" s="27" t="s">
        <v>8</v>
      </c>
      <c r="HF645" s="27" t="s">
        <v>7</v>
      </c>
      <c r="HG645" s="27" t="s">
        <v>8</v>
      </c>
      <c r="HK645" s="27" t="s">
        <v>8</v>
      </c>
    </row>
    <row r="646" spans="1:219" x14ac:dyDescent="0.25">
      <c r="A646" s="7">
        <v>0.31087791178825175</v>
      </c>
      <c r="B646"/>
      <c r="C646"/>
      <c r="D646"/>
      <c r="E646"/>
      <c r="F646" s="27" t="s">
        <v>7</v>
      </c>
      <c r="EW646" s="27" t="s">
        <v>8</v>
      </c>
      <c r="EX646" s="27" t="s">
        <v>7</v>
      </c>
      <c r="HC646" s="27" t="s">
        <v>8</v>
      </c>
      <c r="HD646" s="27" t="s">
        <v>7</v>
      </c>
      <c r="HE646" s="27" t="s">
        <v>8</v>
      </c>
      <c r="HF646" s="27" t="s">
        <v>7</v>
      </c>
      <c r="HG646" s="27" t="s">
        <v>8</v>
      </c>
      <c r="HH646" s="27" t="s">
        <v>7</v>
      </c>
      <c r="HK646" s="27" t="s">
        <v>8</v>
      </c>
    </row>
    <row r="647" spans="1:219" x14ac:dyDescent="0.25">
      <c r="A647" s="7">
        <v>0.30478226645907036</v>
      </c>
      <c r="B647"/>
      <c r="C647"/>
      <c r="D647"/>
      <c r="E647"/>
      <c r="F647" s="27" t="s">
        <v>7</v>
      </c>
      <c r="EW647" s="27" t="s">
        <v>8</v>
      </c>
      <c r="EX647" s="27" t="s">
        <v>7</v>
      </c>
      <c r="EY647" s="27" t="s">
        <v>8</v>
      </c>
      <c r="FA647" s="27" t="s">
        <v>8</v>
      </c>
      <c r="HC647" s="27" t="s">
        <v>8</v>
      </c>
      <c r="HD647" s="27" t="s">
        <v>7</v>
      </c>
      <c r="HE647" s="27" t="s">
        <v>8</v>
      </c>
      <c r="HF647" s="27" t="s">
        <v>7</v>
      </c>
      <c r="HG647" s="27" t="s">
        <v>8</v>
      </c>
      <c r="HH647" s="27" t="s">
        <v>7</v>
      </c>
      <c r="HI647" s="27" t="s">
        <v>8</v>
      </c>
      <c r="HK647" s="27" t="s">
        <v>8</v>
      </c>
    </row>
    <row r="648" spans="1:219" x14ac:dyDescent="0.25">
      <c r="A648" s="7">
        <v>0.29880614358732388</v>
      </c>
      <c r="B648"/>
      <c r="C648"/>
      <c r="D648"/>
      <c r="E648"/>
      <c r="F648" s="27" t="s">
        <v>7</v>
      </c>
      <c r="EW648" s="27" t="s">
        <v>8</v>
      </c>
      <c r="EX648" s="27" t="s">
        <v>7</v>
      </c>
      <c r="EY648" s="27" t="s">
        <v>8</v>
      </c>
      <c r="EZ648" s="27" t="s">
        <v>7</v>
      </c>
      <c r="FA648" s="27" t="s">
        <v>8</v>
      </c>
      <c r="FB648" s="27" t="s">
        <v>7</v>
      </c>
      <c r="HC648" s="27" t="s">
        <v>8</v>
      </c>
      <c r="HD648" s="27" t="s">
        <v>7</v>
      </c>
      <c r="HE648" s="27" t="s">
        <v>8</v>
      </c>
      <c r="HF648" s="27" t="s">
        <v>7</v>
      </c>
      <c r="HG648" s="27" t="s">
        <v>8</v>
      </c>
      <c r="HH648" s="27" t="s">
        <v>7</v>
      </c>
      <c r="HI648" s="27" t="s">
        <v>8</v>
      </c>
      <c r="HJ648" s="27" t="s">
        <v>7</v>
      </c>
      <c r="HK648" s="27" t="s">
        <v>8</v>
      </c>
    </row>
    <row r="649" spans="1:219" x14ac:dyDescent="0.25">
      <c r="A649" s="7">
        <v>0.2929471995954156</v>
      </c>
      <c r="B649"/>
      <c r="C649"/>
      <c r="D649"/>
      <c r="E649"/>
      <c r="F649" s="27" t="s">
        <v>7</v>
      </c>
      <c r="EW649" s="27" t="s">
        <v>8</v>
      </c>
      <c r="EX649" s="27" t="s">
        <v>7</v>
      </c>
      <c r="EY649" s="27" t="s">
        <v>8</v>
      </c>
      <c r="EZ649" s="27" t="s">
        <v>7</v>
      </c>
      <c r="FA649" s="27" t="s">
        <v>8</v>
      </c>
      <c r="FB649" s="27" t="s">
        <v>7</v>
      </c>
      <c r="HC649" s="27" t="s">
        <v>8</v>
      </c>
      <c r="HD649" s="27" t="s">
        <v>7</v>
      </c>
      <c r="HE649" s="27" t="s">
        <v>8</v>
      </c>
      <c r="HF649" s="27" t="s">
        <v>7</v>
      </c>
      <c r="HG649" s="27" t="s">
        <v>8</v>
      </c>
      <c r="HH649" s="27" t="s">
        <v>7</v>
      </c>
      <c r="HI649" s="27" t="s">
        <v>8</v>
      </c>
      <c r="HJ649" s="27" t="s">
        <v>7</v>
      </c>
      <c r="HK649" s="27" t="s">
        <v>8</v>
      </c>
    </row>
    <row r="650" spans="1:219" x14ac:dyDescent="0.25">
      <c r="A650" s="7">
        <v>0.28720313685825055</v>
      </c>
      <c r="B650"/>
      <c r="C650"/>
      <c r="D650"/>
      <c r="E650"/>
      <c r="F650" s="27" t="s">
        <v>7</v>
      </c>
      <c r="EU650" s="27" t="s">
        <v>8</v>
      </c>
      <c r="EW650" s="27" t="s">
        <v>8</v>
      </c>
      <c r="EX650" s="27" t="s">
        <v>7</v>
      </c>
      <c r="EY650" s="27" t="s">
        <v>8</v>
      </c>
      <c r="EZ650" s="27" t="s">
        <v>7</v>
      </c>
      <c r="FA650" s="27" t="s">
        <v>8</v>
      </c>
      <c r="FB650" s="27" t="s">
        <v>7</v>
      </c>
      <c r="HC650" s="27" t="s">
        <v>8</v>
      </c>
      <c r="HD650" s="27" t="s">
        <v>7</v>
      </c>
      <c r="HE650" s="27" t="s">
        <v>8</v>
      </c>
      <c r="HF650" s="27" t="s">
        <v>7</v>
      </c>
      <c r="HH650" s="27" t="s">
        <v>7</v>
      </c>
      <c r="HI650" s="27" t="s">
        <v>8</v>
      </c>
      <c r="HJ650" s="27" t="s">
        <v>7</v>
      </c>
      <c r="HK650" s="27" t="s">
        <v>8</v>
      </c>
    </row>
    <row r="651" spans="1:219" x14ac:dyDescent="0.25">
      <c r="A651" s="7">
        <v>0.28157170280220645</v>
      </c>
      <c r="B651"/>
      <c r="C651"/>
      <c r="D651"/>
      <c r="E651"/>
      <c r="F651" s="27" t="s">
        <v>7</v>
      </c>
      <c r="EU651" s="27" t="s">
        <v>8</v>
      </c>
      <c r="EV651" s="27" t="s">
        <v>7</v>
      </c>
      <c r="EW651" s="27" t="s">
        <v>8</v>
      </c>
      <c r="EX651" s="27" t="s">
        <v>7</v>
      </c>
      <c r="EY651" s="27" t="s">
        <v>8</v>
      </c>
      <c r="EZ651" s="27" t="s">
        <v>7</v>
      </c>
      <c r="FA651" s="27" t="s">
        <v>8</v>
      </c>
      <c r="FB651" s="27" t="s">
        <v>7</v>
      </c>
      <c r="HC651" s="27" t="s">
        <v>8</v>
      </c>
      <c r="HD651" s="27" t="s">
        <v>7</v>
      </c>
      <c r="HE651" s="27" t="s">
        <v>8</v>
      </c>
      <c r="HH651" s="27" t="s">
        <v>7</v>
      </c>
      <c r="HI651" s="27" t="s">
        <v>8</v>
      </c>
      <c r="HJ651" s="27" t="s">
        <v>7</v>
      </c>
      <c r="HK651" s="27" t="s">
        <v>8</v>
      </c>
    </row>
    <row r="652" spans="1:219" x14ac:dyDescent="0.25">
      <c r="A652" s="7">
        <v>0.27605068902177105</v>
      </c>
      <c r="B652"/>
      <c r="C652"/>
      <c r="D652"/>
      <c r="E652"/>
      <c r="F652" s="27" t="s">
        <v>7</v>
      </c>
      <c r="EU652" s="27" t="s">
        <v>8</v>
      </c>
      <c r="EV652" s="27" t="s">
        <v>7</v>
      </c>
      <c r="EW652" s="27" t="s">
        <v>8</v>
      </c>
      <c r="EX652" s="27" t="s">
        <v>7</v>
      </c>
      <c r="EY652" s="27" t="s">
        <v>8</v>
      </c>
      <c r="EZ652" s="27" t="s">
        <v>7</v>
      </c>
      <c r="FA652" s="27" t="s">
        <v>8</v>
      </c>
      <c r="FB652" s="27" t="s">
        <v>7</v>
      </c>
      <c r="HC652" s="27" t="s">
        <v>8</v>
      </c>
      <c r="HD652" s="27" t="s">
        <v>7</v>
      </c>
      <c r="HE652" s="27" t="s">
        <v>8</v>
      </c>
      <c r="HH652" s="27" t="s">
        <v>7</v>
      </c>
      <c r="HI652" s="27" t="s">
        <v>8</v>
      </c>
      <c r="HJ652" s="27" t="s">
        <v>7</v>
      </c>
      <c r="HK652" s="27" t="s">
        <v>8</v>
      </c>
    </row>
    <row r="653" spans="1:219" x14ac:dyDescent="0.25">
      <c r="A653" s="7">
        <v>0.27063793041350104</v>
      </c>
      <c r="B653"/>
      <c r="C653"/>
      <c r="D653"/>
      <c r="E653"/>
      <c r="F653" s="27" t="s">
        <v>7</v>
      </c>
      <c r="EU653" s="27" t="s">
        <v>8</v>
      </c>
      <c r="EV653" s="27" t="s">
        <v>7</v>
      </c>
      <c r="EW653" s="27" t="s">
        <v>8</v>
      </c>
      <c r="EX653" s="27" t="s">
        <v>7</v>
      </c>
      <c r="EY653" s="27" t="s">
        <v>8</v>
      </c>
      <c r="EZ653" s="27" t="s">
        <v>7</v>
      </c>
      <c r="FA653" s="27" t="s">
        <v>8</v>
      </c>
      <c r="FB653" s="27" t="s">
        <v>7</v>
      </c>
      <c r="FC653" s="27" t="s">
        <v>8</v>
      </c>
      <c r="FE653" s="27" t="s">
        <v>8</v>
      </c>
      <c r="GO653" s="27" t="s">
        <v>8</v>
      </c>
      <c r="HC653" s="27" t="s">
        <v>8</v>
      </c>
      <c r="HD653" s="27" t="s">
        <v>7</v>
      </c>
      <c r="HE653" s="27" t="s">
        <v>8</v>
      </c>
      <c r="HH653" s="27" t="s">
        <v>7</v>
      </c>
      <c r="HJ653" s="27" t="s">
        <v>7</v>
      </c>
      <c r="HK653" s="27" t="s">
        <v>8</v>
      </c>
    </row>
    <row r="654" spans="1:219" x14ac:dyDescent="0.25">
      <c r="A654" s="7">
        <v>0.26533130432696184</v>
      </c>
      <c r="B654"/>
      <c r="C654"/>
      <c r="D654"/>
      <c r="E654"/>
      <c r="F654" s="27" t="s">
        <v>7</v>
      </c>
      <c r="EU654" s="27" t="s">
        <v>8</v>
      </c>
      <c r="EV654" s="27" t="s">
        <v>7</v>
      </c>
      <c r="EW654" s="27" t="s">
        <v>8</v>
      </c>
      <c r="EX654" s="27" t="s">
        <v>7</v>
      </c>
      <c r="EY654" s="27" t="s">
        <v>8</v>
      </c>
      <c r="EZ654" s="27" t="s">
        <v>7</v>
      </c>
      <c r="FA654" s="27" t="s">
        <v>8</v>
      </c>
      <c r="FB654" s="27" t="s">
        <v>7</v>
      </c>
      <c r="FC654" s="27" t="s">
        <v>8</v>
      </c>
      <c r="FD654" s="27" t="s">
        <v>7</v>
      </c>
      <c r="FE654" s="27" t="s">
        <v>8</v>
      </c>
      <c r="FF654" s="27" t="s">
        <v>7</v>
      </c>
      <c r="GO654" s="27" t="s">
        <v>8</v>
      </c>
      <c r="GP654" s="27" t="s">
        <v>7</v>
      </c>
      <c r="HC654" s="27" t="s">
        <v>8</v>
      </c>
      <c r="HD654" s="27" t="s">
        <v>7</v>
      </c>
      <c r="HE654" s="27" t="s">
        <v>8</v>
      </c>
      <c r="HJ654" s="27" t="s">
        <v>7</v>
      </c>
      <c r="HK654" s="27" t="s">
        <v>8</v>
      </c>
    </row>
    <row r="655" spans="1:219" x14ac:dyDescent="0.25">
      <c r="A655" s="7">
        <v>0.26012872973231554</v>
      </c>
      <c r="B655"/>
      <c r="C655"/>
      <c r="D655"/>
      <c r="E655"/>
      <c r="F655" s="27" t="s">
        <v>7</v>
      </c>
      <c r="I655" s="27" t="s">
        <v>8</v>
      </c>
      <c r="EU655" s="27" t="s">
        <v>8</v>
      </c>
      <c r="EV655" s="27" t="s">
        <v>7</v>
      </c>
      <c r="EW655" s="27" t="s">
        <v>8</v>
      </c>
      <c r="EX655" s="27" t="s">
        <v>7</v>
      </c>
      <c r="EY655" s="27" t="s">
        <v>8</v>
      </c>
      <c r="EZ655" s="27" t="s">
        <v>7</v>
      </c>
      <c r="FA655" s="27" t="s">
        <v>8</v>
      </c>
      <c r="FB655" s="27" t="s">
        <v>7</v>
      </c>
      <c r="FC655" s="27" t="s">
        <v>8</v>
      </c>
      <c r="FD655" s="27" t="s">
        <v>7</v>
      </c>
      <c r="FE655" s="27" t="s">
        <v>8</v>
      </c>
      <c r="FF655" s="27" t="s">
        <v>7</v>
      </c>
      <c r="GO655" s="27" t="s">
        <v>8</v>
      </c>
      <c r="GP655" s="27" t="s">
        <v>7</v>
      </c>
      <c r="HC655" s="27" t="s">
        <v>8</v>
      </c>
      <c r="HD655" s="27" t="s">
        <v>7</v>
      </c>
      <c r="HE655" s="27" t="s">
        <v>8</v>
      </c>
      <c r="HJ655" s="27" t="s">
        <v>7</v>
      </c>
      <c r="HK655" s="27" t="s">
        <v>8</v>
      </c>
    </row>
    <row r="656" spans="1:219" x14ac:dyDescent="0.25">
      <c r="A656" s="7">
        <v>0.25502816640423093</v>
      </c>
      <c r="B656"/>
      <c r="C656"/>
      <c r="D656"/>
      <c r="E656"/>
      <c r="F656" s="27" t="s">
        <v>7</v>
      </c>
      <c r="I656" s="27" t="s">
        <v>8</v>
      </c>
      <c r="J656" s="27" t="s">
        <v>7</v>
      </c>
      <c r="BA656" s="27" t="s">
        <v>8</v>
      </c>
      <c r="EU656" s="27" t="s">
        <v>8</v>
      </c>
      <c r="EV656" s="27" t="s">
        <v>7</v>
      </c>
      <c r="EW656" s="27" t="s">
        <v>8</v>
      </c>
      <c r="EX656" s="27" t="s">
        <v>7</v>
      </c>
      <c r="EY656" s="27" t="s">
        <v>8</v>
      </c>
      <c r="EZ656" s="27" t="s">
        <v>7</v>
      </c>
      <c r="FA656" s="27" t="s">
        <v>8</v>
      </c>
      <c r="FB656" s="27" t="s">
        <v>7</v>
      </c>
      <c r="FC656" s="27" t="s">
        <v>8</v>
      </c>
      <c r="FD656" s="27" t="s">
        <v>7</v>
      </c>
      <c r="FE656" s="27" t="s">
        <v>8</v>
      </c>
      <c r="FF656" s="27" t="s">
        <v>7</v>
      </c>
      <c r="GO656" s="27" t="s">
        <v>8</v>
      </c>
      <c r="GP656" s="27" t="s">
        <v>7</v>
      </c>
      <c r="GQ656" s="27" t="s">
        <v>8</v>
      </c>
      <c r="GW656" s="27" t="s">
        <v>8</v>
      </c>
      <c r="HC656" s="27" t="s">
        <v>8</v>
      </c>
      <c r="HD656" s="27" t="s">
        <v>7</v>
      </c>
      <c r="HE656" s="27" t="s">
        <v>8</v>
      </c>
      <c r="HJ656" s="27" t="s">
        <v>7</v>
      </c>
      <c r="HK656" s="27" t="s">
        <v>8</v>
      </c>
    </row>
    <row r="657" spans="1:219" x14ac:dyDescent="0.25">
      <c r="A657" s="7">
        <v>0.25002761412179503</v>
      </c>
      <c r="B657"/>
      <c r="C657"/>
      <c r="D657"/>
      <c r="E657"/>
      <c r="F657" s="27" t="s">
        <v>7</v>
      </c>
      <c r="I657" s="27" t="s">
        <v>8</v>
      </c>
      <c r="J657" s="27" t="s">
        <v>7</v>
      </c>
      <c r="BA657" s="27" t="s">
        <v>8</v>
      </c>
      <c r="BB657" s="27" t="s">
        <v>7</v>
      </c>
      <c r="EU657" s="27" t="s">
        <v>8</v>
      </c>
      <c r="EV657" s="27" t="s">
        <v>7</v>
      </c>
      <c r="EW657" s="27" t="s">
        <v>8</v>
      </c>
      <c r="EX657" s="27" t="s">
        <v>7</v>
      </c>
      <c r="EY657" s="27" t="s">
        <v>8</v>
      </c>
      <c r="EZ657" s="27" t="s">
        <v>7</v>
      </c>
      <c r="FB657" s="27" t="s">
        <v>7</v>
      </c>
      <c r="FC657" s="27" t="s">
        <v>8</v>
      </c>
      <c r="FD657" s="27" t="s">
        <v>7</v>
      </c>
      <c r="FE657" s="27" t="s">
        <v>8</v>
      </c>
      <c r="FF657" s="27" t="s">
        <v>7</v>
      </c>
      <c r="GO657" s="27" t="s">
        <v>8</v>
      </c>
      <c r="GP657" s="27" t="s">
        <v>7</v>
      </c>
      <c r="GQ657" s="27" t="s">
        <v>8</v>
      </c>
      <c r="GR657" s="27" t="s">
        <v>7</v>
      </c>
      <c r="GU657" s="27" t="s">
        <v>8</v>
      </c>
      <c r="GW657" s="27" t="s">
        <v>8</v>
      </c>
      <c r="GX657" s="27" t="s">
        <v>7</v>
      </c>
      <c r="GY657" s="27" t="s">
        <v>8</v>
      </c>
      <c r="HA657" s="27" t="s">
        <v>8</v>
      </c>
      <c r="HC657" s="27" t="s">
        <v>8</v>
      </c>
      <c r="HD657" s="27" t="s">
        <v>7</v>
      </c>
      <c r="HJ657" s="27" t="s">
        <v>7</v>
      </c>
      <c r="HK657" s="27" t="s">
        <v>8</v>
      </c>
    </row>
    <row r="658" spans="1:219" x14ac:dyDescent="0.25">
      <c r="A658" s="7">
        <v>0.24512511188411276</v>
      </c>
      <c r="B658"/>
      <c r="C658"/>
      <c r="D658"/>
      <c r="E658"/>
      <c r="F658" s="27" t="s">
        <v>7</v>
      </c>
      <c r="I658" s="27" t="s">
        <v>8</v>
      </c>
      <c r="J658" s="27" t="s">
        <v>7</v>
      </c>
      <c r="BA658" s="27" t="s">
        <v>8</v>
      </c>
      <c r="BB658" s="27" t="s">
        <v>7</v>
      </c>
      <c r="EU658" s="27" t="s">
        <v>8</v>
      </c>
      <c r="EV658" s="27" t="s">
        <v>7</v>
      </c>
      <c r="EW658" s="27" t="s">
        <v>8</v>
      </c>
      <c r="EX658" s="27" t="s">
        <v>7</v>
      </c>
      <c r="EY658" s="27" t="s">
        <v>8</v>
      </c>
      <c r="FB658" s="27" t="s">
        <v>7</v>
      </c>
      <c r="FC658" s="27" t="s">
        <v>8</v>
      </c>
      <c r="FD658" s="27" t="s">
        <v>7</v>
      </c>
      <c r="FE658" s="27" t="s">
        <v>8</v>
      </c>
      <c r="FF658" s="27" t="s">
        <v>7</v>
      </c>
      <c r="GO658" s="27" t="s">
        <v>8</v>
      </c>
      <c r="GP658" s="27" t="s">
        <v>7</v>
      </c>
      <c r="GQ658" s="27" t="s">
        <v>8</v>
      </c>
      <c r="GR658" s="27" t="s">
        <v>7</v>
      </c>
      <c r="GU658" s="27" t="s">
        <v>8</v>
      </c>
      <c r="GV658" s="27" t="s">
        <v>7</v>
      </c>
      <c r="GW658" s="27" t="s">
        <v>8</v>
      </c>
      <c r="GX658" s="27" t="s">
        <v>7</v>
      </c>
      <c r="GY658" s="27" t="s">
        <v>8</v>
      </c>
      <c r="GZ658" s="27" t="s">
        <v>7</v>
      </c>
      <c r="HA658" s="27" t="s">
        <v>8</v>
      </c>
      <c r="HB658" s="27" t="s">
        <v>7</v>
      </c>
      <c r="HC658" s="27" t="s">
        <v>8</v>
      </c>
      <c r="HJ658" s="27" t="s">
        <v>7</v>
      </c>
    </row>
    <row r="659" spans="1:219" x14ac:dyDescent="0.25">
      <c r="A659" s="7">
        <v>0.24031873714128701</v>
      </c>
      <c r="B659"/>
      <c r="C659"/>
      <c r="D659"/>
      <c r="E659"/>
      <c r="F659" s="27" t="s">
        <v>7</v>
      </c>
      <c r="I659" s="27" t="s">
        <v>8</v>
      </c>
      <c r="J659" s="27" t="s">
        <v>7</v>
      </c>
      <c r="BA659" s="27" t="s">
        <v>8</v>
      </c>
      <c r="BB659" s="27" t="s">
        <v>7</v>
      </c>
      <c r="EU659" s="27" t="s">
        <v>8</v>
      </c>
      <c r="EV659" s="27" t="s">
        <v>7</v>
      </c>
      <c r="EW659" s="27" t="s">
        <v>8</v>
      </c>
      <c r="EX659" s="27" t="s">
        <v>7</v>
      </c>
      <c r="EY659" s="27" t="s">
        <v>8</v>
      </c>
      <c r="FB659" s="27" t="s">
        <v>7</v>
      </c>
      <c r="FC659" s="27" t="s">
        <v>8</v>
      </c>
      <c r="FD659" s="27" t="s">
        <v>7</v>
      </c>
      <c r="FE659" s="27" t="s">
        <v>8</v>
      </c>
      <c r="FF659" s="27" t="s">
        <v>7</v>
      </c>
      <c r="GO659" s="27" t="s">
        <v>8</v>
      </c>
      <c r="GP659" s="27" t="s">
        <v>7</v>
      </c>
      <c r="GQ659" s="27" t="s">
        <v>8</v>
      </c>
      <c r="GR659" s="27" t="s">
        <v>7</v>
      </c>
      <c r="GU659" s="27" t="s">
        <v>8</v>
      </c>
      <c r="GV659" s="27" t="s">
        <v>7</v>
      </c>
      <c r="GW659" s="27" t="s">
        <v>8</v>
      </c>
      <c r="GX659" s="27" t="s">
        <v>7</v>
      </c>
      <c r="GY659" s="27" t="s">
        <v>8</v>
      </c>
      <c r="GZ659" s="27" t="s">
        <v>7</v>
      </c>
      <c r="HA659" s="27" t="s">
        <v>8</v>
      </c>
      <c r="HB659" s="27" t="s">
        <v>7</v>
      </c>
      <c r="HC659" s="27" t="s">
        <v>8</v>
      </c>
    </row>
    <row r="660" spans="1:219" x14ac:dyDescent="0.25">
      <c r="A660" s="7">
        <v>0.23560660504047748</v>
      </c>
      <c r="B660"/>
      <c r="C660"/>
      <c r="D660"/>
      <c r="E660"/>
      <c r="F660" s="27" t="s">
        <v>7</v>
      </c>
      <c r="I660" s="27" t="s">
        <v>8</v>
      </c>
      <c r="J660" s="27" t="s">
        <v>7</v>
      </c>
      <c r="BA660" s="27" t="s">
        <v>8</v>
      </c>
      <c r="BB660" s="27" t="s">
        <v>7</v>
      </c>
      <c r="EU660" s="27" t="s">
        <v>8</v>
      </c>
      <c r="EV660" s="27" t="s">
        <v>7</v>
      </c>
      <c r="EX660" s="27" t="s">
        <v>7</v>
      </c>
      <c r="EY660" s="27" t="s">
        <v>8</v>
      </c>
      <c r="FB660" s="27" t="s">
        <v>7</v>
      </c>
      <c r="FD660" s="27" t="s">
        <v>7</v>
      </c>
      <c r="FE660" s="27" t="s">
        <v>8</v>
      </c>
      <c r="FF660" s="27" t="s">
        <v>7</v>
      </c>
      <c r="FG660" s="27" t="s">
        <v>8</v>
      </c>
      <c r="GM660" s="27" t="s">
        <v>8</v>
      </c>
      <c r="GO660" s="27" t="s">
        <v>8</v>
      </c>
      <c r="GP660" s="27" t="s">
        <v>7</v>
      </c>
      <c r="GR660" s="27" t="s">
        <v>7</v>
      </c>
      <c r="GU660" s="27" t="s">
        <v>8</v>
      </c>
      <c r="GV660" s="27" t="s">
        <v>7</v>
      </c>
      <c r="GW660" s="27" t="s">
        <v>8</v>
      </c>
      <c r="GX660" s="27" t="s">
        <v>7</v>
      </c>
      <c r="GY660" s="27" t="s">
        <v>8</v>
      </c>
      <c r="GZ660" s="27" t="s">
        <v>7</v>
      </c>
      <c r="HB660" s="27" t="s">
        <v>7</v>
      </c>
      <c r="HC660" s="27" t="s">
        <v>8</v>
      </c>
    </row>
    <row r="661" spans="1:219" x14ac:dyDescent="0.25">
      <c r="A661" s="7">
        <v>0.23098686768674265</v>
      </c>
      <c r="B661"/>
      <c r="C661"/>
      <c r="D661"/>
      <c r="E661"/>
      <c r="F661" s="27" t="s">
        <v>7</v>
      </c>
      <c r="I661" s="27" t="s">
        <v>8</v>
      </c>
      <c r="J661" s="27" t="s">
        <v>7</v>
      </c>
      <c r="BA661" s="27" t="s">
        <v>8</v>
      </c>
      <c r="BB661" s="27" t="s">
        <v>7</v>
      </c>
      <c r="EU661" s="27" t="s">
        <v>8</v>
      </c>
      <c r="EX661" s="27" t="s">
        <v>7</v>
      </c>
      <c r="FD661" s="27" t="s">
        <v>7</v>
      </c>
      <c r="FE661" s="27" t="s">
        <v>8</v>
      </c>
      <c r="FF661" s="27" t="s">
        <v>7</v>
      </c>
      <c r="FG661" s="27" t="s">
        <v>8</v>
      </c>
      <c r="FH661" s="27" t="s">
        <v>7</v>
      </c>
      <c r="GM661" s="27" t="s">
        <v>8</v>
      </c>
      <c r="GN661" s="27" t="s">
        <v>7</v>
      </c>
      <c r="GO661" s="27" t="s">
        <v>8</v>
      </c>
      <c r="GR661" s="27" t="s">
        <v>7</v>
      </c>
      <c r="GU661" s="27" t="s">
        <v>8</v>
      </c>
      <c r="GV661" s="27" t="s">
        <v>7</v>
      </c>
      <c r="GW661" s="27" t="s">
        <v>8</v>
      </c>
      <c r="GX661" s="27" t="s">
        <v>7</v>
      </c>
      <c r="GY661" s="27" t="s">
        <v>8</v>
      </c>
      <c r="HB661" s="27" t="s">
        <v>7</v>
      </c>
      <c r="HC661" s="27" t="s">
        <v>8</v>
      </c>
    </row>
    <row r="662" spans="1:219" x14ac:dyDescent="0.25">
      <c r="A662" s="7">
        <v>0.22645771341837515</v>
      </c>
      <c r="B662"/>
      <c r="C662"/>
      <c r="D662"/>
      <c r="E662"/>
      <c r="F662" s="27" t="s">
        <v>7</v>
      </c>
      <c r="I662" s="27" t="s">
        <v>8</v>
      </c>
      <c r="J662" s="27" t="s">
        <v>7</v>
      </c>
      <c r="BA662" s="27" t="s">
        <v>8</v>
      </c>
      <c r="BB662" s="27" t="s">
        <v>7</v>
      </c>
      <c r="EU662" s="27" t="s">
        <v>8</v>
      </c>
      <c r="FD662" s="27" t="s">
        <v>7</v>
      </c>
      <c r="FE662" s="27" t="s">
        <v>8</v>
      </c>
      <c r="FF662" s="27" t="s">
        <v>7</v>
      </c>
      <c r="FG662" s="27" t="s">
        <v>8</v>
      </c>
      <c r="FH662" s="27" t="s">
        <v>7</v>
      </c>
      <c r="FI662" s="27" t="s">
        <v>8</v>
      </c>
      <c r="GM662" s="27" t="s">
        <v>8</v>
      </c>
      <c r="GN662" s="27" t="s">
        <v>7</v>
      </c>
      <c r="GO662" s="27" t="s">
        <v>8</v>
      </c>
      <c r="GR662" s="27" t="s">
        <v>7</v>
      </c>
      <c r="GS662" s="27" t="s">
        <v>8</v>
      </c>
      <c r="GU662" s="27" t="s">
        <v>8</v>
      </c>
      <c r="GV662" s="27" t="s">
        <v>7</v>
      </c>
      <c r="GW662" s="27" t="s">
        <v>8</v>
      </c>
      <c r="GX662" s="27" t="s">
        <v>7</v>
      </c>
      <c r="HB662" s="27" t="s">
        <v>7</v>
      </c>
    </row>
    <row r="663" spans="1:219" x14ac:dyDescent="0.25">
      <c r="A663" s="7">
        <v>0.22201736609644623</v>
      </c>
      <c r="B663"/>
      <c r="C663"/>
      <c r="D663"/>
      <c r="E663"/>
      <c r="F663" s="27" t="s">
        <v>7</v>
      </c>
      <c r="G663" s="27" t="s">
        <v>8</v>
      </c>
      <c r="I663" s="27" t="s">
        <v>8</v>
      </c>
      <c r="J663" s="27" t="s">
        <v>7</v>
      </c>
      <c r="K663" s="27" t="s">
        <v>8</v>
      </c>
      <c r="BA663" s="27" t="s">
        <v>8</v>
      </c>
      <c r="BB663" s="27" t="s">
        <v>7</v>
      </c>
      <c r="EU663" s="27" t="s">
        <v>8</v>
      </c>
      <c r="FD663" s="27" t="s">
        <v>7</v>
      </c>
      <c r="FE663" s="27" t="s">
        <v>8</v>
      </c>
      <c r="FF663" s="27" t="s">
        <v>7</v>
      </c>
      <c r="FG663" s="27" t="s">
        <v>8</v>
      </c>
      <c r="FH663" s="27" t="s">
        <v>7</v>
      </c>
      <c r="FI663" s="27" t="s">
        <v>8</v>
      </c>
      <c r="FJ663" s="27" t="s">
        <v>7</v>
      </c>
      <c r="GM663" s="27" t="s">
        <v>8</v>
      </c>
      <c r="GN663" s="27" t="s">
        <v>7</v>
      </c>
      <c r="GO663" s="27" t="s">
        <v>8</v>
      </c>
      <c r="GR663" s="27" t="s">
        <v>7</v>
      </c>
      <c r="GS663" s="27" t="s">
        <v>8</v>
      </c>
      <c r="GT663" s="27" t="s">
        <v>7</v>
      </c>
      <c r="GU663" s="27" t="s">
        <v>8</v>
      </c>
      <c r="GV663" s="27" t="s">
        <v>7</v>
      </c>
      <c r="GW663" s="27" t="s">
        <v>8</v>
      </c>
    </row>
    <row r="664" spans="1:219" x14ac:dyDescent="0.25">
      <c r="A664" s="7">
        <v>0.21766408440828061</v>
      </c>
      <c r="B664"/>
      <c r="C664"/>
      <c r="D664"/>
      <c r="E664"/>
      <c r="F664" s="27" t="s">
        <v>7</v>
      </c>
      <c r="G664" s="27" t="s">
        <v>8</v>
      </c>
      <c r="H664" s="27" t="s">
        <v>7</v>
      </c>
      <c r="I664" s="27" t="s">
        <v>8</v>
      </c>
      <c r="J664" s="27" t="s">
        <v>7</v>
      </c>
      <c r="K664" s="27" t="s">
        <v>8</v>
      </c>
      <c r="L664" s="27" t="s">
        <v>7</v>
      </c>
      <c r="BA664" s="27" t="s">
        <v>8</v>
      </c>
      <c r="BB664" s="27" t="s">
        <v>7</v>
      </c>
      <c r="BC664" s="27" t="s">
        <v>8</v>
      </c>
      <c r="EU664" s="27" t="s">
        <v>8</v>
      </c>
      <c r="FD664" s="27" t="s">
        <v>7</v>
      </c>
      <c r="FE664" s="27" t="s">
        <v>8</v>
      </c>
      <c r="FF664" s="27" t="s">
        <v>7</v>
      </c>
      <c r="FG664" s="27" t="s">
        <v>8</v>
      </c>
      <c r="FH664" s="27" t="s">
        <v>7</v>
      </c>
      <c r="FI664" s="27" t="s">
        <v>8</v>
      </c>
      <c r="FJ664" s="27" t="s">
        <v>7</v>
      </c>
      <c r="GM664" s="27" t="s">
        <v>8</v>
      </c>
      <c r="GN664" s="27" t="s">
        <v>7</v>
      </c>
      <c r="GO664" s="27" t="s">
        <v>8</v>
      </c>
      <c r="GR664" s="27" t="s">
        <v>7</v>
      </c>
      <c r="GS664" s="27" t="s">
        <v>8</v>
      </c>
      <c r="GT664" s="27" t="s">
        <v>7</v>
      </c>
      <c r="GU664" s="27" t="s">
        <v>8</v>
      </c>
      <c r="GV664" s="27" t="s">
        <v>7</v>
      </c>
      <c r="GW664" s="27" t="s">
        <v>8</v>
      </c>
    </row>
    <row r="665" spans="1:219" x14ac:dyDescent="0.25">
      <c r="A665" s="7">
        <v>0.21339616118458882</v>
      </c>
      <c r="B665"/>
      <c r="C665"/>
      <c r="D665"/>
      <c r="E665"/>
      <c r="F665" s="27" t="s">
        <v>7</v>
      </c>
      <c r="G665" s="27" t="s">
        <v>8</v>
      </c>
      <c r="H665" s="27" t="s">
        <v>7</v>
      </c>
      <c r="I665" s="27" t="s">
        <v>8</v>
      </c>
      <c r="J665" s="27" t="s">
        <v>7</v>
      </c>
      <c r="K665" s="27" t="s">
        <v>8</v>
      </c>
      <c r="L665" s="27" t="s">
        <v>7</v>
      </c>
      <c r="BA665" s="27" t="s">
        <v>8</v>
      </c>
      <c r="BB665" s="27" t="s">
        <v>7</v>
      </c>
      <c r="BC665" s="27" t="s">
        <v>8</v>
      </c>
      <c r="BD665" s="27" t="s">
        <v>7</v>
      </c>
      <c r="EU665" s="27" t="s">
        <v>8</v>
      </c>
      <c r="FD665" s="27" t="s">
        <v>7</v>
      </c>
      <c r="FE665" s="27" t="s">
        <v>8</v>
      </c>
      <c r="FF665" s="27" t="s">
        <v>7</v>
      </c>
      <c r="FG665" s="27" t="s">
        <v>8</v>
      </c>
      <c r="FH665" s="27" t="s">
        <v>7</v>
      </c>
      <c r="FI665" s="27" t="s">
        <v>8</v>
      </c>
      <c r="FJ665" s="27" t="s">
        <v>7</v>
      </c>
      <c r="GM665" s="27" t="s">
        <v>8</v>
      </c>
      <c r="GN665" s="27" t="s">
        <v>7</v>
      </c>
      <c r="GO665" s="27" t="s">
        <v>8</v>
      </c>
      <c r="GR665" s="27" t="s">
        <v>7</v>
      </c>
      <c r="GS665" s="27" t="s">
        <v>8</v>
      </c>
      <c r="GT665" s="27" t="s">
        <v>7</v>
      </c>
      <c r="GU665" s="27" t="s">
        <v>8</v>
      </c>
      <c r="GV665" s="27" t="s">
        <v>7</v>
      </c>
      <c r="GW665" s="27" t="s">
        <v>8</v>
      </c>
    </row>
    <row r="666" spans="1:219" x14ac:dyDescent="0.25">
      <c r="A666" s="7">
        <v>0.20921192272998904</v>
      </c>
      <c r="B666"/>
      <c r="C666"/>
      <c r="D666"/>
      <c r="E666"/>
      <c r="F666" s="27" t="s">
        <v>7</v>
      </c>
      <c r="G666" s="27" t="s">
        <v>8</v>
      </c>
      <c r="H666" s="27" t="s">
        <v>7</v>
      </c>
      <c r="I666" s="27" t="s">
        <v>8</v>
      </c>
      <c r="J666" s="27" t="s">
        <v>7</v>
      </c>
      <c r="K666" s="27" t="s">
        <v>8</v>
      </c>
      <c r="L666" s="27" t="s">
        <v>7</v>
      </c>
      <c r="BA666" s="27" t="s">
        <v>8</v>
      </c>
      <c r="BB666" s="27" t="s">
        <v>7</v>
      </c>
      <c r="BC666" s="27" t="s">
        <v>8</v>
      </c>
      <c r="BD666" s="27" t="s">
        <v>7</v>
      </c>
      <c r="EU666" s="27" t="s">
        <v>8</v>
      </c>
      <c r="FD666" s="27" t="s">
        <v>7</v>
      </c>
      <c r="FE666" s="27" t="s">
        <v>8</v>
      </c>
      <c r="FF666" s="27" t="s">
        <v>7</v>
      </c>
      <c r="FG666" s="27" t="s">
        <v>8</v>
      </c>
      <c r="FH666" s="27" t="s">
        <v>7</v>
      </c>
      <c r="FI666" s="27" t="s">
        <v>8</v>
      </c>
      <c r="FJ666" s="27" t="s">
        <v>7</v>
      </c>
      <c r="GM666" s="27" t="s">
        <v>8</v>
      </c>
      <c r="GN666" s="27" t="s">
        <v>7</v>
      </c>
      <c r="GO666" s="27" t="s">
        <v>8</v>
      </c>
      <c r="GR666" s="27" t="s">
        <v>7</v>
      </c>
      <c r="GS666" s="27" t="s">
        <v>8</v>
      </c>
      <c r="GT666" s="27" t="s">
        <v>7</v>
      </c>
      <c r="GU666" s="27" t="s">
        <v>8</v>
      </c>
      <c r="GV666" s="27" t="s">
        <v>7</v>
      </c>
      <c r="GW666" s="27" t="s">
        <v>8</v>
      </c>
    </row>
    <row r="667" spans="1:219" x14ac:dyDescent="0.25">
      <c r="A667" s="7">
        <v>0.20510972816665593</v>
      </c>
      <c r="B667"/>
      <c r="C667"/>
      <c r="D667"/>
      <c r="E667"/>
      <c r="F667" s="27" t="s">
        <v>7</v>
      </c>
      <c r="H667" s="27" t="s">
        <v>7</v>
      </c>
      <c r="I667" s="27" t="s">
        <v>8</v>
      </c>
      <c r="J667" s="27" t="s">
        <v>7</v>
      </c>
      <c r="K667" s="27" t="s">
        <v>8</v>
      </c>
      <c r="L667" s="27" t="s">
        <v>7</v>
      </c>
      <c r="BA667" s="27" t="s">
        <v>8</v>
      </c>
      <c r="BB667" s="27" t="s">
        <v>7</v>
      </c>
      <c r="BC667" s="27" t="s">
        <v>8</v>
      </c>
      <c r="BD667" s="27" t="s">
        <v>7</v>
      </c>
      <c r="EU667" s="27" t="s">
        <v>8</v>
      </c>
      <c r="FD667" s="27" t="s">
        <v>7</v>
      </c>
      <c r="FE667" s="27" t="s">
        <v>8</v>
      </c>
      <c r="FF667" s="27" t="s">
        <v>7</v>
      </c>
      <c r="FG667" s="27" t="s">
        <v>8</v>
      </c>
      <c r="FH667" s="27" t="s">
        <v>7</v>
      </c>
      <c r="FI667" s="27" t="s">
        <v>8</v>
      </c>
      <c r="FJ667" s="27" t="s">
        <v>7</v>
      </c>
      <c r="FM667" s="27" t="s">
        <v>8</v>
      </c>
      <c r="GM667" s="27" t="s">
        <v>8</v>
      </c>
      <c r="GN667" s="27" t="s">
        <v>7</v>
      </c>
      <c r="GO667" s="27" t="s">
        <v>8</v>
      </c>
      <c r="GR667" s="27" t="s">
        <v>7</v>
      </c>
      <c r="GS667" s="27" t="s">
        <v>8</v>
      </c>
      <c r="GT667" s="27" t="s">
        <v>7</v>
      </c>
      <c r="GV667" s="27" t="s">
        <v>7</v>
      </c>
    </row>
    <row r="668" spans="1:219" x14ac:dyDescent="0.25">
      <c r="A668" s="7">
        <v>0.20108796879083912</v>
      </c>
      <c r="B668"/>
      <c r="C668"/>
      <c r="D668"/>
      <c r="E668"/>
      <c r="H668" s="27" t="s">
        <v>7</v>
      </c>
      <c r="I668" s="27" t="s">
        <v>8</v>
      </c>
      <c r="J668" s="27" t="s">
        <v>7</v>
      </c>
      <c r="L668" s="27" t="s">
        <v>7</v>
      </c>
      <c r="BA668" s="27" t="s">
        <v>8</v>
      </c>
      <c r="BB668" s="27" t="s">
        <v>7</v>
      </c>
      <c r="BC668" s="27" t="s">
        <v>8</v>
      </c>
      <c r="BD668" s="27" t="s">
        <v>7</v>
      </c>
      <c r="EU668" s="27" t="s">
        <v>8</v>
      </c>
      <c r="FD668" s="27" t="s">
        <v>7</v>
      </c>
      <c r="FE668" s="27" t="s">
        <v>8</v>
      </c>
      <c r="FF668" s="27" t="s">
        <v>7</v>
      </c>
      <c r="FG668" s="27" t="s">
        <v>8</v>
      </c>
      <c r="FH668" s="27" t="s">
        <v>7</v>
      </c>
      <c r="FI668" s="27" t="s">
        <v>8</v>
      </c>
      <c r="FJ668" s="27" t="s">
        <v>7</v>
      </c>
      <c r="FK668" s="27" t="s">
        <v>8</v>
      </c>
      <c r="FM668" s="27" t="s">
        <v>8</v>
      </c>
      <c r="FN668" s="27" t="s">
        <v>7</v>
      </c>
      <c r="GK668" s="27" t="s">
        <v>8</v>
      </c>
      <c r="GM668" s="27" t="s">
        <v>8</v>
      </c>
      <c r="GN668" s="27" t="s">
        <v>7</v>
      </c>
      <c r="GO668" s="27" t="s">
        <v>8</v>
      </c>
      <c r="GR668" s="27" t="s">
        <v>7</v>
      </c>
    </row>
    <row r="669" spans="1:219" x14ac:dyDescent="0.25">
      <c r="A669" s="7">
        <v>0.19714506744199917</v>
      </c>
      <c r="B669"/>
      <c r="C669"/>
      <c r="D669"/>
      <c r="E669"/>
      <c r="H669" s="27" t="s">
        <v>7</v>
      </c>
      <c r="I669" s="27" t="s">
        <v>8</v>
      </c>
      <c r="L669" s="27" t="s">
        <v>7</v>
      </c>
      <c r="BA669" s="27" t="s">
        <v>8</v>
      </c>
      <c r="BB669" s="27" t="s">
        <v>7</v>
      </c>
      <c r="BC669" s="27" t="s">
        <v>8</v>
      </c>
      <c r="BD669" s="27" t="s">
        <v>7</v>
      </c>
      <c r="EQ669" s="27" t="s">
        <v>8</v>
      </c>
      <c r="EU669" s="27" t="s">
        <v>8</v>
      </c>
      <c r="FD669" s="27" t="s">
        <v>7</v>
      </c>
      <c r="FE669" s="27" t="s">
        <v>8</v>
      </c>
      <c r="FF669" s="27" t="s">
        <v>7</v>
      </c>
      <c r="FH669" s="27" t="s">
        <v>7</v>
      </c>
      <c r="FI669" s="27" t="s">
        <v>8</v>
      </c>
      <c r="FJ669" s="27" t="s">
        <v>7</v>
      </c>
      <c r="FK669" s="27" t="s">
        <v>8</v>
      </c>
      <c r="FL669" s="27" t="s">
        <v>7</v>
      </c>
      <c r="FM669" s="27" t="s">
        <v>8</v>
      </c>
      <c r="FN669" s="27" t="s">
        <v>7</v>
      </c>
      <c r="GK669" s="27" t="s">
        <v>8</v>
      </c>
      <c r="GL669" s="27" t="s">
        <v>7</v>
      </c>
      <c r="GM669" s="27" t="s">
        <v>8</v>
      </c>
      <c r="GN669" s="27" t="s">
        <v>7</v>
      </c>
      <c r="GO669" s="27" t="s">
        <v>8</v>
      </c>
    </row>
    <row r="670" spans="1:219" x14ac:dyDescent="0.25">
      <c r="A670" s="7">
        <v>0.19327947788431293</v>
      </c>
      <c r="B670"/>
      <c r="C670"/>
      <c r="D670"/>
      <c r="E670"/>
      <c r="H670" s="27" t="s">
        <v>7</v>
      </c>
      <c r="I670" s="27" t="s">
        <v>8</v>
      </c>
      <c r="L670" s="27" t="s">
        <v>7</v>
      </c>
      <c r="AW670" s="27" t="s">
        <v>8</v>
      </c>
      <c r="AY670" s="27" t="s">
        <v>8</v>
      </c>
      <c r="BA670" s="27" t="s">
        <v>8</v>
      </c>
      <c r="BB670" s="27" t="s">
        <v>7</v>
      </c>
      <c r="BC670" s="27" t="s">
        <v>8</v>
      </c>
      <c r="BD670" s="27" t="s">
        <v>7</v>
      </c>
      <c r="EQ670" s="27" t="s">
        <v>8</v>
      </c>
      <c r="ER670" s="27" t="s">
        <v>7</v>
      </c>
      <c r="EU670" s="27" t="s">
        <v>8</v>
      </c>
      <c r="FD670" s="27" t="s">
        <v>7</v>
      </c>
      <c r="FE670" s="27" t="s">
        <v>8</v>
      </c>
      <c r="FH670" s="27" t="s">
        <v>7</v>
      </c>
      <c r="FI670" s="27" t="s">
        <v>8</v>
      </c>
      <c r="FJ670" s="27" t="s">
        <v>7</v>
      </c>
      <c r="FK670" s="27" t="s">
        <v>8</v>
      </c>
      <c r="FL670" s="27" t="s">
        <v>7</v>
      </c>
      <c r="FM670" s="27" t="s">
        <v>8</v>
      </c>
      <c r="FN670" s="27" t="s">
        <v>7</v>
      </c>
      <c r="GK670" s="27" t="s">
        <v>8</v>
      </c>
      <c r="GL670" s="27" t="s">
        <v>7</v>
      </c>
      <c r="GM670" s="27" t="s">
        <v>8</v>
      </c>
      <c r="GN670" s="27" t="s">
        <v>7</v>
      </c>
    </row>
    <row r="671" spans="1:219" x14ac:dyDescent="0.25">
      <c r="A671" s="7">
        <v>0.18948968420030682</v>
      </c>
      <c r="B671"/>
      <c r="C671"/>
      <c r="D671"/>
      <c r="E671"/>
      <c r="H671" s="27" t="s">
        <v>7</v>
      </c>
      <c r="I671" s="27" t="s">
        <v>8</v>
      </c>
      <c r="L671" s="27" t="s">
        <v>7</v>
      </c>
      <c r="AW671" s="27" t="s">
        <v>8</v>
      </c>
      <c r="AX671" s="27" t="s">
        <v>7</v>
      </c>
      <c r="AY671" s="27" t="s">
        <v>8</v>
      </c>
      <c r="AZ671" s="27" t="s">
        <v>7</v>
      </c>
      <c r="BA671" s="27" t="s">
        <v>8</v>
      </c>
      <c r="BB671" s="27" t="s">
        <v>7</v>
      </c>
      <c r="BC671" s="27" t="s">
        <v>8</v>
      </c>
      <c r="BD671" s="27" t="s">
        <v>7</v>
      </c>
      <c r="EQ671" s="27" t="s">
        <v>8</v>
      </c>
      <c r="ER671" s="27" t="s">
        <v>7</v>
      </c>
      <c r="EU671" s="27" t="s">
        <v>8</v>
      </c>
      <c r="FD671" s="27" t="s">
        <v>7</v>
      </c>
      <c r="FE671" s="27" t="s">
        <v>8</v>
      </c>
      <c r="FH671" s="27" t="s">
        <v>7</v>
      </c>
      <c r="FJ671" s="27" t="s">
        <v>7</v>
      </c>
      <c r="FK671" s="27" t="s">
        <v>8</v>
      </c>
      <c r="FL671" s="27" t="s">
        <v>7</v>
      </c>
      <c r="FM671" s="27" t="s">
        <v>8</v>
      </c>
      <c r="FN671" s="27" t="s">
        <v>7</v>
      </c>
      <c r="GK671" s="27" t="s">
        <v>8</v>
      </c>
      <c r="GL671" s="27" t="s">
        <v>7</v>
      </c>
      <c r="GM671" s="27" t="s">
        <v>8</v>
      </c>
    </row>
    <row r="672" spans="1:219" x14ac:dyDescent="0.25">
      <c r="A672" s="7">
        <v>0.18577420019637925</v>
      </c>
      <c r="B672"/>
      <c r="C672"/>
      <c r="D672"/>
      <c r="E672"/>
      <c r="H672" s="27" t="s">
        <v>7</v>
      </c>
      <c r="I672" s="27" t="s">
        <v>8</v>
      </c>
      <c r="L672" s="27" t="s">
        <v>7</v>
      </c>
      <c r="M672" s="27" t="s">
        <v>8</v>
      </c>
      <c r="AW672" s="27" t="s">
        <v>8</v>
      </c>
      <c r="AX672" s="27" t="s">
        <v>7</v>
      </c>
      <c r="AY672" s="27" t="s">
        <v>8</v>
      </c>
      <c r="AZ672" s="27" t="s">
        <v>7</v>
      </c>
      <c r="BA672" s="27" t="s">
        <v>8</v>
      </c>
      <c r="BB672" s="27" t="s">
        <v>7</v>
      </c>
      <c r="BC672" s="27" t="s">
        <v>8</v>
      </c>
      <c r="BD672" s="27" t="s">
        <v>7</v>
      </c>
      <c r="BI672" s="27" t="s">
        <v>8</v>
      </c>
      <c r="EQ672" s="27" t="s">
        <v>8</v>
      </c>
      <c r="ER672" s="27" t="s">
        <v>7</v>
      </c>
      <c r="EU672" s="27" t="s">
        <v>8</v>
      </c>
      <c r="FD672" s="27" t="s">
        <v>7</v>
      </c>
      <c r="FE672" s="27" t="s">
        <v>8</v>
      </c>
      <c r="FJ672" s="27" t="s">
        <v>7</v>
      </c>
      <c r="FK672" s="27" t="s">
        <v>8</v>
      </c>
      <c r="FL672" s="27" t="s">
        <v>7</v>
      </c>
      <c r="FM672" s="27" t="s">
        <v>8</v>
      </c>
      <c r="FN672" s="27" t="s">
        <v>7</v>
      </c>
      <c r="GA672" s="27" t="s">
        <v>8</v>
      </c>
      <c r="GK672" s="27" t="s">
        <v>8</v>
      </c>
      <c r="GL672" s="27" t="s">
        <v>7</v>
      </c>
      <c r="GM672" s="27" t="s">
        <v>8</v>
      </c>
    </row>
    <row r="673" spans="1:195" x14ac:dyDescent="0.25">
      <c r="A673" s="7">
        <v>0.18213156881997963</v>
      </c>
      <c r="B673"/>
      <c r="C673"/>
      <c r="D673"/>
      <c r="E673"/>
      <c r="H673" s="27" t="s">
        <v>7</v>
      </c>
      <c r="L673" s="27" t="s">
        <v>7</v>
      </c>
      <c r="M673" s="27" t="s">
        <v>8</v>
      </c>
      <c r="N673" s="27" t="s">
        <v>7</v>
      </c>
      <c r="AW673" s="27" t="s">
        <v>8</v>
      </c>
      <c r="AX673" s="27" t="s">
        <v>7</v>
      </c>
      <c r="AY673" s="27" t="s">
        <v>8</v>
      </c>
      <c r="AZ673" s="27" t="s">
        <v>7</v>
      </c>
      <c r="BA673" s="27" t="s">
        <v>8</v>
      </c>
      <c r="BB673" s="27" t="s">
        <v>7</v>
      </c>
      <c r="BC673" s="27" t="s">
        <v>8</v>
      </c>
      <c r="BD673" s="27" t="s">
        <v>7</v>
      </c>
      <c r="BI673" s="27" t="s">
        <v>8</v>
      </c>
      <c r="BJ673" s="27" t="s">
        <v>7</v>
      </c>
      <c r="EO673" s="27" t="s">
        <v>8</v>
      </c>
      <c r="EQ673" s="27" t="s">
        <v>8</v>
      </c>
      <c r="ER673" s="27" t="s">
        <v>7</v>
      </c>
      <c r="EU673" s="27" t="s">
        <v>8</v>
      </c>
      <c r="FD673" s="27" t="s">
        <v>7</v>
      </c>
      <c r="FE673" s="27" t="s">
        <v>8</v>
      </c>
      <c r="FJ673" s="27" t="s">
        <v>7</v>
      </c>
      <c r="FK673" s="27" t="s">
        <v>8</v>
      </c>
      <c r="FL673" s="27" t="s">
        <v>7</v>
      </c>
      <c r="FN673" s="27" t="s">
        <v>7</v>
      </c>
      <c r="GA673" s="27" t="s">
        <v>8</v>
      </c>
      <c r="GB673" s="27" t="s">
        <v>7</v>
      </c>
      <c r="GK673" s="27" t="s">
        <v>8</v>
      </c>
      <c r="GL673" s="27" t="s">
        <v>7</v>
      </c>
      <c r="GM673" s="27" t="s">
        <v>8</v>
      </c>
    </row>
    <row r="674" spans="1:195" x14ac:dyDescent="0.25">
      <c r="A674" s="7">
        <v>0.17856036158821534</v>
      </c>
      <c r="B674"/>
      <c r="C674"/>
      <c r="D674"/>
      <c r="E674"/>
      <c r="L674" s="27" t="s">
        <v>7</v>
      </c>
      <c r="M674" s="27" t="s">
        <v>8</v>
      </c>
      <c r="N674" s="27" t="s">
        <v>7</v>
      </c>
      <c r="AW674" s="27" t="s">
        <v>8</v>
      </c>
      <c r="AX674" s="27" t="s">
        <v>7</v>
      </c>
      <c r="AY674" s="27" t="s">
        <v>8</v>
      </c>
      <c r="AZ674" s="27" t="s">
        <v>7</v>
      </c>
      <c r="BA674" s="27" t="s">
        <v>8</v>
      </c>
      <c r="BB674" s="27" t="s">
        <v>7</v>
      </c>
      <c r="BC674" s="27" t="s">
        <v>8</v>
      </c>
      <c r="BD674" s="27" t="s">
        <v>7</v>
      </c>
      <c r="BI674" s="27" t="s">
        <v>8</v>
      </c>
      <c r="BJ674" s="27" t="s">
        <v>7</v>
      </c>
      <c r="EO674" s="27" t="s">
        <v>8</v>
      </c>
      <c r="EP674" s="27" t="s">
        <v>7</v>
      </c>
      <c r="EQ674" s="27" t="s">
        <v>8</v>
      </c>
      <c r="ER674" s="27" t="s">
        <v>7</v>
      </c>
      <c r="ES674" s="27" t="s">
        <v>8</v>
      </c>
      <c r="EU674" s="27" t="s">
        <v>8</v>
      </c>
      <c r="FD674" s="27" t="s">
        <v>7</v>
      </c>
      <c r="FE674" s="27" t="s">
        <v>8</v>
      </c>
      <c r="FJ674" s="27" t="s">
        <v>7</v>
      </c>
      <c r="FK674" s="27" t="s">
        <v>8</v>
      </c>
      <c r="FN674" s="27" t="s">
        <v>7</v>
      </c>
      <c r="GA674" s="27" t="s">
        <v>8</v>
      </c>
      <c r="GB674" s="27" t="s">
        <v>7</v>
      </c>
      <c r="GK674" s="27" t="s">
        <v>8</v>
      </c>
      <c r="GL674" s="27" t="s">
        <v>7</v>
      </c>
    </row>
    <row r="675" spans="1:195" x14ac:dyDescent="0.25">
      <c r="A675" s="7">
        <v>0.17505917802766208</v>
      </c>
      <c r="B675"/>
      <c r="C675"/>
      <c r="D675"/>
      <c r="E675"/>
      <c r="L675" s="27" t="s">
        <v>7</v>
      </c>
      <c r="N675" s="27" t="s">
        <v>7</v>
      </c>
      <c r="AW675" s="27" t="s">
        <v>8</v>
      </c>
      <c r="AX675" s="27" t="s">
        <v>7</v>
      </c>
      <c r="AY675" s="27" t="s">
        <v>8</v>
      </c>
      <c r="AZ675" s="27" t="s">
        <v>7</v>
      </c>
      <c r="BA675" s="27" t="s">
        <v>8</v>
      </c>
      <c r="BB675" s="27" t="s">
        <v>7</v>
      </c>
      <c r="BD675" s="27" t="s">
        <v>7</v>
      </c>
      <c r="BE675" s="27" t="s">
        <v>8</v>
      </c>
      <c r="BI675" s="27" t="s">
        <v>8</v>
      </c>
      <c r="BJ675" s="27" t="s">
        <v>7</v>
      </c>
      <c r="EO675" s="27" t="s">
        <v>8</v>
      </c>
      <c r="EP675" s="27" t="s">
        <v>7</v>
      </c>
      <c r="EQ675" s="27" t="s">
        <v>8</v>
      </c>
      <c r="ER675" s="27" t="s">
        <v>7</v>
      </c>
      <c r="ES675" s="27" t="s">
        <v>8</v>
      </c>
      <c r="ET675" s="27" t="s">
        <v>7</v>
      </c>
      <c r="EU675" s="27" t="s">
        <v>8</v>
      </c>
      <c r="FD675" s="27" t="s">
        <v>7</v>
      </c>
      <c r="FE675" s="27" t="s">
        <v>8</v>
      </c>
      <c r="FJ675" s="27" t="s">
        <v>7</v>
      </c>
      <c r="FK675" s="27" t="s">
        <v>8</v>
      </c>
      <c r="FN675" s="27" t="s">
        <v>7</v>
      </c>
      <c r="FS675" s="27" t="s">
        <v>8</v>
      </c>
      <c r="GA675" s="27" t="s">
        <v>8</v>
      </c>
      <c r="GB675" s="27" t="s">
        <v>7</v>
      </c>
      <c r="GK675" s="27" t="s">
        <v>8</v>
      </c>
    </row>
    <row r="676" spans="1:195" x14ac:dyDescent="0.25">
      <c r="A676" s="7">
        <v>0.17162664512515888</v>
      </c>
      <c r="B676"/>
      <c r="C676"/>
      <c r="D676"/>
      <c r="E676"/>
      <c r="N676" s="27" t="s">
        <v>7</v>
      </c>
      <c r="AW676" s="27" t="s">
        <v>8</v>
      </c>
      <c r="AX676" s="27" t="s">
        <v>7</v>
      </c>
      <c r="AY676" s="27" t="s">
        <v>8</v>
      </c>
      <c r="AZ676" s="27" t="s">
        <v>7</v>
      </c>
      <c r="BA676" s="27" t="s">
        <v>8</v>
      </c>
      <c r="BD676" s="27" t="s">
        <v>7</v>
      </c>
      <c r="BE676" s="27" t="s">
        <v>8</v>
      </c>
      <c r="BF676" s="27" t="s">
        <v>7</v>
      </c>
      <c r="BI676" s="27" t="s">
        <v>8</v>
      </c>
      <c r="BJ676" s="27" t="s">
        <v>7</v>
      </c>
      <c r="EO676" s="27" t="s">
        <v>8</v>
      </c>
      <c r="EP676" s="27" t="s">
        <v>7</v>
      </c>
      <c r="EQ676" s="27" t="s">
        <v>8</v>
      </c>
      <c r="ER676" s="27" t="s">
        <v>7</v>
      </c>
      <c r="ES676" s="27" t="s">
        <v>8</v>
      </c>
      <c r="ET676" s="27" t="s">
        <v>7</v>
      </c>
      <c r="EU676" s="27" t="s">
        <v>8</v>
      </c>
      <c r="FD676" s="27" t="s">
        <v>7</v>
      </c>
      <c r="FE676" s="27" t="s">
        <v>8</v>
      </c>
      <c r="FJ676" s="27" t="s">
        <v>7</v>
      </c>
      <c r="FK676" s="27" t="s">
        <v>8</v>
      </c>
      <c r="FN676" s="27" t="s">
        <v>7</v>
      </c>
      <c r="FO676" s="27" t="s">
        <v>8</v>
      </c>
      <c r="FS676" s="27" t="s">
        <v>8</v>
      </c>
      <c r="FT676" s="27" t="s">
        <v>7</v>
      </c>
      <c r="FY676" s="27" t="s">
        <v>8</v>
      </c>
      <c r="GA676" s="27" t="s">
        <v>8</v>
      </c>
      <c r="GB676" s="27" t="s">
        <v>7</v>
      </c>
      <c r="GK676" s="27" t="s">
        <v>8</v>
      </c>
    </row>
    <row r="677" spans="1:195" x14ac:dyDescent="0.25">
      <c r="A677" s="7">
        <v>0.16826141678937145</v>
      </c>
      <c r="B677"/>
      <c r="C677"/>
      <c r="D677"/>
      <c r="E677"/>
      <c r="N677" s="27" t="s">
        <v>7</v>
      </c>
      <c r="AW677" s="27" t="s">
        <v>8</v>
      </c>
      <c r="AX677" s="27" t="s">
        <v>7</v>
      </c>
      <c r="AY677" s="27" t="s">
        <v>8</v>
      </c>
      <c r="AZ677" s="27" t="s">
        <v>7</v>
      </c>
      <c r="BA677" s="27" t="s">
        <v>8</v>
      </c>
      <c r="BD677" s="27" t="s">
        <v>7</v>
      </c>
      <c r="BE677" s="27" t="s">
        <v>8</v>
      </c>
      <c r="BF677" s="27" t="s">
        <v>7</v>
      </c>
      <c r="BI677" s="27" t="s">
        <v>8</v>
      </c>
      <c r="BJ677" s="27" t="s">
        <v>7</v>
      </c>
      <c r="EO677" s="27" t="s">
        <v>8</v>
      </c>
      <c r="EP677" s="27" t="s">
        <v>7</v>
      </c>
      <c r="EQ677" s="27" t="s">
        <v>8</v>
      </c>
      <c r="ER677" s="27" t="s">
        <v>7</v>
      </c>
      <c r="ES677" s="27" t="s">
        <v>8</v>
      </c>
      <c r="ET677" s="27" t="s">
        <v>7</v>
      </c>
      <c r="EU677" s="27" t="s">
        <v>8</v>
      </c>
      <c r="FD677" s="27" t="s">
        <v>7</v>
      </c>
      <c r="FE677" s="27" t="s">
        <v>8</v>
      </c>
      <c r="FJ677" s="27" t="s">
        <v>7</v>
      </c>
      <c r="FN677" s="27" t="s">
        <v>7</v>
      </c>
      <c r="FO677" s="27" t="s">
        <v>8</v>
      </c>
      <c r="FP677" s="27" t="s">
        <v>7</v>
      </c>
      <c r="FS677" s="27" t="s">
        <v>8</v>
      </c>
      <c r="FT677" s="27" t="s">
        <v>7</v>
      </c>
      <c r="FW677" s="27" t="s">
        <v>8</v>
      </c>
      <c r="FY677" s="27" t="s">
        <v>8</v>
      </c>
      <c r="FZ677" s="27" t="s">
        <v>7</v>
      </c>
      <c r="GA677" s="27" t="s">
        <v>8</v>
      </c>
      <c r="GB677" s="27" t="s">
        <v>7</v>
      </c>
      <c r="GC677" s="27" t="s">
        <v>8</v>
      </c>
      <c r="GI677" s="27" t="s">
        <v>8</v>
      </c>
      <c r="GK677" s="27" t="s">
        <v>8</v>
      </c>
    </row>
    <row r="678" spans="1:195" x14ac:dyDescent="0.25">
      <c r="A678" s="7">
        <v>0.16496217332291319</v>
      </c>
      <c r="B678"/>
      <c r="C678"/>
      <c r="D678"/>
      <c r="E678"/>
      <c r="N678" s="27" t="s">
        <v>7</v>
      </c>
      <c r="AW678" s="27" t="s">
        <v>8</v>
      </c>
      <c r="AX678" s="27" t="s">
        <v>7</v>
      </c>
      <c r="AY678" s="27" t="s">
        <v>8</v>
      </c>
      <c r="AZ678" s="27" t="s">
        <v>7</v>
      </c>
      <c r="BA678" s="27" t="s">
        <v>8</v>
      </c>
      <c r="BD678" s="27" t="s">
        <v>7</v>
      </c>
      <c r="BE678" s="27" t="s">
        <v>8</v>
      </c>
      <c r="BF678" s="27" t="s">
        <v>7</v>
      </c>
      <c r="BG678" s="27" t="s">
        <v>8</v>
      </c>
      <c r="BI678" s="27" t="s">
        <v>8</v>
      </c>
      <c r="BJ678" s="27" t="s">
        <v>7</v>
      </c>
      <c r="BQ678" s="27" t="s">
        <v>8</v>
      </c>
      <c r="DK678" s="27" t="s">
        <v>8</v>
      </c>
      <c r="DY678" s="27" t="s">
        <v>8</v>
      </c>
      <c r="EO678" s="27" t="s">
        <v>8</v>
      </c>
      <c r="EP678" s="27" t="s">
        <v>7</v>
      </c>
      <c r="EQ678" s="27" t="s">
        <v>8</v>
      </c>
      <c r="ER678" s="27" t="s">
        <v>7</v>
      </c>
      <c r="ES678" s="27" t="s">
        <v>8</v>
      </c>
      <c r="ET678" s="27" t="s">
        <v>7</v>
      </c>
      <c r="EU678" s="27" t="s">
        <v>8</v>
      </c>
      <c r="FD678" s="27" t="s">
        <v>7</v>
      </c>
      <c r="FE678" s="27" t="s">
        <v>8</v>
      </c>
      <c r="FN678" s="27" t="s">
        <v>7</v>
      </c>
      <c r="FO678" s="27" t="s">
        <v>8</v>
      </c>
      <c r="FP678" s="27" t="s">
        <v>7</v>
      </c>
      <c r="FS678" s="27" t="s">
        <v>8</v>
      </c>
      <c r="FT678" s="27" t="s">
        <v>7</v>
      </c>
      <c r="FW678" s="27" t="s">
        <v>8</v>
      </c>
      <c r="FX678" s="27" t="s">
        <v>7</v>
      </c>
      <c r="FY678" s="27" t="s">
        <v>8</v>
      </c>
      <c r="FZ678" s="27" t="s">
        <v>7</v>
      </c>
      <c r="GA678" s="27" t="s">
        <v>8</v>
      </c>
      <c r="GB678" s="27" t="s">
        <v>7</v>
      </c>
      <c r="GC678" s="27" t="s">
        <v>8</v>
      </c>
      <c r="GD678" s="27" t="s">
        <v>7</v>
      </c>
      <c r="GI678" s="27" t="s">
        <v>8</v>
      </c>
      <c r="GJ678" s="27" t="s">
        <v>7</v>
      </c>
      <c r="GK678" s="27" t="s">
        <v>8</v>
      </c>
    </row>
    <row r="679" spans="1:195" x14ac:dyDescent="0.25">
      <c r="A679" s="7">
        <v>0.16172762090481685</v>
      </c>
      <c r="B679"/>
      <c r="C679"/>
      <c r="D679"/>
      <c r="E679"/>
      <c r="N679" s="27" t="s">
        <v>7</v>
      </c>
      <c r="AW679" s="27" t="s">
        <v>8</v>
      </c>
      <c r="AX679" s="27" t="s">
        <v>7</v>
      </c>
      <c r="AY679" s="27" t="s">
        <v>8</v>
      </c>
      <c r="AZ679" s="27" t="s">
        <v>7</v>
      </c>
      <c r="BA679" s="27" t="s">
        <v>8</v>
      </c>
      <c r="BD679" s="27" t="s">
        <v>7</v>
      </c>
      <c r="BE679" s="27" t="s">
        <v>8</v>
      </c>
      <c r="BF679" s="27" t="s">
        <v>7</v>
      </c>
      <c r="BG679" s="27" t="s">
        <v>8</v>
      </c>
      <c r="BH679" s="27" t="s">
        <v>7</v>
      </c>
      <c r="BI679" s="27" t="s">
        <v>8</v>
      </c>
      <c r="BJ679" s="27" t="s">
        <v>7</v>
      </c>
      <c r="BO679" s="27" t="s">
        <v>8</v>
      </c>
      <c r="BQ679" s="27" t="s">
        <v>8</v>
      </c>
      <c r="BR679" s="27" t="s">
        <v>7</v>
      </c>
      <c r="DK679" s="27" t="s">
        <v>8</v>
      </c>
      <c r="DL679" s="27" t="s">
        <v>7</v>
      </c>
      <c r="DM679" s="27" t="s">
        <v>8</v>
      </c>
      <c r="DU679" s="27" t="s">
        <v>8</v>
      </c>
      <c r="DY679" s="27" t="s">
        <v>8</v>
      </c>
      <c r="DZ679" s="27" t="s">
        <v>7</v>
      </c>
      <c r="EO679" s="27" t="s">
        <v>8</v>
      </c>
      <c r="EP679" s="27" t="s">
        <v>7</v>
      </c>
      <c r="EQ679" s="27" t="s">
        <v>8</v>
      </c>
      <c r="ER679" s="27" t="s">
        <v>7</v>
      </c>
      <c r="ES679" s="27" t="s">
        <v>8</v>
      </c>
      <c r="ET679" s="27" t="s">
        <v>7</v>
      </c>
      <c r="EU679" s="27" t="s">
        <v>8</v>
      </c>
      <c r="FD679" s="27" t="s">
        <v>7</v>
      </c>
      <c r="FE679" s="27" t="s">
        <v>8</v>
      </c>
      <c r="FN679" s="27" t="s">
        <v>7</v>
      </c>
      <c r="FO679" s="27" t="s">
        <v>8</v>
      </c>
      <c r="FP679" s="27" t="s">
        <v>7</v>
      </c>
      <c r="FS679" s="27" t="s">
        <v>8</v>
      </c>
      <c r="FT679" s="27" t="s">
        <v>7</v>
      </c>
      <c r="FW679" s="27" t="s">
        <v>8</v>
      </c>
      <c r="FX679" s="27" t="s">
        <v>7</v>
      </c>
      <c r="FY679" s="27" t="s">
        <v>8</v>
      </c>
      <c r="FZ679" s="27" t="s">
        <v>7</v>
      </c>
      <c r="GB679" s="27" t="s">
        <v>7</v>
      </c>
      <c r="GC679" s="27" t="s">
        <v>8</v>
      </c>
      <c r="GD679" s="27" t="s">
        <v>7</v>
      </c>
      <c r="GI679" s="27" t="s">
        <v>8</v>
      </c>
      <c r="GJ679" s="27" t="s">
        <v>7</v>
      </c>
      <c r="GK679" s="27" t="s">
        <v>8</v>
      </c>
    </row>
    <row r="680" spans="1:195" x14ac:dyDescent="0.25">
      <c r="A680" s="7">
        <v>0.15855649108315376</v>
      </c>
      <c r="B680"/>
      <c r="C680"/>
      <c r="D680"/>
      <c r="E680"/>
      <c r="N680" s="27" t="s">
        <v>7</v>
      </c>
      <c r="AW680" s="27" t="s">
        <v>8</v>
      </c>
      <c r="AX680" s="27" t="s">
        <v>7</v>
      </c>
      <c r="AY680" s="27" t="s">
        <v>8</v>
      </c>
      <c r="AZ680" s="27" t="s">
        <v>7</v>
      </c>
      <c r="BA680" s="27" t="s">
        <v>8</v>
      </c>
      <c r="BD680" s="27" t="s">
        <v>7</v>
      </c>
      <c r="BE680" s="27" t="s">
        <v>8</v>
      </c>
      <c r="BF680" s="27" t="s">
        <v>7</v>
      </c>
      <c r="BG680" s="27" t="s">
        <v>8</v>
      </c>
      <c r="BH680" s="27" t="s">
        <v>7</v>
      </c>
      <c r="BI680" s="27" t="s">
        <v>8</v>
      </c>
      <c r="BJ680" s="27" t="s">
        <v>7</v>
      </c>
      <c r="BO680" s="27" t="s">
        <v>8</v>
      </c>
      <c r="BP680" s="27" t="s">
        <v>7</v>
      </c>
      <c r="BQ680" s="27" t="s">
        <v>8</v>
      </c>
      <c r="BR680" s="27" t="s">
        <v>7</v>
      </c>
      <c r="DK680" s="27" t="s">
        <v>8</v>
      </c>
      <c r="DL680" s="27" t="s">
        <v>7</v>
      </c>
      <c r="DM680" s="27" t="s">
        <v>8</v>
      </c>
      <c r="DN680" s="27" t="s">
        <v>7</v>
      </c>
      <c r="DS680" s="27" t="s">
        <v>8</v>
      </c>
      <c r="DU680" s="27" t="s">
        <v>8</v>
      </c>
      <c r="DV680" s="27" t="s">
        <v>7</v>
      </c>
      <c r="DY680" s="27" t="s">
        <v>8</v>
      </c>
      <c r="DZ680" s="27" t="s">
        <v>7</v>
      </c>
      <c r="EK680" s="27" t="s">
        <v>8</v>
      </c>
      <c r="EO680" s="27" t="s">
        <v>8</v>
      </c>
      <c r="EP680" s="27" t="s">
        <v>7</v>
      </c>
      <c r="ER680" s="27" t="s">
        <v>7</v>
      </c>
      <c r="ES680" s="27" t="s">
        <v>8</v>
      </c>
      <c r="ET680" s="27" t="s">
        <v>7</v>
      </c>
      <c r="EU680" s="27" t="s">
        <v>8</v>
      </c>
      <c r="FD680" s="27" t="s">
        <v>7</v>
      </c>
      <c r="FE680" s="27" t="s">
        <v>8</v>
      </c>
      <c r="FN680" s="27" t="s">
        <v>7</v>
      </c>
      <c r="FO680" s="27" t="s">
        <v>8</v>
      </c>
      <c r="FP680" s="27" t="s">
        <v>7</v>
      </c>
      <c r="FQ680" s="27" t="s">
        <v>8</v>
      </c>
      <c r="FS680" s="27" t="s">
        <v>8</v>
      </c>
      <c r="FT680" s="27" t="s">
        <v>7</v>
      </c>
      <c r="FU680" s="27" t="s">
        <v>8</v>
      </c>
      <c r="FW680" s="27" t="s">
        <v>8</v>
      </c>
      <c r="FX680" s="27" t="s">
        <v>7</v>
      </c>
      <c r="GB680" s="27" t="s">
        <v>7</v>
      </c>
      <c r="GC680" s="27" t="s">
        <v>8</v>
      </c>
      <c r="GD680" s="27" t="s">
        <v>7</v>
      </c>
      <c r="GI680" s="27" t="s">
        <v>8</v>
      </c>
      <c r="GJ680" s="27" t="s">
        <v>7</v>
      </c>
      <c r="GK680" s="27" t="s">
        <v>8</v>
      </c>
    </row>
    <row r="681" spans="1:195" x14ac:dyDescent="0.25">
      <c r="A681" s="7">
        <v>0.15544754027760171</v>
      </c>
      <c r="B681"/>
      <c r="C681"/>
      <c r="D681"/>
      <c r="E681"/>
      <c r="N681" s="27" t="s">
        <v>7</v>
      </c>
      <c r="AW681" s="27" t="s">
        <v>8</v>
      </c>
      <c r="AX681" s="27" t="s">
        <v>7</v>
      </c>
      <c r="AY681" s="27" t="s">
        <v>8</v>
      </c>
      <c r="AZ681" s="27" t="s">
        <v>7</v>
      </c>
      <c r="BA681" s="27" t="s">
        <v>8</v>
      </c>
      <c r="BD681" s="27" t="s">
        <v>7</v>
      </c>
      <c r="BE681" s="27" t="s">
        <v>8</v>
      </c>
      <c r="BF681" s="27" t="s">
        <v>7</v>
      </c>
      <c r="BG681" s="27" t="s">
        <v>8</v>
      </c>
      <c r="BH681" s="27" t="s">
        <v>7</v>
      </c>
      <c r="BJ681" s="27" t="s">
        <v>7</v>
      </c>
      <c r="BO681" s="27" t="s">
        <v>8</v>
      </c>
      <c r="BP681" s="27" t="s">
        <v>7</v>
      </c>
      <c r="BQ681" s="27" t="s">
        <v>8</v>
      </c>
      <c r="BR681" s="27" t="s">
        <v>7</v>
      </c>
      <c r="DK681" s="27" t="s">
        <v>8</v>
      </c>
      <c r="DL681" s="27" t="s">
        <v>7</v>
      </c>
      <c r="DM681" s="27" t="s">
        <v>8</v>
      </c>
      <c r="DN681" s="27" t="s">
        <v>7</v>
      </c>
      <c r="DS681" s="27" t="s">
        <v>8</v>
      </c>
      <c r="DT681" s="27" t="s">
        <v>7</v>
      </c>
      <c r="DU681" s="27" t="s">
        <v>8</v>
      </c>
      <c r="DV681" s="27" t="s">
        <v>7</v>
      </c>
      <c r="DY681" s="27" t="s">
        <v>8</v>
      </c>
      <c r="DZ681" s="27" t="s">
        <v>7</v>
      </c>
      <c r="EK681" s="27" t="s">
        <v>8</v>
      </c>
      <c r="EL681" s="27" t="s">
        <v>7</v>
      </c>
      <c r="EO681" s="27" t="s">
        <v>8</v>
      </c>
      <c r="ER681" s="27" t="s">
        <v>7</v>
      </c>
      <c r="ES681" s="27" t="s">
        <v>8</v>
      </c>
      <c r="ET681" s="27" t="s">
        <v>7</v>
      </c>
      <c r="EU681" s="27" t="s">
        <v>8</v>
      </c>
      <c r="FD681" s="27" t="s">
        <v>7</v>
      </c>
      <c r="FE681" s="27" t="s">
        <v>8</v>
      </c>
      <c r="FN681" s="27" t="s">
        <v>7</v>
      </c>
      <c r="FO681" s="27" t="s">
        <v>8</v>
      </c>
      <c r="FP681" s="27" t="s">
        <v>7</v>
      </c>
      <c r="FQ681" s="27" t="s">
        <v>8</v>
      </c>
      <c r="FR681" s="27" t="s">
        <v>7</v>
      </c>
      <c r="FS681" s="27" t="s">
        <v>8</v>
      </c>
      <c r="FT681" s="27" t="s">
        <v>7</v>
      </c>
      <c r="FU681" s="27" t="s">
        <v>8</v>
      </c>
      <c r="FV681" s="27" t="s">
        <v>7</v>
      </c>
      <c r="FW681" s="27" t="s">
        <v>8</v>
      </c>
      <c r="GB681" s="27" t="s">
        <v>7</v>
      </c>
      <c r="GD681" s="27" t="s">
        <v>7</v>
      </c>
      <c r="GE681" s="27" t="s">
        <v>8</v>
      </c>
      <c r="GI681" s="27" t="s">
        <v>8</v>
      </c>
      <c r="GJ681" s="27" t="s">
        <v>7</v>
      </c>
      <c r="GK681" s="27" t="s">
        <v>8</v>
      </c>
    </row>
    <row r="682" spans="1:195" x14ac:dyDescent="0.25">
      <c r="A682" s="7">
        <v>0.15239954929176638</v>
      </c>
      <c r="B682"/>
      <c r="C682"/>
      <c r="D682"/>
      <c r="E682"/>
      <c r="N682" s="27" t="s">
        <v>7</v>
      </c>
      <c r="AW682" s="27" t="s">
        <v>8</v>
      </c>
      <c r="AX682" s="27" t="s">
        <v>7</v>
      </c>
      <c r="AY682" s="27" t="s">
        <v>8</v>
      </c>
      <c r="AZ682" s="27" t="s">
        <v>7</v>
      </c>
      <c r="BA682" s="27" t="s">
        <v>8</v>
      </c>
      <c r="BD682" s="27" t="s">
        <v>7</v>
      </c>
      <c r="BE682" s="27" t="s">
        <v>8</v>
      </c>
      <c r="BF682" s="27" t="s">
        <v>7</v>
      </c>
      <c r="BG682" s="27" t="s">
        <v>8</v>
      </c>
      <c r="BJ682" s="27" t="s">
        <v>7</v>
      </c>
      <c r="BO682" s="27" t="s">
        <v>8</v>
      </c>
      <c r="BP682" s="27" t="s">
        <v>7</v>
      </c>
      <c r="BQ682" s="27" t="s">
        <v>8</v>
      </c>
      <c r="BR682" s="27" t="s">
        <v>7</v>
      </c>
      <c r="DK682" s="27" t="s">
        <v>8</v>
      </c>
      <c r="DL682" s="27" t="s">
        <v>7</v>
      </c>
      <c r="DM682" s="27" t="s">
        <v>8</v>
      </c>
      <c r="DN682" s="27" t="s">
        <v>7</v>
      </c>
      <c r="DQ682" s="27" t="s">
        <v>8</v>
      </c>
      <c r="DS682" s="27" t="s">
        <v>8</v>
      </c>
      <c r="DT682" s="27" t="s">
        <v>7</v>
      </c>
      <c r="DU682" s="27" t="s">
        <v>8</v>
      </c>
      <c r="DV682" s="27" t="s">
        <v>7</v>
      </c>
      <c r="DY682" s="27" t="s">
        <v>8</v>
      </c>
      <c r="DZ682" s="27" t="s">
        <v>7</v>
      </c>
      <c r="EA682" s="27" t="s">
        <v>8</v>
      </c>
      <c r="EI682" s="27" t="s">
        <v>8</v>
      </c>
      <c r="EK682" s="27" t="s">
        <v>8</v>
      </c>
      <c r="EL682" s="27" t="s">
        <v>7</v>
      </c>
      <c r="EM682" s="27" t="s">
        <v>8</v>
      </c>
      <c r="EO682" s="27" t="s">
        <v>8</v>
      </c>
      <c r="ER682" s="27" t="s">
        <v>7</v>
      </c>
      <c r="ES682" s="27" t="s">
        <v>8</v>
      </c>
      <c r="ET682" s="27" t="s">
        <v>7</v>
      </c>
      <c r="FD682" s="27" t="s">
        <v>7</v>
      </c>
      <c r="FE682" s="27" t="s">
        <v>8</v>
      </c>
      <c r="FN682" s="27" t="s">
        <v>7</v>
      </c>
      <c r="FP682" s="27" t="s">
        <v>7</v>
      </c>
      <c r="FQ682" s="27" t="s">
        <v>8</v>
      </c>
      <c r="FR682" s="27" t="s">
        <v>7</v>
      </c>
      <c r="FS682" s="27" t="s">
        <v>8</v>
      </c>
      <c r="FT682" s="27" t="s">
        <v>7</v>
      </c>
      <c r="FU682" s="27" t="s">
        <v>8</v>
      </c>
      <c r="FV682" s="27" t="s">
        <v>7</v>
      </c>
      <c r="FW682" s="27" t="s">
        <v>8</v>
      </c>
      <c r="GD682" s="27" t="s">
        <v>7</v>
      </c>
      <c r="GE682" s="27" t="s">
        <v>8</v>
      </c>
      <c r="GF682" s="27" t="s">
        <v>7</v>
      </c>
      <c r="GG682" s="27" t="s">
        <v>8</v>
      </c>
      <c r="GI682" s="27" t="s">
        <v>8</v>
      </c>
      <c r="GJ682" s="27" t="s">
        <v>7</v>
      </c>
      <c r="GK682" s="27" t="s">
        <v>8</v>
      </c>
    </row>
    <row r="683" spans="1:195" x14ac:dyDescent="0.25">
      <c r="A683" s="7">
        <v>0.14941132283506509</v>
      </c>
      <c r="B683"/>
      <c r="C683"/>
      <c r="D683"/>
      <c r="E683"/>
      <c r="N683" s="27" t="s">
        <v>7</v>
      </c>
      <c r="AW683" s="27" t="s">
        <v>8</v>
      </c>
      <c r="AX683" s="27" t="s">
        <v>7</v>
      </c>
      <c r="AY683" s="27" t="s">
        <v>8</v>
      </c>
      <c r="AZ683" s="27" t="s">
        <v>7</v>
      </c>
      <c r="BA683" s="27" t="s">
        <v>8</v>
      </c>
      <c r="BD683" s="27" t="s">
        <v>7</v>
      </c>
      <c r="BE683" s="27" t="s">
        <v>8</v>
      </c>
      <c r="BF683" s="27" t="s">
        <v>7</v>
      </c>
      <c r="BJ683" s="27" t="s">
        <v>7</v>
      </c>
      <c r="BO683" s="27" t="s">
        <v>8</v>
      </c>
      <c r="BP683" s="27" t="s">
        <v>7</v>
      </c>
      <c r="BQ683" s="27" t="s">
        <v>8</v>
      </c>
      <c r="BR683" s="27" t="s">
        <v>7</v>
      </c>
      <c r="DK683" s="27" t="s">
        <v>8</v>
      </c>
      <c r="DL683" s="27" t="s">
        <v>7</v>
      </c>
      <c r="DM683" s="27" t="s">
        <v>8</v>
      </c>
      <c r="DN683" s="27" t="s">
        <v>7</v>
      </c>
      <c r="DQ683" s="27" t="s">
        <v>8</v>
      </c>
      <c r="DR683" s="27" t="s">
        <v>7</v>
      </c>
      <c r="DS683" s="27" t="s">
        <v>8</v>
      </c>
      <c r="DT683" s="27" t="s">
        <v>7</v>
      </c>
      <c r="DU683" s="27" t="s">
        <v>8</v>
      </c>
      <c r="DV683" s="27" t="s">
        <v>7</v>
      </c>
      <c r="DY683" s="27" t="s">
        <v>8</v>
      </c>
      <c r="DZ683" s="27" t="s">
        <v>7</v>
      </c>
      <c r="EA683" s="27" t="s">
        <v>8</v>
      </c>
      <c r="EB683" s="27" t="s">
        <v>7</v>
      </c>
      <c r="EI683" s="27" t="s">
        <v>8</v>
      </c>
      <c r="EJ683" s="27" t="s">
        <v>7</v>
      </c>
      <c r="EK683" s="27" t="s">
        <v>8</v>
      </c>
      <c r="EL683" s="27" t="s">
        <v>7</v>
      </c>
      <c r="EM683" s="27" t="s">
        <v>8</v>
      </c>
      <c r="EN683" s="27" t="s">
        <v>7</v>
      </c>
      <c r="EO683" s="27" t="s">
        <v>8</v>
      </c>
      <c r="ER683" s="27" t="s">
        <v>7</v>
      </c>
      <c r="ES683" s="27" t="s">
        <v>8</v>
      </c>
      <c r="FD683" s="27" t="s">
        <v>7</v>
      </c>
      <c r="FE683" s="27" t="s">
        <v>8</v>
      </c>
      <c r="FP683" s="27" t="s">
        <v>7</v>
      </c>
      <c r="FR683" s="27" t="s">
        <v>7</v>
      </c>
      <c r="FS683" s="27" t="s">
        <v>8</v>
      </c>
      <c r="FT683" s="27" t="s">
        <v>7</v>
      </c>
      <c r="FU683" s="27" t="s">
        <v>8</v>
      </c>
      <c r="FV683" s="27" t="s">
        <v>7</v>
      </c>
      <c r="FW683" s="27" t="s">
        <v>8</v>
      </c>
      <c r="GD683" s="27" t="s">
        <v>7</v>
      </c>
      <c r="GE683" s="27" t="s">
        <v>8</v>
      </c>
      <c r="GF683" s="27" t="s">
        <v>7</v>
      </c>
      <c r="GG683" s="27" t="s">
        <v>8</v>
      </c>
      <c r="GH683" s="27" t="s">
        <v>7</v>
      </c>
      <c r="GI683" s="27" t="s">
        <v>8</v>
      </c>
      <c r="GJ683" s="27" t="s">
        <v>7</v>
      </c>
      <c r="GK683" s="27" t="s">
        <v>8</v>
      </c>
    </row>
    <row r="684" spans="1:195" x14ac:dyDescent="0.25">
      <c r="A684" s="7">
        <v>0.14648168905398537</v>
      </c>
      <c r="B684"/>
      <c r="C684"/>
      <c r="D684"/>
      <c r="E684"/>
      <c r="N684" s="27" t="s">
        <v>7</v>
      </c>
      <c r="AW684" s="27" t="s">
        <v>8</v>
      </c>
      <c r="AX684" s="27" t="s">
        <v>7</v>
      </c>
      <c r="AY684" s="27" t="s">
        <v>8</v>
      </c>
      <c r="AZ684" s="27" t="s">
        <v>7</v>
      </c>
      <c r="BD684" s="27" t="s">
        <v>7</v>
      </c>
      <c r="BE684" s="27" t="s">
        <v>8</v>
      </c>
      <c r="BJ684" s="27" t="s">
        <v>7</v>
      </c>
      <c r="BO684" s="27" t="s">
        <v>8</v>
      </c>
      <c r="BP684" s="27" t="s">
        <v>7</v>
      </c>
      <c r="BQ684" s="27" t="s">
        <v>8</v>
      </c>
      <c r="BR684" s="27" t="s">
        <v>7</v>
      </c>
      <c r="DK684" s="27" t="s">
        <v>8</v>
      </c>
      <c r="DL684" s="27" t="s">
        <v>7</v>
      </c>
      <c r="DN684" s="27" t="s">
        <v>7</v>
      </c>
      <c r="DQ684" s="27" t="s">
        <v>8</v>
      </c>
      <c r="DR684" s="27" t="s">
        <v>7</v>
      </c>
      <c r="DS684" s="27" t="s">
        <v>8</v>
      </c>
      <c r="DT684" s="27" t="s">
        <v>7</v>
      </c>
      <c r="DU684" s="27" t="s">
        <v>8</v>
      </c>
      <c r="DV684" s="27" t="s">
        <v>7</v>
      </c>
      <c r="DW684" s="27" t="s">
        <v>8</v>
      </c>
      <c r="DY684" s="27" t="s">
        <v>8</v>
      </c>
      <c r="DZ684" s="27" t="s">
        <v>7</v>
      </c>
      <c r="EA684" s="27" t="s">
        <v>8</v>
      </c>
      <c r="EB684" s="27" t="s">
        <v>7</v>
      </c>
      <c r="EI684" s="27" t="s">
        <v>8</v>
      </c>
      <c r="EJ684" s="27" t="s">
        <v>7</v>
      </c>
      <c r="EK684" s="27" t="s">
        <v>8</v>
      </c>
      <c r="EL684" s="27" t="s">
        <v>7</v>
      </c>
      <c r="EM684" s="27" t="s">
        <v>8</v>
      </c>
      <c r="EN684" s="27" t="s">
        <v>7</v>
      </c>
      <c r="EO684" s="27" t="s">
        <v>8</v>
      </c>
      <c r="ER684" s="27" t="s">
        <v>7</v>
      </c>
      <c r="ES684" s="27" t="s">
        <v>8</v>
      </c>
      <c r="FD684" s="27" t="s">
        <v>7</v>
      </c>
      <c r="FE684" s="27" t="s">
        <v>8</v>
      </c>
      <c r="FR684" s="27" t="s">
        <v>7</v>
      </c>
      <c r="FT684" s="27" t="s">
        <v>7</v>
      </c>
      <c r="FU684" s="27" t="s">
        <v>8</v>
      </c>
      <c r="FV684" s="27" t="s">
        <v>7</v>
      </c>
      <c r="FW684" s="27" t="s">
        <v>8</v>
      </c>
      <c r="GD684" s="27" t="s">
        <v>7</v>
      </c>
      <c r="GE684" s="27" t="s">
        <v>8</v>
      </c>
      <c r="GF684" s="27" t="s">
        <v>7</v>
      </c>
      <c r="GG684" s="27" t="s">
        <v>8</v>
      </c>
      <c r="GH684" s="27" t="s">
        <v>7</v>
      </c>
      <c r="GI684" s="27" t="s">
        <v>8</v>
      </c>
      <c r="GJ684" s="27" t="s">
        <v>7</v>
      </c>
      <c r="GK684" s="27" t="s">
        <v>8</v>
      </c>
    </row>
    <row r="685" spans="1:195" x14ac:dyDescent="0.25">
      <c r="A685" s="7">
        <v>0.14360949907253467</v>
      </c>
      <c r="B685"/>
      <c r="C685"/>
      <c r="D685"/>
      <c r="E685"/>
      <c r="N685" s="27" t="s">
        <v>7</v>
      </c>
      <c r="AW685" s="27" t="s">
        <v>8</v>
      </c>
      <c r="AX685" s="27" t="s">
        <v>7</v>
      </c>
      <c r="AY685" s="27" t="s">
        <v>8</v>
      </c>
      <c r="BD685" s="27" t="s">
        <v>7</v>
      </c>
      <c r="BJ685" s="27" t="s">
        <v>7</v>
      </c>
      <c r="BO685" s="27" t="s">
        <v>8</v>
      </c>
      <c r="BP685" s="27" t="s">
        <v>7</v>
      </c>
      <c r="BQ685" s="27" t="s">
        <v>8</v>
      </c>
      <c r="BR685" s="27" t="s">
        <v>7</v>
      </c>
      <c r="DK685" s="27" t="s">
        <v>8</v>
      </c>
      <c r="DN685" s="27" t="s">
        <v>7</v>
      </c>
      <c r="DO685" s="27" t="s">
        <v>8</v>
      </c>
      <c r="DQ685" s="27" t="s">
        <v>8</v>
      </c>
      <c r="DR685" s="27" t="s">
        <v>7</v>
      </c>
      <c r="DS685" s="27" t="s">
        <v>8</v>
      </c>
      <c r="DT685" s="27" t="s">
        <v>7</v>
      </c>
      <c r="DU685" s="27" t="s">
        <v>8</v>
      </c>
      <c r="DV685" s="27" t="s">
        <v>7</v>
      </c>
      <c r="DW685" s="27" t="s">
        <v>8</v>
      </c>
      <c r="DX685" s="27" t="s">
        <v>7</v>
      </c>
      <c r="DY685" s="27" t="s">
        <v>8</v>
      </c>
      <c r="DZ685" s="27" t="s">
        <v>7</v>
      </c>
      <c r="EA685" s="27" t="s">
        <v>8</v>
      </c>
      <c r="EB685" s="27" t="s">
        <v>7</v>
      </c>
      <c r="EI685" s="27" t="s">
        <v>8</v>
      </c>
      <c r="EJ685" s="27" t="s">
        <v>7</v>
      </c>
      <c r="EL685" s="27" t="s">
        <v>7</v>
      </c>
      <c r="EM685" s="27" t="s">
        <v>8</v>
      </c>
      <c r="EN685" s="27" t="s">
        <v>7</v>
      </c>
      <c r="EO685" s="27" t="s">
        <v>8</v>
      </c>
      <c r="ER685" s="27" t="s">
        <v>7</v>
      </c>
      <c r="ES685" s="27" t="s">
        <v>8</v>
      </c>
      <c r="FD685" s="27" t="s">
        <v>7</v>
      </c>
      <c r="FT685" s="27" t="s">
        <v>7</v>
      </c>
      <c r="FU685" s="27" t="s">
        <v>8</v>
      </c>
      <c r="FV685" s="27" t="s">
        <v>7</v>
      </c>
      <c r="FW685" s="27" t="s">
        <v>8</v>
      </c>
      <c r="GD685" s="27" t="s">
        <v>7</v>
      </c>
      <c r="GE685" s="27" t="s">
        <v>8</v>
      </c>
      <c r="GF685" s="27" t="s">
        <v>7</v>
      </c>
      <c r="GG685" s="27" t="s">
        <v>8</v>
      </c>
      <c r="GH685" s="27" t="s">
        <v>7</v>
      </c>
      <c r="GI685" s="27" t="s">
        <v>8</v>
      </c>
      <c r="GJ685" s="27" t="s">
        <v>7</v>
      </c>
      <c r="GK685" s="27" t="s">
        <v>8</v>
      </c>
    </row>
    <row r="686" spans="1:195" x14ac:dyDescent="0.25">
      <c r="A686" s="7">
        <v>0.14079362654170066</v>
      </c>
      <c r="B686"/>
      <c r="C686"/>
      <c r="D686"/>
      <c r="E686"/>
      <c r="N686" s="27" t="s">
        <v>7</v>
      </c>
      <c r="AW686" s="27" t="s">
        <v>8</v>
      </c>
      <c r="AX686" s="27" t="s">
        <v>7</v>
      </c>
      <c r="AY686" s="27" t="s">
        <v>8</v>
      </c>
      <c r="BJ686" s="27" t="s">
        <v>7</v>
      </c>
      <c r="BO686" s="27" t="s">
        <v>8</v>
      </c>
      <c r="BP686" s="27" t="s">
        <v>7</v>
      </c>
      <c r="BQ686" s="27" t="s">
        <v>8</v>
      </c>
      <c r="BR686" s="27" t="s">
        <v>7</v>
      </c>
      <c r="DK686" s="27" t="s">
        <v>8</v>
      </c>
      <c r="DN686" s="27" t="s">
        <v>7</v>
      </c>
      <c r="DO686" s="27" t="s">
        <v>8</v>
      </c>
      <c r="DP686" s="27" t="s">
        <v>7</v>
      </c>
      <c r="DQ686" s="27" t="s">
        <v>8</v>
      </c>
      <c r="DR686" s="27" t="s">
        <v>7</v>
      </c>
      <c r="DS686" s="27" t="s">
        <v>8</v>
      </c>
      <c r="DT686" s="27" t="s">
        <v>7</v>
      </c>
      <c r="DV686" s="27" t="s">
        <v>7</v>
      </c>
      <c r="DW686" s="27" t="s">
        <v>8</v>
      </c>
      <c r="DX686" s="27" t="s">
        <v>7</v>
      </c>
      <c r="DY686" s="27" t="s">
        <v>8</v>
      </c>
      <c r="DZ686" s="27" t="s">
        <v>7</v>
      </c>
      <c r="EA686" s="27" t="s">
        <v>8</v>
      </c>
      <c r="EB686" s="27" t="s">
        <v>7</v>
      </c>
      <c r="EI686" s="27" t="s">
        <v>8</v>
      </c>
      <c r="EL686" s="27" t="s">
        <v>7</v>
      </c>
      <c r="EM686" s="27" t="s">
        <v>8</v>
      </c>
      <c r="EN686" s="27" t="s">
        <v>7</v>
      </c>
      <c r="ER686" s="27" t="s">
        <v>7</v>
      </c>
      <c r="FT686" s="27" t="s">
        <v>7</v>
      </c>
      <c r="FU686" s="27" t="s">
        <v>8</v>
      </c>
      <c r="FV686" s="27" t="s">
        <v>7</v>
      </c>
      <c r="FW686" s="27" t="s">
        <v>8</v>
      </c>
      <c r="GD686" s="27" t="s">
        <v>7</v>
      </c>
      <c r="GE686" s="27" t="s">
        <v>8</v>
      </c>
      <c r="GF686" s="27" t="s">
        <v>7</v>
      </c>
      <c r="GH686" s="27" t="s">
        <v>7</v>
      </c>
      <c r="GI686" s="27" t="s">
        <v>8</v>
      </c>
      <c r="GJ686" s="27" t="s">
        <v>7</v>
      </c>
    </row>
    <row r="687" spans="1:195" x14ac:dyDescent="0.25">
      <c r="A687" s="7">
        <v>0.13803296719774574</v>
      </c>
      <c r="B687"/>
      <c r="C687"/>
      <c r="D687"/>
      <c r="E687"/>
      <c r="N687" s="27" t="s">
        <v>7</v>
      </c>
      <c r="O687" s="27" t="s">
        <v>8</v>
      </c>
      <c r="AE687" s="27" t="s">
        <v>8</v>
      </c>
      <c r="AW687" s="27" t="s">
        <v>8</v>
      </c>
      <c r="AX687" s="27" t="s">
        <v>7</v>
      </c>
      <c r="AY687" s="27" t="s">
        <v>8</v>
      </c>
      <c r="BJ687" s="27" t="s">
        <v>7</v>
      </c>
      <c r="BK687" s="27" t="s">
        <v>8</v>
      </c>
      <c r="BO687" s="27" t="s">
        <v>8</v>
      </c>
      <c r="BP687" s="27" t="s">
        <v>7</v>
      </c>
      <c r="BQ687" s="27" t="s">
        <v>8</v>
      </c>
      <c r="BR687" s="27" t="s">
        <v>7</v>
      </c>
      <c r="DK687" s="27" t="s">
        <v>8</v>
      </c>
      <c r="DN687" s="27" t="s">
        <v>7</v>
      </c>
      <c r="DO687" s="27" t="s">
        <v>8</v>
      </c>
      <c r="DP687" s="27" t="s">
        <v>7</v>
      </c>
      <c r="DQ687" s="27" t="s">
        <v>8</v>
      </c>
      <c r="DR687" s="27" t="s">
        <v>7</v>
      </c>
      <c r="DS687" s="27" t="s">
        <v>8</v>
      </c>
      <c r="DV687" s="27" t="s">
        <v>7</v>
      </c>
      <c r="DW687" s="27" t="s">
        <v>8</v>
      </c>
      <c r="DX687" s="27" t="s">
        <v>7</v>
      </c>
      <c r="DZ687" s="27" t="s">
        <v>7</v>
      </c>
      <c r="EB687" s="27" t="s">
        <v>7</v>
      </c>
      <c r="EC687" s="27" t="s">
        <v>8</v>
      </c>
      <c r="EE687" s="27" t="s">
        <v>8</v>
      </c>
      <c r="EI687" s="27" t="s">
        <v>8</v>
      </c>
      <c r="EL687" s="27" t="s">
        <v>7</v>
      </c>
      <c r="EM687" s="27" t="s">
        <v>8</v>
      </c>
      <c r="FT687" s="27" t="s">
        <v>7</v>
      </c>
      <c r="FV687" s="27" t="s">
        <v>7</v>
      </c>
      <c r="GD687" s="27" t="s">
        <v>7</v>
      </c>
      <c r="GH687" s="27" t="s">
        <v>7</v>
      </c>
    </row>
    <row r="688" spans="1:195" x14ac:dyDescent="0.25">
      <c r="A688" s="7">
        <v>0.1353264384291625</v>
      </c>
      <c r="B688"/>
      <c r="C688"/>
      <c r="D688"/>
      <c r="E688"/>
      <c r="N688" s="27" t="s">
        <v>7</v>
      </c>
      <c r="O688" s="27" t="s">
        <v>8</v>
      </c>
      <c r="P688" s="27" t="s">
        <v>7</v>
      </c>
      <c r="AE688" s="27" t="s">
        <v>8</v>
      </c>
      <c r="AF688" s="27" t="s">
        <v>7</v>
      </c>
      <c r="AW688" s="27" t="s">
        <v>8</v>
      </c>
      <c r="AX688" s="27" t="s">
        <v>7</v>
      </c>
      <c r="AY688" s="27" t="s">
        <v>8</v>
      </c>
      <c r="BJ688" s="27" t="s">
        <v>7</v>
      </c>
      <c r="BK688" s="27" t="s">
        <v>8</v>
      </c>
      <c r="BL688" s="27" t="s">
        <v>7</v>
      </c>
      <c r="BO688" s="27" t="s">
        <v>8</v>
      </c>
      <c r="BP688" s="27" t="s">
        <v>7</v>
      </c>
      <c r="BQ688" s="27" t="s">
        <v>8</v>
      </c>
      <c r="BR688" s="27" t="s">
        <v>7</v>
      </c>
      <c r="DG688" s="27" t="s">
        <v>8</v>
      </c>
      <c r="DI688" s="27" t="s">
        <v>8</v>
      </c>
      <c r="DK688" s="27" t="s">
        <v>8</v>
      </c>
      <c r="DN688" s="27" t="s">
        <v>7</v>
      </c>
      <c r="DO688" s="27" t="s">
        <v>8</v>
      </c>
      <c r="DP688" s="27" t="s">
        <v>7</v>
      </c>
      <c r="DQ688" s="27" t="s">
        <v>8</v>
      </c>
      <c r="DR688" s="27" t="s">
        <v>7</v>
      </c>
      <c r="DS688" s="27" t="s">
        <v>8</v>
      </c>
      <c r="DV688" s="27" t="s">
        <v>7</v>
      </c>
      <c r="EB688" s="27" t="s">
        <v>7</v>
      </c>
      <c r="EC688" s="27" t="s">
        <v>8</v>
      </c>
      <c r="ED688" s="27" t="s">
        <v>7</v>
      </c>
      <c r="EE688" s="27" t="s">
        <v>8</v>
      </c>
      <c r="EF688" s="27" t="s">
        <v>7</v>
      </c>
      <c r="EG688" s="27" t="s">
        <v>8</v>
      </c>
      <c r="EI688" s="27" t="s">
        <v>8</v>
      </c>
      <c r="EL688" s="27" t="s">
        <v>7</v>
      </c>
      <c r="EM688" s="27" t="s">
        <v>8</v>
      </c>
    </row>
    <row r="689" spans="1:142" x14ac:dyDescent="0.25">
      <c r="A689" s="7">
        <v>0.13267297885212009</v>
      </c>
      <c r="B689"/>
      <c r="C689"/>
      <c r="D689"/>
      <c r="E689"/>
      <c r="N689" s="27" t="s">
        <v>7</v>
      </c>
      <c r="O689" s="27" t="s">
        <v>8</v>
      </c>
      <c r="P689" s="27" t="s">
        <v>7</v>
      </c>
      <c r="AC689" s="27" t="s">
        <v>8</v>
      </c>
      <c r="AE689" s="27" t="s">
        <v>8</v>
      </c>
      <c r="AF689" s="27" t="s">
        <v>7</v>
      </c>
      <c r="AW689" s="27" t="s">
        <v>8</v>
      </c>
      <c r="AX689" s="27" t="s">
        <v>7</v>
      </c>
      <c r="BJ689" s="27" t="s">
        <v>7</v>
      </c>
      <c r="BK689" s="27" t="s">
        <v>8</v>
      </c>
      <c r="BL689" s="27" t="s">
        <v>7</v>
      </c>
      <c r="BM689" s="27" t="s">
        <v>8</v>
      </c>
      <c r="BO689" s="27" t="s">
        <v>8</v>
      </c>
      <c r="BP689" s="27" t="s">
        <v>7</v>
      </c>
      <c r="BQ689" s="27" t="s">
        <v>8</v>
      </c>
      <c r="BR689" s="27" t="s">
        <v>7</v>
      </c>
      <c r="DE689" s="27" t="s">
        <v>8</v>
      </c>
      <c r="DG689" s="27" t="s">
        <v>8</v>
      </c>
      <c r="DH689" s="27" t="s">
        <v>7</v>
      </c>
      <c r="DI689" s="27" t="s">
        <v>8</v>
      </c>
      <c r="DJ689" s="27" t="s">
        <v>7</v>
      </c>
      <c r="DK689" s="27" t="s">
        <v>8</v>
      </c>
      <c r="DN689" s="27" t="s">
        <v>7</v>
      </c>
      <c r="DP689" s="27" t="s">
        <v>7</v>
      </c>
      <c r="DQ689" s="27" t="s">
        <v>8</v>
      </c>
      <c r="DR689" s="27" t="s">
        <v>7</v>
      </c>
      <c r="EB689" s="27" t="s">
        <v>7</v>
      </c>
      <c r="EC689" s="27" t="s">
        <v>8</v>
      </c>
      <c r="ED689" s="27" t="s">
        <v>7</v>
      </c>
      <c r="EE689" s="27" t="s">
        <v>8</v>
      </c>
      <c r="EF689" s="27" t="s">
        <v>7</v>
      </c>
      <c r="EG689" s="27" t="s">
        <v>8</v>
      </c>
      <c r="EH689" s="27" t="s">
        <v>7</v>
      </c>
      <c r="EI689" s="27" t="s">
        <v>8</v>
      </c>
      <c r="EL689" s="27" t="s">
        <v>7</v>
      </c>
    </row>
    <row r="690" spans="1:142" x14ac:dyDescent="0.25">
      <c r="A690" s="7">
        <v>0.13007154789423539</v>
      </c>
      <c r="B690"/>
      <c r="C690"/>
      <c r="D690"/>
      <c r="E690"/>
      <c r="N690" s="27" t="s">
        <v>7</v>
      </c>
      <c r="O690" s="27" t="s">
        <v>8</v>
      </c>
      <c r="P690" s="27" t="s">
        <v>7</v>
      </c>
      <c r="AC690" s="27" t="s">
        <v>8</v>
      </c>
      <c r="AD690" s="27" t="s">
        <v>7</v>
      </c>
      <c r="AE690" s="27" t="s">
        <v>8</v>
      </c>
      <c r="AF690" s="27" t="s">
        <v>7</v>
      </c>
      <c r="AW690" s="27" t="s">
        <v>8</v>
      </c>
      <c r="BJ690" s="27" t="s">
        <v>7</v>
      </c>
      <c r="BK690" s="27" t="s">
        <v>8</v>
      </c>
      <c r="BL690" s="27" t="s">
        <v>7</v>
      </c>
      <c r="BM690" s="27" t="s">
        <v>8</v>
      </c>
      <c r="BN690" s="27" t="s">
        <v>7</v>
      </c>
      <c r="BO690" s="27" t="s">
        <v>8</v>
      </c>
      <c r="BP690" s="27" t="s">
        <v>7</v>
      </c>
      <c r="BQ690" s="27" t="s">
        <v>8</v>
      </c>
      <c r="BR690" s="27" t="s">
        <v>7</v>
      </c>
      <c r="DE690" s="27" t="s">
        <v>8</v>
      </c>
      <c r="DF690" s="27" t="s">
        <v>7</v>
      </c>
      <c r="DG690" s="27" t="s">
        <v>8</v>
      </c>
      <c r="DH690" s="27" t="s">
        <v>7</v>
      </c>
      <c r="DI690" s="27" t="s">
        <v>8</v>
      </c>
      <c r="DJ690" s="27" t="s">
        <v>7</v>
      </c>
      <c r="DK690" s="27" t="s">
        <v>8</v>
      </c>
      <c r="DP690" s="27" t="s">
        <v>7</v>
      </c>
      <c r="DQ690" s="27" t="s">
        <v>8</v>
      </c>
      <c r="EB690" s="27" t="s">
        <v>7</v>
      </c>
      <c r="ED690" s="27" t="s">
        <v>7</v>
      </c>
      <c r="EE690" s="27" t="s">
        <v>8</v>
      </c>
      <c r="EF690" s="27" t="s">
        <v>7</v>
      </c>
      <c r="EG690" s="27" t="s">
        <v>8</v>
      </c>
      <c r="EH690" s="27" t="s">
        <v>7</v>
      </c>
      <c r="EI690" s="27" t="s">
        <v>8</v>
      </c>
    </row>
    <row r="691" spans="1:142" x14ac:dyDescent="0.25">
      <c r="A691" s="7">
        <v>0.12752112538650529</v>
      </c>
      <c r="B691"/>
      <c r="C691"/>
      <c r="D691"/>
      <c r="E691"/>
      <c r="N691" s="27" t="s">
        <v>7</v>
      </c>
      <c r="O691" s="27" t="s">
        <v>8</v>
      </c>
      <c r="P691" s="27" t="s">
        <v>7</v>
      </c>
      <c r="AC691" s="27" t="s">
        <v>8</v>
      </c>
      <c r="AD691" s="27" t="s">
        <v>7</v>
      </c>
      <c r="AE691" s="27" t="s">
        <v>8</v>
      </c>
      <c r="AF691" s="27" t="s">
        <v>7</v>
      </c>
      <c r="AW691" s="27" t="s">
        <v>8</v>
      </c>
      <c r="BJ691" s="27" t="s">
        <v>7</v>
      </c>
      <c r="BK691" s="27" t="s">
        <v>8</v>
      </c>
      <c r="BL691" s="27" t="s">
        <v>7</v>
      </c>
      <c r="BM691" s="27" t="s">
        <v>8</v>
      </c>
      <c r="BN691" s="27" t="s">
        <v>7</v>
      </c>
      <c r="BO691" s="27" t="s">
        <v>8</v>
      </c>
      <c r="BP691" s="27" t="s">
        <v>7</v>
      </c>
      <c r="BQ691" s="27" t="s">
        <v>8</v>
      </c>
      <c r="BR691" s="27" t="s">
        <v>7</v>
      </c>
      <c r="DE691" s="27" t="s">
        <v>8</v>
      </c>
      <c r="DF691" s="27" t="s">
        <v>7</v>
      </c>
      <c r="DG691" s="27" t="s">
        <v>8</v>
      </c>
      <c r="DH691" s="27" t="s">
        <v>7</v>
      </c>
      <c r="DI691" s="27" t="s">
        <v>8</v>
      </c>
      <c r="DJ691" s="27" t="s">
        <v>7</v>
      </c>
      <c r="DP691" s="27" t="s">
        <v>7</v>
      </c>
      <c r="DQ691" s="27" t="s">
        <v>8</v>
      </c>
      <c r="ED691" s="27" t="s">
        <v>7</v>
      </c>
      <c r="EE691" s="27" t="s">
        <v>8</v>
      </c>
      <c r="EF691" s="27" t="s">
        <v>7</v>
      </c>
      <c r="EH691" s="27" t="s">
        <v>7</v>
      </c>
      <c r="EI691" s="27" t="s">
        <v>8</v>
      </c>
    </row>
    <row r="692" spans="1:142" x14ac:dyDescent="0.25">
      <c r="A692" s="7">
        <v>0.12502071116324048</v>
      </c>
      <c r="B692"/>
      <c r="C692"/>
      <c r="D692"/>
      <c r="E692"/>
      <c r="N692" s="27" t="s">
        <v>7</v>
      </c>
      <c r="O692" s="27" t="s">
        <v>8</v>
      </c>
      <c r="P692" s="27" t="s">
        <v>7</v>
      </c>
      <c r="AA692" s="27" t="s">
        <v>8</v>
      </c>
      <c r="AC692" s="27" t="s">
        <v>8</v>
      </c>
      <c r="AD692" s="27" t="s">
        <v>7</v>
      </c>
      <c r="AE692" s="27" t="s">
        <v>8</v>
      </c>
      <c r="AF692" s="27" t="s">
        <v>7</v>
      </c>
      <c r="AW692" s="27" t="s">
        <v>8</v>
      </c>
      <c r="BJ692" s="27" t="s">
        <v>7</v>
      </c>
      <c r="BK692" s="27" t="s">
        <v>8</v>
      </c>
      <c r="BL692" s="27" t="s">
        <v>7</v>
      </c>
      <c r="BM692" s="27" t="s">
        <v>8</v>
      </c>
      <c r="BN692" s="27" t="s">
        <v>7</v>
      </c>
      <c r="BO692" s="27" t="s">
        <v>8</v>
      </c>
      <c r="BP692" s="27" t="s">
        <v>7</v>
      </c>
      <c r="BQ692" s="27" t="s">
        <v>8</v>
      </c>
      <c r="BR692" s="27" t="s">
        <v>7</v>
      </c>
      <c r="DC692" s="27" t="s">
        <v>8</v>
      </c>
      <c r="DE692" s="27" t="s">
        <v>8</v>
      </c>
      <c r="DF692" s="27" t="s">
        <v>7</v>
      </c>
      <c r="DG692" s="27" t="s">
        <v>8</v>
      </c>
      <c r="DH692" s="27" t="s">
        <v>7</v>
      </c>
      <c r="DP692" s="27" t="s">
        <v>7</v>
      </c>
      <c r="DQ692" s="27" t="s">
        <v>8</v>
      </c>
      <c r="ED692" s="27" t="s">
        <v>7</v>
      </c>
      <c r="EE692" s="27" t="s">
        <v>8</v>
      </c>
      <c r="EH692" s="27" t="s">
        <v>7</v>
      </c>
    </row>
    <row r="693" spans="1:142" x14ac:dyDescent="0.25">
      <c r="A693" s="7">
        <v>0.1225693246698436</v>
      </c>
      <c r="B693"/>
      <c r="C693"/>
      <c r="D693"/>
      <c r="E693"/>
      <c r="N693" s="27" t="s">
        <v>7</v>
      </c>
      <c r="O693" s="27" t="s">
        <v>8</v>
      </c>
      <c r="P693" s="27" t="s">
        <v>7</v>
      </c>
      <c r="AA693" s="27" t="s">
        <v>8</v>
      </c>
      <c r="AB693" s="27" t="s">
        <v>7</v>
      </c>
      <c r="AC693" s="27" t="s">
        <v>8</v>
      </c>
      <c r="AD693" s="27" t="s">
        <v>7</v>
      </c>
      <c r="AE693" s="27" t="s">
        <v>8</v>
      </c>
      <c r="AF693" s="27" t="s">
        <v>7</v>
      </c>
      <c r="AG693" s="27" t="s">
        <v>8</v>
      </c>
      <c r="AW693" s="27" t="s">
        <v>8</v>
      </c>
      <c r="BJ693" s="27" t="s">
        <v>7</v>
      </c>
      <c r="BL693" s="27" t="s">
        <v>7</v>
      </c>
      <c r="BM693" s="27" t="s">
        <v>8</v>
      </c>
      <c r="BN693" s="27" t="s">
        <v>7</v>
      </c>
      <c r="BO693" s="27" t="s">
        <v>8</v>
      </c>
      <c r="BP693" s="27" t="s">
        <v>7</v>
      </c>
      <c r="BQ693" s="27" t="s">
        <v>8</v>
      </c>
      <c r="BR693" s="27" t="s">
        <v>7</v>
      </c>
      <c r="DC693" s="27" t="s">
        <v>8</v>
      </c>
      <c r="DD693" s="27" t="s">
        <v>7</v>
      </c>
      <c r="DE693" s="27" t="s">
        <v>8</v>
      </c>
      <c r="DF693" s="27" t="s">
        <v>7</v>
      </c>
      <c r="DG693" s="27" t="s">
        <v>8</v>
      </c>
      <c r="DP693" s="27" t="s">
        <v>7</v>
      </c>
      <c r="DQ693" s="27" t="s">
        <v>8</v>
      </c>
      <c r="ED693" s="27" t="s">
        <v>7</v>
      </c>
      <c r="EE693" s="27" t="s">
        <v>8</v>
      </c>
    </row>
    <row r="694" spans="1:142" x14ac:dyDescent="0.25">
      <c r="A694" s="7">
        <v>0.12016600457827803</v>
      </c>
      <c r="B694"/>
      <c r="C694"/>
      <c r="D694"/>
      <c r="E694"/>
      <c r="N694" s="27" t="s">
        <v>7</v>
      </c>
      <c r="O694" s="27" t="s">
        <v>8</v>
      </c>
      <c r="P694" s="27" t="s">
        <v>7</v>
      </c>
      <c r="S694" s="27" t="s">
        <v>8</v>
      </c>
      <c r="AA694" s="27" t="s">
        <v>8</v>
      </c>
      <c r="AB694" s="27" t="s">
        <v>7</v>
      </c>
      <c r="AC694" s="27" t="s">
        <v>8</v>
      </c>
      <c r="AD694" s="27" t="s">
        <v>7</v>
      </c>
      <c r="AF694" s="27" t="s">
        <v>7</v>
      </c>
      <c r="AG694" s="27" t="s">
        <v>8</v>
      </c>
      <c r="AH694" s="27" t="s">
        <v>7</v>
      </c>
      <c r="AW694" s="27" t="s">
        <v>8</v>
      </c>
      <c r="BL694" s="27" t="s">
        <v>7</v>
      </c>
      <c r="BM694" s="27" t="s">
        <v>8</v>
      </c>
      <c r="BN694" s="27" t="s">
        <v>7</v>
      </c>
      <c r="BO694" s="27" t="s">
        <v>8</v>
      </c>
      <c r="BP694" s="27" t="s">
        <v>7</v>
      </c>
      <c r="BQ694" s="27" t="s">
        <v>8</v>
      </c>
      <c r="BR694" s="27" t="s">
        <v>7</v>
      </c>
      <c r="DC694" s="27" t="s">
        <v>8</v>
      </c>
      <c r="DD694" s="27" t="s">
        <v>7</v>
      </c>
      <c r="DE694" s="27" t="s">
        <v>8</v>
      </c>
      <c r="DF694" s="27" t="s">
        <v>7</v>
      </c>
      <c r="DP694" s="27" t="s">
        <v>7</v>
      </c>
      <c r="DQ694" s="27" t="s">
        <v>8</v>
      </c>
      <c r="ED694" s="27" t="s">
        <v>7</v>
      </c>
      <c r="EE694" s="27" t="s">
        <v>8</v>
      </c>
    </row>
    <row r="695" spans="1:142" x14ac:dyDescent="0.25">
      <c r="A695" s="7">
        <v>0.1178098084100765</v>
      </c>
      <c r="B695"/>
      <c r="C695"/>
      <c r="D695"/>
      <c r="E695"/>
      <c r="N695" s="27" t="s">
        <v>7</v>
      </c>
      <c r="O695" s="27" t="s">
        <v>8</v>
      </c>
      <c r="P695" s="27" t="s">
        <v>7</v>
      </c>
      <c r="S695" s="27" t="s">
        <v>8</v>
      </c>
      <c r="T695" s="27" t="s">
        <v>7</v>
      </c>
      <c r="AA695" s="27" t="s">
        <v>8</v>
      </c>
      <c r="AB695" s="27" t="s">
        <v>7</v>
      </c>
      <c r="AC695" s="27" t="s">
        <v>8</v>
      </c>
      <c r="AF695" s="27" t="s">
        <v>7</v>
      </c>
      <c r="AG695" s="27" t="s">
        <v>8</v>
      </c>
      <c r="AH695" s="27" t="s">
        <v>7</v>
      </c>
      <c r="AW695" s="27" t="s">
        <v>8</v>
      </c>
      <c r="BL695" s="27" t="s">
        <v>7</v>
      </c>
      <c r="BN695" s="27" t="s">
        <v>7</v>
      </c>
      <c r="BO695" s="27" t="s">
        <v>8</v>
      </c>
      <c r="BP695" s="27" t="s">
        <v>7</v>
      </c>
      <c r="BQ695" s="27" t="s">
        <v>8</v>
      </c>
      <c r="BR695" s="27" t="s">
        <v>7</v>
      </c>
      <c r="DC695" s="27" t="s">
        <v>8</v>
      </c>
      <c r="DD695" s="27" t="s">
        <v>7</v>
      </c>
      <c r="DE695" s="27" t="s">
        <v>8</v>
      </c>
      <c r="DP695" s="27" t="s">
        <v>7</v>
      </c>
      <c r="ED695" s="27" t="s">
        <v>7</v>
      </c>
    </row>
    <row r="696" spans="1:142" x14ac:dyDescent="0.25">
      <c r="A696" s="7">
        <v>0.11549981216674166</v>
      </c>
      <c r="B696"/>
      <c r="C696"/>
      <c r="D696"/>
      <c r="E696"/>
      <c r="N696" s="27" t="s">
        <v>7</v>
      </c>
      <c r="O696" s="27" t="s">
        <v>8</v>
      </c>
      <c r="P696" s="27" t="s">
        <v>7</v>
      </c>
      <c r="Q696" s="27" t="s">
        <v>8</v>
      </c>
      <c r="S696" s="27" t="s">
        <v>8</v>
      </c>
      <c r="T696" s="27" t="s">
        <v>7</v>
      </c>
      <c r="AA696" s="27" t="s">
        <v>8</v>
      </c>
      <c r="AB696" s="27" t="s">
        <v>7</v>
      </c>
      <c r="AC696" s="27" t="s">
        <v>8</v>
      </c>
      <c r="AF696" s="27" t="s">
        <v>7</v>
      </c>
      <c r="AG696" s="27" t="s">
        <v>8</v>
      </c>
      <c r="AH696" s="27" t="s">
        <v>7</v>
      </c>
      <c r="AW696" s="27" t="s">
        <v>8</v>
      </c>
      <c r="BN696" s="27" t="s">
        <v>7</v>
      </c>
      <c r="BP696" s="27" t="s">
        <v>7</v>
      </c>
      <c r="BQ696" s="27" t="s">
        <v>8</v>
      </c>
      <c r="BR696" s="27" t="s">
        <v>7</v>
      </c>
      <c r="CS696" s="27" t="s">
        <v>8</v>
      </c>
      <c r="DC696" s="27" t="s">
        <v>8</v>
      </c>
      <c r="DD696" s="27" t="s">
        <v>7</v>
      </c>
      <c r="DE696" s="27" t="s">
        <v>8</v>
      </c>
    </row>
    <row r="697" spans="1:142" x14ac:dyDescent="0.25">
      <c r="A697" s="7">
        <v>0.11323510996739378</v>
      </c>
      <c r="B697"/>
      <c r="C697"/>
      <c r="D697"/>
      <c r="E697"/>
      <c r="N697" s="27" t="s">
        <v>7</v>
      </c>
      <c r="O697" s="27" t="s">
        <v>8</v>
      </c>
      <c r="P697" s="27" t="s">
        <v>7</v>
      </c>
      <c r="Q697" s="27" t="s">
        <v>8</v>
      </c>
      <c r="R697" s="27" t="s">
        <v>7</v>
      </c>
      <c r="S697" s="27" t="s">
        <v>8</v>
      </c>
      <c r="T697" s="27" t="s">
        <v>7</v>
      </c>
      <c r="AA697" s="27" t="s">
        <v>8</v>
      </c>
      <c r="AB697" s="27" t="s">
        <v>7</v>
      </c>
      <c r="AC697" s="27" t="s">
        <v>8</v>
      </c>
      <c r="AF697" s="27" t="s">
        <v>7</v>
      </c>
      <c r="AH697" s="27" t="s">
        <v>7</v>
      </c>
      <c r="AW697" s="27" t="s">
        <v>8</v>
      </c>
      <c r="BP697" s="27" t="s">
        <v>7</v>
      </c>
      <c r="BQ697" s="27" t="s">
        <v>8</v>
      </c>
      <c r="BR697" s="27" t="s">
        <v>7</v>
      </c>
      <c r="CC697" s="27" t="s">
        <v>8</v>
      </c>
      <c r="CS697" s="27" t="s">
        <v>8</v>
      </c>
      <c r="CT697" s="27" t="s">
        <v>7</v>
      </c>
      <c r="CU697" s="27" t="s">
        <v>8</v>
      </c>
      <c r="CW697" s="27" t="s">
        <v>8</v>
      </c>
      <c r="CY697" s="27" t="s">
        <v>8</v>
      </c>
      <c r="DA697" s="27" t="s">
        <v>8</v>
      </c>
      <c r="DC697" s="27" t="s">
        <v>8</v>
      </c>
      <c r="DD697" s="27" t="s">
        <v>7</v>
      </c>
      <c r="DE697" s="27" t="s">
        <v>8</v>
      </c>
    </row>
    <row r="698" spans="1:142" x14ac:dyDescent="0.25">
      <c r="A698" s="7">
        <v>0.11101481369352331</v>
      </c>
      <c r="B698"/>
      <c r="C698"/>
      <c r="D698"/>
      <c r="E698"/>
      <c r="N698" s="27" t="s">
        <v>7</v>
      </c>
      <c r="O698" s="27" t="s">
        <v>8</v>
      </c>
      <c r="P698" s="27" t="s">
        <v>7</v>
      </c>
      <c r="Q698" s="27" t="s">
        <v>8</v>
      </c>
      <c r="R698" s="27" t="s">
        <v>7</v>
      </c>
      <c r="S698" s="27" t="s">
        <v>8</v>
      </c>
      <c r="T698" s="27" t="s">
        <v>7</v>
      </c>
      <c r="AA698" s="27" t="s">
        <v>8</v>
      </c>
      <c r="AB698" s="27" t="s">
        <v>7</v>
      </c>
      <c r="AC698" s="27" t="s">
        <v>8</v>
      </c>
      <c r="AH698" s="27" t="s">
        <v>7</v>
      </c>
      <c r="AS698" s="27" t="s">
        <v>8</v>
      </c>
      <c r="AU698" s="27" t="s">
        <v>8</v>
      </c>
      <c r="AW698" s="27" t="s">
        <v>8</v>
      </c>
      <c r="BP698" s="27" t="s">
        <v>7</v>
      </c>
      <c r="BQ698" s="27" t="s">
        <v>8</v>
      </c>
      <c r="BR698" s="27" t="s">
        <v>7</v>
      </c>
      <c r="CC698" s="27" t="s">
        <v>8</v>
      </c>
      <c r="CD698" s="27" t="s">
        <v>7</v>
      </c>
      <c r="CK698" s="27" t="s">
        <v>8</v>
      </c>
      <c r="CQ698" s="27" t="s">
        <v>8</v>
      </c>
      <c r="CS698" s="27" t="s">
        <v>8</v>
      </c>
      <c r="CT698" s="27" t="s">
        <v>7</v>
      </c>
      <c r="CU698" s="27" t="s">
        <v>8</v>
      </c>
      <c r="CV698" s="27" t="s">
        <v>7</v>
      </c>
      <c r="CW698" s="27" t="s">
        <v>8</v>
      </c>
      <c r="CX698" s="27" t="s">
        <v>7</v>
      </c>
      <c r="CY698" s="27" t="s">
        <v>8</v>
      </c>
      <c r="CZ698" s="27" t="s">
        <v>7</v>
      </c>
      <c r="DA698" s="27" t="s">
        <v>8</v>
      </c>
      <c r="DB698" s="27" t="s">
        <v>7</v>
      </c>
      <c r="DC698" s="27" t="s">
        <v>8</v>
      </c>
      <c r="DD698" s="27" t="s">
        <v>7</v>
      </c>
    </row>
    <row r="699" spans="1:142" x14ac:dyDescent="0.25">
      <c r="A699" s="7">
        <v>0.10883805264070913</v>
      </c>
      <c r="B699"/>
      <c r="C699"/>
      <c r="D699"/>
      <c r="E699"/>
      <c r="N699" s="27" t="s">
        <v>7</v>
      </c>
      <c r="O699" s="27" t="s">
        <v>8</v>
      </c>
      <c r="P699" s="27" t="s">
        <v>7</v>
      </c>
      <c r="Q699" s="27" t="s">
        <v>8</v>
      </c>
      <c r="R699" s="27" t="s">
        <v>7</v>
      </c>
      <c r="S699" s="27" t="s">
        <v>8</v>
      </c>
      <c r="T699" s="27" t="s">
        <v>7</v>
      </c>
      <c r="AA699" s="27" t="s">
        <v>8</v>
      </c>
      <c r="AB699" s="27" t="s">
        <v>7</v>
      </c>
      <c r="AC699" s="27" t="s">
        <v>8</v>
      </c>
      <c r="AH699" s="27" t="s">
        <v>7</v>
      </c>
      <c r="AS699" s="27" t="s">
        <v>8</v>
      </c>
      <c r="AT699" s="27" t="s">
        <v>7</v>
      </c>
      <c r="AU699" s="27" t="s">
        <v>8</v>
      </c>
      <c r="AV699" s="27" t="s">
        <v>7</v>
      </c>
      <c r="AW699" s="27" t="s">
        <v>8</v>
      </c>
      <c r="BP699" s="27" t="s">
        <v>7</v>
      </c>
      <c r="BQ699" s="27" t="s">
        <v>8</v>
      </c>
      <c r="BR699" s="27" t="s">
        <v>7</v>
      </c>
      <c r="CC699" s="27" t="s">
        <v>8</v>
      </c>
      <c r="CD699" s="27" t="s">
        <v>7</v>
      </c>
      <c r="CK699" s="27" t="s">
        <v>8</v>
      </c>
      <c r="CL699" s="27" t="s">
        <v>7</v>
      </c>
      <c r="CQ699" s="27" t="s">
        <v>8</v>
      </c>
      <c r="CR699" s="27" t="s">
        <v>7</v>
      </c>
      <c r="CS699" s="27" t="s">
        <v>8</v>
      </c>
      <c r="CT699" s="27" t="s">
        <v>7</v>
      </c>
      <c r="CU699" s="27" t="s">
        <v>8</v>
      </c>
      <c r="CV699" s="27" t="s">
        <v>7</v>
      </c>
      <c r="CW699" s="27" t="s">
        <v>8</v>
      </c>
      <c r="CX699" s="27" t="s">
        <v>7</v>
      </c>
      <c r="CY699" s="27" t="s">
        <v>8</v>
      </c>
      <c r="CZ699" s="27" t="s">
        <v>7</v>
      </c>
      <c r="DA699" s="27" t="s">
        <v>8</v>
      </c>
      <c r="DB699" s="27" t="s">
        <v>7</v>
      </c>
      <c r="DC699" s="27" t="s">
        <v>8</v>
      </c>
    </row>
    <row r="700" spans="1:142" x14ac:dyDescent="0.25">
      <c r="A700" s="7">
        <v>0.10670397317716582</v>
      </c>
      <c r="B700"/>
      <c r="C700"/>
      <c r="D700"/>
      <c r="E700"/>
      <c r="N700" s="27" t="s">
        <v>7</v>
      </c>
      <c r="P700" s="27" t="s">
        <v>7</v>
      </c>
      <c r="Q700" s="27" t="s">
        <v>8</v>
      </c>
      <c r="R700" s="27" t="s">
        <v>7</v>
      </c>
      <c r="T700" s="27" t="s">
        <v>7</v>
      </c>
      <c r="AA700" s="27" t="s">
        <v>8</v>
      </c>
      <c r="AB700" s="27" t="s">
        <v>7</v>
      </c>
      <c r="AC700" s="27" t="s">
        <v>8</v>
      </c>
      <c r="AH700" s="27" t="s">
        <v>7</v>
      </c>
      <c r="AS700" s="27" t="s">
        <v>8</v>
      </c>
      <c r="AT700" s="27" t="s">
        <v>7</v>
      </c>
      <c r="AU700" s="27" t="s">
        <v>8</v>
      </c>
      <c r="AV700" s="27" t="s">
        <v>7</v>
      </c>
      <c r="AW700" s="27" t="s">
        <v>8</v>
      </c>
      <c r="BP700" s="27" t="s">
        <v>7</v>
      </c>
      <c r="BR700" s="27" t="s">
        <v>7</v>
      </c>
      <c r="CC700" s="27" t="s">
        <v>8</v>
      </c>
      <c r="CD700" s="27" t="s">
        <v>7</v>
      </c>
      <c r="CK700" s="27" t="s">
        <v>8</v>
      </c>
      <c r="CL700" s="27" t="s">
        <v>7</v>
      </c>
      <c r="CQ700" s="27" t="s">
        <v>8</v>
      </c>
      <c r="CR700" s="27" t="s">
        <v>7</v>
      </c>
      <c r="CS700" s="27" t="s">
        <v>8</v>
      </c>
      <c r="CT700" s="27" t="s">
        <v>7</v>
      </c>
      <c r="CU700" s="27" t="s">
        <v>8</v>
      </c>
      <c r="CV700" s="27" t="s">
        <v>7</v>
      </c>
      <c r="CW700" s="27" t="s">
        <v>8</v>
      </c>
      <c r="CX700" s="27" t="s">
        <v>7</v>
      </c>
      <c r="CY700" s="27" t="s">
        <v>8</v>
      </c>
      <c r="CZ700" s="27" t="s">
        <v>7</v>
      </c>
      <c r="DA700" s="27" t="s">
        <v>8</v>
      </c>
      <c r="DB700" s="27" t="s">
        <v>7</v>
      </c>
    </row>
    <row r="701" spans="1:142" x14ac:dyDescent="0.25">
      <c r="A701" s="7">
        <v>0.1046117384089861</v>
      </c>
      <c r="B701"/>
      <c r="C701"/>
      <c r="D701"/>
      <c r="E701"/>
      <c r="P701" s="27" t="s">
        <v>7</v>
      </c>
      <c r="T701" s="27" t="s">
        <v>7</v>
      </c>
      <c r="U701" s="27" t="s">
        <v>8</v>
      </c>
      <c r="AA701" s="27" t="s">
        <v>8</v>
      </c>
      <c r="AB701" s="27" t="s">
        <v>7</v>
      </c>
      <c r="AH701" s="27" t="s">
        <v>7</v>
      </c>
      <c r="AS701" s="27" t="s">
        <v>8</v>
      </c>
      <c r="AT701" s="27" t="s">
        <v>7</v>
      </c>
      <c r="AU701" s="27" t="s">
        <v>8</v>
      </c>
      <c r="AV701" s="27" t="s">
        <v>7</v>
      </c>
      <c r="BR701" s="27" t="s">
        <v>7</v>
      </c>
      <c r="CC701" s="27" t="s">
        <v>8</v>
      </c>
      <c r="CD701" s="27" t="s">
        <v>7</v>
      </c>
      <c r="CG701" s="27" t="s">
        <v>8</v>
      </c>
      <c r="CK701" s="27" t="s">
        <v>8</v>
      </c>
      <c r="CL701" s="27" t="s">
        <v>7</v>
      </c>
      <c r="CQ701" s="27" t="s">
        <v>8</v>
      </c>
      <c r="CR701" s="27" t="s">
        <v>7</v>
      </c>
      <c r="CT701" s="27" t="s">
        <v>7</v>
      </c>
      <c r="CV701" s="27" t="s">
        <v>7</v>
      </c>
      <c r="CW701" s="27" t="s">
        <v>8</v>
      </c>
      <c r="CX701" s="27" t="s">
        <v>7</v>
      </c>
      <c r="CY701" s="27" t="s">
        <v>8</v>
      </c>
      <c r="CZ701" s="27" t="s">
        <v>7</v>
      </c>
      <c r="DA701" s="27" t="s">
        <v>8</v>
      </c>
    </row>
    <row r="702" spans="1:142" x14ac:dyDescent="0.25">
      <c r="A702" s="7">
        <v>0.10256052785194716</v>
      </c>
      <c r="B702"/>
      <c r="C702"/>
      <c r="D702"/>
      <c r="E702"/>
      <c r="T702" s="27" t="s">
        <v>7</v>
      </c>
      <c r="U702" s="27" t="s">
        <v>8</v>
      </c>
      <c r="V702" s="27" t="s">
        <v>7</v>
      </c>
      <c r="AA702" s="27" t="s">
        <v>8</v>
      </c>
      <c r="AH702" s="27" t="s">
        <v>7</v>
      </c>
      <c r="AI702" s="27" t="s">
        <v>8</v>
      </c>
      <c r="AS702" s="27" t="s">
        <v>8</v>
      </c>
      <c r="AT702" s="27" t="s">
        <v>7</v>
      </c>
      <c r="AU702" s="27" t="s">
        <v>8</v>
      </c>
      <c r="BR702" s="27" t="s">
        <v>7</v>
      </c>
      <c r="CC702" s="27" t="s">
        <v>8</v>
      </c>
      <c r="CD702" s="27" t="s">
        <v>7</v>
      </c>
      <c r="CG702" s="27" t="s">
        <v>8</v>
      </c>
      <c r="CH702" s="27" t="s">
        <v>7</v>
      </c>
      <c r="CK702" s="27" t="s">
        <v>8</v>
      </c>
      <c r="CL702" s="27" t="s">
        <v>7</v>
      </c>
      <c r="CQ702" s="27" t="s">
        <v>8</v>
      </c>
      <c r="CV702" s="27" t="s">
        <v>7</v>
      </c>
      <c r="CX702" s="27" t="s">
        <v>7</v>
      </c>
      <c r="CY702" s="27" t="s">
        <v>8</v>
      </c>
      <c r="CZ702" s="27" t="s">
        <v>7</v>
      </c>
      <c r="DA702" s="27" t="s">
        <v>8</v>
      </c>
    </row>
    <row r="703" spans="1:142" x14ac:dyDescent="0.25">
      <c r="A703" s="7">
        <v>0.10054953710975212</v>
      </c>
      <c r="B703"/>
      <c r="C703"/>
      <c r="D703"/>
      <c r="E703"/>
      <c r="T703" s="27" t="s">
        <v>7</v>
      </c>
      <c r="U703" s="27" t="s">
        <v>8</v>
      </c>
      <c r="V703" s="27" t="s">
        <v>7</v>
      </c>
      <c r="AA703" s="27" t="s">
        <v>8</v>
      </c>
      <c r="AH703" s="27" t="s">
        <v>7</v>
      </c>
      <c r="AI703" s="27" t="s">
        <v>8</v>
      </c>
      <c r="AJ703" s="27" t="s">
        <v>7</v>
      </c>
      <c r="AK703" s="27" t="s">
        <v>8</v>
      </c>
      <c r="AM703" s="27" t="s">
        <v>8</v>
      </c>
      <c r="AQ703" s="27" t="s">
        <v>8</v>
      </c>
      <c r="AS703" s="27" t="s">
        <v>8</v>
      </c>
      <c r="AT703" s="27" t="s">
        <v>7</v>
      </c>
      <c r="AU703" s="27" t="s">
        <v>8</v>
      </c>
      <c r="BR703" s="27" t="s">
        <v>7</v>
      </c>
      <c r="BW703" s="27" t="s">
        <v>8</v>
      </c>
      <c r="CC703" s="27" t="s">
        <v>8</v>
      </c>
      <c r="CD703" s="27" t="s">
        <v>7</v>
      </c>
      <c r="CG703" s="27" t="s">
        <v>8</v>
      </c>
      <c r="CH703" s="27" t="s">
        <v>7</v>
      </c>
      <c r="CI703" s="27" t="s">
        <v>8</v>
      </c>
      <c r="CK703" s="27" t="s">
        <v>8</v>
      </c>
      <c r="CL703" s="27" t="s">
        <v>7</v>
      </c>
      <c r="CQ703" s="27" t="s">
        <v>8</v>
      </c>
      <c r="CX703" s="27" t="s">
        <v>7</v>
      </c>
      <c r="CY703" s="27" t="s">
        <v>8</v>
      </c>
      <c r="CZ703" s="27" t="s">
        <v>7</v>
      </c>
      <c r="DA703" s="27" t="s">
        <v>8</v>
      </c>
    </row>
    <row r="704" spans="1:142" x14ac:dyDescent="0.25">
      <c r="A704" s="7">
        <v>9.8577977558580512E-2</v>
      </c>
      <c r="B704"/>
      <c r="C704"/>
      <c r="D704"/>
      <c r="E704"/>
      <c r="T704" s="27" t="s">
        <v>7</v>
      </c>
      <c r="U704" s="27" t="s">
        <v>8</v>
      </c>
      <c r="V704" s="27" t="s">
        <v>7</v>
      </c>
      <c r="Y704" s="27" t="s">
        <v>8</v>
      </c>
      <c r="AA704" s="27" t="s">
        <v>8</v>
      </c>
      <c r="AH704" s="27" t="s">
        <v>7</v>
      </c>
      <c r="AI704" s="27" t="s">
        <v>8</v>
      </c>
      <c r="AJ704" s="27" t="s">
        <v>7</v>
      </c>
      <c r="AK704" s="27" t="s">
        <v>8</v>
      </c>
      <c r="AL704" s="27" t="s">
        <v>7</v>
      </c>
      <c r="AM704" s="27" t="s">
        <v>8</v>
      </c>
      <c r="AN704" s="27" t="s">
        <v>7</v>
      </c>
      <c r="AO704" s="27" t="s">
        <v>8</v>
      </c>
      <c r="AQ704" s="27" t="s">
        <v>8</v>
      </c>
      <c r="AR704" s="27" t="s">
        <v>7</v>
      </c>
      <c r="AS704" s="27" t="s">
        <v>8</v>
      </c>
      <c r="AT704" s="27" t="s">
        <v>7</v>
      </c>
      <c r="AU704" s="27" t="s">
        <v>8</v>
      </c>
      <c r="BR704" s="27" t="s">
        <v>7</v>
      </c>
      <c r="BW704" s="27" t="s">
        <v>8</v>
      </c>
      <c r="BX704" s="27" t="s">
        <v>7</v>
      </c>
      <c r="CC704" s="27" t="s">
        <v>8</v>
      </c>
      <c r="CD704" s="27" t="s">
        <v>7</v>
      </c>
      <c r="CG704" s="27" t="s">
        <v>8</v>
      </c>
      <c r="CH704" s="27" t="s">
        <v>7</v>
      </c>
      <c r="CI704" s="27" t="s">
        <v>8</v>
      </c>
      <c r="CJ704" s="27" t="s">
        <v>7</v>
      </c>
      <c r="CK704" s="27" t="s">
        <v>8</v>
      </c>
      <c r="CL704" s="27" t="s">
        <v>7</v>
      </c>
      <c r="CQ704" s="27" t="s">
        <v>8</v>
      </c>
      <c r="CX704" s="27" t="s">
        <v>7</v>
      </c>
      <c r="CY704" s="27" t="s">
        <v>8</v>
      </c>
      <c r="CZ704" s="27" t="s">
        <v>7</v>
      </c>
      <c r="DA704" s="27" t="s">
        <v>8</v>
      </c>
    </row>
    <row r="705" spans="1:105" x14ac:dyDescent="0.25">
      <c r="A705" s="7">
        <v>9.6645076037824032E-2</v>
      </c>
      <c r="B705"/>
      <c r="C705"/>
      <c r="D705"/>
      <c r="E705"/>
      <c r="T705" s="27" t="s">
        <v>7</v>
      </c>
      <c r="U705" s="27" t="s">
        <v>8</v>
      </c>
      <c r="V705" s="27" t="s">
        <v>7</v>
      </c>
      <c r="Y705" s="27" t="s">
        <v>8</v>
      </c>
      <c r="Z705" s="27" t="s">
        <v>7</v>
      </c>
      <c r="AA705" s="27" t="s">
        <v>8</v>
      </c>
      <c r="AH705" s="27" t="s">
        <v>7</v>
      </c>
      <c r="AI705" s="27" t="s">
        <v>8</v>
      </c>
      <c r="AJ705" s="27" t="s">
        <v>7</v>
      </c>
      <c r="AK705" s="27" t="s">
        <v>8</v>
      </c>
      <c r="AL705" s="27" t="s">
        <v>7</v>
      </c>
      <c r="AM705" s="27" t="s">
        <v>8</v>
      </c>
      <c r="AN705" s="27" t="s">
        <v>7</v>
      </c>
      <c r="AO705" s="27" t="s">
        <v>8</v>
      </c>
      <c r="AP705" s="27" t="s">
        <v>7</v>
      </c>
      <c r="AQ705" s="27" t="s">
        <v>8</v>
      </c>
      <c r="AR705" s="27" t="s">
        <v>7</v>
      </c>
      <c r="AS705" s="27" t="s">
        <v>8</v>
      </c>
      <c r="AT705" s="27" t="s">
        <v>7</v>
      </c>
      <c r="AU705" s="27" t="s">
        <v>8</v>
      </c>
      <c r="BR705" s="27" t="s">
        <v>7</v>
      </c>
      <c r="BW705" s="27" t="s">
        <v>8</v>
      </c>
      <c r="BX705" s="27" t="s">
        <v>7</v>
      </c>
      <c r="BY705" s="27" t="s">
        <v>8</v>
      </c>
      <c r="CC705" s="27" t="s">
        <v>8</v>
      </c>
      <c r="CD705" s="27" t="s">
        <v>7</v>
      </c>
      <c r="CG705" s="27" t="s">
        <v>8</v>
      </c>
      <c r="CH705" s="27" t="s">
        <v>7</v>
      </c>
      <c r="CI705" s="27" t="s">
        <v>8</v>
      </c>
      <c r="CJ705" s="27" t="s">
        <v>7</v>
      </c>
      <c r="CK705" s="27" t="s">
        <v>8</v>
      </c>
      <c r="CL705" s="27" t="s">
        <v>7</v>
      </c>
      <c r="CQ705" s="27" t="s">
        <v>8</v>
      </c>
      <c r="CX705" s="27" t="s">
        <v>7</v>
      </c>
      <c r="CZ705" s="27" t="s">
        <v>7</v>
      </c>
      <c r="DA705" s="27" t="s">
        <v>8</v>
      </c>
    </row>
    <row r="706" spans="1:105" x14ac:dyDescent="0.25">
      <c r="A706" s="7">
        <v>9.4750074546886304E-2</v>
      </c>
      <c r="B706"/>
      <c r="C706"/>
      <c r="D706"/>
      <c r="E706"/>
      <c r="T706" s="27" t="s">
        <v>7</v>
      </c>
      <c r="U706" s="27" t="s">
        <v>8</v>
      </c>
      <c r="V706" s="27" t="s">
        <v>7</v>
      </c>
      <c r="Y706" s="27" t="s">
        <v>8</v>
      </c>
      <c r="Z706" s="27" t="s">
        <v>7</v>
      </c>
      <c r="AA706" s="27" t="s">
        <v>8</v>
      </c>
      <c r="AH706" s="27" t="s">
        <v>7</v>
      </c>
      <c r="AJ706" s="27" t="s">
        <v>7</v>
      </c>
      <c r="AK706" s="27" t="s">
        <v>8</v>
      </c>
      <c r="AL706" s="27" t="s">
        <v>7</v>
      </c>
      <c r="AM706" s="27" t="s">
        <v>8</v>
      </c>
      <c r="AN706" s="27" t="s">
        <v>7</v>
      </c>
      <c r="AO706" s="27" t="s">
        <v>8</v>
      </c>
      <c r="AP706" s="27" t="s">
        <v>7</v>
      </c>
      <c r="AQ706" s="27" t="s">
        <v>8</v>
      </c>
      <c r="AR706" s="27" t="s">
        <v>7</v>
      </c>
      <c r="AT706" s="27" t="s">
        <v>7</v>
      </c>
      <c r="AU706" s="27" t="s">
        <v>8</v>
      </c>
      <c r="BR706" s="27" t="s">
        <v>7</v>
      </c>
      <c r="BW706" s="27" t="s">
        <v>8</v>
      </c>
      <c r="BX706" s="27" t="s">
        <v>7</v>
      </c>
      <c r="BY706" s="27" t="s">
        <v>8</v>
      </c>
      <c r="BZ706" s="27" t="s">
        <v>7</v>
      </c>
      <c r="CC706" s="27" t="s">
        <v>8</v>
      </c>
      <c r="CD706" s="27" t="s">
        <v>7</v>
      </c>
      <c r="CG706" s="27" t="s">
        <v>8</v>
      </c>
      <c r="CH706" s="27" t="s">
        <v>7</v>
      </c>
      <c r="CI706" s="27" t="s">
        <v>8</v>
      </c>
      <c r="CJ706" s="27" t="s">
        <v>7</v>
      </c>
      <c r="CL706" s="27" t="s">
        <v>7</v>
      </c>
      <c r="CM706" s="27" t="s">
        <v>8</v>
      </c>
      <c r="CO706" s="27" t="s">
        <v>8</v>
      </c>
      <c r="CQ706" s="27" t="s">
        <v>8</v>
      </c>
      <c r="CZ706" s="27" t="s">
        <v>7</v>
      </c>
      <c r="DA706" s="27" t="s">
        <v>8</v>
      </c>
    </row>
    <row r="707" spans="1:105" x14ac:dyDescent="0.25">
      <c r="A707" s="7">
        <v>9.2892229947927743E-2</v>
      </c>
      <c r="B707"/>
      <c r="C707"/>
      <c r="D707"/>
      <c r="E707"/>
      <c r="T707" s="27" t="s">
        <v>7</v>
      </c>
      <c r="V707" s="27" t="s">
        <v>7</v>
      </c>
      <c r="Y707" s="27" t="s">
        <v>8</v>
      </c>
      <c r="Z707" s="27" t="s">
        <v>7</v>
      </c>
      <c r="AA707" s="27" t="s">
        <v>8</v>
      </c>
      <c r="AJ707" s="27" t="s">
        <v>7</v>
      </c>
      <c r="AK707" s="27" t="s">
        <v>8</v>
      </c>
      <c r="AL707" s="27" t="s">
        <v>7</v>
      </c>
      <c r="AM707" s="27" t="s">
        <v>8</v>
      </c>
      <c r="AN707" s="27" t="s">
        <v>7</v>
      </c>
      <c r="AO707" s="27" t="s">
        <v>8</v>
      </c>
      <c r="AP707" s="27" t="s">
        <v>7</v>
      </c>
      <c r="AT707" s="27" t="s">
        <v>7</v>
      </c>
      <c r="AU707" s="27" t="s">
        <v>8</v>
      </c>
      <c r="BR707" s="27" t="s">
        <v>7</v>
      </c>
      <c r="BW707" s="27" t="s">
        <v>8</v>
      </c>
      <c r="BX707" s="27" t="s">
        <v>7</v>
      </c>
      <c r="BY707" s="27" t="s">
        <v>8</v>
      </c>
      <c r="BZ707" s="27" t="s">
        <v>7</v>
      </c>
      <c r="CC707" s="27" t="s">
        <v>8</v>
      </c>
      <c r="CD707" s="27" t="s">
        <v>7</v>
      </c>
      <c r="CE707" s="27" t="s">
        <v>8</v>
      </c>
      <c r="CG707" s="27" t="s">
        <v>8</v>
      </c>
      <c r="CH707" s="27" t="s">
        <v>7</v>
      </c>
      <c r="CL707" s="27" t="s">
        <v>7</v>
      </c>
      <c r="CM707" s="27" t="s">
        <v>8</v>
      </c>
      <c r="CN707" s="27" t="s">
        <v>7</v>
      </c>
      <c r="CO707" s="27" t="s">
        <v>8</v>
      </c>
      <c r="CP707" s="27" t="s">
        <v>7</v>
      </c>
      <c r="CQ707" s="27" t="s">
        <v>8</v>
      </c>
      <c r="CZ707" s="27" t="s">
        <v>7</v>
      </c>
      <c r="DA707" s="27" t="s">
        <v>8</v>
      </c>
    </row>
    <row r="708" spans="1:105" x14ac:dyDescent="0.25">
      <c r="A708" s="7">
        <v>9.1070813674438963E-2</v>
      </c>
      <c r="B708"/>
      <c r="C708"/>
      <c r="D708"/>
      <c r="E708"/>
      <c r="V708" s="27" t="s">
        <v>7</v>
      </c>
      <c r="W708" s="27" t="s">
        <v>8</v>
      </c>
      <c r="Y708" s="27" t="s">
        <v>8</v>
      </c>
      <c r="Z708" s="27" t="s">
        <v>7</v>
      </c>
      <c r="AA708" s="27" t="s">
        <v>8</v>
      </c>
      <c r="AJ708" s="27" t="s">
        <v>7</v>
      </c>
      <c r="AK708" s="27" t="s">
        <v>8</v>
      </c>
      <c r="AL708" s="27" t="s">
        <v>7</v>
      </c>
      <c r="AN708" s="27" t="s">
        <v>7</v>
      </c>
      <c r="AO708" s="27" t="s">
        <v>8</v>
      </c>
      <c r="AT708" s="27" t="s">
        <v>7</v>
      </c>
      <c r="BR708" s="27" t="s">
        <v>7</v>
      </c>
      <c r="BW708" s="27" t="s">
        <v>8</v>
      </c>
      <c r="BX708" s="27" t="s">
        <v>7</v>
      </c>
      <c r="BY708" s="27" t="s">
        <v>8</v>
      </c>
      <c r="BZ708" s="27" t="s">
        <v>7</v>
      </c>
      <c r="CC708" s="27" t="s">
        <v>8</v>
      </c>
      <c r="CD708" s="27" t="s">
        <v>7</v>
      </c>
      <c r="CE708" s="27" t="s">
        <v>8</v>
      </c>
      <c r="CF708" s="27" t="s">
        <v>7</v>
      </c>
      <c r="CG708" s="27" t="s">
        <v>8</v>
      </c>
      <c r="CL708" s="27" t="s">
        <v>7</v>
      </c>
      <c r="CM708" s="27" t="s">
        <v>8</v>
      </c>
      <c r="CN708" s="27" t="s">
        <v>7</v>
      </c>
      <c r="CO708" s="27" t="s">
        <v>8</v>
      </c>
      <c r="CP708" s="27" t="s">
        <v>7</v>
      </c>
      <c r="CQ708" s="27" t="s">
        <v>8</v>
      </c>
      <c r="CZ708" s="27" t="s">
        <v>7</v>
      </c>
      <c r="DA708" s="27" t="s">
        <v>8</v>
      </c>
    </row>
    <row r="709" spans="1:105" x14ac:dyDescent="0.25">
      <c r="A709" s="7">
        <v>8.9285111445528392E-2</v>
      </c>
      <c r="B709"/>
      <c r="C709"/>
      <c r="D709"/>
      <c r="E709"/>
      <c r="V709" s="27" t="s">
        <v>7</v>
      </c>
      <c r="W709" s="27" t="s">
        <v>8</v>
      </c>
      <c r="X709" s="27" t="s">
        <v>7</v>
      </c>
      <c r="Y709" s="27" t="s">
        <v>8</v>
      </c>
      <c r="Z709" s="27" t="s">
        <v>7</v>
      </c>
      <c r="AA709" s="27" t="s">
        <v>8</v>
      </c>
      <c r="AJ709" s="27" t="s">
        <v>7</v>
      </c>
      <c r="AK709" s="27" t="s">
        <v>8</v>
      </c>
      <c r="AN709" s="27" t="s">
        <v>7</v>
      </c>
      <c r="BR709" s="27" t="s">
        <v>7</v>
      </c>
      <c r="BW709" s="27" t="s">
        <v>8</v>
      </c>
      <c r="BX709" s="27" t="s">
        <v>7</v>
      </c>
      <c r="BY709" s="27" t="s">
        <v>8</v>
      </c>
      <c r="BZ709" s="27" t="s">
        <v>7</v>
      </c>
      <c r="CC709" s="27" t="s">
        <v>8</v>
      </c>
      <c r="CD709" s="27" t="s">
        <v>7</v>
      </c>
      <c r="CE709" s="27" t="s">
        <v>8</v>
      </c>
      <c r="CF709" s="27" t="s">
        <v>7</v>
      </c>
      <c r="CG709" s="27" t="s">
        <v>8</v>
      </c>
      <c r="CL709" s="27" t="s">
        <v>7</v>
      </c>
      <c r="CN709" s="27" t="s">
        <v>7</v>
      </c>
      <c r="CO709" s="27" t="s">
        <v>8</v>
      </c>
      <c r="CP709" s="27" t="s">
        <v>7</v>
      </c>
      <c r="CQ709" s="27" t="s">
        <v>8</v>
      </c>
      <c r="CZ709" s="27" t="s">
        <v>7</v>
      </c>
    </row>
    <row r="710" spans="1:105" x14ac:dyDescent="0.25">
      <c r="A710" s="7">
        <v>8.7534422985812155E-2</v>
      </c>
      <c r="B710"/>
      <c r="C710"/>
      <c r="D710"/>
      <c r="E710"/>
      <c r="V710" s="27" t="s">
        <v>7</v>
      </c>
      <c r="W710" s="27" t="s">
        <v>8</v>
      </c>
      <c r="X710" s="27" t="s">
        <v>7</v>
      </c>
      <c r="Y710" s="27" t="s">
        <v>8</v>
      </c>
      <c r="Z710" s="27" t="s">
        <v>7</v>
      </c>
      <c r="AA710" s="27" t="s">
        <v>8</v>
      </c>
      <c r="AJ710" s="27" t="s">
        <v>7</v>
      </c>
      <c r="BR710" s="27" t="s">
        <v>7</v>
      </c>
      <c r="BW710" s="27" t="s">
        <v>8</v>
      </c>
      <c r="BX710" s="27" t="s">
        <v>7</v>
      </c>
      <c r="BY710" s="27" t="s">
        <v>8</v>
      </c>
      <c r="BZ710" s="27" t="s">
        <v>7</v>
      </c>
      <c r="CA710" s="27" t="s">
        <v>8</v>
      </c>
      <c r="CC710" s="27" t="s">
        <v>8</v>
      </c>
      <c r="CD710" s="27" t="s">
        <v>7</v>
      </c>
      <c r="CE710" s="27" t="s">
        <v>8</v>
      </c>
      <c r="CF710" s="27" t="s">
        <v>7</v>
      </c>
      <c r="CG710" s="27" t="s">
        <v>8</v>
      </c>
      <c r="CN710" s="27" t="s">
        <v>7</v>
      </c>
      <c r="CO710" s="27" t="s">
        <v>8</v>
      </c>
      <c r="CP710" s="27" t="s">
        <v>7</v>
      </c>
      <c r="CQ710" s="27" t="s">
        <v>8</v>
      </c>
    </row>
    <row r="711" spans="1:105" x14ac:dyDescent="0.25">
      <c r="A711" s="7">
        <v>8.5818061750796232E-2</v>
      </c>
      <c r="B711"/>
      <c r="C711"/>
      <c r="D711"/>
      <c r="E711"/>
      <c r="V711" s="27" t="s">
        <v>7</v>
      </c>
      <c r="X711" s="27" t="s">
        <v>7</v>
      </c>
      <c r="Y711" s="27" t="s">
        <v>8</v>
      </c>
      <c r="Z711" s="27" t="s">
        <v>7</v>
      </c>
      <c r="AA711" s="27" t="s">
        <v>8</v>
      </c>
      <c r="BR711" s="27" t="s">
        <v>7</v>
      </c>
      <c r="BW711" s="27" t="s">
        <v>8</v>
      </c>
      <c r="BX711" s="27" t="s">
        <v>7</v>
      </c>
      <c r="BY711" s="27" t="s">
        <v>8</v>
      </c>
      <c r="BZ711" s="27" t="s">
        <v>7</v>
      </c>
      <c r="CA711" s="27" t="s">
        <v>8</v>
      </c>
      <c r="CB711" s="27" t="s">
        <v>7</v>
      </c>
      <c r="CC711" s="27" t="s">
        <v>8</v>
      </c>
      <c r="CD711" s="27" t="s">
        <v>7</v>
      </c>
      <c r="CE711" s="27" t="s">
        <v>8</v>
      </c>
      <c r="CF711" s="27" t="s">
        <v>7</v>
      </c>
      <c r="CG711" s="27" t="s">
        <v>8</v>
      </c>
      <c r="CN711" s="27" t="s">
        <v>7</v>
      </c>
      <c r="CP711" s="27" t="s">
        <v>7</v>
      </c>
    </row>
    <row r="712" spans="1:105" x14ac:dyDescent="0.25">
      <c r="A712" s="7">
        <v>8.4135354657643366E-2</v>
      </c>
      <c r="B712"/>
      <c r="C712"/>
      <c r="D712"/>
      <c r="E712"/>
      <c r="X712" s="27" t="s">
        <v>7</v>
      </c>
      <c r="Y712" s="27" t="s">
        <v>8</v>
      </c>
      <c r="Z712" s="27" t="s">
        <v>7</v>
      </c>
      <c r="AA712" s="27" t="s">
        <v>8</v>
      </c>
      <c r="BR712" s="27" t="s">
        <v>7</v>
      </c>
      <c r="BS712" s="27" t="s">
        <v>8</v>
      </c>
      <c r="BW712" s="27" t="s">
        <v>8</v>
      </c>
      <c r="BX712" s="27" t="s">
        <v>7</v>
      </c>
      <c r="BY712" s="27" t="s">
        <v>8</v>
      </c>
      <c r="BZ712" s="27" t="s">
        <v>7</v>
      </c>
      <c r="CA712" s="27" t="s">
        <v>8</v>
      </c>
      <c r="CB712" s="27" t="s">
        <v>7</v>
      </c>
      <c r="CC712" s="27" t="s">
        <v>8</v>
      </c>
      <c r="CD712" s="27" t="s">
        <v>7</v>
      </c>
      <c r="CE712" s="27" t="s">
        <v>8</v>
      </c>
      <c r="CF712" s="27" t="s">
        <v>7</v>
      </c>
    </row>
    <row r="713" spans="1:105" x14ac:dyDescent="0.25">
      <c r="A713" s="7">
        <v>8.248564182121898E-2</v>
      </c>
      <c r="B713"/>
      <c r="C713"/>
      <c r="D713"/>
      <c r="E713"/>
      <c r="X713" s="27" t="s">
        <v>7</v>
      </c>
      <c r="Z713" s="27" t="s">
        <v>7</v>
      </c>
      <c r="AA713" s="27" t="s">
        <v>8</v>
      </c>
      <c r="BR713" s="27" t="s">
        <v>7</v>
      </c>
      <c r="BS713" s="27" t="s">
        <v>8</v>
      </c>
      <c r="BT713" s="27" t="s">
        <v>7</v>
      </c>
      <c r="BW713" s="27" t="s">
        <v>8</v>
      </c>
      <c r="BX713" s="27" t="s">
        <v>7</v>
      </c>
      <c r="BY713" s="27" t="s">
        <v>8</v>
      </c>
      <c r="BZ713" s="27" t="s">
        <v>7</v>
      </c>
      <c r="CA713" s="27" t="s">
        <v>8</v>
      </c>
      <c r="CB713" s="27" t="s">
        <v>7</v>
      </c>
      <c r="CD713" s="27" t="s">
        <v>7</v>
      </c>
      <c r="CE713" s="27" t="s">
        <v>8</v>
      </c>
    </row>
    <row r="714" spans="1:105" x14ac:dyDescent="0.25">
      <c r="A714" s="7">
        <v>8.0868276295312735E-2</v>
      </c>
      <c r="B714"/>
      <c r="C714"/>
      <c r="D714"/>
      <c r="E714"/>
      <c r="Z714" s="27" t="s">
        <v>7</v>
      </c>
      <c r="BR714" s="27" t="s">
        <v>7</v>
      </c>
      <c r="BS714" s="27" t="s">
        <v>8</v>
      </c>
      <c r="BT714" s="27" t="s">
        <v>7</v>
      </c>
      <c r="BW714" s="27" t="s">
        <v>8</v>
      </c>
      <c r="BX714" s="27" t="s">
        <v>7</v>
      </c>
      <c r="BY714" s="27" t="s">
        <v>8</v>
      </c>
      <c r="BZ714" s="27" t="s">
        <v>7</v>
      </c>
      <c r="CA714" s="27" t="s">
        <v>8</v>
      </c>
      <c r="CD714" s="27" t="s">
        <v>7</v>
      </c>
      <c r="CE714" s="27" t="s">
        <v>8</v>
      </c>
    </row>
    <row r="715" spans="1:105" x14ac:dyDescent="0.25">
      <c r="A715" s="7">
        <v>7.9282623818934056E-2</v>
      </c>
      <c r="B715"/>
      <c r="C715"/>
      <c r="D715"/>
      <c r="E715"/>
      <c r="BR715" s="27" t="s">
        <v>7</v>
      </c>
      <c r="BS715" s="27" t="s">
        <v>8</v>
      </c>
      <c r="BT715" s="27" t="s">
        <v>7</v>
      </c>
      <c r="BW715" s="27" t="s">
        <v>8</v>
      </c>
      <c r="BX715" s="27" t="s">
        <v>7</v>
      </c>
      <c r="BZ715" s="27" t="s">
        <v>7</v>
      </c>
      <c r="CA715" s="27" t="s">
        <v>8</v>
      </c>
      <c r="CD715" s="27" t="s">
        <v>7</v>
      </c>
    </row>
    <row r="716" spans="1:105" x14ac:dyDescent="0.25">
      <c r="A716" s="7">
        <v>7.7728062567582412E-2</v>
      </c>
      <c r="B716"/>
      <c r="C716"/>
      <c r="D716"/>
      <c r="E716"/>
      <c r="BR716" s="27" t="s">
        <v>7</v>
      </c>
      <c r="BS716" s="27" t="s">
        <v>8</v>
      </c>
      <c r="BT716" s="27" t="s">
        <v>7</v>
      </c>
      <c r="BW716" s="27" t="s">
        <v>8</v>
      </c>
      <c r="BZ716" s="27" t="s">
        <v>7</v>
      </c>
    </row>
    <row r="717" spans="1:105" x14ac:dyDescent="0.25">
      <c r="A717" s="7">
        <v>7.6203982909394521E-2</v>
      </c>
      <c r="B717"/>
      <c r="C717"/>
      <c r="D717"/>
      <c r="E717"/>
      <c r="BR717" s="27" t="s">
        <v>7</v>
      </c>
      <c r="BS717" s="27" t="s">
        <v>8</v>
      </c>
      <c r="BT717" s="27" t="s">
        <v>7</v>
      </c>
      <c r="BW717" s="27" t="s">
        <v>8</v>
      </c>
    </row>
    <row r="718" spans="1:105" x14ac:dyDescent="0.25">
      <c r="A718" s="7">
        <v>7.4709787166073058E-2</v>
      </c>
      <c r="B718"/>
      <c r="C718"/>
      <c r="D718"/>
      <c r="E718"/>
      <c r="BR718" s="27" t="s">
        <v>7</v>
      </c>
      <c r="BS718" s="27" t="s">
        <v>8</v>
      </c>
      <c r="BT718" s="27" t="s">
        <v>7</v>
      </c>
      <c r="BW718" s="27" t="s">
        <v>8</v>
      </c>
    </row>
    <row r="719" spans="1:105" x14ac:dyDescent="0.25">
      <c r="A719" s="7">
        <v>7.3244889378503E-2</v>
      </c>
      <c r="B719"/>
      <c r="C719"/>
      <c r="D719"/>
      <c r="E719"/>
      <c r="BR719" s="27" t="s">
        <v>7</v>
      </c>
      <c r="BS719" s="27" t="s">
        <v>8</v>
      </c>
      <c r="BT719" s="27" t="s">
        <v>7</v>
      </c>
      <c r="BU719" s="27" t="s">
        <v>8</v>
      </c>
      <c r="BW719" s="27" t="s">
        <v>8</v>
      </c>
    </row>
    <row r="720" spans="1:105" x14ac:dyDescent="0.25">
      <c r="A720" s="7">
        <v>7.1808715076963722E-2</v>
      </c>
      <c r="B720"/>
      <c r="C720"/>
      <c r="D720"/>
      <c r="E720"/>
      <c r="BR720" s="27" t="s">
        <v>7</v>
      </c>
      <c r="BS720" s="27" t="s">
        <v>8</v>
      </c>
      <c r="BT720" s="27" t="s">
        <v>7</v>
      </c>
      <c r="BU720" s="27" t="s">
        <v>8</v>
      </c>
      <c r="BV720" s="27" t="s">
        <v>7</v>
      </c>
      <c r="BW720" s="27" t="s">
        <v>8</v>
      </c>
    </row>
    <row r="721" spans="1:75" x14ac:dyDescent="0.25">
      <c r="A721" s="7">
        <v>7.0400701055846782E-2</v>
      </c>
      <c r="B721"/>
      <c r="C721"/>
      <c r="D721"/>
      <c r="E721"/>
      <c r="BR721" s="27" t="s">
        <v>7</v>
      </c>
      <c r="BS721" s="27" t="s">
        <v>8</v>
      </c>
      <c r="BT721" s="27" t="s">
        <v>7</v>
      </c>
      <c r="BU721" s="27" t="s">
        <v>8</v>
      </c>
      <c r="BV721" s="27" t="s">
        <v>7</v>
      </c>
      <c r="BW721" s="27" t="s">
        <v>8</v>
      </c>
    </row>
    <row r="722" spans="1:75" x14ac:dyDescent="0.25">
      <c r="A722" s="7">
        <v>6.9020295152790956E-2</v>
      </c>
      <c r="B722"/>
      <c r="C722"/>
      <c r="D722"/>
      <c r="E722"/>
      <c r="BR722" s="27" t="s">
        <v>7</v>
      </c>
      <c r="BS722" s="27" t="s">
        <v>8</v>
      </c>
      <c r="BT722" s="27" t="s">
        <v>7</v>
      </c>
      <c r="BU722" s="27" t="s">
        <v>8</v>
      </c>
      <c r="BV722" s="27" t="s">
        <v>7</v>
      </c>
      <c r="BW722" s="27" t="s">
        <v>8</v>
      </c>
    </row>
    <row r="723" spans="1:75" x14ac:dyDescent="0.25">
      <c r="A723" s="7">
        <v>6.7666956032147993E-2</v>
      </c>
      <c r="B723"/>
      <c r="C723"/>
      <c r="D723"/>
      <c r="E723"/>
      <c r="BR723" s="27" t="s">
        <v>7</v>
      </c>
      <c r="BS723" s="27" t="s">
        <v>8</v>
      </c>
      <c r="BT723" s="27" t="s">
        <v>7</v>
      </c>
      <c r="BU723" s="27" t="s">
        <v>8</v>
      </c>
      <c r="BV723" s="27" t="s">
        <v>7</v>
      </c>
      <c r="BW723" s="27" t="s">
        <v>8</v>
      </c>
    </row>
    <row r="724" spans="1:75" x14ac:dyDescent="0.25">
      <c r="A724" s="7">
        <v>6.6340152972694105E-2</v>
      </c>
      <c r="B724"/>
      <c r="C724"/>
      <c r="D724"/>
      <c r="E724"/>
      <c r="BR724" s="27" t="s">
        <v>7</v>
      </c>
      <c r="BS724" s="27" t="s">
        <v>8</v>
      </c>
      <c r="BT724" s="27" t="s">
        <v>7</v>
      </c>
      <c r="BU724" s="27" t="s">
        <v>8</v>
      </c>
      <c r="BV724" s="27" t="s">
        <v>7</v>
      </c>
      <c r="BW724" s="27" t="s">
        <v>8</v>
      </c>
    </row>
    <row r="725" spans="1:75" x14ac:dyDescent="0.25">
      <c r="A725" s="7">
        <v>6.5039365659504023E-2</v>
      </c>
      <c r="B725"/>
      <c r="C725"/>
      <c r="D725"/>
      <c r="E725"/>
      <c r="BR725" s="27" t="s">
        <v>7</v>
      </c>
      <c r="BS725" s="27" t="s">
        <v>8</v>
      </c>
      <c r="BT725" s="27" t="s">
        <v>7</v>
      </c>
      <c r="BU725" s="27" t="s">
        <v>8</v>
      </c>
      <c r="BV725" s="27" t="s">
        <v>7</v>
      </c>
      <c r="BW725" s="27" t="s">
        <v>8</v>
      </c>
    </row>
    <row r="726" spans="1:75" x14ac:dyDescent="0.25">
      <c r="A726" s="7">
        <v>6.3764083979905906E-2</v>
      </c>
      <c r="B726"/>
      <c r="C726"/>
      <c r="D726"/>
      <c r="E726"/>
      <c r="BR726" s="27" t="s">
        <v>7</v>
      </c>
      <c r="BS726" s="27" t="s">
        <v>8</v>
      </c>
      <c r="BT726" s="27" t="s">
        <v>7</v>
      </c>
      <c r="BU726" s="27" t="s">
        <v>8</v>
      </c>
      <c r="BV726" s="27" t="s">
        <v>7</v>
      </c>
      <c r="BW726" s="27" t="s">
        <v>8</v>
      </c>
    </row>
    <row r="727" spans="1:75" x14ac:dyDescent="0.25">
      <c r="A727" s="7">
        <v>6.251380782343717E-2</v>
      </c>
      <c r="B727"/>
      <c r="C727"/>
      <c r="D727"/>
      <c r="E727"/>
      <c r="BR727" s="27" t="s">
        <v>7</v>
      </c>
      <c r="BS727" s="27" t="s">
        <v>8</v>
      </c>
      <c r="BT727" s="27" t="s">
        <v>7</v>
      </c>
      <c r="BU727" s="27" t="s">
        <v>8</v>
      </c>
      <c r="BV727" s="27" t="s">
        <v>7</v>
      </c>
      <c r="BW727" s="27" t="s">
        <v>8</v>
      </c>
    </row>
    <row r="728" spans="1:75" x14ac:dyDescent="0.25">
      <c r="A728" s="7">
        <v>6.1288046885722716E-2</v>
      </c>
      <c r="B728"/>
      <c r="C728"/>
      <c r="D728"/>
      <c r="E728"/>
      <c r="BR728" s="27" t="s">
        <v>7</v>
      </c>
      <c r="BS728" s="27" t="s">
        <v>8</v>
      </c>
      <c r="BT728" s="27" t="s">
        <v>7</v>
      </c>
      <c r="BU728" s="27" t="s">
        <v>8</v>
      </c>
      <c r="BV728" s="27" t="s">
        <v>7</v>
      </c>
    </row>
    <row r="729" spans="1:75" x14ac:dyDescent="0.25">
      <c r="A729" s="7">
        <v>6.0086320476198739E-2</v>
      </c>
      <c r="B729"/>
      <c r="C729"/>
      <c r="D729"/>
      <c r="E729"/>
      <c r="BR729" s="27" t="s">
        <v>7</v>
      </c>
      <c r="BS729" s="27" t="s">
        <v>8</v>
      </c>
      <c r="BT729" s="27" t="s">
        <v>7</v>
      </c>
      <c r="BU729" s="27" t="s">
        <v>8</v>
      </c>
    </row>
    <row r="730" spans="1:75" x14ac:dyDescent="0.25">
      <c r="A730" s="7">
        <v>5.8908157329606609E-2</v>
      </c>
      <c r="B730"/>
      <c r="C730"/>
      <c r="D730"/>
      <c r="E730"/>
      <c r="BR730" s="27" t="s">
        <v>7</v>
      </c>
      <c r="BS730" s="27" t="s">
        <v>8</v>
      </c>
      <c r="BT730" s="27" t="s">
        <v>7</v>
      </c>
      <c r="BU730" s="27" t="s">
        <v>8</v>
      </c>
    </row>
    <row r="731" spans="1:75" x14ac:dyDescent="0.25">
      <c r="A731" s="7">
        <v>5.7753095421182947E-2</v>
      </c>
      <c r="B731"/>
      <c r="C731"/>
      <c r="D731"/>
      <c r="E731"/>
      <c r="BR731" s="27" t="s">
        <v>7</v>
      </c>
      <c r="BS731" s="27" t="s">
        <v>8</v>
      </c>
      <c r="BT731" s="27" t="s">
        <v>7</v>
      </c>
      <c r="BU731" s="27" t="s">
        <v>8</v>
      </c>
    </row>
    <row r="732" spans="1:75" x14ac:dyDescent="0.25">
      <c r="A732" s="7">
        <v>5.6620681785473484E-2</v>
      </c>
      <c r="B732"/>
      <c r="C732"/>
      <c r="D732"/>
      <c r="E732"/>
      <c r="BR732" s="27" t="s">
        <v>7</v>
      </c>
      <c r="BS732" s="27" t="s">
        <v>8</v>
      </c>
      <c r="BT732" s="27" t="s">
        <v>7</v>
      </c>
      <c r="BU732" s="27" t="s">
        <v>8</v>
      </c>
    </row>
    <row r="733" spans="1:75" x14ac:dyDescent="0.25">
      <c r="A733" s="7">
        <v>5.5510472338699497E-2</v>
      </c>
      <c r="B733"/>
      <c r="C733"/>
      <c r="D733"/>
      <c r="E733"/>
      <c r="BR733" s="27" t="s">
        <v>7</v>
      </c>
      <c r="BS733" s="27" t="s">
        <v>8</v>
      </c>
      <c r="BT733" s="27" t="s">
        <v>7</v>
      </c>
      <c r="BU733" s="27" t="s">
        <v>8</v>
      </c>
    </row>
    <row r="734" spans="1:75" x14ac:dyDescent="0.25">
      <c r="A734" s="7">
        <v>5.4422031704607354E-2</v>
      </c>
      <c r="B734"/>
      <c r="C734"/>
      <c r="D734"/>
      <c r="E734"/>
      <c r="BR734" s="27" t="s">
        <v>7</v>
      </c>
      <c r="BS734" s="27" t="s">
        <v>8</v>
      </c>
      <c r="BT734" s="27" t="s">
        <v>7</v>
      </c>
      <c r="BU734" s="27" t="s">
        <v>8</v>
      </c>
    </row>
    <row r="735" spans="1:75" x14ac:dyDescent="0.25">
      <c r="A735" s="7">
        <v>5.3354933043732705E-2</v>
      </c>
      <c r="B735"/>
      <c r="C735"/>
      <c r="D735"/>
      <c r="E735"/>
      <c r="BR735" s="27" t="s">
        <v>7</v>
      </c>
      <c r="BS735" s="27" t="s">
        <v>8</v>
      </c>
      <c r="BT735" s="27" t="s">
        <v>7</v>
      </c>
      <c r="BU735" s="27" t="s">
        <v>8</v>
      </c>
    </row>
    <row r="736" spans="1:75" x14ac:dyDescent="0.25">
      <c r="A736" s="7">
        <v>5.2308757886012455E-2</v>
      </c>
      <c r="B736"/>
      <c r="C736"/>
      <c r="D736"/>
      <c r="E736"/>
      <c r="BR736" s="27" t="s">
        <v>7</v>
      </c>
      <c r="BS736" s="27" t="s">
        <v>8</v>
      </c>
      <c r="BT736" s="27" t="s">
        <v>7</v>
      </c>
      <c r="BU736" s="27" t="s">
        <v>8</v>
      </c>
    </row>
    <row r="737" spans="1:73" x14ac:dyDescent="0.25">
      <c r="A737" s="7">
        <v>5.1283095966678877E-2</v>
      </c>
      <c r="B737"/>
      <c r="C737"/>
      <c r="D737"/>
      <c r="E737"/>
      <c r="BR737" s="27" t="s">
        <v>7</v>
      </c>
      <c r="BS737" s="27" t="s">
        <v>8</v>
      </c>
      <c r="BT737" s="27" t="s">
        <v>7</v>
      </c>
      <c r="BU737" s="27" t="s">
        <v>8</v>
      </c>
    </row>
    <row r="738" spans="1:73" x14ac:dyDescent="0.25">
      <c r="A738" s="7">
        <v>5.0277545065371444E-2</v>
      </c>
      <c r="B738"/>
      <c r="C738"/>
      <c r="D738"/>
      <c r="E738"/>
      <c r="BR738" s="27" t="s">
        <v>7</v>
      </c>
      <c r="BS738" s="27" t="s">
        <v>8</v>
      </c>
      <c r="BT738" s="27" t="s">
        <v>7</v>
      </c>
    </row>
    <row r="739" spans="1:73" x14ac:dyDescent="0.25">
      <c r="A739" s="7">
        <v>4.9291710848403378E-2</v>
      </c>
      <c r="B739"/>
      <c r="C739"/>
      <c r="D739"/>
      <c r="E739"/>
      <c r="BR739" s="27" t="s">
        <v>7</v>
      </c>
      <c r="BS739" s="27" t="s">
        <v>8</v>
      </c>
    </row>
    <row r="740" spans="1:73" x14ac:dyDescent="0.25">
      <c r="A740" s="7">
        <v>4.8325206714120959E-2</v>
      </c>
      <c r="B740"/>
      <c r="C740"/>
      <c r="D740"/>
      <c r="E740"/>
      <c r="BR740" s="27" t="s">
        <v>7</v>
      </c>
      <c r="BS740" s="27" t="s">
        <v>8</v>
      </c>
    </row>
    <row r="741" spans="1:73" x14ac:dyDescent="0.25">
      <c r="A741" s="7">
        <v>4.7377653641295057E-2</v>
      </c>
      <c r="B741"/>
      <c r="C741"/>
      <c r="D741"/>
      <c r="E741"/>
      <c r="BR741" s="27" t="s">
        <v>7</v>
      </c>
      <c r="BS741" s="27" t="s">
        <v>8</v>
      </c>
    </row>
    <row r="742" spans="1:73" x14ac:dyDescent="0.25">
      <c r="A742" s="7">
        <v>4.644868004048535E-2</v>
      </c>
      <c r="B742"/>
      <c r="C742"/>
      <c r="D742"/>
      <c r="E742"/>
      <c r="BR742" s="27" t="s">
        <v>7</v>
      </c>
      <c r="BS742" s="27" t="s">
        <v>8</v>
      </c>
    </row>
    <row r="743" spans="1:73" x14ac:dyDescent="0.25">
      <c r="A743" s="7">
        <v>4.5537921608318974E-2</v>
      </c>
      <c r="B743"/>
      <c r="C743"/>
      <c r="D743"/>
      <c r="E743"/>
      <c r="BR743" s="27" t="s">
        <v>7</v>
      </c>
      <c r="BS743" s="27" t="s">
        <v>8</v>
      </c>
    </row>
    <row r="744" spans="1:73" x14ac:dyDescent="0.25">
      <c r="A744" s="7">
        <v>4.4645021184626446E-2</v>
      </c>
      <c r="B744"/>
      <c r="C744"/>
      <c r="D744"/>
      <c r="E744"/>
      <c r="BR744" s="27" t="s">
        <v>7</v>
      </c>
      <c r="BS744" s="27" t="s">
        <v>8</v>
      </c>
    </row>
    <row r="745" spans="1:73" x14ac:dyDescent="0.25">
      <c r="A745" s="7">
        <v>4.3769628612378868E-2</v>
      </c>
      <c r="B745"/>
      <c r="C745"/>
      <c r="D745"/>
      <c r="E745"/>
      <c r="BR745" s="27" t="s">
        <v>7</v>
      </c>
    </row>
    <row r="746" spans="1:73" x14ac:dyDescent="0.25">
      <c r="A746" s="7">
        <v>4.2911400600371442E-2</v>
      </c>
      <c r="B746"/>
      <c r="C746"/>
      <c r="D746"/>
      <c r="E746"/>
    </row>
    <row r="747" spans="1:73" x14ac:dyDescent="0.25">
      <c r="A747" s="7">
        <v>4.2070000588599457E-2</v>
      </c>
      <c r="B747"/>
      <c r="C747"/>
      <c r="D747"/>
      <c r="E747"/>
    </row>
    <row r="748" spans="1:73" x14ac:dyDescent="0.25">
      <c r="A748" s="7">
        <v>4.1245098616273977E-2</v>
      </c>
      <c r="B748"/>
      <c r="C748"/>
      <c r="D748"/>
      <c r="E748"/>
    </row>
    <row r="749" spans="1:73" x14ac:dyDescent="0.25">
      <c r="A749" s="7">
        <v>4.043637119242547E-2</v>
      </c>
      <c r="B749"/>
      <c r="C749"/>
      <c r="D749"/>
      <c r="E749"/>
    </row>
    <row r="750" spans="1:73" x14ac:dyDescent="0.25">
      <c r="A750" s="7">
        <v>3.9643501169044582E-2</v>
      </c>
      <c r="B750"/>
      <c r="C750"/>
      <c r="D750"/>
      <c r="E750"/>
    </row>
    <row r="751" spans="1:73" x14ac:dyDescent="0.25">
      <c r="A751" s="7">
        <v>3.8866177616710372E-2</v>
      </c>
      <c r="B751"/>
      <c r="C751"/>
      <c r="D751"/>
      <c r="E751"/>
    </row>
    <row r="752" spans="1:73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231" operator="equal">
      <formula>$U$1</formula>
    </cfRule>
    <cfRule type="cellIs" dxfId="89" priority="1232" operator="equal">
      <formula>$S$1</formula>
    </cfRule>
  </conditionalFormatting>
  <conditionalFormatting sqref="D27">
    <cfRule type="cellIs" dxfId="88" priority="1229" operator="equal">
      <formula>$S$1</formula>
    </cfRule>
    <cfRule type="cellIs" dxfId="87" priority="1230" operator="equal">
      <formula>$U$1</formula>
    </cfRule>
  </conditionalFormatting>
  <conditionalFormatting sqref="C164">
    <cfRule type="cellIs" dxfId="86" priority="1227" operator="equal">
      <formula>$U$1</formula>
    </cfRule>
    <cfRule type="cellIs" dxfId="85" priority="1228" operator="equal">
      <formula>$S$1</formula>
    </cfRule>
  </conditionalFormatting>
  <conditionalFormatting sqref="D164">
    <cfRule type="cellIs" dxfId="84" priority="1225" operator="equal">
      <formula>$S$1</formula>
    </cfRule>
    <cfRule type="cellIs" dxfId="83" priority="1226" operator="equal">
      <formula>$U$1</formula>
    </cfRule>
  </conditionalFormatting>
  <conditionalFormatting sqref="C55">
    <cfRule type="cellIs" dxfId="82" priority="1223" operator="equal">
      <formula>$U$1</formula>
    </cfRule>
    <cfRule type="cellIs" dxfId="81" priority="1224" operator="equal">
      <formula>$S$1</formula>
    </cfRule>
  </conditionalFormatting>
  <conditionalFormatting sqref="D55">
    <cfRule type="cellIs" dxfId="80" priority="1221" operator="equal">
      <formula>$S$1</formula>
    </cfRule>
    <cfRule type="cellIs" dxfId="79" priority="1222" operator="equal">
      <formula>$U$1</formula>
    </cfRule>
  </conditionalFormatting>
  <conditionalFormatting sqref="C89">
    <cfRule type="cellIs" dxfId="78" priority="1219" operator="equal">
      <formula>$U$1</formula>
    </cfRule>
    <cfRule type="cellIs" dxfId="77" priority="1220" operator="equal">
      <formula>$S$1</formula>
    </cfRule>
  </conditionalFormatting>
  <conditionalFormatting sqref="D89">
    <cfRule type="cellIs" dxfId="76" priority="1217" operator="equal">
      <formula>$S$1</formula>
    </cfRule>
    <cfRule type="cellIs" dxfId="75" priority="1218" operator="equal">
      <formula>$U$1</formula>
    </cfRule>
  </conditionalFormatting>
  <conditionalFormatting sqref="C136">
    <cfRule type="cellIs" dxfId="74" priority="1215" operator="equal">
      <formula>$U$1</formula>
    </cfRule>
    <cfRule type="cellIs" dxfId="73" priority="1216" operator="equal">
      <formula>$S$1</formula>
    </cfRule>
  </conditionalFormatting>
  <conditionalFormatting sqref="D136">
    <cfRule type="cellIs" dxfId="72" priority="1213" operator="equal">
      <formula>$S$1</formula>
    </cfRule>
    <cfRule type="cellIs" dxfId="71" priority="1214" operator="equal">
      <formula>$U$1</formula>
    </cfRule>
  </conditionalFormatting>
  <conditionalFormatting sqref="C1">
    <cfRule type="cellIs" dxfId="70" priority="121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15" zoomScale="90" zoomScaleNormal="90" workbookViewId="0">
      <pane xSplit="4" topLeftCell="CB1" activePane="topRight" state="frozen"/>
      <selection activeCell="A109" sqref="A109"/>
      <selection pane="topRight" activeCell="GK232" sqref="GK23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$A$231</v>
      </c>
      <c r="D111" s="1" t="str">
        <f>ADDRESS(C121-1,D121,1,1)</f>
        <v>$GK$231</v>
      </c>
      <c r="E111"/>
    </row>
    <row r="112" spans="1:5" x14ac:dyDescent="0.25">
      <c r="A112" s="30">
        <v>515.50191262726139</v>
      </c>
      <c r="C112" s="1" t="str">
        <f>ADDRESS(C121,1,1,1)</f>
        <v>$A$232</v>
      </c>
      <c r="D112" s="1" t="str">
        <f>ADDRESS(C121,D121-1,1,1)</f>
        <v>$GJ$232</v>
      </c>
      <c r="E112"/>
    </row>
    <row r="113" spans="1:5" x14ac:dyDescent="0.25">
      <c r="A113" s="30">
        <v>490.95420250215363</v>
      </c>
      <c r="C113" s="1" t="str">
        <f>ADDRESS(C121+1,1,1,1)</f>
        <v>$A$233</v>
      </c>
      <c r="D113" s="1" t="str">
        <f>ADDRESS(C121-1,D121+1,1,1)</f>
        <v>$GL$231</v>
      </c>
    </row>
    <row r="114" spans="1:5" x14ac:dyDescent="0.25">
      <c r="A114" s="30">
        <v>467.57543095443202</v>
      </c>
      <c r="C114" s="1" t="str">
        <f>ADDRESS(C121,D121,1,1)</f>
        <v>$GK$232</v>
      </c>
      <c r="D114" s="1" t="str">
        <f>ADDRESS(C121+1,D121+1,1,1)</f>
        <v>$GL$233</v>
      </c>
    </row>
    <row r="115" spans="1:5" x14ac:dyDescent="0.25">
      <c r="A115" s="30">
        <v>445.30993424231622</v>
      </c>
      <c r="C115" s="1" t="str">
        <f>ADDRESS(C121+1,D121,1,1)</f>
        <v>$GK$233</v>
      </c>
    </row>
    <row r="116" spans="1:5" x14ac:dyDescent="0.25">
      <c r="A116" s="30">
        <v>424.10469927839637</v>
      </c>
      <c r="C116" s="1">
        <f>C117-1</f>
        <v>231</v>
      </c>
    </row>
    <row r="117" spans="1:5" x14ac:dyDescent="0.25">
      <c r="A117" s="30">
        <v>403.9092374079965</v>
      </c>
      <c r="C117" s="1">
        <f>C121</f>
        <v>232</v>
      </c>
      <c r="D117" s="1">
        <f>D121</f>
        <v>193</v>
      </c>
    </row>
    <row r="118" spans="1:5" x14ac:dyDescent="0.25">
      <c r="A118" s="30">
        <v>384.6754641980919</v>
      </c>
      <c r="C118" s="1">
        <f>C117+1</f>
        <v>233</v>
      </c>
      <c r="D118" s="1">
        <f>D117+1</f>
        <v>194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232</v>
      </c>
      <c r="D121" s="19">
        <v>193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R232</v>
      </c>
      <c r="D123" s="1" t="str">
        <f>"C"&amp;D121</f>
        <v>C193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1.477455443789063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190" x14ac:dyDescent="0.25">
      <c r="A209" s="30">
        <v>4.5380394939082018</v>
      </c>
      <c r="E209"/>
    </row>
    <row r="210" spans="1:190" x14ac:dyDescent="0.25">
      <c r="A210" s="30">
        <v>4.3219423751506678</v>
      </c>
      <c r="C210"/>
      <c r="E210"/>
    </row>
    <row r="211" spans="1:190" x14ac:dyDescent="0.25">
      <c r="A211" s="30">
        <v>4.1161355953815884</v>
      </c>
      <c r="E211"/>
    </row>
    <row r="212" spans="1:190" x14ac:dyDescent="0.25">
      <c r="A212" s="30">
        <v>3.9201291384586554</v>
      </c>
      <c r="E212"/>
    </row>
    <row r="213" spans="1:190" x14ac:dyDescent="0.25">
      <c r="A213" s="30">
        <v>3.7334563223415764</v>
      </c>
      <c r="E213"/>
    </row>
    <row r="214" spans="1:190" x14ac:dyDescent="0.25">
      <c r="A214" s="30">
        <v>3.5556726879443583</v>
      </c>
      <c r="E214"/>
    </row>
    <row r="215" spans="1:190" x14ac:dyDescent="0.25">
      <c r="A215" s="30">
        <v>3.3863549408993889</v>
      </c>
      <c r="E215"/>
    </row>
    <row r="216" spans="1:190" x14ac:dyDescent="0.25">
      <c r="A216" s="30">
        <v>3.2250999437137038</v>
      </c>
      <c r="E216"/>
      <c r="FW216" s="27" t="s">
        <v>8</v>
      </c>
    </row>
    <row r="217" spans="1:190" x14ac:dyDescent="0.25">
      <c r="A217" s="30">
        <v>3.0715237559178128</v>
      </c>
      <c r="E217"/>
      <c r="FW217" s="27" t="s">
        <v>8</v>
      </c>
      <c r="FX217" s="27" t="s">
        <v>7</v>
      </c>
    </row>
    <row r="218" spans="1:190" x14ac:dyDescent="0.25">
      <c r="A218" s="30">
        <v>2.9252607199217264</v>
      </c>
      <c r="E218"/>
      <c r="FW218" s="27" t="s">
        <v>8</v>
      </c>
      <c r="FX218" s="27" t="s">
        <v>7</v>
      </c>
    </row>
    <row r="219" spans="1:190" x14ac:dyDescent="0.25">
      <c r="A219" s="30">
        <v>2.7859625904016441</v>
      </c>
      <c r="E219"/>
      <c r="DU219" s="27" t="s">
        <v>8</v>
      </c>
      <c r="FO219" s="27" t="s">
        <v>8</v>
      </c>
      <c r="FW219" s="27" t="s">
        <v>8</v>
      </c>
      <c r="FX219" s="27" t="s">
        <v>7</v>
      </c>
      <c r="GG219" s="27" t="s">
        <v>8</v>
      </c>
    </row>
    <row r="220" spans="1:190" x14ac:dyDescent="0.25">
      <c r="A220" s="30">
        <v>2.6532977051444226</v>
      </c>
      <c r="E220"/>
      <c r="DU220" s="27" t="s">
        <v>8</v>
      </c>
      <c r="DV220" s="27" t="s">
        <v>7</v>
      </c>
      <c r="DW220" s="27" t="s">
        <v>8</v>
      </c>
      <c r="DY220" s="27" t="s">
        <v>8</v>
      </c>
      <c r="FO220" s="27" t="s">
        <v>8</v>
      </c>
      <c r="FP220" s="27" t="s">
        <v>7</v>
      </c>
      <c r="FW220" s="27" t="s">
        <v>8</v>
      </c>
      <c r="FX220" s="27" t="s">
        <v>7</v>
      </c>
      <c r="GC220" s="27" t="s">
        <v>8</v>
      </c>
      <c r="GG220" s="27" t="s">
        <v>8</v>
      </c>
      <c r="GH220" s="27" t="s">
        <v>7</v>
      </c>
    </row>
    <row r="221" spans="1:190" x14ac:dyDescent="0.25">
      <c r="A221" s="30">
        <v>2.5269501953756404</v>
      </c>
      <c r="E221"/>
      <c r="DU221" s="27" t="s">
        <v>8</v>
      </c>
      <c r="DV221" s="27" t="s">
        <v>7</v>
      </c>
      <c r="DW221" s="27" t="s">
        <v>8</v>
      </c>
      <c r="DX221" s="27" t="s">
        <v>7</v>
      </c>
      <c r="DY221" s="27" t="s">
        <v>8</v>
      </c>
      <c r="DZ221" s="27" t="s">
        <v>7</v>
      </c>
      <c r="FK221" s="27" t="s">
        <v>8</v>
      </c>
      <c r="FO221" s="27" t="s">
        <v>8</v>
      </c>
      <c r="FP221" s="27" t="s">
        <v>7</v>
      </c>
      <c r="FW221" s="27" t="s">
        <v>8</v>
      </c>
      <c r="FX221" s="27" t="s">
        <v>7</v>
      </c>
      <c r="GC221" s="27" t="s">
        <v>8</v>
      </c>
      <c r="GD221" s="27" t="s">
        <v>7</v>
      </c>
      <c r="GG221" s="27" t="s">
        <v>8</v>
      </c>
      <c r="GH221" s="27" t="s">
        <v>7</v>
      </c>
    </row>
    <row r="222" spans="1:190" x14ac:dyDescent="0.25">
      <c r="A222" s="30">
        <v>2.4066192336910861</v>
      </c>
      <c r="E222"/>
      <c r="DU222" s="27" t="s">
        <v>8</v>
      </c>
      <c r="DV222" s="27" t="s">
        <v>7</v>
      </c>
      <c r="DW222" s="27" t="s">
        <v>8</v>
      </c>
      <c r="DX222" s="27" t="s">
        <v>7</v>
      </c>
      <c r="DY222" s="27" t="s">
        <v>8</v>
      </c>
      <c r="DZ222" s="27" t="s">
        <v>7</v>
      </c>
      <c r="FK222" s="27" t="s">
        <v>8</v>
      </c>
      <c r="FL222" s="27" t="s">
        <v>7</v>
      </c>
      <c r="FM222" s="27" t="s">
        <v>8</v>
      </c>
      <c r="FO222" s="27" t="s">
        <v>8</v>
      </c>
      <c r="FP222" s="27" t="s">
        <v>7</v>
      </c>
      <c r="FQ222" s="27" t="s">
        <v>8</v>
      </c>
      <c r="FS222" s="27" t="s">
        <v>8</v>
      </c>
      <c r="FW222" s="27" t="s">
        <v>8</v>
      </c>
      <c r="FX222" s="27" t="s">
        <v>7</v>
      </c>
      <c r="FY222" s="27" t="s">
        <v>8</v>
      </c>
      <c r="GC222" s="27" t="s">
        <v>8</v>
      </c>
      <c r="GD222" s="27" t="s">
        <v>7</v>
      </c>
      <c r="GE222" s="27" t="s">
        <v>8</v>
      </c>
      <c r="GG222" s="27" t="s">
        <v>8</v>
      </c>
      <c r="GH222" s="27" t="s">
        <v>7</v>
      </c>
    </row>
    <row r="223" spans="1:190" x14ac:dyDescent="0.25">
      <c r="A223" s="30">
        <v>2.2920183178010345</v>
      </c>
      <c r="E223"/>
      <c r="DU223" s="27" t="s">
        <v>8</v>
      </c>
      <c r="DV223" s="27" t="s">
        <v>7</v>
      </c>
      <c r="DW223" s="27" t="s">
        <v>8</v>
      </c>
      <c r="DX223" s="27" t="s">
        <v>7</v>
      </c>
      <c r="DY223" s="27" t="s">
        <v>8</v>
      </c>
      <c r="DZ223" s="27" t="s">
        <v>7</v>
      </c>
      <c r="EA223" s="27" t="s">
        <v>8</v>
      </c>
      <c r="FK223" s="27" t="s">
        <v>8</v>
      </c>
      <c r="FL223" s="27" t="s">
        <v>7</v>
      </c>
      <c r="FM223" s="27" t="s">
        <v>8</v>
      </c>
      <c r="FN223" s="27" t="s">
        <v>7</v>
      </c>
      <c r="FO223" s="27" t="s">
        <v>8</v>
      </c>
      <c r="FP223" s="27" t="s">
        <v>7</v>
      </c>
      <c r="FQ223" s="27" t="s">
        <v>8</v>
      </c>
      <c r="FR223" s="27" t="s">
        <v>7</v>
      </c>
      <c r="FS223" s="27" t="s">
        <v>8</v>
      </c>
      <c r="FT223" s="27" t="s">
        <v>7</v>
      </c>
      <c r="FW223" s="27" t="s">
        <v>8</v>
      </c>
      <c r="FX223" s="27" t="s">
        <v>7</v>
      </c>
      <c r="FY223" s="27" t="s">
        <v>8</v>
      </c>
      <c r="FZ223" s="27" t="s">
        <v>7</v>
      </c>
      <c r="GA223" s="27" t="s">
        <v>8</v>
      </c>
      <c r="GC223" s="27" t="s">
        <v>8</v>
      </c>
      <c r="GD223" s="27" t="s">
        <v>7</v>
      </c>
      <c r="GE223" s="27" t="s">
        <v>8</v>
      </c>
      <c r="GF223" s="27" t="s">
        <v>7</v>
      </c>
      <c r="GG223" s="27" t="s">
        <v>8</v>
      </c>
      <c r="GH223" s="27" t="s">
        <v>7</v>
      </c>
    </row>
    <row r="224" spans="1:190" x14ac:dyDescent="0.25">
      <c r="A224" s="30">
        <v>2.1828745883819374</v>
      </c>
      <c r="E224"/>
      <c r="DU224" s="27" t="s">
        <v>8</v>
      </c>
      <c r="DV224" s="27" t="s">
        <v>7</v>
      </c>
      <c r="DW224" s="27" t="s">
        <v>8</v>
      </c>
      <c r="DX224" s="27" t="s">
        <v>7</v>
      </c>
      <c r="DY224" s="27" t="s">
        <v>8</v>
      </c>
      <c r="DZ224" s="27" t="s">
        <v>7</v>
      </c>
      <c r="EA224" s="27" t="s">
        <v>8</v>
      </c>
      <c r="EB224" s="27" t="s">
        <v>7</v>
      </c>
      <c r="FK224" s="27" t="s">
        <v>8</v>
      </c>
      <c r="FL224" s="27" t="s">
        <v>7</v>
      </c>
      <c r="FM224" s="27" t="s">
        <v>8</v>
      </c>
      <c r="FN224" s="27" t="s">
        <v>7</v>
      </c>
      <c r="FO224" s="27" t="s">
        <v>8</v>
      </c>
      <c r="FP224" s="27" t="s">
        <v>7</v>
      </c>
      <c r="FQ224" s="27" t="s">
        <v>8</v>
      </c>
      <c r="FR224" s="27" t="s">
        <v>7</v>
      </c>
      <c r="FS224" s="27" t="s">
        <v>8</v>
      </c>
      <c r="FT224" s="27" t="s">
        <v>7</v>
      </c>
      <c r="FU224" s="27" t="s">
        <v>8</v>
      </c>
      <c r="FW224" s="27" t="s">
        <v>8</v>
      </c>
      <c r="FX224" s="27" t="s">
        <v>7</v>
      </c>
      <c r="FY224" s="27" t="s">
        <v>8</v>
      </c>
      <c r="FZ224" s="27" t="s">
        <v>7</v>
      </c>
      <c r="GA224" s="27" t="s">
        <v>8</v>
      </c>
      <c r="GB224" s="27" t="s">
        <v>7</v>
      </c>
      <c r="GC224" s="27" t="s">
        <v>8</v>
      </c>
      <c r="GD224" s="27" t="s">
        <v>7</v>
      </c>
      <c r="GE224" s="27" t="s">
        <v>8</v>
      </c>
      <c r="GF224" s="27" t="s">
        <v>7</v>
      </c>
      <c r="GG224" s="27" t="s">
        <v>8</v>
      </c>
      <c r="GH224" s="27" t="s">
        <v>7</v>
      </c>
    </row>
    <row r="225" spans="1:193" x14ac:dyDescent="0.25">
      <c r="A225" s="30">
        <v>2.0789281794113688</v>
      </c>
      <c r="E225"/>
      <c r="DU225" s="27" t="s">
        <v>8</v>
      </c>
      <c r="DV225" s="27" t="s">
        <v>7</v>
      </c>
      <c r="DW225" s="27" t="s">
        <v>8</v>
      </c>
      <c r="DX225" s="27" t="s">
        <v>7</v>
      </c>
      <c r="DY225" s="27" t="s">
        <v>8</v>
      </c>
      <c r="DZ225" s="27" t="s">
        <v>7</v>
      </c>
      <c r="EA225" s="27" t="s">
        <v>8</v>
      </c>
      <c r="EB225" s="27" t="s">
        <v>7</v>
      </c>
      <c r="FK225" s="27" t="s">
        <v>8</v>
      </c>
      <c r="FL225" s="27" t="s">
        <v>7</v>
      </c>
      <c r="FM225" s="27" t="s">
        <v>8</v>
      </c>
      <c r="FN225" s="27" t="s">
        <v>7</v>
      </c>
      <c r="FO225" s="27" t="s">
        <v>8</v>
      </c>
      <c r="FP225" s="27" t="s">
        <v>7</v>
      </c>
      <c r="FQ225" s="27" t="s">
        <v>8</v>
      </c>
      <c r="FR225" s="27" t="s">
        <v>7</v>
      </c>
      <c r="FT225" s="27" t="s">
        <v>7</v>
      </c>
      <c r="FU225" s="27" t="s">
        <v>8</v>
      </c>
      <c r="FV225" s="27" t="s">
        <v>7</v>
      </c>
      <c r="FW225" s="27" t="s">
        <v>8</v>
      </c>
      <c r="FX225" s="27" t="s">
        <v>7</v>
      </c>
      <c r="FY225" s="27" t="s">
        <v>8</v>
      </c>
      <c r="FZ225" s="27" t="s">
        <v>7</v>
      </c>
      <c r="GA225" s="27" t="s">
        <v>8</v>
      </c>
      <c r="GB225" s="27" t="s">
        <v>7</v>
      </c>
      <c r="GC225" s="27" t="s">
        <v>8</v>
      </c>
      <c r="GD225" s="27" t="s">
        <v>7</v>
      </c>
      <c r="GF225" s="27" t="s">
        <v>7</v>
      </c>
      <c r="GG225" s="27" t="s">
        <v>8</v>
      </c>
      <c r="GH225" s="27" t="s">
        <v>7</v>
      </c>
    </row>
    <row r="226" spans="1:193" x14ac:dyDescent="0.25">
      <c r="A226" s="30">
        <v>1.9799315994393987</v>
      </c>
      <c r="E226"/>
      <c r="DU226" s="27" t="s">
        <v>8</v>
      </c>
      <c r="DV226" s="27" t="s">
        <v>7</v>
      </c>
      <c r="DW226" s="27" t="s">
        <v>8</v>
      </c>
      <c r="DX226" s="27" t="s">
        <v>7</v>
      </c>
      <c r="DY226" s="27" t="s">
        <v>8</v>
      </c>
      <c r="DZ226" s="27" t="s">
        <v>7</v>
      </c>
      <c r="EA226" s="27" t="s">
        <v>8</v>
      </c>
      <c r="EB226" s="27" t="s">
        <v>7</v>
      </c>
      <c r="FK226" s="27" t="s">
        <v>8</v>
      </c>
      <c r="FL226" s="27" t="s">
        <v>7</v>
      </c>
      <c r="FM226" s="27" t="s">
        <v>8</v>
      </c>
      <c r="FN226" s="27" t="s">
        <v>7</v>
      </c>
      <c r="FP226" s="27" t="s">
        <v>7</v>
      </c>
      <c r="FQ226" s="27" t="s">
        <v>8</v>
      </c>
      <c r="FT226" s="27" t="s">
        <v>7</v>
      </c>
      <c r="FU226" s="27" t="s">
        <v>8</v>
      </c>
      <c r="FV226" s="27" t="s">
        <v>7</v>
      </c>
      <c r="FW226" s="27" t="s">
        <v>8</v>
      </c>
      <c r="FX226" s="27" t="s">
        <v>7</v>
      </c>
      <c r="FY226" s="27" t="s">
        <v>8</v>
      </c>
      <c r="FZ226" s="27" t="s">
        <v>7</v>
      </c>
      <c r="GA226" s="27" t="s">
        <v>8</v>
      </c>
      <c r="GB226" s="27" t="s">
        <v>7</v>
      </c>
      <c r="GF226" s="27" t="s">
        <v>7</v>
      </c>
      <c r="GG226" s="27" t="s">
        <v>8</v>
      </c>
      <c r="GH226" s="27" t="s">
        <v>7</v>
      </c>
    </row>
    <row r="227" spans="1:193" x14ac:dyDescent="0.25">
      <c r="A227" s="30">
        <v>1.8856491423232367</v>
      </c>
      <c r="E227"/>
      <c r="DU227" s="27" t="s">
        <v>8</v>
      </c>
      <c r="DV227" s="27" t="s">
        <v>7</v>
      </c>
      <c r="DW227" s="27" t="s">
        <v>8</v>
      </c>
      <c r="DX227" s="27" t="s">
        <v>7</v>
      </c>
      <c r="DY227" s="27" t="s">
        <v>8</v>
      </c>
      <c r="DZ227" s="27" t="s">
        <v>7</v>
      </c>
      <c r="EA227" s="27" t="s">
        <v>8</v>
      </c>
      <c r="EB227" s="27" t="s">
        <v>7</v>
      </c>
      <c r="FK227" s="27" t="s">
        <v>8</v>
      </c>
      <c r="FL227" s="27" t="s">
        <v>7</v>
      </c>
      <c r="FP227" s="27" t="s">
        <v>7</v>
      </c>
      <c r="FQ227" s="27" t="s">
        <v>8</v>
      </c>
      <c r="FT227" s="27" t="s">
        <v>7</v>
      </c>
      <c r="FV227" s="27" t="s">
        <v>7</v>
      </c>
      <c r="FW227" s="27" t="s">
        <v>8</v>
      </c>
      <c r="FX227" s="27" t="s">
        <v>7</v>
      </c>
      <c r="FY227" s="27" t="s">
        <v>8</v>
      </c>
      <c r="FZ227" s="27" t="s">
        <v>7</v>
      </c>
      <c r="GA227" s="27" t="s">
        <v>8</v>
      </c>
      <c r="GF227" s="27" t="s">
        <v>7</v>
      </c>
      <c r="GH227" s="27" t="s">
        <v>7</v>
      </c>
    </row>
    <row r="228" spans="1:193" x14ac:dyDescent="0.25">
      <c r="A228" s="30">
        <v>1.7958563260221301</v>
      </c>
      <c r="C228" s="7"/>
      <c r="D228"/>
      <c r="E228"/>
      <c r="DU228" s="27" t="s">
        <v>8</v>
      </c>
      <c r="DV228" s="27" t="s">
        <v>7</v>
      </c>
      <c r="DW228" s="27" t="s">
        <v>8</v>
      </c>
      <c r="DX228" s="27" t="s">
        <v>7</v>
      </c>
      <c r="DZ228" s="27" t="s">
        <v>7</v>
      </c>
      <c r="EA228" s="27" t="s">
        <v>8</v>
      </c>
      <c r="EB228" s="27" t="s">
        <v>7</v>
      </c>
      <c r="FK228" s="27" t="s">
        <v>8</v>
      </c>
      <c r="FP228" s="27" t="s">
        <v>7</v>
      </c>
      <c r="FV228" s="27" t="s">
        <v>7</v>
      </c>
      <c r="FX228" s="27" t="s">
        <v>7</v>
      </c>
      <c r="FZ228" s="27" t="s">
        <v>7</v>
      </c>
      <c r="GH228" s="27" t="s">
        <v>7</v>
      </c>
    </row>
    <row r="229" spans="1:193" x14ac:dyDescent="0.25">
      <c r="A229" s="30">
        <v>1.7103393581163142</v>
      </c>
      <c r="E229"/>
      <c r="DU229" s="27" t="s">
        <v>8</v>
      </c>
      <c r="DV229" s="27" t="s">
        <v>7</v>
      </c>
      <c r="DW229" s="27" t="s">
        <v>8</v>
      </c>
      <c r="DZ229" s="27" t="s">
        <v>7</v>
      </c>
      <c r="EB229" s="27" t="s">
        <v>7</v>
      </c>
      <c r="FE229" s="27" t="s">
        <v>8</v>
      </c>
      <c r="FK229" s="27" t="s">
        <v>8</v>
      </c>
      <c r="GH229" s="27" t="s">
        <v>7</v>
      </c>
    </row>
    <row r="230" spans="1:193" x14ac:dyDescent="0.25">
      <c r="A230" s="30">
        <v>1.628894626777442</v>
      </c>
      <c r="E230"/>
      <c r="DU230" s="27" t="s">
        <v>8</v>
      </c>
      <c r="DV230" s="27" t="s">
        <v>7</v>
      </c>
      <c r="DW230" s="27" t="s">
        <v>8</v>
      </c>
      <c r="EB230" s="27" t="s">
        <v>7</v>
      </c>
      <c r="FE230" s="27" t="s">
        <v>8</v>
      </c>
      <c r="FF230" s="27" t="s">
        <v>7</v>
      </c>
      <c r="FK230" s="27" t="s">
        <v>8</v>
      </c>
      <c r="GH230" s="27" t="s">
        <v>7</v>
      </c>
    </row>
    <row r="231" spans="1:193" x14ac:dyDescent="0.25">
      <c r="A231" s="30">
        <v>1.5513282159785162</v>
      </c>
      <c r="C231"/>
      <c r="D231"/>
      <c r="E231"/>
      <c r="DU231" s="27" t="s">
        <v>8</v>
      </c>
      <c r="DV231" s="27" t="s">
        <v>7</v>
      </c>
      <c r="EB231" s="27" t="s">
        <v>7</v>
      </c>
      <c r="FA231" s="27" t="s">
        <v>8</v>
      </c>
      <c r="FC231" s="27" t="s">
        <v>8</v>
      </c>
      <c r="FE231" s="27" t="s">
        <v>8</v>
      </c>
      <c r="FF231" s="27" t="s">
        <v>7</v>
      </c>
      <c r="FG231" s="27" t="s">
        <v>8</v>
      </c>
      <c r="FK231" s="27" t="s">
        <v>8</v>
      </c>
      <c r="GH231" s="27" t="s">
        <v>7</v>
      </c>
    </row>
    <row r="232" spans="1:193" x14ac:dyDescent="0.25">
      <c r="A232" s="30">
        <v>1.477455443789063</v>
      </c>
      <c r="E232"/>
      <c r="DU232" s="27" t="s">
        <v>8</v>
      </c>
      <c r="EB232" s="27" t="s">
        <v>7</v>
      </c>
      <c r="EY232" s="27" t="s">
        <v>8</v>
      </c>
      <c r="FA232" s="27" t="s">
        <v>8</v>
      </c>
      <c r="FB232" s="27" t="s">
        <v>7</v>
      </c>
      <c r="FC232" s="27" t="s">
        <v>8</v>
      </c>
      <c r="FD232" s="27" t="s">
        <v>7</v>
      </c>
      <c r="FE232" s="27" t="s">
        <v>8</v>
      </c>
      <c r="FF232" s="27" t="s">
        <v>7</v>
      </c>
      <c r="FG232" s="27" t="s">
        <v>8</v>
      </c>
      <c r="FH232" s="27" t="s">
        <v>7</v>
      </c>
      <c r="FK232" s="27" t="s">
        <v>8</v>
      </c>
      <c r="GH232" s="27" t="s">
        <v>7</v>
      </c>
      <c r="GI232" s="27" t="s">
        <v>8</v>
      </c>
      <c r="GK232" s="27" t="s">
        <v>8</v>
      </c>
    </row>
    <row r="233" spans="1:193" x14ac:dyDescent="0.25">
      <c r="A233" s="30">
        <v>1.4071004226562505</v>
      </c>
      <c r="E233"/>
      <c r="DO233" s="27" t="s">
        <v>8</v>
      </c>
      <c r="DS233" s="27" t="s">
        <v>8</v>
      </c>
      <c r="DU233" s="27" t="s">
        <v>8</v>
      </c>
      <c r="EB233" s="27" t="s">
        <v>7</v>
      </c>
      <c r="EE233" s="27" t="s">
        <v>8</v>
      </c>
      <c r="ES233" s="27" t="s">
        <v>8</v>
      </c>
      <c r="EY233" s="27" t="s">
        <v>8</v>
      </c>
      <c r="EZ233" s="27" t="s">
        <v>7</v>
      </c>
      <c r="FA233" s="27" t="s">
        <v>8</v>
      </c>
      <c r="FB233" s="27" t="s">
        <v>7</v>
      </c>
      <c r="FC233" s="27" t="s">
        <v>8</v>
      </c>
      <c r="FD233" s="27" t="s">
        <v>7</v>
      </c>
      <c r="FE233" s="27" t="s">
        <v>8</v>
      </c>
      <c r="FF233" s="27" t="s">
        <v>7</v>
      </c>
      <c r="FG233" s="27" t="s">
        <v>8</v>
      </c>
      <c r="FH233" s="27" t="s">
        <v>7</v>
      </c>
      <c r="FI233" s="27" t="s">
        <v>8</v>
      </c>
      <c r="FK233" s="27" t="s">
        <v>8</v>
      </c>
      <c r="GH233" s="27" t="s">
        <v>7</v>
      </c>
      <c r="GI233" s="27" t="s">
        <v>8</v>
      </c>
      <c r="GJ233" s="27" t="s">
        <v>7</v>
      </c>
      <c r="GK233" s="27" t="s">
        <v>8</v>
      </c>
    </row>
    <row r="234" spans="1:193" x14ac:dyDescent="0.25">
      <c r="A234" s="30">
        <v>1.3400956406250004</v>
      </c>
      <c r="E234"/>
      <c r="DO234" s="27" t="s">
        <v>8</v>
      </c>
      <c r="DP234" s="27" t="s">
        <v>7</v>
      </c>
      <c r="DS234" s="27" t="s">
        <v>8</v>
      </c>
      <c r="DT234" s="27" t="s">
        <v>7</v>
      </c>
      <c r="DU234" s="27" t="s">
        <v>8</v>
      </c>
      <c r="EB234" s="27" t="s">
        <v>7</v>
      </c>
      <c r="EE234" s="27" t="s">
        <v>8</v>
      </c>
      <c r="EF234" s="27" t="s">
        <v>7</v>
      </c>
      <c r="ES234" s="27" t="s">
        <v>8</v>
      </c>
      <c r="ET234" s="27" t="s">
        <v>7</v>
      </c>
      <c r="EU234" s="27" t="s">
        <v>8</v>
      </c>
      <c r="EY234" s="27" t="s">
        <v>8</v>
      </c>
      <c r="EZ234" s="27" t="s">
        <v>7</v>
      </c>
      <c r="FA234" s="27" t="s">
        <v>8</v>
      </c>
      <c r="FB234" s="27" t="s">
        <v>7</v>
      </c>
      <c r="FD234" s="27" t="s">
        <v>7</v>
      </c>
      <c r="FF234" s="27" t="s">
        <v>7</v>
      </c>
      <c r="FG234" s="27" t="s">
        <v>8</v>
      </c>
      <c r="FH234" s="27" t="s">
        <v>7</v>
      </c>
      <c r="FI234" s="27" t="s">
        <v>8</v>
      </c>
      <c r="FJ234" s="27" t="s">
        <v>7</v>
      </c>
      <c r="FK234" s="27" t="s">
        <v>8</v>
      </c>
      <c r="GH234" s="27" t="s">
        <v>7</v>
      </c>
      <c r="GI234" s="27" t="s">
        <v>8</v>
      </c>
      <c r="GJ234" s="27" t="s">
        <v>7</v>
      </c>
      <c r="GK234" s="27" t="s">
        <v>8</v>
      </c>
    </row>
    <row r="235" spans="1:193" x14ac:dyDescent="0.25">
      <c r="A235" s="30">
        <v>1.2762815625000004</v>
      </c>
      <c r="C235"/>
      <c r="E235"/>
      <c r="DO235" s="27" t="s">
        <v>8</v>
      </c>
      <c r="DP235" s="27" t="s">
        <v>7</v>
      </c>
      <c r="DQ235" s="27" t="s">
        <v>8</v>
      </c>
      <c r="DS235" s="27" t="s">
        <v>8</v>
      </c>
      <c r="DT235" s="27" t="s">
        <v>7</v>
      </c>
      <c r="DU235" s="27" t="s">
        <v>8</v>
      </c>
      <c r="EB235" s="27" t="s">
        <v>7</v>
      </c>
      <c r="EE235" s="27" t="s">
        <v>8</v>
      </c>
      <c r="EF235" s="27" t="s">
        <v>7</v>
      </c>
      <c r="EQ235" s="27" t="s">
        <v>8</v>
      </c>
      <c r="ES235" s="27" t="s">
        <v>8</v>
      </c>
      <c r="ET235" s="27" t="s">
        <v>7</v>
      </c>
      <c r="EU235" s="27" t="s">
        <v>8</v>
      </c>
      <c r="EV235" s="27" t="s">
        <v>7</v>
      </c>
      <c r="EW235" s="27" t="s">
        <v>8</v>
      </c>
      <c r="EY235" s="27" t="s">
        <v>8</v>
      </c>
      <c r="EZ235" s="27" t="s">
        <v>7</v>
      </c>
      <c r="FF235" s="27" t="s">
        <v>7</v>
      </c>
      <c r="FG235" s="27" t="s">
        <v>8</v>
      </c>
      <c r="FH235" s="27" t="s">
        <v>7</v>
      </c>
      <c r="FI235" s="27" t="s">
        <v>8</v>
      </c>
      <c r="FJ235" s="27" t="s">
        <v>7</v>
      </c>
      <c r="FK235" s="27" t="s">
        <v>8</v>
      </c>
      <c r="GH235" s="27" t="s">
        <v>7</v>
      </c>
      <c r="GJ235" s="27" t="s">
        <v>7</v>
      </c>
      <c r="GK235" s="27" t="s">
        <v>8</v>
      </c>
    </row>
    <row r="236" spans="1:193" x14ac:dyDescent="0.25">
      <c r="A236" s="30">
        <v>1.2155062500000002</v>
      </c>
      <c r="E236"/>
      <c r="DO236" s="27" t="s">
        <v>8</v>
      </c>
      <c r="DP236" s="27" t="s">
        <v>7</v>
      </c>
      <c r="DQ236" s="27" t="s">
        <v>8</v>
      </c>
      <c r="DR236" s="27" t="s">
        <v>7</v>
      </c>
      <c r="DS236" s="27" t="s">
        <v>8</v>
      </c>
      <c r="DT236" s="27" t="s">
        <v>7</v>
      </c>
      <c r="DU236" s="27" t="s">
        <v>8</v>
      </c>
      <c r="EB236" s="27" t="s">
        <v>7</v>
      </c>
      <c r="EC236" s="27" t="s">
        <v>8</v>
      </c>
      <c r="EE236" s="27" t="s">
        <v>8</v>
      </c>
      <c r="EF236" s="27" t="s">
        <v>7</v>
      </c>
      <c r="EQ236" s="27" t="s">
        <v>8</v>
      </c>
      <c r="ER236" s="27" t="s">
        <v>7</v>
      </c>
      <c r="ES236" s="27" t="s">
        <v>8</v>
      </c>
      <c r="ET236" s="27" t="s">
        <v>7</v>
      </c>
      <c r="EU236" s="27" t="s">
        <v>8</v>
      </c>
      <c r="EV236" s="27" t="s">
        <v>7</v>
      </c>
      <c r="EW236" s="27" t="s">
        <v>8</v>
      </c>
      <c r="EX236" s="27" t="s">
        <v>7</v>
      </c>
      <c r="EY236" s="27" t="s">
        <v>8</v>
      </c>
      <c r="FF236" s="27" t="s">
        <v>7</v>
      </c>
      <c r="FG236" s="27" t="s">
        <v>8</v>
      </c>
      <c r="FH236" s="27" t="s">
        <v>7</v>
      </c>
      <c r="FI236" s="27" t="s">
        <v>8</v>
      </c>
      <c r="FJ236" s="27" t="s">
        <v>7</v>
      </c>
      <c r="FK236" s="27" t="s">
        <v>8</v>
      </c>
      <c r="GJ236" s="27" t="s">
        <v>7</v>
      </c>
    </row>
    <row r="237" spans="1:193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DK237" s="27" t="s">
        <v>8</v>
      </c>
      <c r="DO237" s="27" t="s">
        <v>8</v>
      </c>
      <c r="DP237" s="27" t="s">
        <v>7</v>
      </c>
      <c r="DQ237" s="27" t="s">
        <v>8</v>
      </c>
      <c r="DR237" s="27" t="s">
        <v>7</v>
      </c>
      <c r="DS237" s="27" t="s">
        <v>8</v>
      </c>
      <c r="DT237" s="27" t="s">
        <v>7</v>
      </c>
      <c r="DU237" s="27" t="s">
        <v>8</v>
      </c>
      <c r="EB237" s="27" t="s">
        <v>7</v>
      </c>
      <c r="EC237" s="27" t="s">
        <v>8</v>
      </c>
      <c r="ED237" s="27" t="s">
        <v>7</v>
      </c>
      <c r="EE237" s="27" t="s">
        <v>8</v>
      </c>
      <c r="EF237" s="27" t="s">
        <v>7</v>
      </c>
      <c r="EG237" s="27" t="s">
        <v>8</v>
      </c>
      <c r="EQ237" s="27" t="s">
        <v>8</v>
      </c>
      <c r="ER237" s="27" t="s">
        <v>7</v>
      </c>
      <c r="ES237" s="27" t="s">
        <v>8</v>
      </c>
      <c r="ET237" s="27" t="s">
        <v>7</v>
      </c>
      <c r="EV237" s="27" t="s">
        <v>7</v>
      </c>
      <c r="EW237" s="27" t="s">
        <v>8</v>
      </c>
      <c r="EX237" s="27" t="s">
        <v>7</v>
      </c>
      <c r="EY237" s="27" t="s">
        <v>8</v>
      </c>
      <c r="FF237" s="27" t="s">
        <v>7</v>
      </c>
      <c r="FH237" s="27" t="s">
        <v>7</v>
      </c>
      <c r="FJ237" s="27" t="s">
        <v>7</v>
      </c>
    </row>
    <row r="238" spans="1:193" x14ac:dyDescent="0.25">
      <c r="A238" s="30">
        <v>1.1025</v>
      </c>
      <c r="E238"/>
      <c r="DK238" s="27" t="s">
        <v>8</v>
      </c>
      <c r="DL238" s="27" t="s">
        <v>7</v>
      </c>
      <c r="DM238" s="27" t="s">
        <v>8</v>
      </c>
      <c r="DO238" s="27" t="s">
        <v>8</v>
      </c>
      <c r="DP238" s="27" t="s">
        <v>7</v>
      </c>
      <c r="DR238" s="27" t="s">
        <v>7</v>
      </c>
      <c r="DT238" s="27" t="s">
        <v>7</v>
      </c>
      <c r="EB238" s="27" t="s">
        <v>7</v>
      </c>
      <c r="EC238" s="27" t="s">
        <v>8</v>
      </c>
      <c r="ED238" s="27" t="s">
        <v>7</v>
      </c>
      <c r="EE238" s="27" t="s">
        <v>8</v>
      </c>
      <c r="EF238" s="27" t="s">
        <v>7</v>
      </c>
      <c r="EG238" s="27" t="s">
        <v>8</v>
      </c>
      <c r="EH238" s="27" t="s">
        <v>7</v>
      </c>
      <c r="EQ238" s="27" t="s">
        <v>8</v>
      </c>
      <c r="ER238" s="27" t="s">
        <v>7</v>
      </c>
      <c r="ES238" s="27" t="s">
        <v>8</v>
      </c>
      <c r="EV238" s="27" t="s">
        <v>7</v>
      </c>
      <c r="EW238" s="27" t="s">
        <v>8</v>
      </c>
      <c r="EX238" s="27" t="s">
        <v>7</v>
      </c>
    </row>
    <row r="239" spans="1:193" x14ac:dyDescent="0.25">
      <c r="A239" s="30">
        <v>1.05</v>
      </c>
      <c r="E239"/>
      <c r="DK239" s="27" t="s">
        <v>8</v>
      </c>
      <c r="DL239" s="27" t="s">
        <v>7</v>
      </c>
      <c r="DM239" s="27" t="s">
        <v>8</v>
      </c>
      <c r="DN239" s="27" t="s">
        <v>7</v>
      </c>
      <c r="DO239" s="27" t="s">
        <v>8</v>
      </c>
      <c r="EB239" s="27" t="s">
        <v>7</v>
      </c>
      <c r="EC239" s="27" t="s">
        <v>8</v>
      </c>
      <c r="ED239" s="27" t="s">
        <v>7</v>
      </c>
      <c r="EE239" s="27" t="s">
        <v>8</v>
      </c>
      <c r="EF239" s="27" t="s">
        <v>7</v>
      </c>
      <c r="EG239" s="27" t="s">
        <v>8</v>
      </c>
      <c r="EH239" s="27" t="s">
        <v>7</v>
      </c>
      <c r="EI239" s="27" t="s">
        <v>8</v>
      </c>
      <c r="EQ239" s="27" t="s">
        <v>8</v>
      </c>
      <c r="ER239" s="27" t="s">
        <v>7</v>
      </c>
      <c r="EV239" s="27" t="s">
        <v>7</v>
      </c>
      <c r="EW239" s="27" t="s">
        <v>8</v>
      </c>
    </row>
    <row r="240" spans="1:193" x14ac:dyDescent="0.25">
      <c r="A240" s="30">
        <v>1</v>
      </c>
      <c r="E240" s="29" t="s">
        <v>8</v>
      </c>
      <c r="DK240" s="27" t="s">
        <v>8</v>
      </c>
      <c r="DL240" s="27" t="s">
        <v>7</v>
      </c>
      <c r="DM240" s="27" t="s">
        <v>8</v>
      </c>
      <c r="DN240" s="27" t="s">
        <v>7</v>
      </c>
      <c r="DO240" s="27" t="s">
        <v>8</v>
      </c>
      <c r="EB240" s="27" t="s">
        <v>7</v>
      </c>
      <c r="EC240" s="27" t="s">
        <v>8</v>
      </c>
      <c r="ED240" s="27" t="s">
        <v>7</v>
      </c>
      <c r="EE240" s="27" t="s">
        <v>8</v>
      </c>
      <c r="EF240" s="27" t="s">
        <v>7</v>
      </c>
      <c r="EG240" s="27" t="s">
        <v>8</v>
      </c>
      <c r="EH240" s="27" t="s">
        <v>7</v>
      </c>
      <c r="EI240" s="27" t="s">
        <v>8</v>
      </c>
      <c r="EJ240" s="27" t="s">
        <v>7</v>
      </c>
      <c r="EK240" s="27" t="s">
        <v>8</v>
      </c>
      <c r="EM240" s="27" t="s">
        <v>8</v>
      </c>
      <c r="EQ240" s="27" t="s">
        <v>8</v>
      </c>
      <c r="EV240" s="27" t="s">
        <v>7</v>
      </c>
      <c r="EW240" s="27" t="s">
        <v>8</v>
      </c>
    </row>
    <row r="241" spans="1:153" x14ac:dyDescent="0.25">
      <c r="A241" s="30">
        <v>0.952380952380952</v>
      </c>
      <c r="B241"/>
      <c r="C241"/>
      <c r="D241"/>
      <c r="E241"/>
      <c r="F241" s="27" t="s">
        <v>7</v>
      </c>
      <c r="DK241" s="27" t="s">
        <v>8</v>
      </c>
      <c r="DL241" s="27" t="s">
        <v>7</v>
      </c>
      <c r="DM241" s="27" t="s">
        <v>8</v>
      </c>
      <c r="DN241" s="27" t="s">
        <v>7</v>
      </c>
      <c r="DO241" s="27" t="s">
        <v>8</v>
      </c>
      <c r="EB241" s="27" t="s">
        <v>7</v>
      </c>
      <c r="EC241" s="27" t="s">
        <v>8</v>
      </c>
      <c r="ED241" s="27" t="s">
        <v>7</v>
      </c>
      <c r="EE241" s="27" t="s">
        <v>8</v>
      </c>
      <c r="EF241" s="27" t="s">
        <v>7</v>
      </c>
      <c r="EH241" s="27" t="s">
        <v>7</v>
      </c>
      <c r="EI241" s="27" t="s">
        <v>8</v>
      </c>
      <c r="EJ241" s="27" t="s">
        <v>7</v>
      </c>
      <c r="EK241" s="27" t="s">
        <v>8</v>
      </c>
      <c r="EL241" s="27" t="s">
        <v>7</v>
      </c>
      <c r="EM241" s="27" t="s">
        <v>8</v>
      </c>
      <c r="EN241" s="27" t="s">
        <v>7</v>
      </c>
      <c r="EQ241" s="27" t="s">
        <v>8</v>
      </c>
      <c r="EV241" s="27" t="s">
        <v>7</v>
      </c>
      <c r="EW241" s="27" t="s">
        <v>8</v>
      </c>
    </row>
    <row r="242" spans="1:153" x14ac:dyDescent="0.25">
      <c r="A242" s="30">
        <v>0.90702947845804915</v>
      </c>
      <c r="B242"/>
      <c r="C242"/>
      <c r="D242"/>
      <c r="E242"/>
      <c r="F242" s="27" t="s">
        <v>7</v>
      </c>
      <c r="DK242" s="27" t="s">
        <v>8</v>
      </c>
      <c r="DL242" s="27" t="s">
        <v>7</v>
      </c>
      <c r="DN242" s="27" t="s">
        <v>7</v>
      </c>
      <c r="EB242" s="27" t="s">
        <v>7</v>
      </c>
      <c r="EC242" s="27" t="s">
        <v>8</v>
      </c>
      <c r="ED242" s="27" t="s">
        <v>7</v>
      </c>
      <c r="EE242" s="27" t="s">
        <v>8</v>
      </c>
      <c r="EH242" s="27" t="s">
        <v>7</v>
      </c>
      <c r="EJ242" s="27" t="s">
        <v>7</v>
      </c>
      <c r="EK242" s="27" t="s">
        <v>8</v>
      </c>
      <c r="EL242" s="27" t="s">
        <v>7</v>
      </c>
      <c r="EM242" s="27" t="s">
        <v>8</v>
      </c>
      <c r="EN242" s="27" t="s">
        <v>7</v>
      </c>
      <c r="EQ242" s="27" t="s">
        <v>8</v>
      </c>
      <c r="EV242" s="27" t="s">
        <v>7</v>
      </c>
      <c r="EW242" s="27" t="s">
        <v>8</v>
      </c>
    </row>
    <row r="243" spans="1:153" x14ac:dyDescent="0.25">
      <c r="A243" s="30">
        <v>0.86383759853147501</v>
      </c>
      <c r="B243"/>
      <c r="C243"/>
      <c r="D243"/>
      <c r="E243"/>
      <c r="F243" s="27" t="s">
        <v>7</v>
      </c>
      <c r="DI243" s="27" t="s">
        <v>8</v>
      </c>
      <c r="DK243" s="27" t="s">
        <v>8</v>
      </c>
      <c r="EB243" s="27" t="s">
        <v>7</v>
      </c>
      <c r="EC243" s="27" t="s">
        <v>8</v>
      </c>
      <c r="ED243" s="27" t="s">
        <v>7</v>
      </c>
      <c r="EE243" s="27" t="s">
        <v>8</v>
      </c>
      <c r="EJ243" s="27" t="s">
        <v>7</v>
      </c>
      <c r="EK243" s="27" t="s">
        <v>8</v>
      </c>
      <c r="EL243" s="27" t="s">
        <v>7</v>
      </c>
      <c r="EM243" s="27" t="s">
        <v>8</v>
      </c>
      <c r="EN243" s="27" t="s">
        <v>7</v>
      </c>
      <c r="EQ243" s="27" t="s">
        <v>8</v>
      </c>
      <c r="EV243" s="18" t="s">
        <v>7</v>
      </c>
      <c r="EW243" s="27" t="s">
        <v>8</v>
      </c>
    </row>
    <row r="244" spans="1:153" x14ac:dyDescent="0.25">
      <c r="A244" s="30">
        <v>0.82270247479188063</v>
      </c>
      <c r="B244"/>
      <c r="C244"/>
      <c r="D244"/>
      <c r="E244"/>
      <c r="F244" s="27" t="s">
        <v>7</v>
      </c>
      <c r="DI244" s="27" t="s">
        <v>8</v>
      </c>
      <c r="DJ244" s="27" t="s">
        <v>7</v>
      </c>
      <c r="DK244" s="27" t="s">
        <v>8</v>
      </c>
      <c r="EB244" s="27" t="s">
        <v>7</v>
      </c>
      <c r="EC244" s="27" t="s">
        <v>8</v>
      </c>
      <c r="ED244" s="27" t="s">
        <v>7</v>
      </c>
      <c r="EE244" s="27" t="s">
        <v>8</v>
      </c>
      <c r="EJ244" s="27" t="s">
        <v>7</v>
      </c>
      <c r="EL244" s="27" t="s">
        <v>7</v>
      </c>
      <c r="EN244" s="27" t="s">
        <v>7</v>
      </c>
      <c r="EQ244" s="27" t="s">
        <v>8</v>
      </c>
      <c r="EV244" s="27" t="s">
        <v>7</v>
      </c>
      <c r="EW244" s="27" t="s">
        <v>8</v>
      </c>
    </row>
    <row r="245" spans="1:153" x14ac:dyDescent="0.25">
      <c r="A245" s="30">
        <v>0.78352616646845741</v>
      </c>
      <c r="B245"/>
      <c r="C245"/>
      <c r="D245"/>
      <c r="E245"/>
      <c r="F245" s="27" t="s">
        <v>7</v>
      </c>
      <c r="DI245" s="27" t="s">
        <v>8</v>
      </c>
      <c r="DJ245" s="27" t="s">
        <v>7</v>
      </c>
      <c r="DK245" s="27" t="s">
        <v>8</v>
      </c>
      <c r="EB245" s="27" t="s">
        <v>7</v>
      </c>
      <c r="ED245" s="27" t="s">
        <v>7</v>
      </c>
      <c r="EN245" s="27" t="s">
        <v>7</v>
      </c>
      <c r="EQ245" s="27" t="s">
        <v>8</v>
      </c>
      <c r="EV245" s="27" t="s">
        <v>7</v>
      </c>
    </row>
    <row r="246" spans="1:153" x14ac:dyDescent="0.25">
      <c r="A246" s="30">
        <v>0.74621539663662584</v>
      </c>
      <c r="B246"/>
      <c r="C246"/>
      <c r="D246"/>
      <c r="E246"/>
      <c r="F246" s="27" t="s">
        <v>7</v>
      </c>
      <c r="DG246" s="27" t="s">
        <v>8</v>
      </c>
      <c r="DI246" s="27" t="s">
        <v>8</v>
      </c>
      <c r="DJ246" s="27" t="s">
        <v>7</v>
      </c>
      <c r="DK246" s="27" t="s">
        <v>8</v>
      </c>
      <c r="EN246" s="27" t="s">
        <v>7</v>
      </c>
      <c r="EO246" s="27" t="s">
        <v>8</v>
      </c>
      <c r="EQ246" s="27" t="s">
        <v>8</v>
      </c>
    </row>
    <row r="247" spans="1:153" x14ac:dyDescent="0.25">
      <c r="A247" s="30">
        <v>0.71068133013011958</v>
      </c>
      <c r="B247"/>
      <c r="C247"/>
      <c r="D247"/>
      <c r="E247"/>
      <c r="F247" s="27" t="s">
        <v>7</v>
      </c>
      <c r="DG247" s="27" t="s">
        <v>8</v>
      </c>
      <c r="DH247" s="27" t="s">
        <v>7</v>
      </c>
      <c r="DI247" s="27" t="s">
        <v>8</v>
      </c>
      <c r="DJ247" s="27" t="s">
        <v>7</v>
      </c>
      <c r="DK247" s="27" t="s">
        <v>8</v>
      </c>
      <c r="EN247" s="27" t="s">
        <v>7</v>
      </c>
      <c r="EO247" s="27" t="s">
        <v>8</v>
      </c>
      <c r="EP247" s="27" t="s">
        <v>7</v>
      </c>
      <c r="EQ247" s="27" t="s">
        <v>8</v>
      </c>
    </row>
    <row r="248" spans="1:153" x14ac:dyDescent="0.25">
      <c r="A248" s="30">
        <v>0.676839362028685</v>
      </c>
      <c r="B248"/>
      <c r="C248"/>
      <c r="D248"/>
      <c r="E248"/>
      <c r="F248" s="27" t="s">
        <v>7</v>
      </c>
      <c r="DE248" s="27" t="s">
        <v>8</v>
      </c>
      <c r="DG248" s="27" t="s">
        <v>8</v>
      </c>
      <c r="DH248" s="27" t="s">
        <v>7</v>
      </c>
      <c r="DI248" s="27" t="s">
        <v>8</v>
      </c>
      <c r="DJ248" s="27" t="s">
        <v>7</v>
      </c>
      <c r="DK248" s="27" t="s">
        <v>8</v>
      </c>
      <c r="EN248" s="27" t="s">
        <v>7</v>
      </c>
      <c r="EO248" s="27" t="s">
        <v>8</v>
      </c>
      <c r="EP248" s="27" t="s">
        <v>7</v>
      </c>
      <c r="EQ248" s="27" t="s">
        <v>8</v>
      </c>
    </row>
    <row r="249" spans="1:153" x14ac:dyDescent="0.25">
      <c r="A249" s="30">
        <v>0.64460891621779492</v>
      </c>
      <c r="B249"/>
      <c r="C249"/>
      <c r="D249"/>
      <c r="E249"/>
      <c r="F249" s="27" t="s">
        <v>7</v>
      </c>
      <c r="DE249" s="27" t="s">
        <v>8</v>
      </c>
      <c r="DF249" s="27" t="s">
        <v>7</v>
      </c>
      <c r="DG249" s="27" t="s">
        <v>8</v>
      </c>
      <c r="DH249" s="27" t="s">
        <v>7</v>
      </c>
      <c r="DI249" s="27" t="s">
        <v>8</v>
      </c>
      <c r="DJ249" s="27" t="s">
        <v>7</v>
      </c>
      <c r="DK249" s="27" t="s">
        <v>8</v>
      </c>
      <c r="EN249" s="27" t="s">
        <v>7</v>
      </c>
      <c r="EO249" s="27" t="s">
        <v>8</v>
      </c>
      <c r="EP249" s="27" t="s">
        <v>7</v>
      </c>
      <c r="EQ249" s="27" t="s">
        <v>8</v>
      </c>
    </row>
    <row r="250" spans="1:153" x14ac:dyDescent="0.25">
      <c r="A250" s="30">
        <v>0.61391325354075688</v>
      </c>
      <c r="B250"/>
      <c r="C250"/>
      <c r="D250"/>
      <c r="E250"/>
      <c r="F250" s="27" t="s">
        <v>7</v>
      </c>
      <c r="DE250" s="27" t="s">
        <v>8</v>
      </c>
      <c r="DF250" s="27" t="s">
        <v>7</v>
      </c>
      <c r="DG250" s="27" t="s">
        <v>8</v>
      </c>
      <c r="DH250" s="27" t="s">
        <v>7</v>
      </c>
      <c r="DJ250" s="27" t="s">
        <v>7</v>
      </c>
      <c r="EN250" s="27" t="s">
        <v>7</v>
      </c>
      <c r="EO250" s="27" t="s">
        <v>8</v>
      </c>
      <c r="EP250" s="27" t="s">
        <v>7</v>
      </c>
    </row>
    <row r="251" spans="1:153" x14ac:dyDescent="0.25">
      <c r="A251" s="30">
        <v>0.58467928908643485</v>
      </c>
      <c r="B251"/>
      <c r="C251"/>
      <c r="D251"/>
      <c r="E251"/>
      <c r="F251" s="27" t="s">
        <v>7</v>
      </c>
      <c r="CY251" s="27" t="s">
        <v>8</v>
      </c>
      <c r="DE251" s="27" t="s">
        <v>8</v>
      </c>
      <c r="DF251" s="27" t="s">
        <v>7</v>
      </c>
      <c r="DG251" s="27" t="s">
        <v>8</v>
      </c>
      <c r="EN251" s="27" t="s">
        <v>7</v>
      </c>
      <c r="EO251" s="27" t="s">
        <v>8</v>
      </c>
    </row>
    <row r="252" spans="1:153" x14ac:dyDescent="0.25">
      <c r="A252" s="30">
        <v>0.55683741817755672</v>
      </c>
      <c r="B252"/>
      <c r="C252"/>
      <c r="D252"/>
      <c r="E252"/>
      <c r="F252" s="27" t="s">
        <v>7</v>
      </c>
      <c r="CW252" s="27" t="s">
        <v>8</v>
      </c>
      <c r="CY252" s="27" t="s">
        <v>8</v>
      </c>
      <c r="CZ252" s="27" t="s">
        <v>7</v>
      </c>
      <c r="DE252" s="27" t="s">
        <v>8</v>
      </c>
      <c r="DF252" s="27" t="s">
        <v>7</v>
      </c>
      <c r="DG252" s="27" t="s">
        <v>8</v>
      </c>
      <c r="EN252" s="27" t="s">
        <v>7</v>
      </c>
      <c r="EO252" s="27" t="s">
        <v>8</v>
      </c>
    </row>
    <row r="253" spans="1:153" x14ac:dyDescent="0.25">
      <c r="A253" s="30">
        <v>0.53032135064529184</v>
      </c>
      <c r="B253"/>
      <c r="C253"/>
      <c r="D253"/>
      <c r="E253"/>
      <c r="F253" s="27" t="s">
        <v>7</v>
      </c>
      <c r="CW253" s="27" t="s">
        <v>8</v>
      </c>
      <c r="CX253" s="27" t="s">
        <v>7</v>
      </c>
      <c r="CY253" s="27" t="s">
        <v>8</v>
      </c>
      <c r="CZ253" s="27" t="s">
        <v>7</v>
      </c>
      <c r="DA253" s="27" t="s">
        <v>8</v>
      </c>
      <c r="DE253" s="27" t="s">
        <v>8</v>
      </c>
      <c r="DF253" s="27" t="s">
        <v>7</v>
      </c>
      <c r="DG253" s="27" t="s">
        <v>8</v>
      </c>
      <c r="EN253" s="27" t="s">
        <v>7</v>
      </c>
      <c r="EO253" s="27" t="s">
        <v>8</v>
      </c>
    </row>
    <row r="254" spans="1:153" x14ac:dyDescent="0.25">
      <c r="A254" s="30">
        <v>0.50506795299551588</v>
      </c>
      <c r="B254"/>
      <c r="C254"/>
      <c r="D254"/>
      <c r="E254"/>
      <c r="F254" s="27" t="s">
        <v>7</v>
      </c>
      <c r="CU254" s="27" t="s">
        <v>8</v>
      </c>
      <c r="CW254" s="27" t="s">
        <v>8</v>
      </c>
      <c r="CX254" s="27" t="s">
        <v>7</v>
      </c>
      <c r="CY254" s="27" t="s">
        <v>8</v>
      </c>
      <c r="CZ254" s="27" t="s">
        <v>7</v>
      </c>
      <c r="DA254" s="27" t="s">
        <v>8</v>
      </c>
      <c r="DB254" s="27" t="s">
        <v>7</v>
      </c>
      <c r="DC254" s="27" t="s">
        <v>8</v>
      </c>
      <c r="DE254" s="27" t="s">
        <v>8</v>
      </c>
      <c r="DF254" s="27" t="s">
        <v>7</v>
      </c>
      <c r="EN254" s="27" t="s">
        <v>7</v>
      </c>
    </row>
    <row r="255" spans="1:153" x14ac:dyDescent="0.25">
      <c r="A255" s="30">
        <v>0.48101709809096732</v>
      </c>
      <c r="E255"/>
      <c r="F255" s="27" t="s">
        <v>7</v>
      </c>
      <c r="CU255" s="27" t="s">
        <v>8</v>
      </c>
      <c r="CV255" s="27" t="s">
        <v>7</v>
      </c>
      <c r="CW255" s="27" t="s">
        <v>8</v>
      </c>
      <c r="CX255" s="27" t="s">
        <v>7</v>
      </c>
      <c r="CY255" s="27" t="s">
        <v>8</v>
      </c>
      <c r="CZ255" s="27" t="s">
        <v>7</v>
      </c>
      <c r="DA255" s="27" t="s">
        <v>8</v>
      </c>
      <c r="DB255" s="27" t="s">
        <v>7</v>
      </c>
      <c r="DC255" s="27" t="s">
        <v>8</v>
      </c>
      <c r="DD255" s="27" t="s">
        <v>7</v>
      </c>
      <c r="DE255" s="27" t="s">
        <v>8</v>
      </c>
    </row>
    <row r="256" spans="1:153" x14ac:dyDescent="0.25">
      <c r="A256" s="30">
        <v>0.45811152199139726</v>
      </c>
      <c r="E256"/>
      <c r="F256" s="27" t="s">
        <v>7</v>
      </c>
      <c r="CU256" s="27" t="s">
        <v>8</v>
      </c>
      <c r="CV256" s="27" t="s">
        <v>7</v>
      </c>
      <c r="CW256" s="27" t="s">
        <v>8</v>
      </c>
      <c r="CX256" s="27" t="s">
        <v>7</v>
      </c>
      <c r="CY256" s="27" t="s">
        <v>8</v>
      </c>
      <c r="CZ256" s="27" t="s">
        <v>7</v>
      </c>
      <c r="DB256" s="27" t="s">
        <v>7</v>
      </c>
      <c r="DC256" s="27" t="s">
        <v>8</v>
      </c>
      <c r="DD256" s="27" t="s">
        <v>7</v>
      </c>
      <c r="DE256" s="27" t="s">
        <v>8</v>
      </c>
    </row>
    <row r="257" spans="1:109" x14ac:dyDescent="0.25">
      <c r="A257" s="30">
        <v>0.43629668761085438</v>
      </c>
      <c r="B257"/>
      <c r="C257"/>
      <c r="D257"/>
      <c r="E257"/>
      <c r="F257" s="27" t="s">
        <v>7</v>
      </c>
      <c r="CQ257" s="27" t="s">
        <v>8</v>
      </c>
      <c r="CS257" s="27" t="s">
        <v>8</v>
      </c>
      <c r="CU257" s="27" t="s">
        <v>8</v>
      </c>
      <c r="CV257" s="27" t="s">
        <v>7</v>
      </c>
      <c r="CX257" s="27" t="s">
        <v>7</v>
      </c>
      <c r="CY257" s="27" t="s">
        <v>8</v>
      </c>
      <c r="DB257" s="27" t="s">
        <v>7</v>
      </c>
      <c r="DD257" s="27" t="s">
        <v>7</v>
      </c>
      <c r="DE257" s="27" t="s">
        <v>8</v>
      </c>
    </row>
    <row r="258" spans="1:109" x14ac:dyDescent="0.25">
      <c r="A258" s="30">
        <v>0.41552065486748019</v>
      </c>
      <c r="B258"/>
      <c r="C258"/>
      <c r="D258"/>
      <c r="E258"/>
      <c r="F258" s="27" t="s">
        <v>7</v>
      </c>
      <c r="CQ258" s="27" t="s">
        <v>8</v>
      </c>
      <c r="CR258" s="27" t="s">
        <v>7</v>
      </c>
      <c r="CS258" s="27" t="s">
        <v>8</v>
      </c>
      <c r="CT258" s="27" t="s">
        <v>7</v>
      </c>
      <c r="CU258" s="27" t="s">
        <v>8</v>
      </c>
      <c r="CX258" s="27" t="s">
        <v>7</v>
      </c>
      <c r="CY258" s="27" t="s">
        <v>8</v>
      </c>
      <c r="DD258" s="27" t="s">
        <v>7</v>
      </c>
    </row>
    <row r="259" spans="1:109" x14ac:dyDescent="0.25">
      <c r="A259" s="30">
        <v>0.39573395701664765</v>
      </c>
      <c r="B259"/>
      <c r="C259"/>
      <c r="D259"/>
      <c r="E259"/>
      <c r="F259" s="27" t="s">
        <v>7</v>
      </c>
      <c r="CQ259" s="27" t="s">
        <v>8</v>
      </c>
      <c r="CR259" s="27" t="s">
        <v>7</v>
      </c>
      <c r="CS259" s="27" t="s">
        <v>8</v>
      </c>
      <c r="CT259" s="27" t="s">
        <v>7</v>
      </c>
      <c r="CU259" s="27" t="s">
        <v>8</v>
      </c>
      <c r="CX259" s="27" t="s">
        <v>7</v>
      </c>
    </row>
    <row r="260" spans="1:109" x14ac:dyDescent="0.25">
      <c r="A260" s="30">
        <v>0.37688948287299762</v>
      </c>
      <c r="B260"/>
      <c r="C260"/>
      <c r="D260"/>
      <c r="E260"/>
      <c r="F260" s="27" t="s">
        <v>7</v>
      </c>
      <c r="CQ260" s="27" t="s">
        <v>8</v>
      </c>
      <c r="CR260" s="27" t="s">
        <v>7</v>
      </c>
      <c r="CS260" s="27" t="s">
        <v>8</v>
      </c>
      <c r="CT260" s="27" t="s">
        <v>7</v>
      </c>
    </row>
    <row r="261" spans="1:109" x14ac:dyDescent="0.25">
      <c r="A261" s="30">
        <v>0.35894236464094997</v>
      </c>
      <c r="B261"/>
      <c r="C261"/>
      <c r="D261"/>
      <c r="E261"/>
      <c r="F261" s="27" t="s">
        <v>7</v>
      </c>
      <c r="CQ261" s="27" t="s">
        <v>8</v>
      </c>
      <c r="CR261" s="27" t="s">
        <v>7</v>
      </c>
    </row>
    <row r="262" spans="1:109" x14ac:dyDescent="0.25">
      <c r="A262" s="30">
        <v>0.34184987108661891</v>
      </c>
      <c r="B262"/>
      <c r="C262"/>
      <c r="D262"/>
      <c r="E262"/>
      <c r="F262" s="27" t="s">
        <v>7</v>
      </c>
      <c r="CO262" s="27" t="s">
        <v>8</v>
      </c>
      <c r="CQ262" s="27" t="s">
        <v>8</v>
      </c>
    </row>
    <row r="263" spans="1:109" x14ac:dyDescent="0.25">
      <c r="A263" s="30">
        <v>0.32557130579677979</v>
      </c>
      <c r="B263"/>
      <c r="C263"/>
      <c r="D263"/>
      <c r="E263"/>
      <c r="F263" s="27" t="s">
        <v>7</v>
      </c>
      <c r="CO263" s="27" t="s">
        <v>8</v>
      </c>
      <c r="CP263" s="27" t="s">
        <v>7</v>
      </c>
      <c r="CQ263" s="27" t="s">
        <v>8</v>
      </c>
    </row>
    <row r="264" spans="1:109" x14ac:dyDescent="0.25">
      <c r="A264" s="30">
        <v>0.3100679102826473</v>
      </c>
      <c r="B264"/>
      <c r="C264"/>
      <c r="D264"/>
      <c r="E264"/>
      <c r="F264" s="27" t="s">
        <v>7</v>
      </c>
      <c r="BO264" s="27" t="s">
        <v>8</v>
      </c>
      <c r="CM264" s="27" t="s">
        <v>8</v>
      </c>
      <c r="CO264" s="27" t="s">
        <v>8</v>
      </c>
      <c r="CP264" s="27" t="s">
        <v>7</v>
      </c>
      <c r="CQ264" s="27" t="s">
        <v>8</v>
      </c>
    </row>
    <row r="265" spans="1:109" x14ac:dyDescent="0.25">
      <c r="A265" s="30">
        <v>0.2953027716977592</v>
      </c>
      <c r="B265"/>
      <c r="C265"/>
      <c r="D265"/>
      <c r="E265"/>
      <c r="F265" s="27" t="s">
        <v>7</v>
      </c>
      <c r="BO265" s="27" t="s">
        <v>8</v>
      </c>
      <c r="BP265" s="27" t="s">
        <v>7</v>
      </c>
      <c r="BQ265" s="27" t="s">
        <v>8</v>
      </c>
      <c r="BS265" s="27" t="s">
        <v>8</v>
      </c>
      <c r="CM265" s="27" t="s">
        <v>8</v>
      </c>
      <c r="CN265" s="27" t="s">
        <v>7</v>
      </c>
      <c r="CO265" s="27" t="s">
        <v>8</v>
      </c>
      <c r="CP265" s="27" t="s">
        <v>7</v>
      </c>
      <c r="CQ265" s="27" t="s">
        <v>8</v>
      </c>
    </row>
    <row r="266" spans="1:109" x14ac:dyDescent="0.25">
      <c r="A266" s="30">
        <v>0.28124073495024676</v>
      </c>
      <c r="B266"/>
      <c r="C266"/>
      <c r="D266"/>
      <c r="E266"/>
      <c r="F266" s="27" t="s">
        <v>7</v>
      </c>
      <c r="BM266" s="27" t="s">
        <v>8</v>
      </c>
      <c r="BO266" s="27" t="s">
        <v>8</v>
      </c>
      <c r="BP266" s="27" t="s">
        <v>7</v>
      </c>
      <c r="BQ266" s="27" t="s">
        <v>8</v>
      </c>
      <c r="BR266" s="27" t="s">
        <v>7</v>
      </c>
      <c r="BS266" s="27" t="s">
        <v>8</v>
      </c>
      <c r="BT266" s="27" t="s">
        <v>7</v>
      </c>
      <c r="CK266" s="27" t="s">
        <v>8</v>
      </c>
      <c r="CM266" s="27" t="s">
        <v>8</v>
      </c>
      <c r="CN266" s="27" t="s">
        <v>7</v>
      </c>
      <c r="CO266" s="27" t="s">
        <v>8</v>
      </c>
      <c r="CP266" s="27" t="s">
        <v>7</v>
      </c>
      <c r="CQ266" s="27" t="s">
        <v>8</v>
      </c>
    </row>
    <row r="267" spans="1:109" x14ac:dyDescent="0.25">
      <c r="A267" s="30">
        <v>0.26784831900023492</v>
      </c>
      <c r="B267"/>
      <c r="C267"/>
      <c r="D267"/>
      <c r="E267"/>
      <c r="F267" s="27" t="s">
        <v>7</v>
      </c>
      <c r="BM267" s="27" t="s">
        <v>8</v>
      </c>
      <c r="BN267" s="27" t="s">
        <v>7</v>
      </c>
      <c r="BO267" s="27" t="s">
        <v>8</v>
      </c>
      <c r="BP267" s="27" t="s">
        <v>7</v>
      </c>
      <c r="BQ267" s="27" t="s">
        <v>8</v>
      </c>
      <c r="BR267" s="27" t="s">
        <v>7</v>
      </c>
      <c r="BS267" s="27" t="s">
        <v>8</v>
      </c>
      <c r="BT267" s="27" t="s">
        <v>7</v>
      </c>
      <c r="BU267" s="27" t="s">
        <v>8</v>
      </c>
      <c r="CK267" s="27" t="s">
        <v>8</v>
      </c>
      <c r="CL267" s="27" t="s">
        <v>7</v>
      </c>
      <c r="CM267" s="27" t="s">
        <v>8</v>
      </c>
      <c r="CN267" s="27" t="s">
        <v>7</v>
      </c>
      <c r="CO267" s="27" t="s">
        <v>8</v>
      </c>
      <c r="CP267" s="27" t="s">
        <v>7</v>
      </c>
      <c r="CQ267" s="27" t="s">
        <v>8</v>
      </c>
    </row>
    <row r="268" spans="1:109" x14ac:dyDescent="0.25">
      <c r="A268" s="30">
        <v>0.25509363714308075</v>
      </c>
      <c r="B268"/>
      <c r="C268"/>
      <c r="D268"/>
      <c r="E268"/>
      <c r="F268" s="27" t="s">
        <v>7</v>
      </c>
      <c r="I268" s="27" t="s">
        <v>8</v>
      </c>
      <c r="AA268" s="27" t="s">
        <v>8</v>
      </c>
      <c r="BM268" s="27" t="s">
        <v>8</v>
      </c>
      <c r="BN268" s="27" t="s">
        <v>7</v>
      </c>
      <c r="BO268" s="27" t="s">
        <v>8</v>
      </c>
      <c r="BP268" s="27" t="s">
        <v>7</v>
      </c>
      <c r="BQ268" s="27" t="s">
        <v>8</v>
      </c>
      <c r="BR268" s="27" t="s">
        <v>7</v>
      </c>
      <c r="BT268" s="27" t="s">
        <v>7</v>
      </c>
      <c r="BU268" s="27" t="s">
        <v>8</v>
      </c>
      <c r="BV268" s="27" t="s">
        <v>7</v>
      </c>
      <c r="CK268" s="27" t="s">
        <v>8</v>
      </c>
      <c r="CL268" s="27" t="s">
        <v>7</v>
      </c>
      <c r="CM268" s="27" t="s">
        <v>8</v>
      </c>
      <c r="CN268" s="27" t="s">
        <v>7</v>
      </c>
      <c r="CP268" s="27" t="s">
        <v>7</v>
      </c>
      <c r="CQ268" s="27" t="s">
        <v>8</v>
      </c>
    </row>
    <row r="269" spans="1:109" x14ac:dyDescent="0.25">
      <c r="A269" s="30">
        <v>0.24294632108864825</v>
      </c>
      <c r="B269"/>
      <c r="C269"/>
      <c r="D269"/>
      <c r="E269"/>
      <c r="F269" s="27" t="s">
        <v>7</v>
      </c>
      <c r="G269" s="27" t="s">
        <v>8</v>
      </c>
      <c r="I269" s="27" t="s">
        <v>8</v>
      </c>
      <c r="J269" s="27" t="s">
        <v>7</v>
      </c>
      <c r="AA269" s="27" t="s">
        <v>8</v>
      </c>
      <c r="AB269" s="27" t="s">
        <v>7</v>
      </c>
      <c r="BM269" s="27" t="s">
        <v>8</v>
      </c>
      <c r="BN269" s="27" t="s">
        <v>7</v>
      </c>
      <c r="BP269" s="27" t="s">
        <v>7</v>
      </c>
      <c r="BQ269" s="27" t="s">
        <v>8</v>
      </c>
      <c r="BT269" s="27" t="s">
        <v>7</v>
      </c>
      <c r="BU269" s="27" t="s">
        <v>8</v>
      </c>
      <c r="BV269" s="27" t="s">
        <v>7</v>
      </c>
      <c r="CK269" s="27" t="s">
        <v>8</v>
      </c>
      <c r="CL269" s="27" t="s">
        <v>7</v>
      </c>
      <c r="CM269" s="27" t="s">
        <v>8</v>
      </c>
      <c r="CP269" s="27" t="s">
        <v>7</v>
      </c>
    </row>
    <row r="270" spans="1:109" x14ac:dyDescent="0.25">
      <c r="A270" s="30">
        <v>0.23137744865585538</v>
      </c>
      <c r="B270"/>
      <c r="C270"/>
      <c r="D270"/>
      <c r="E270"/>
      <c r="F270" s="27" t="s">
        <v>7</v>
      </c>
      <c r="G270" s="27" t="s">
        <v>8</v>
      </c>
      <c r="H270" s="27" t="s">
        <v>7</v>
      </c>
      <c r="I270" s="27" t="s">
        <v>8</v>
      </c>
      <c r="J270" s="27" t="s">
        <v>7</v>
      </c>
      <c r="AA270" s="27" t="s">
        <v>8</v>
      </c>
      <c r="AB270" s="27" t="s">
        <v>7</v>
      </c>
      <c r="BM270" s="27" t="s">
        <v>8</v>
      </c>
      <c r="BP270" s="27" t="s">
        <v>7</v>
      </c>
      <c r="BT270" s="27" t="s">
        <v>7</v>
      </c>
      <c r="BU270" s="27" t="s">
        <v>8</v>
      </c>
      <c r="BV270" s="27" t="s">
        <v>7</v>
      </c>
      <c r="BW270" s="27" t="s">
        <v>8</v>
      </c>
      <c r="CI270" s="27" t="s">
        <v>8</v>
      </c>
      <c r="CK270" s="27" t="s">
        <v>8</v>
      </c>
      <c r="CL270" s="27" t="s">
        <v>7</v>
      </c>
      <c r="CM270" s="27" t="s">
        <v>8</v>
      </c>
    </row>
    <row r="271" spans="1:109" x14ac:dyDescent="0.25">
      <c r="A271" s="30">
        <v>0.22035947491033836</v>
      </c>
      <c r="B271"/>
      <c r="C271"/>
      <c r="D271"/>
      <c r="E271"/>
      <c r="F271" s="27" t="s">
        <v>7</v>
      </c>
      <c r="G271" s="27" t="s">
        <v>8</v>
      </c>
      <c r="H271" s="27" t="s">
        <v>7</v>
      </c>
      <c r="I271" s="27" t="s">
        <v>8</v>
      </c>
      <c r="J271" s="27" t="s">
        <v>7</v>
      </c>
      <c r="AA271" s="27" t="s">
        <v>8</v>
      </c>
      <c r="AB271" s="27" t="s">
        <v>7</v>
      </c>
      <c r="BM271" s="27" t="s">
        <v>8</v>
      </c>
      <c r="BT271" s="27" t="s">
        <v>7</v>
      </c>
      <c r="BU271" s="27" t="s">
        <v>8</v>
      </c>
      <c r="BV271" s="27" t="s">
        <v>7</v>
      </c>
      <c r="BW271" s="27" t="s">
        <v>8</v>
      </c>
      <c r="BX271" s="27" t="s">
        <v>7</v>
      </c>
      <c r="BY271" s="27" t="s">
        <v>8</v>
      </c>
      <c r="CI271" s="27" t="s">
        <v>8</v>
      </c>
      <c r="CJ271" s="27" t="s">
        <v>7</v>
      </c>
      <c r="CK271" s="27" t="s">
        <v>8</v>
      </c>
      <c r="CL271" s="27" t="s">
        <v>7</v>
      </c>
      <c r="CM271" s="27" t="s">
        <v>8</v>
      </c>
    </row>
    <row r="272" spans="1:109" x14ac:dyDescent="0.25">
      <c r="A272" s="30">
        <v>0.20986616658127455</v>
      </c>
      <c r="B272"/>
      <c r="C272"/>
      <c r="D272"/>
      <c r="E272"/>
      <c r="F272" s="27" t="s">
        <v>7</v>
      </c>
      <c r="H272" s="27" t="s">
        <v>7</v>
      </c>
      <c r="I272" s="27" t="s">
        <v>8</v>
      </c>
      <c r="J272" s="27" t="s">
        <v>7</v>
      </c>
      <c r="AA272" s="27" t="s">
        <v>8</v>
      </c>
      <c r="AB272" s="27" t="s">
        <v>7</v>
      </c>
      <c r="AC272" s="27" t="s">
        <v>8</v>
      </c>
      <c r="BM272" s="27" t="s">
        <v>8</v>
      </c>
      <c r="BT272" s="27" t="s">
        <v>7</v>
      </c>
      <c r="BU272" s="27" t="s">
        <v>8</v>
      </c>
      <c r="BV272" s="27" t="s">
        <v>7</v>
      </c>
      <c r="BW272" s="27" t="s">
        <v>8</v>
      </c>
      <c r="BX272" s="27" t="s">
        <v>7</v>
      </c>
      <c r="BY272" s="27" t="s">
        <v>8</v>
      </c>
      <c r="BZ272" s="27" t="s">
        <v>7</v>
      </c>
      <c r="CI272" s="27" t="s">
        <v>8</v>
      </c>
      <c r="CJ272" s="27" t="s">
        <v>7</v>
      </c>
      <c r="CK272" s="27" t="s">
        <v>8</v>
      </c>
      <c r="CL272" s="27" t="s">
        <v>7</v>
      </c>
      <c r="CM272" s="27" t="s">
        <v>8</v>
      </c>
    </row>
    <row r="273" spans="1:90" x14ac:dyDescent="0.25">
      <c r="A273" s="30">
        <v>0.19987253960121379</v>
      </c>
      <c r="B273"/>
      <c r="C273"/>
      <c r="D273"/>
      <c r="E273"/>
      <c r="H273" s="27" t="s">
        <v>7</v>
      </c>
      <c r="I273" s="27" t="s">
        <v>8</v>
      </c>
      <c r="J273" s="27" t="s">
        <v>7</v>
      </c>
      <c r="AA273" s="27" t="s">
        <v>8</v>
      </c>
      <c r="AB273" s="27" t="s">
        <v>7</v>
      </c>
      <c r="AC273" s="27" t="s">
        <v>8</v>
      </c>
      <c r="AD273" s="27" t="s">
        <v>7</v>
      </c>
      <c r="BM273" s="27" t="s">
        <v>8</v>
      </c>
      <c r="BT273" s="27" t="s">
        <v>7</v>
      </c>
      <c r="BU273" s="27" t="s">
        <v>8</v>
      </c>
      <c r="BV273" s="27" t="s">
        <v>7</v>
      </c>
      <c r="BX273" s="27" t="s">
        <v>7</v>
      </c>
      <c r="BY273" s="27" t="s">
        <v>8</v>
      </c>
      <c r="BZ273" s="27" t="s">
        <v>7</v>
      </c>
      <c r="CA273" s="27" t="s">
        <v>8</v>
      </c>
      <c r="CI273" s="27" t="s">
        <v>8</v>
      </c>
      <c r="CJ273" s="27" t="s">
        <v>7</v>
      </c>
      <c r="CL273" s="27" t="s">
        <v>7</v>
      </c>
    </row>
    <row r="274" spans="1:90" x14ac:dyDescent="0.25">
      <c r="A274" s="30">
        <v>0.19035479962020352</v>
      </c>
      <c r="B274"/>
      <c r="C274"/>
      <c r="D274"/>
      <c r="E274"/>
      <c r="H274" s="27" t="s">
        <v>7</v>
      </c>
      <c r="J274" s="27" t="s">
        <v>7</v>
      </c>
      <c r="W274" s="27" t="s">
        <v>8</v>
      </c>
      <c r="Y274" s="27" t="s">
        <v>8</v>
      </c>
      <c r="AA274" s="27" t="s">
        <v>8</v>
      </c>
      <c r="AB274" s="27" t="s">
        <v>7</v>
      </c>
      <c r="AC274" s="27" t="s">
        <v>8</v>
      </c>
      <c r="AD274" s="27" t="s">
        <v>7</v>
      </c>
      <c r="BK274" s="27" t="s">
        <v>8</v>
      </c>
      <c r="BM274" s="27" t="s">
        <v>8</v>
      </c>
      <c r="BT274" s="27" t="s">
        <v>7</v>
      </c>
      <c r="BU274" s="27" t="s">
        <v>8</v>
      </c>
      <c r="BX274" s="27" t="s">
        <v>7</v>
      </c>
      <c r="BZ274" s="27" t="s">
        <v>7</v>
      </c>
      <c r="CA274" s="27" t="s">
        <v>8</v>
      </c>
      <c r="CB274" s="27" t="s">
        <v>7</v>
      </c>
      <c r="CI274" s="27" t="s">
        <v>8</v>
      </c>
    </row>
    <row r="275" spans="1:90" x14ac:dyDescent="0.25">
      <c r="A275" s="30">
        <v>0.18129028535257471</v>
      </c>
      <c r="B275"/>
      <c r="C275"/>
      <c r="D275"/>
      <c r="E275"/>
      <c r="J275" s="27" t="s">
        <v>7</v>
      </c>
      <c r="W275" s="27" t="s">
        <v>8</v>
      </c>
      <c r="X275" s="27" t="s">
        <v>7</v>
      </c>
      <c r="Y275" s="27" t="s">
        <v>8</v>
      </c>
      <c r="Z275" s="27" t="s">
        <v>7</v>
      </c>
      <c r="AA275" s="27" t="s">
        <v>8</v>
      </c>
      <c r="AB275" s="27" t="s">
        <v>7</v>
      </c>
      <c r="AC275" s="27" t="s">
        <v>8</v>
      </c>
      <c r="AD275" s="27" t="s">
        <v>7</v>
      </c>
      <c r="AG275" s="27" t="s">
        <v>8</v>
      </c>
      <c r="BK275" s="27" t="s">
        <v>8</v>
      </c>
      <c r="BL275" s="27" t="s">
        <v>7</v>
      </c>
      <c r="BM275" s="27" t="s">
        <v>8</v>
      </c>
      <c r="BT275" s="27" t="s">
        <v>7</v>
      </c>
      <c r="BU275" s="27" t="s">
        <v>8</v>
      </c>
      <c r="BZ275" s="27" t="s">
        <v>7</v>
      </c>
      <c r="CA275" s="27" t="s">
        <v>8</v>
      </c>
      <c r="CB275" s="27" t="s">
        <v>7</v>
      </c>
      <c r="CE275" s="27" t="s">
        <v>8</v>
      </c>
      <c r="CI275" s="27" t="s">
        <v>8</v>
      </c>
    </row>
    <row r="276" spans="1:90" x14ac:dyDescent="0.25">
      <c r="A276" s="30">
        <v>0.17265741462149967</v>
      </c>
      <c r="B276"/>
      <c r="C276"/>
      <c r="D276"/>
      <c r="E276"/>
      <c r="J276" s="27" t="s">
        <v>7</v>
      </c>
      <c r="W276" s="27" t="s">
        <v>8</v>
      </c>
      <c r="X276" s="27" t="s">
        <v>7</v>
      </c>
      <c r="Y276" s="27" t="s">
        <v>8</v>
      </c>
      <c r="Z276" s="27" t="s">
        <v>7</v>
      </c>
      <c r="AA276" s="27" t="s">
        <v>8</v>
      </c>
      <c r="AB276" s="27" t="s">
        <v>7</v>
      </c>
      <c r="AD276" s="27" t="s">
        <v>7</v>
      </c>
      <c r="AE276" s="27" t="s">
        <v>8</v>
      </c>
      <c r="AG276" s="27" t="s">
        <v>8</v>
      </c>
      <c r="AH276" s="27" t="s">
        <v>7</v>
      </c>
      <c r="BK276" s="27" t="s">
        <v>8</v>
      </c>
      <c r="BL276" s="27" t="s">
        <v>7</v>
      </c>
      <c r="BM276" s="27" t="s">
        <v>8</v>
      </c>
      <c r="BT276" s="27" t="s">
        <v>7</v>
      </c>
      <c r="BU276" s="27" t="s">
        <v>8</v>
      </c>
      <c r="BZ276" s="27" t="s">
        <v>7</v>
      </c>
      <c r="CB276" s="27" t="s">
        <v>7</v>
      </c>
      <c r="CC276" s="27" t="s">
        <v>8</v>
      </c>
      <c r="CE276" s="27" t="s">
        <v>8</v>
      </c>
      <c r="CF276" s="27" t="s">
        <v>7</v>
      </c>
      <c r="CI276" s="27" t="s">
        <v>8</v>
      </c>
    </row>
    <row r="277" spans="1:90" x14ac:dyDescent="0.25">
      <c r="A277" s="30">
        <v>0.16443563297285677</v>
      </c>
      <c r="B277"/>
      <c r="C277"/>
      <c r="D277"/>
      <c r="E277"/>
      <c r="J277" s="27" t="s">
        <v>7</v>
      </c>
      <c r="W277" s="27" t="s">
        <v>8</v>
      </c>
      <c r="X277" s="27" t="s">
        <v>7</v>
      </c>
      <c r="Y277" s="27" t="s">
        <v>8</v>
      </c>
      <c r="Z277" s="27" t="s">
        <v>7</v>
      </c>
      <c r="AA277" s="27" t="s">
        <v>8</v>
      </c>
      <c r="AD277" s="27" t="s">
        <v>7</v>
      </c>
      <c r="AE277" s="27" t="s">
        <v>8</v>
      </c>
      <c r="AF277" s="27" t="s">
        <v>7</v>
      </c>
      <c r="AG277" s="27" t="s">
        <v>8</v>
      </c>
      <c r="AH277" s="27" t="s">
        <v>7</v>
      </c>
      <c r="AK277" s="27" t="s">
        <v>8</v>
      </c>
      <c r="BC277" s="27" t="s">
        <v>8</v>
      </c>
      <c r="BG277" s="27" t="s">
        <v>8</v>
      </c>
      <c r="BK277" s="27" t="s">
        <v>8</v>
      </c>
      <c r="BL277" s="27" t="s">
        <v>7</v>
      </c>
      <c r="BM277" s="27" t="s">
        <v>8</v>
      </c>
      <c r="BT277" s="27" t="s">
        <v>7</v>
      </c>
      <c r="BU277" s="27" t="s">
        <v>8</v>
      </c>
      <c r="CB277" s="27" t="s">
        <v>7</v>
      </c>
      <c r="CC277" s="27" t="s">
        <v>8</v>
      </c>
      <c r="CD277" s="27" t="s">
        <v>7</v>
      </c>
      <c r="CE277" s="27" t="s">
        <v>8</v>
      </c>
      <c r="CF277" s="27" t="s">
        <v>7</v>
      </c>
      <c r="CG277" s="27" t="s">
        <v>8</v>
      </c>
      <c r="CI277" s="27" t="s">
        <v>8</v>
      </c>
    </row>
    <row r="278" spans="1:90" x14ac:dyDescent="0.25">
      <c r="A278" s="30">
        <v>0.15660536473605399</v>
      </c>
      <c r="B278"/>
      <c r="C278"/>
      <c r="D278"/>
      <c r="E278"/>
      <c r="J278" s="27" t="s">
        <v>7</v>
      </c>
      <c r="W278" s="27" t="s">
        <v>8</v>
      </c>
      <c r="X278" s="27" t="s">
        <v>7</v>
      </c>
      <c r="Y278" s="27" t="s">
        <v>8</v>
      </c>
      <c r="Z278" s="27" t="s">
        <v>7</v>
      </c>
      <c r="AA278" s="27" t="s">
        <v>8</v>
      </c>
      <c r="AD278" s="27" t="s">
        <v>7</v>
      </c>
      <c r="AE278" s="27" t="s">
        <v>8</v>
      </c>
      <c r="AF278" s="27" t="s">
        <v>7</v>
      </c>
      <c r="AG278" s="27" t="s">
        <v>8</v>
      </c>
      <c r="AH278" s="27" t="s">
        <v>7</v>
      </c>
      <c r="AI278" s="27" t="s">
        <v>8</v>
      </c>
      <c r="AK278" s="27" t="s">
        <v>8</v>
      </c>
      <c r="AL278" s="27" t="s">
        <v>7</v>
      </c>
      <c r="BC278" s="27" t="s">
        <v>8</v>
      </c>
      <c r="BD278" s="27" t="s">
        <v>7</v>
      </c>
      <c r="BE278" s="27" t="s">
        <v>8</v>
      </c>
      <c r="BG278" s="27" t="s">
        <v>8</v>
      </c>
      <c r="BH278" s="27" t="s">
        <v>7</v>
      </c>
      <c r="BI278" s="27" t="s">
        <v>8</v>
      </c>
      <c r="BK278" s="27" t="s">
        <v>8</v>
      </c>
      <c r="BL278" s="27" t="s">
        <v>7</v>
      </c>
      <c r="BM278" s="27" t="s">
        <v>8</v>
      </c>
      <c r="BT278" s="27" t="s">
        <v>7</v>
      </c>
      <c r="BU278" s="27" t="s">
        <v>8</v>
      </c>
      <c r="CB278" s="27" t="s">
        <v>7</v>
      </c>
      <c r="CC278" s="27" t="s">
        <v>8</v>
      </c>
      <c r="CD278" s="27" t="s">
        <v>7</v>
      </c>
      <c r="CE278" s="27" t="s">
        <v>8</v>
      </c>
      <c r="CF278" s="27" t="s">
        <v>7</v>
      </c>
      <c r="CG278" s="27" t="s">
        <v>8</v>
      </c>
      <c r="CH278" s="27" t="s">
        <v>7</v>
      </c>
      <c r="CI278" s="27" t="s">
        <v>8</v>
      </c>
    </row>
    <row r="279" spans="1:90" x14ac:dyDescent="0.25">
      <c r="A279" s="30">
        <v>0.14914796641528946</v>
      </c>
      <c r="B279"/>
      <c r="C279"/>
      <c r="D279"/>
      <c r="E279"/>
      <c r="J279" s="27" t="s">
        <v>7</v>
      </c>
      <c r="W279" s="27" t="s">
        <v>8</v>
      </c>
      <c r="X279" s="27" t="s">
        <v>7</v>
      </c>
      <c r="Y279" s="27" t="s">
        <v>8</v>
      </c>
      <c r="Z279" s="27" t="s">
        <v>7</v>
      </c>
      <c r="AD279" s="27" t="s">
        <v>7</v>
      </c>
      <c r="AF279" s="27" t="s">
        <v>7</v>
      </c>
      <c r="AH279" s="27" t="s">
        <v>7</v>
      </c>
      <c r="AI279" s="27" t="s">
        <v>8</v>
      </c>
      <c r="AJ279" s="27" t="s">
        <v>7</v>
      </c>
      <c r="AK279" s="27" t="s">
        <v>8</v>
      </c>
      <c r="AL279" s="27" t="s">
        <v>7</v>
      </c>
      <c r="BC279" s="27" t="s">
        <v>8</v>
      </c>
      <c r="BD279" s="27" t="s">
        <v>7</v>
      </c>
      <c r="BE279" s="27" t="s">
        <v>8</v>
      </c>
      <c r="BF279" s="27" t="s">
        <v>7</v>
      </c>
      <c r="BG279" s="27" t="s">
        <v>8</v>
      </c>
      <c r="BH279" s="27" t="s">
        <v>7</v>
      </c>
      <c r="BI279" s="27" t="s">
        <v>8</v>
      </c>
      <c r="BJ279" s="27" t="s">
        <v>7</v>
      </c>
      <c r="BK279" s="27" t="s">
        <v>8</v>
      </c>
      <c r="BL279" s="27" t="s">
        <v>7</v>
      </c>
      <c r="BM279" s="27" t="s">
        <v>8</v>
      </c>
      <c r="BT279" s="27" t="s">
        <v>7</v>
      </c>
      <c r="CB279" s="27" t="s">
        <v>7</v>
      </c>
      <c r="CD279" s="27" t="s">
        <v>7</v>
      </c>
      <c r="CE279" s="27" t="s">
        <v>8</v>
      </c>
      <c r="CF279" s="27" t="s">
        <v>7</v>
      </c>
      <c r="CG279" s="27" t="s">
        <v>8</v>
      </c>
      <c r="CH279" s="27" t="s">
        <v>7</v>
      </c>
      <c r="CI279" s="27" t="s">
        <v>8</v>
      </c>
    </row>
    <row r="280" spans="1:90" x14ac:dyDescent="0.25">
      <c r="A280" s="30">
        <v>0.14204568230027562</v>
      </c>
      <c r="B280"/>
      <c r="C280"/>
      <c r="D280"/>
      <c r="E280"/>
      <c r="J280" s="27" t="s">
        <v>7</v>
      </c>
      <c r="W280" s="27" t="s">
        <v>8</v>
      </c>
      <c r="X280" s="27" t="s">
        <v>7</v>
      </c>
      <c r="Y280" s="27" t="s">
        <v>8</v>
      </c>
      <c r="AH280" s="27" t="s">
        <v>7</v>
      </c>
      <c r="AI280" s="27" t="s">
        <v>8</v>
      </c>
      <c r="AJ280" s="27" t="s">
        <v>7</v>
      </c>
      <c r="AK280" s="27" t="s">
        <v>8</v>
      </c>
      <c r="AL280" s="27" t="s">
        <v>7</v>
      </c>
      <c r="BC280" s="27" t="s">
        <v>8</v>
      </c>
      <c r="BD280" s="27" t="s">
        <v>7</v>
      </c>
      <c r="BE280" s="27" t="s">
        <v>8</v>
      </c>
      <c r="BF280" s="27" t="s">
        <v>7</v>
      </c>
      <c r="BG280" s="27" t="s">
        <v>8</v>
      </c>
      <c r="BH280" s="27" t="s">
        <v>7</v>
      </c>
      <c r="BI280" s="27" t="s">
        <v>8</v>
      </c>
      <c r="BJ280" s="27" t="s">
        <v>7</v>
      </c>
      <c r="BK280" s="27" t="s">
        <v>8</v>
      </c>
      <c r="BL280" s="27" t="s">
        <v>7</v>
      </c>
      <c r="CD280" s="27" t="s">
        <v>7</v>
      </c>
      <c r="CF280" s="27" t="s">
        <v>7</v>
      </c>
      <c r="CH280" s="27" t="s">
        <v>7</v>
      </c>
    </row>
    <row r="281" spans="1:90" x14ac:dyDescent="0.25">
      <c r="A281" s="30">
        <v>0.13528160219073862</v>
      </c>
      <c r="B281"/>
      <c r="C281"/>
      <c r="D281"/>
      <c r="E281"/>
      <c r="J281" s="27" t="s">
        <v>7</v>
      </c>
      <c r="K281" s="27" t="s">
        <v>8</v>
      </c>
      <c r="S281" s="27" t="s">
        <v>8</v>
      </c>
      <c r="W281" s="27" t="s">
        <v>8</v>
      </c>
      <c r="X281" s="27" t="s">
        <v>7</v>
      </c>
      <c r="AH281" s="27" t="s">
        <v>7</v>
      </c>
      <c r="AI281" s="27" t="s">
        <v>8</v>
      </c>
      <c r="AJ281" s="27" t="s">
        <v>7</v>
      </c>
      <c r="AK281" s="27" t="s">
        <v>8</v>
      </c>
      <c r="AL281" s="27" t="s">
        <v>7</v>
      </c>
      <c r="BC281" s="27" t="s">
        <v>8</v>
      </c>
      <c r="BD281" s="27" t="s">
        <v>7</v>
      </c>
      <c r="BE281" s="27" t="s">
        <v>8</v>
      </c>
      <c r="BF281" s="27" t="s">
        <v>7</v>
      </c>
      <c r="BH281" s="27" t="s">
        <v>7</v>
      </c>
      <c r="BI281" s="27" t="s">
        <v>8</v>
      </c>
      <c r="BJ281" s="27" t="s">
        <v>7</v>
      </c>
    </row>
    <row r="282" spans="1:90" x14ac:dyDescent="0.25">
      <c r="A282" s="30">
        <v>0.12883962113403674</v>
      </c>
      <c r="B282"/>
      <c r="C282"/>
      <c r="D282"/>
      <c r="E282"/>
      <c r="J282" s="27" t="s">
        <v>7</v>
      </c>
      <c r="K282" s="27" t="s">
        <v>8</v>
      </c>
      <c r="L282" s="27" t="s">
        <v>7</v>
      </c>
      <c r="S282" s="27" t="s">
        <v>8</v>
      </c>
      <c r="T282" s="27" t="s">
        <v>7</v>
      </c>
      <c r="W282" s="27" t="s">
        <v>8</v>
      </c>
      <c r="AH282" s="27" t="s">
        <v>7</v>
      </c>
      <c r="AI282" s="27" t="s">
        <v>8</v>
      </c>
      <c r="AJ282" s="27" t="s">
        <v>7</v>
      </c>
      <c r="AK282" s="27" t="s">
        <v>8</v>
      </c>
      <c r="AL282" s="27" t="s">
        <v>7</v>
      </c>
      <c r="BC282" s="27" t="s">
        <v>8</v>
      </c>
      <c r="BD282" s="27" t="s">
        <v>7</v>
      </c>
      <c r="BE282" s="27" t="s">
        <v>8</v>
      </c>
      <c r="BH282" s="27" t="s">
        <v>7</v>
      </c>
      <c r="BI282" s="27" t="s">
        <v>8</v>
      </c>
    </row>
    <row r="283" spans="1:90" x14ac:dyDescent="0.25">
      <c r="A283" s="30">
        <v>0.12270440108003494</v>
      </c>
      <c r="B283"/>
      <c r="C283"/>
      <c r="D283"/>
      <c r="E283"/>
      <c r="J283" s="27" t="s">
        <v>7</v>
      </c>
      <c r="K283" s="27" t="s">
        <v>8</v>
      </c>
      <c r="L283" s="27" t="s">
        <v>7</v>
      </c>
      <c r="Q283" s="27" t="s">
        <v>8</v>
      </c>
      <c r="S283" s="27" t="s">
        <v>8</v>
      </c>
      <c r="T283" s="27" t="s">
        <v>7</v>
      </c>
      <c r="W283" s="27" t="s">
        <v>8</v>
      </c>
      <c r="AH283" s="27" t="s">
        <v>7</v>
      </c>
      <c r="AI283" s="27" t="s">
        <v>8</v>
      </c>
      <c r="AJ283" s="27" t="s">
        <v>7</v>
      </c>
      <c r="AK283" s="27" t="s">
        <v>8</v>
      </c>
      <c r="AL283" s="27" t="s">
        <v>7</v>
      </c>
      <c r="BC283" s="27" t="s">
        <v>8</v>
      </c>
      <c r="BD283" s="27" t="s">
        <v>7</v>
      </c>
      <c r="BH283" s="27" t="s">
        <v>7</v>
      </c>
    </row>
    <row r="284" spans="1:90" x14ac:dyDescent="0.25">
      <c r="A284" s="30">
        <v>0.11686133436193799</v>
      </c>
      <c r="B284"/>
      <c r="C284"/>
      <c r="D284"/>
      <c r="E284"/>
      <c r="J284" s="27" t="s">
        <v>7</v>
      </c>
      <c r="K284" s="27" t="s">
        <v>8</v>
      </c>
      <c r="L284" s="27" t="s">
        <v>7</v>
      </c>
      <c r="Q284" s="27" t="s">
        <v>8</v>
      </c>
      <c r="R284" s="27" t="s">
        <v>7</v>
      </c>
      <c r="S284" s="27" t="s">
        <v>8</v>
      </c>
      <c r="T284" s="27" t="s">
        <v>7</v>
      </c>
      <c r="W284" s="27" t="s">
        <v>8</v>
      </c>
      <c r="AH284" s="27" t="s">
        <v>7</v>
      </c>
      <c r="AJ284" s="27" t="s">
        <v>7</v>
      </c>
      <c r="AK284" s="27" t="s">
        <v>8</v>
      </c>
      <c r="AL284" s="27" t="s">
        <v>7</v>
      </c>
      <c r="BC284" s="27" t="s">
        <v>8</v>
      </c>
    </row>
    <row r="285" spans="1:90" x14ac:dyDescent="0.25">
      <c r="A285" s="30">
        <v>0.11129650891613138</v>
      </c>
      <c r="B285"/>
      <c r="C285"/>
      <c r="D285"/>
      <c r="E285"/>
      <c r="J285" s="27" t="s">
        <v>7</v>
      </c>
      <c r="K285" s="27" t="s">
        <v>8</v>
      </c>
      <c r="L285" s="27" t="s">
        <v>7</v>
      </c>
      <c r="Q285" s="27" t="s">
        <v>8</v>
      </c>
      <c r="R285" s="27" t="s">
        <v>7</v>
      </c>
      <c r="S285" s="27" t="s">
        <v>8</v>
      </c>
      <c r="T285" s="27" t="s">
        <v>7</v>
      </c>
      <c r="U285" s="27" t="s">
        <v>8</v>
      </c>
      <c r="W285" s="27" t="s">
        <v>8</v>
      </c>
      <c r="AJ285" s="27" t="s">
        <v>7</v>
      </c>
      <c r="AK285" s="27" t="s">
        <v>8</v>
      </c>
      <c r="AL285" s="27" t="s">
        <v>7</v>
      </c>
      <c r="AU285" s="27" t="s">
        <v>8</v>
      </c>
      <c r="AW285" s="27" t="s">
        <v>8</v>
      </c>
      <c r="AY285" s="27" t="s">
        <v>8</v>
      </c>
      <c r="BA285" s="27" t="s">
        <v>8</v>
      </c>
      <c r="BC285" s="27" t="s">
        <v>8</v>
      </c>
    </row>
    <row r="286" spans="1:90" x14ac:dyDescent="0.25">
      <c r="A286" s="30">
        <v>0.10599667515822032</v>
      </c>
      <c r="B286"/>
      <c r="C286"/>
      <c r="D286"/>
      <c r="E286"/>
      <c r="J286" s="27" t="s">
        <v>7</v>
      </c>
      <c r="L286" s="27" t="s">
        <v>7</v>
      </c>
      <c r="M286" s="27" t="s">
        <v>8</v>
      </c>
      <c r="Q286" s="27" t="s">
        <v>8</v>
      </c>
      <c r="R286" s="27" t="s">
        <v>7</v>
      </c>
      <c r="T286" s="27" t="s">
        <v>7</v>
      </c>
      <c r="U286" s="27" t="s">
        <v>8</v>
      </c>
      <c r="V286" s="27" t="s">
        <v>7</v>
      </c>
      <c r="W286" s="27" t="s">
        <v>8</v>
      </c>
      <c r="AJ286" s="27" t="s">
        <v>7</v>
      </c>
      <c r="AL286" s="27" t="s">
        <v>7</v>
      </c>
      <c r="AU286" s="27" t="s">
        <v>8</v>
      </c>
      <c r="AV286" s="27" t="s">
        <v>7</v>
      </c>
      <c r="AW286" s="27" t="s">
        <v>8</v>
      </c>
      <c r="AX286" s="27" t="s">
        <v>7</v>
      </c>
      <c r="AY286" s="27" t="s">
        <v>8</v>
      </c>
      <c r="AZ286" s="27" t="s">
        <v>7</v>
      </c>
      <c r="BA286" s="27" t="s">
        <v>8</v>
      </c>
      <c r="BB286" s="27" t="s">
        <v>7</v>
      </c>
      <c r="BC286" s="27" t="s">
        <v>8</v>
      </c>
    </row>
    <row r="287" spans="1:90" x14ac:dyDescent="0.25">
      <c r="A287" s="30">
        <v>0.10094921443640027</v>
      </c>
      <c r="B287"/>
      <c r="C287"/>
      <c r="D287"/>
      <c r="E287"/>
      <c r="L287" s="27" t="s">
        <v>7</v>
      </c>
      <c r="M287" s="27" t="s">
        <v>8</v>
      </c>
      <c r="N287" s="27" t="s">
        <v>7</v>
      </c>
      <c r="Q287" s="27" t="s">
        <v>8</v>
      </c>
      <c r="T287" s="27" t="s">
        <v>7</v>
      </c>
      <c r="U287" s="27" t="s">
        <v>8</v>
      </c>
      <c r="V287" s="27" t="s">
        <v>7</v>
      </c>
      <c r="W287" s="27" t="s">
        <v>8</v>
      </c>
      <c r="AL287" s="27" t="s">
        <v>7</v>
      </c>
      <c r="AQ287" s="27" t="s">
        <v>8</v>
      </c>
      <c r="AU287" s="27" t="s">
        <v>8</v>
      </c>
      <c r="AV287" s="27" t="s">
        <v>7</v>
      </c>
      <c r="AW287" s="27" t="s">
        <v>8</v>
      </c>
      <c r="AX287" s="27" t="s">
        <v>7</v>
      </c>
      <c r="AY287" s="27" t="s">
        <v>8</v>
      </c>
      <c r="AZ287" s="27" t="s">
        <v>7</v>
      </c>
      <c r="BA287" s="27" t="s">
        <v>8</v>
      </c>
      <c r="BB287" s="27" t="s">
        <v>7</v>
      </c>
      <c r="BC287" s="27" t="s">
        <v>8</v>
      </c>
    </row>
    <row r="288" spans="1:90" x14ac:dyDescent="0.25">
      <c r="A288" s="30">
        <v>9.6142108987047836E-2</v>
      </c>
      <c r="B288"/>
      <c r="C288"/>
      <c r="D288"/>
      <c r="E288"/>
      <c r="L288" s="27" t="s">
        <v>7</v>
      </c>
      <c r="M288" s="27" t="s">
        <v>8</v>
      </c>
      <c r="N288" s="27" t="s">
        <v>7</v>
      </c>
      <c r="O288" s="27" t="s">
        <v>8</v>
      </c>
      <c r="Q288" s="27" t="s">
        <v>8</v>
      </c>
      <c r="T288" s="27" t="s">
        <v>7</v>
      </c>
      <c r="U288" s="27" t="s">
        <v>8</v>
      </c>
      <c r="V288" s="27" t="s">
        <v>7</v>
      </c>
      <c r="W288" s="27" t="s">
        <v>8</v>
      </c>
      <c r="AL288" s="27" t="s">
        <v>7</v>
      </c>
      <c r="AQ288" s="27" t="s">
        <v>8</v>
      </c>
      <c r="AR288" s="27" t="s">
        <v>7</v>
      </c>
      <c r="AS288" s="27" t="s">
        <v>8</v>
      </c>
      <c r="AU288" s="27" t="s">
        <v>8</v>
      </c>
      <c r="AV288" s="27" t="s">
        <v>7</v>
      </c>
      <c r="AW288" s="27" t="s">
        <v>8</v>
      </c>
      <c r="AX288" s="27" t="s">
        <v>7</v>
      </c>
      <c r="AY288" s="27" t="s">
        <v>8</v>
      </c>
      <c r="AZ288" s="27" t="s">
        <v>7</v>
      </c>
      <c r="BB288" s="27" t="s">
        <v>7</v>
      </c>
      <c r="BC288" s="27" t="s">
        <v>8</v>
      </c>
    </row>
    <row r="289" spans="1:54" x14ac:dyDescent="0.25">
      <c r="A289" s="30">
        <v>9.1563913320997906E-2</v>
      </c>
      <c r="B289"/>
      <c r="C289"/>
      <c r="D289"/>
      <c r="E289"/>
      <c r="L289" s="27" t="s">
        <v>7</v>
      </c>
      <c r="N289" s="27" t="s">
        <v>7</v>
      </c>
      <c r="O289" s="27" t="s">
        <v>8</v>
      </c>
      <c r="P289" s="27" t="s">
        <v>7</v>
      </c>
      <c r="Q289" s="27" t="s">
        <v>8</v>
      </c>
      <c r="T289" s="27" t="s">
        <v>7</v>
      </c>
      <c r="U289" s="27" t="s">
        <v>8</v>
      </c>
      <c r="V289" s="27" t="s">
        <v>7</v>
      </c>
      <c r="AL289" s="27" t="s">
        <v>7</v>
      </c>
      <c r="AQ289" s="27" t="s">
        <v>8</v>
      </c>
      <c r="AR289" s="27" t="s">
        <v>7</v>
      </c>
      <c r="AS289" s="27" t="s">
        <v>8</v>
      </c>
      <c r="AT289" s="27" t="s">
        <v>7</v>
      </c>
      <c r="AU289" s="27" t="s">
        <v>8</v>
      </c>
      <c r="AV289" s="27" t="s">
        <v>7</v>
      </c>
      <c r="AW289" s="27" t="s">
        <v>8</v>
      </c>
      <c r="AX289" s="27" t="s">
        <v>7</v>
      </c>
      <c r="AY289" s="27" t="s">
        <v>8</v>
      </c>
      <c r="BB289" s="27" t="s">
        <v>7</v>
      </c>
    </row>
    <row r="290" spans="1:54" x14ac:dyDescent="0.25">
      <c r="A290" s="30">
        <v>8.7203726972378923E-2</v>
      </c>
      <c r="B290"/>
      <c r="C290"/>
      <c r="D290"/>
      <c r="E290"/>
      <c r="N290" s="27" t="s">
        <v>7</v>
      </c>
      <c r="O290" s="27" t="s">
        <v>8</v>
      </c>
      <c r="P290" s="27" t="s">
        <v>7</v>
      </c>
      <c r="Q290" s="27" t="s">
        <v>8</v>
      </c>
      <c r="T290" s="27" t="s">
        <v>7</v>
      </c>
      <c r="AL290" s="27" t="s">
        <v>7</v>
      </c>
      <c r="AQ290" s="27" t="s">
        <v>8</v>
      </c>
      <c r="AR290" s="27" t="s">
        <v>7</v>
      </c>
      <c r="AS290" s="27" t="s">
        <v>8</v>
      </c>
      <c r="AT290" s="27" t="s">
        <v>7</v>
      </c>
      <c r="AU290" s="27" t="s">
        <v>8</v>
      </c>
      <c r="AV290" s="27" t="s">
        <v>7</v>
      </c>
      <c r="AW290" s="27" t="s">
        <v>8</v>
      </c>
      <c r="AX290" s="27" t="s">
        <v>7</v>
      </c>
    </row>
    <row r="291" spans="1:54" x14ac:dyDescent="0.25">
      <c r="A291" s="30">
        <v>8.3051168545122747E-2</v>
      </c>
      <c r="B291"/>
      <c r="C291"/>
      <c r="D291"/>
      <c r="E291"/>
      <c r="N291" s="27" t="s">
        <v>7</v>
      </c>
      <c r="P291" s="27" t="s">
        <v>7</v>
      </c>
      <c r="AL291" s="27" t="s">
        <v>7</v>
      </c>
      <c r="AM291" s="27" t="s">
        <v>8</v>
      </c>
      <c r="AQ291" s="27" t="s">
        <v>8</v>
      </c>
      <c r="AR291" s="27" t="s">
        <v>7</v>
      </c>
      <c r="AS291" s="27" t="s">
        <v>8</v>
      </c>
      <c r="AT291" s="27" t="s">
        <v>7</v>
      </c>
      <c r="AU291" s="27" t="s">
        <v>8</v>
      </c>
      <c r="AV291" s="27" t="s">
        <v>7</v>
      </c>
    </row>
    <row r="292" spans="1:54" x14ac:dyDescent="0.25">
      <c r="A292" s="30">
        <v>7.9096350995354961E-2</v>
      </c>
      <c r="B292"/>
      <c r="C292"/>
      <c r="D292"/>
      <c r="E292"/>
      <c r="AL292" s="27" t="s">
        <v>7</v>
      </c>
      <c r="AM292" s="27" t="s">
        <v>8</v>
      </c>
      <c r="AN292" s="27" t="s">
        <v>7</v>
      </c>
      <c r="AQ292" s="27" t="s">
        <v>8</v>
      </c>
      <c r="AR292" s="27" t="s">
        <v>7</v>
      </c>
      <c r="AT292" s="27" t="s">
        <v>7</v>
      </c>
    </row>
    <row r="293" spans="1:54" x14ac:dyDescent="0.25">
      <c r="A293" s="30">
        <v>7.5329858090814217E-2</v>
      </c>
      <c r="B293"/>
      <c r="C293"/>
      <c r="D293"/>
      <c r="E293"/>
      <c r="AL293" s="27" t="s">
        <v>7</v>
      </c>
      <c r="AM293" s="27" t="s">
        <v>8</v>
      </c>
      <c r="AN293" s="27" t="s">
        <v>7</v>
      </c>
      <c r="AQ293" s="27" t="s">
        <v>8</v>
      </c>
    </row>
    <row r="294" spans="1:54" x14ac:dyDescent="0.25">
      <c r="A294" s="30">
        <v>7.1742721991251604E-2</v>
      </c>
      <c r="B294"/>
      <c r="C294"/>
      <c r="D294"/>
      <c r="E294"/>
      <c r="AL294" s="27" t="s">
        <v>7</v>
      </c>
      <c r="AM294" s="27" t="s">
        <v>8</v>
      </c>
      <c r="AN294" s="27" t="s">
        <v>7</v>
      </c>
      <c r="AO294" s="27" t="s">
        <v>8</v>
      </c>
      <c r="AQ294" s="27" t="s">
        <v>8</v>
      </c>
    </row>
    <row r="295" spans="1:54" x14ac:dyDescent="0.25">
      <c r="A295" s="30">
        <v>6.8326401896430078E-2</v>
      </c>
      <c r="B295"/>
      <c r="C295"/>
      <c r="D295"/>
      <c r="E295"/>
      <c r="AL295" s="27" t="s">
        <v>7</v>
      </c>
      <c r="AM295" s="27" t="s">
        <v>8</v>
      </c>
      <c r="AN295" s="27" t="s">
        <v>7</v>
      </c>
      <c r="AO295" s="27" t="s">
        <v>8</v>
      </c>
      <c r="AP295" s="27" t="s">
        <v>7</v>
      </c>
      <c r="AQ295" s="27" t="s">
        <v>8</v>
      </c>
    </row>
    <row r="296" spans="1:54" x14ac:dyDescent="0.25">
      <c r="A296" s="30">
        <v>6.5072763710885759E-2</v>
      </c>
      <c r="B296"/>
      <c r="C296"/>
      <c r="D296"/>
      <c r="E296"/>
      <c r="AL296" s="27" t="s">
        <v>7</v>
      </c>
      <c r="AM296" s="27" t="s">
        <v>8</v>
      </c>
      <c r="AN296" s="27" t="s">
        <v>7</v>
      </c>
      <c r="AO296" s="27" t="s">
        <v>8</v>
      </c>
      <c r="AP296" s="27" t="s">
        <v>7</v>
      </c>
      <c r="AQ296" s="27" t="s">
        <v>8</v>
      </c>
    </row>
    <row r="297" spans="1:54" x14ac:dyDescent="0.25">
      <c r="A297" s="30">
        <v>6.197406067703403E-2</v>
      </c>
      <c r="B297"/>
      <c r="C297"/>
      <c r="D297"/>
      <c r="E297"/>
      <c r="AL297" s="27" t="s">
        <v>7</v>
      </c>
      <c r="AM297" s="27" t="s">
        <v>8</v>
      </c>
      <c r="AN297" s="27" t="s">
        <v>7</v>
      </c>
      <c r="AO297" s="27" t="s">
        <v>8</v>
      </c>
      <c r="AP297" s="27" t="s">
        <v>7</v>
      </c>
    </row>
    <row r="298" spans="1:54" x14ac:dyDescent="0.25">
      <c r="A298" s="30">
        <v>5.9022914930508576E-2</v>
      </c>
      <c r="B298"/>
      <c r="C298"/>
      <c r="D298"/>
      <c r="E298"/>
      <c r="AL298" s="27" t="s">
        <v>7</v>
      </c>
      <c r="AM298" s="27" t="s">
        <v>8</v>
      </c>
      <c r="AN298" s="27" t="s">
        <v>7</v>
      </c>
      <c r="AO298" s="27" t="s">
        <v>8</v>
      </c>
    </row>
    <row r="299" spans="1:54" x14ac:dyDescent="0.25">
      <c r="A299" s="30">
        <v>5.6212299933817669E-2</v>
      </c>
      <c r="B299"/>
      <c r="C299"/>
      <c r="D299"/>
      <c r="E299"/>
      <c r="AL299" s="27" t="s">
        <v>7</v>
      </c>
      <c r="AM299" s="27" t="s">
        <v>8</v>
      </c>
      <c r="AN299" s="27" t="s">
        <v>7</v>
      </c>
      <c r="AO299" s="27" t="s">
        <v>8</v>
      </c>
    </row>
    <row r="300" spans="1:54" x14ac:dyDescent="0.25">
      <c r="A300" s="30">
        <v>5.3535523746492994E-2</v>
      </c>
      <c r="B300"/>
      <c r="C300"/>
      <c r="D300"/>
      <c r="E300"/>
      <c r="AL300" s="27" t="s">
        <v>7</v>
      </c>
      <c r="AM300" s="27" t="s">
        <v>8</v>
      </c>
      <c r="AN300" s="27" t="s">
        <v>7</v>
      </c>
      <c r="AO300" s="27" t="s">
        <v>8</v>
      </c>
    </row>
    <row r="301" spans="1:54" x14ac:dyDescent="0.25">
      <c r="A301" s="30">
        <v>5.0986213091898068E-2</v>
      </c>
      <c r="B301"/>
      <c r="C301"/>
      <c r="D301"/>
      <c r="E301"/>
      <c r="AL301" s="27" t="s">
        <v>7</v>
      </c>
      <c r="AM301" s="27" t="s">
        <v>8</v>
      </c>
      <c r="AN301" s="27" t="s">
        <v>7</v>
      </c>
    </row>
    <row r="302" spans="1:54" x14ac:dyDescent="0.25">
      <c r="A302" s="30">
        <v>4.8558298182760043E-2</v>
      </c>
      <c r="B302"/>
      <c r="C302"/>
      <c r="D302"/>
      <c r="E302"/>
      <c r="AL302" s="27" t="s">
        <v>7</v>
      </c>
      <c r="AM302" s="27" t="s">
        <v>8</v>
      </c>
    </row>
    <row r="303" spans="1:54" x14ac:dyDescent="0.25">
      <c r="A303" s="30">
        <v>4.6245998269295263E-2</v>
      </c>
      <c r="B303"/>
      <c r="C303"/>
      <c r="D303"/>
      <c r="E303"/>
      <c r="AL303" s="27" t="s">
        <v>7</v>
      </c>
      <c r="AM303" s="27" t="s">
        <v>8</v>
      </c>
    </row>
    <row r="304" spans="1:54" x14ac:dyDescent="0.25">
      <c r="A304" s="30">
        <v>4.4043807875519279E-2</v>
      </c>
      <c r="B304"/>
      <c r="C304"/>
      <c r="D304"/>
      <c r="E304"/>
      <c r="AL304" s="27" t="s">
        <v>7</v>
      </c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246" operator="equal">
      <formula>$U$1</formula>
    </cfRule>
    <cfRule type="cellIs" dxfId="67" priority="1247" operator="equal">
      <formula>$S$1</formula>
    </cfRule>
  </conditionalFormatting>
  <conditionalFormatting sqref="D136">
    <cfRule type="cellIs" dxfId="66" priority="1244" operator="equal">
      <formula>$S$1</formula>
    </cfRule>
    <cfRule type="cellIs" dxfId="65" priority="1245" operator="equal">
      <formula>$U$1</formula>
    </cfRule>
  </conditionalFormatting>
  <conditionalFormatting sqref="C162">
    <cfRule type="cellIs" dxfId="64" priority="1242" operator="equal">
      <formula>$U$1</formula>
    </cfRule>
    <cfRule type="cellIs" dxfId="63" priority="1243" operator="equal">
      <formula>$S$1</formula>
    </cfRule>
  </conditionalFormatting>
  <conditionalFormatting sqref="D162">
    <cfRule type="cellIs" dxfId="62" priority="1240" operator="equal">
      <formula>$S$1</formula>
    </cfRule>
    <cfRule type="cellIs" dxfId="61" priority="1241" operator="equal">
      <formula>$U$1</formula>
    </cfRule>
  </conditionalFormatting>
  <conditionalFormatting sqref="C187">
    <cfRule type="cellIs" dxfId="60" priority="1238" operator="equal">
      <formula>$U$1</formula>
    </cfRule>
    <cfRule type="cellIs" dxfId="59" priority="1239" operator="equal">
      <formula>$S$1</formula>
    </cfRule>
  </conditionalFormatting>
  <conditionalFormatting sqref="D187">
    <cfRule type="cellIs" dxfId="58" priority="1236" operator="equal">
      <formula>$S$1</formula>
    </cfRule>
    <cfRule type="cellIs" dxfId="57" priority="1237" operator="equal">
      <formula>$U$1</formula>
    </cfRule>
  </conditionalFormatting>
  <conditionalFormatting sqref="C212">
    <cfRule type="cellIs" dxfId="56" priority="1234" operator="equal">
      <formula>$U$1</formula>
    </cfRule>
    <cfRule type="cellIs" dxfId="55" priority="1235" operator="equal">
      <formula>$S$1</formula>
    </cfRule>
  </conditionalFormatting>
  <conditionalFormatting sqref="D212">
    <cfRule type="cellIs" dxfId="54" priority="1232" operator="equal">
      <formula>$S$1</formula>
    </cfRule>
    <cfRule type="cellIs" dxfId="53" priority="1233" operator="equal">
      <formula>$U$1</formula>
    </cfRule>
  </conditionalFormatting>
  <conditionalFormatting sqref="C237">
    <cfRule type="cellIs" dxfId="52" priority="1230" operator="equal">
      <formula>$U$1</formula>
    </cfRule>
    <cfRule type="cellIs" dxfId="51" priority="1231" operator="equal">
      <formula>$S$1</formula>
    </cfRule>
  </conditionalFormatting>
  <conditionalFormatting sqref="D237">
    <cfRule type="cellIs" dxfId="50" priority="1228" operator="equal">
      <formula>$S$1</formula>
    </cfRule>
    <cfRule type="cellIs" dxfId="49" priority="1229" operator="equal">
      <formula>$U$1</formula>
    </cfRule>
  </conditionalFormatting>
  <conditionalFormatting sqref="C106">
    <cfRule type="cellIs" dxfId="48" priority="1226" operator="equal">
      <formula>$U$1</formula>
    </cfRule>
    <cfRule type="cellIs" dxfId="47" priority="1227" operator="equal">
      <formula>$S$1</formula>
    </cfRule>
  </conditionalFormatting>
  <conditionalFormatting sqref="D106">
    <cfRule type="cellIs" dxfId="46" priority="1224" operator="equal">
      <formula>$S$1</formula>
    </cfRule>
    <cfRule type="cellIs" dxfId="45" priority="1225" operator="equal">
      <formula>$U$1</formula>
    </cfRule>
  </conditionalFormatting>
  <conditionalFormatting sqref="C81">
    <cfRule type="cellIs" dxfId="44" priority="1222" operator="equal">
      <formula>$U$1</formula>
    </cfRule>
    <cfRule type="cellIs" dxfId="43" priority="1223" operator="equal">
      <formula>$S$1</formula>
    </cfRule>
  </conditionalFormatting>
  <conditionalFormatting sqref="D81">
    <cfRule type="cellIs" dxfId="42" priority="1220" operator="equal">
      <formula>$S$1</formula>
    </cfRule>
    <cfRule type="cellIs" dxfId="41" priority="1221" operator="equal">
      <formula>$U$1</formula>
    </cfRule>
  </conditionalFormatting>
  <conditionalFormatting sqref="C56">
    <cfRule type="cellIs" dxfId="40" priority="1218" operator="equal">
      <formula>$U$1</formula>
    </cfRule>
    <cfRule type="cellIs" dxfId="39" priority="1219" operator="equal">
      <formula>$S$1</formula>
    </cfRule>
  </conditionalFormatting>
  <conditionalFormatting sqref="D56">
    <cfRule type="cellIs" dxfId="38" priority="1216" operator="equal">
      <formula>$S$1</formula>
    </cfRule>
    <cfRule type="cellIs" dxfId="37" priority="1217" operator="equal">
      <formula>$U$1</formula>
    </cfRule>
  </conditionalFormatting>
  <conditionalFormatting sqref="C31">
    <cfRule type="cellIs" dxfId="36" priority="1214" operator="equal">
      <formula>$U$1</formula>
    </cfRule>
    <cfRule type="cellIs" dxfId="35" priority="1215" operator="equal">
      <formula>$S$1</formula>
    </cfRule>
  </conditionalFormatting>
  <conditionalFormatting sqref="D31">
    <cfRule type="cellIs" dxfId="34" priority="1212" operator="equal">
      <formula>$S$1</formula>
    </cfRule>
    <cfRule type="cellIs" dxfId="33" priority="121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8" zoomScale="90" zoomScaleNormal="90" workbookViewId="0">
      <pane xSplit="4" topLeftCell="G1" activePane="topRight" state="frozen"/>
      <selection activeCell="A109" sqref="A109"/>
      <selection pane="topRight" activeCell="BJ119" sqref="BJ11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62" x14ac:dyDescent="0.25">
      <c r="A97" s="30">
        <v>9.849732675807628</v>
      </c>
      <c r="E97"/>
    </row>
    <row r="98" spans="1:62" x14ac:dyDescent="0.25">
      <c r="A98" s="30">
        <v>8.9543024325523888</v>
      </c>
      <c r="C98" s="1" t="s">
        <v>13</v>
      </c>
      <c r="E98"/>
    </row>
    <row r="99" spans="1:62" x14ac:dyDescent="0.25">
      <c r="A99" s="30">
        <v>8.140274938683989</v>
      </c>
      <c r="C99" s="1">
        <f>C88</f>
        <v>0</v>
      </c>
      <c r="E99"/>
    </row>
    <row r="100" spans="1:62" x14ac:dyDescent="0.25">
      <c r="A100" s="30">
        <v>7.4002499442581717</v>
      </c>
      <c r="C100"/>
      <c r="D100"/>
      <c r="E100"/>
    </row>
    <row r="101" spans="1:62" x14ac:dyDescent="0.25">
      <c r="A101" s="30">
        <v>6.72749994932561</v>
      </c>
      <c r="C101" s="1" t="s">
        <v>14</v>
      </c>
      <c r="E101"/>
    </row>
    <row r="102" spans="1:6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62" x14ac:dyDescent="0.25">
      <c r="A103" s="30">
        <v>5.5599173134922388</v>
      </c>
      <c r="E103"/>
    </row>
    <row r="104" spans="1:62" x14ac:dyDescent="0.25">
      <c r="A104" s="30">
        <v>5.0544702849929442</v>
      </c>
      <c r="E104"/>
    </row>
    <row r="105" spans="1:62" x14ac:dyDescent="0.25">
      <c r="A105" s="30">
        <v>4.594972986357222</v>
      </c>
      <c r="E105"/>
    </row>
    <row r="106" spans="1:62" x14ac:dyDescent="0.25">
      <c r="A106" s="30">
        <v>4.1772481694156562</v>
      </c>
      <c r="E106"/>
    </row>
    <row r="107" spans="1:62" x14ac:dyDescent="0.25">
      <c r="A107" s="30">
        <v>3.7974983358324148</v>
      </c>
      <c r="E107"/>
    </row>
    <row r="108" spans="1:62" x14ac:dyDescent="0.25">
      <c r="A108" s="30">
        <v>3.4522712143931042</v>
      </c>
      <c r="E108"/>
    </row>
    <row r="109" spans="1:62" x14ac:dyDescent="0.25">
      <c r="A109" s="30">
        <v>3.1384283767210035</v>
      </c>
      <c r="E109"/>
      <c r="BE109" s="27" t="s">
        <v>8</v>
      </c>
    </row>
    <row r="110" spans="1:62" x14ac:dyDescent="0.25">
      <c r="A110" s="30">
        <v>2.8531167061100029</v>
      </c>
      <c r="E110"/>
      <c r="BE110" s="27" t="s">
        <v>8</v>
      </c>
      <c r="BF110" s="27" t="s">
        <v>7</v>
      </c>
      <c r="BI110" s="27" t="s">
        <v>8</v>
      </c>
    </row>
    <row r="111" spans="1:62" x14ac:dyDescent="0.25">
      <c r="A111" s="30">
        <v>2.5937424601000023</v>
      </c>
      <c r="C111" s="1" t="str">
        <f>ADDRESS(C121-1,1,1,1)</f>
        <v>$A$118</v>
      </c>
      <c r="D111" s="1" t="str">
        <f>ADDRESS(C121-1,D121,1,1)</f>
        <v>$BJ$118</v>
      </c>
      <c r="E111"/>
      <c r="AM111" s="27" t="s">
        <v>8</v>
      </c>
      <c r="AO111" s="27" t="s">
        <v>8</v>
      </c>
      <c r="AQ111" s="27" t="s">
        <v>8</v>
      </c>
      <c r="BA111" s="27" t="s">
        <v>8</v>
      </c>
      <c r="BC111" s="27" t="s">
        <v>8</v>
      </c>
      <c r="BE111" s="27" t="s">
        <v>8</v>
      </c>
      <c r="BF111" s="27" t="s">
        <v>7</v>
      </c>
      <c r="BG111" s="27" t="s">
        <v>8</v>
      </c>
      <c r="BI111" s="27" t="s">
        <v>8</v>
      </c>
      <c r="BJ111" s="27" t="s">
        <v>7</v>
      </c>
    </row>
    <row r="112" spans="1:62" x14ac:dyDescent="0.25">
      <c r="A112" s="30">
        <v>2.3579476910000019</v>
      </c>
      <c r="C112" s="1" t="str">
        <f>ADDRESS(C121,1,1,1)</f>
        <v>$A$119</v>
      </c>
      <c r="D112" s="1" t="str">
        <f>ADDRESS(C121,D121-1,1,1)</f>
        <v>$BI$119</v>
      </c>
      <c r="E112"/>
      <c r="AM112" s="27" t="s">
        <v>8</v>
      </c>
      <c r="AN112" s="27" t="s">
        <v>7</v>
      </c>
      <c r="AO112" s="27" t="s">
        <v>8</v>
      </c>
      <c r="AP112" s="27" t="s">
        <v>7</v>
      </c>
      <c r="AQ112" s="27" t="s">
        <v>8</v>
      </c>
      <c r="AR112" s="27" t="s">
        <v>7</v>
      </c>
      <c r="BA112" s="27" t="s">
        <v>8</v>
      </c>
      <c r="BB112" s="27" t="s">
        <v>7</v>
      </c>
      <c r="BC112" s="27" t="s">
        <v>8</v>
      </c>
      <c r="BD112" s="27" t="s">
        <v>7</v>
      </c>
      <c r="BE112" s="27" t="s">
        <v>8</v>
      </c>
      <c r="BF112" s="27" t="s">
        <v>7</v>
      </c>
      <c r="BG112" s="27" t="s">
        <v>8</v>
      </c>
      <c r="BH112" s="27" t="s">
        <v>7</v>
      </c>
      <c r="BI112" s="27" t="s">
        <v>8</v>
      </c>
      <c r="BJ112" s="27" t="s">
        <v>7</v>
      </c>
    </row>
    <row r="113" spans="1:62" x14ac:dyDescent="0.25">
      <c r="A113" s="30">
        <v>2.1435888100000016</v>
      </c>
      <c r="C113" s="1" t="str">
        <f>ADDRESS(C121+1,1,1,1)</f>
        <v>$A$120</v>
      </c>
      <c r="D113" s="1" t="str">
        <f>ADDRESS(C121-1,D121+1,1,1)</f>
        <v>$BK$118</v>
      </c>
      <c r="AM113" s="27" t="s">
        <v>8</v>
      </c>
      <c r="AN113" s="27" t="s">
        <v>7</v>
      </c>
      <c r="AO113" s="27" t="s">
        <v>8</v>
      </c>
      <c r="AP113" s="27" t="s">
        <v>7</v>
      </c>
      <c r="AQ113" s="27" t="s">
        <v>8</v>
      </c>
      <c r="AR113" s="27" t="s">
        <v>7</v>
      </c>
      <c r="BA113" s="27" t="s">
        <v>8</v>
      </c>
      <c r="BB113" s="27" t="s">
        <v>7</v>
      </c>
      <c r="BC113" s="27" t="s">
        <v>8</v>
      </c>
      <c r="BD113" s="27" t="s">
        <v>7</v>
      </c>
      <c r="BE113" s="27" t="s">
        <v>8</v>
      </c>
      <c r="BF113" s="27" t="s">
        <v>7</v>
      </c>
      <c r="BG113" s="27" t="s">
        <v>8</v>
      </c>
      <c r="BH113" s="27" t="s">
        <v>7</v>
      </c>
      <c r="BI113" s="27" t="s">
        <v>8</v>
      </c>
      <c r="BJ113" s="27" t="s">
        <v>7</v>
      </c>
    </row>
    <row r="114" spans="1:62" x14ac:dyDescent="0.25">
      <c r="A114" s="30">
        <v>1.9487171000000014</v>
      </c>
      <c r="C114" s="1" t="str">
        <f>ADDRESS(C121,D121,1,1)</f>
        <v>$BJ$119</v>
      </c>
      <c r="D114" s="1" t="str">
        <f>ADDRESS(C121+1,D121+1,1,1)</f>
        <v>$BK$120</v>
      </c>
      <c r="AM114" s="27" t="s">
        <v>8</v>
      </c>
      <c r="AN114" s="27" t="s">
        <v>7</v>
      </c>
      <c r="AO114" s="27" t="s">
        <v>8</v>
      </c>
      <c r="AP114" s="27" t="s">
        <v>7</v>
      </c>
      <c r="AR114" s="27" t="s">
        <v>7</v>
      </c>
      <c r="BA114" s="27" t="s">
        <v>8</v>
      </c>
      <c r="BB114" s="27" t="s">
        <v>7</v>
      </c>
      <c r="BD114" s="27" t="s">
        <v>7</v>
      </c>
      <c r="BE114" s="27" t="s">
        <v>8</v>
      </c>
      <c r="BF114" s="27" t="s">
        <v>7</v>
      </c>
      <c r="BG114" s="27" t="s">
        <v>8</v>
      </c>
      <c r="BH114" s="27" t="s">
        <v>7</v>
      </c>
      <c r="BJ114" s="27" t="s">
        <v>7</v>
      </c>
    </row>
    <row r="115" spans="1:62" x14ac:dyDescent="0.25">
      <c r="A115" s="30">
        <v>1.7715610000000011</v>
      </c>
      <c r="C115" s="1" t="str">
        <f>ADDRESS(C121+1,D121,1,1)</f>
        <v>$BJ$120</v>
      </c>
      <c r="AM115" s="27" t="s">
        <v>8</v>
      </c>
      <c r="AN115" s="27" t="s">
        <v>7</v>
      </c>
      <c r="AO115" s="27" t="s">
        <v>8</v>
      </c>
      <c r="AR115" s="27" t="s">
        <v>7</v>
      </c>
      <c r="AY115" s="27" t="s">
        <v>8</v>
      </c>
      <c r="BA115" s="27" t="s">
        <v>8</v>
      </c>
      <c r="BD115" s="27" t="s">
        <v>7</v>
      </c>
      <c r="BF115" s="27" t="s">
        <v>7</v>
      </c>
      <c r="BJ115" s="27" t="s">
        <v>7</v>
      </c>
    </row>
    <row r="116" spans="1:62" x14ac:dyDescent="0.25">
      <c r="A116" s="30">
        <v>1.6105100000000008</v>
      </c>
      <c r="C116" s="1">
        <f>C117-1</f>
        <v>118</v>
      </c>
      <c r="AM116" s="27" t="s">
        <v>8</v>
      </c>
      <c r="AN116" s="27" t="s">
        <v>7</v>
      </c>
      <c r="AR116" s="27" t="s">
        <v>7</v>
      </c>
      <c r="AY116" s="27" t="s">
        <v>8</v>
      </c>
      <c r="AZ116" s="27" t="s">
        <v>7</v>
      </c>
      <c r="BA116" s="27" t="s">
        <v>8</v>
      </c>
      <c r="BJ116" s="27" t="s">
        <v>7</v>
      </c>
    </row>
    <row r="117" spans="1:62" x14ac:dyDescent="0.25">
      <c r="A117" s="30">
        <v>1.4641000000000006</v>
      </c>
      <c r="C117" s="1">
        <f>C121</f>
        <v>119</v>
      </c>
      <c r="D117" s="1">
        <f>D121</f>
        <v>62</v>
      </c>
      <c r="AM117" s="27" t="s">
        <v>8</v>
      </c>
      <c r="AR117" s="27" t="s">
        <v>7</v>
      </c>
      <c r="AW117" s="27" t="s">
        <v>8</v>
      </c>
      <c r="AY117" s="27" t="s">
        <v>8</v>
      </c>
      <c r="AZ117" s="27" t="s">
        <v>7</v>
      </c>
      <c r="BA117" s="27" t="s">
        <v>8</v>
      </c>
      <c r="BJ117" s="27" t="s">
        <v>7</v>
      </c>
    </row>
    <row r="118" spans="1:62" x14ac:dyDescent="0.25">
      <c r="A118" s="30">
        <v>1.3310000000000004</v>
      </c>
      <c r="C118" s="1">
        <f>C117+1</f>
        <v>120</v>
      </c>
      <c r="D118" s="1">
        <f>D117+1</f>
        <v>63</v>
      </c>
      <c r="AM118" s="27" t="s">
        <v>8</v>
      </c>
      <c r="AR118" s="27" t="s">
        <v>7</v>
      </c>
      <c r="AU118" s="27" t="s">
        <v>8</v>
      </c>
      <c r="AW118" s="27" t="s">
        <v>8</v>
      </c>
      <c r="AX118" s="27" t="s">
        <v>7</v>
      </c>
      <c r="AY118" s="27" t="s">
        <v>8</v>
      </c>
      <c r="AZ118" s="27" t="s">
        <v>7</v>
      </c>
      <c r="BA118" s="27" t="s">
        <v>8</v>
      </c>
      <c r="BJ118" s="27" t="s">
        <v>7</v>
      </c>
    </row>
    <row r="119" spans="1:62" x14ac:dyDescent="0.25">
      <c r="A119" s="30">
        <v>1.2100000000000002</v>
      </c>
      <c r="AM119" s="27" t="s">
        <v>8</v>
      </c>
      <c r="AR119" s="27" t="s">
        <v>7</v>
      </c>
      <c r="AS119" s="27" t="s">
        <v>8</v>
      </c>
      <c r="AU119" s="27" t="s">
        <v>8</v>
      </c>
      <c r="AV119" s="27" t="s">
        <v>7</v>
      </c>
      <c r="AW119" s="27" t="s">
        <v>8</v>
      </c>
      <c r="AX119" s="27" t="s">
        <v>7</v>
      </c>
      <c r="AY119" s="27" t="s">
        <v>8</v>
      </c>
      <c r="AZ119" s="27" t="s">
        <v>7</v>
      </c>
      <c r="BJ119" s="27" t="s">
        <v>7</v>
      </c>
    </row>
    <row r="120" spans="1:62" x14ac:dyDescent="0.25">
      <c r="A120" s="30">
        <v>1.1000000000000001</v>
      </c>
      <c r="C120" s="1" t="s">
        <v>9</v>
      </c>
      <c r="AM120" s="27" t="s">
        <v>8</v>
      </c>
      <c r="AR120" s="27" t="s">
        <v>7</v>
      </c>
      <c r="AS120" s="27" t="s">
        <v>8</v>
      </c>
      <c r="AT120" s="27" t="s">
        <v>7</v>
      </c>
      <c r="AU120" s="27" t="s">
        <v>8</v>
      </c>
      <c r="AV120" s="27" t="s">
        <v>7</v>
      </c>
      <c r="AW120" s="27" t="s">
        <v>8</v>
      </c>
      <c r="AX120" s="27" t="s">
        <v>7</v>
      </c>
      <c r="AY120" s="27" t="s">
        <v>8</v>
      </c>
    </row>
    <row r="121" spans="1:62" x14ac:dyDescent="0.25">
      <c r="A121" s="30">
        <v>1</v>
      </c>
      <c r="C121" s="18">
        <v>119</v>
      </c>
      <c r="D121" s="19">
        <v>62</v>
      </c>
      <c r="E121" s="18" t="s">
        <v>8</v>
      </c>
      <c r="AM121" s="27" t="s">
        <v>8</v>
      </c>
      <c r="AR121" s="27" t="s">
        <v>7</v>
      </c>
      <c r="AS121" s="27" t="s">
        <v>8</v>
      </c>
      <c r="AT121" s="27" t="s">
        <v>7</v>
      </c>
      <c r="AU121" s="27" t="s">
        <v>8</v>
      </c>
      <c r="AV121" s="27" t="s">
        <v>7</v>
      </c>
      <c r="AW121" s="27" t="s">
        <v>8</v>
      </c>
      <c r="AX121" s="27" t="s">
        <v>7</v>
      </c>
      <c r="AY121" s="27" t="s">
        <v>8</v>
      </c>
    </row>
    <row r="122" spans="1:62" x14ac:dyDescent="0.25">
      <c r="A122" s="30">
        <v>0.90909090909090895</v>
      </c>
      <c r="C122" s="1" t="str">
        <f>INDEX(1:1048576,C117,D117)</f>
        <v>O</v>
      </c>
      <c r="F122" s="27" t="s">
        <v>7</v>
      </c>
      <c r="AM122" s="27" t="s">
        <v>8</v>
      </c>
      <c r="AR122" s="27" t="s">
        <v>7</v>
      </c>
      <c r="AS122" s="27" t="s">
        <v>8</v>
      </c>
      <c r="AT122" s="27" t="s">
        <v>7</v>
      </c>
      <c r="AU122" s="27" t="s">
        <v>8</v>
      </c>
      <c r="AV122" s="27" t="s">
        <v>7</v>
      </c>
      <c r="AW122" s="27" t="s">
        <v>8</v>
      </c>
      <c r="AX122" s="18" t="s">
        <v>7</v>
      </c>
      <c r="AY122" s="27" t="s">
        <v>8</v>
      </c>
    </row>
    <row r="123" spans="1:62" x14ac:dyDescent="0.25">
      <c r="A123" s="30">
        <v>0.82644628099173523</v>
      </c>
      <c r="C123" s="1" t="str">
        <f>"R"&amp;C121</f>
        <v>R119</v>
      </c>
      <c r="D123" s="1" t="str">
        <f>"C"&amp;D121</f>
        <v>C62</v>
      </c>
      <c r="F123" s="27" t="s">
        <v>7</v>
      </c>
      <c r="AK123" s="27" t="s">
        <v>8</v>
      </c>
      <c r="AM123" s="27" t="s">
        <v>8</v>
      </c>
      <c r="AR123" s="27" t="s">
        <v>7</v>
      </c>
      <c r="AT123" s="27" t="s">
        <v>7</v>
      </c>
      <c r="AU123" s="27" t="s">
        <v>8</v>
      </c>
      <c r="AV123" s="27" t="s">
        <v>7</v>
      </c>
      <c r="AW123" s="27" t="s">
        <v>8</v>
      </c>
      <c r="AX123" s="27" t="s">
        <v>7</v>
      </c>
    </row>
    <row r="124" spans="1:62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K124" s="27" t="s">
        <v>8</v>
      </c>
      <c r="AL124" s="27" t="s">
        <v>7</v>
      </c>
      <c r="AM124" s="27" t="s">
        <v>8</v>
      </c>
      <c r="AT124" s="27" t="s">
        <v>7</v>
      </c>
      <c r="AV124" s="27" t="s">
        <v>7</v>
      </c>
      <c r="AW124" s="27" t="s">
        <v>8</v>
      </c>
    </row>
    <row r="125" spans="1:62" x14ac:dyDescent="0.25">
      <c r="A125" s="30">
        <v>0.68301345536507019</v>
      </c>
      <c r="F125" s="27" t="s">
        <v>7</v>
      </c>
      <c r="AI125" s="27" t="s">
        <v>8</v>
      </c>
      <c r="AK125" s="27" t="s">
        <v>8</v>
      </c>
      <c r="AL125" s="27" t="s">
        <v>7</v>
      </c>
      <c r="AM125" s="27" t="s">
        <v>8</v>
      </c>
      <c r="AV125" s="27" t="s">
        <v>7</v>
      </c>
      <c r="AW125" s="27" t="s">
        <v>8</v>
      </c>
    </row>
    <row r="126" spans="1:62" x14ac:dyDescent="0.25">
      <c r="A126" s="30">
        <v>0.6209213230591546</v>
      </c>
      <c r="C126" s="1" t="s">
        <v>10</v>
      </c>
      <c r="F126" s="27" t="s">
        <v>7</v>
      </c>
      <c r="AI126" s="27" t="s">
        <v>8</v>
      </c>
      <c r="AJ126" s="27" t="s">
        <v>7</v>
      </c>
      <c r="AK126" s="27" t="s">
        <v>8</v>
      </c>
      <c r="AL126" s="27" t="s">
        <v>7</v>
      </c>
      <c r="AV126" s="27" t="s">
        <v>7</v>
      </c>
      <c r="AW126" s="27" t="s">
        <v>8</v>
      </c>
    </row>
    <row r="127" spans="1:62" x14ac:dyDescent="0.25">
      <c r="A127" s="30">
        <v>0.56447393005377677</v>
      </c>
      <c r="C127" s="30">
        <v>1.2100000000000002</v>
      </c>
      <c r="D127"/>
      <c r="F127" s="27" t="s">
        <v>7</v>
      </c>
      <c r="AE127" s="27" t="s">
        <v>8</v>
      </c>
      <c r="AG127" s="27" t="s">
        <v>8</v>
      </c>
      <c r="AI127" s="27" t="s">
        <v>8</v>
      </c>
      <c r="AJ127" s="27" t="s">
        <v>7</v>
      </c>
      <c r="AK127" s="27" t="s">
        <v>8</v>
      </c>
      <c r="AV127" s="27" t="s">
        <v>7</v>
      </c>
      <c r="AW127" s="27" t="s">
        <v>8</v>
      </c>
    </row>
    <row r="128" spans="1:62" x14ac:dyDescent="0.25">
      <c r="A128" s="30">
        <v>0.51315811823070612</v>
      </c>
      <c r="F128" s="27" t="s">
        <v>7</v>
      </c>
      <c r="AE128" s="27" t="s">
        <v>8</v>
      </c>
      <c r="AF128" s="27" t="s">
        <v>7</v>
      </c>
      <c r="AG128" s="27" t="s">
        <v>8</v>
      </c>
      <c r="AH128" s="27" t="s">
        <v>7</v>
      </c>
      <c r="AI128" s="27" t="s">
        <v>8</v>
      </c>
      <c r="AJ128" s="27" t="s">
        <v>7</v>
      </c>
      <c r="AV128" s="27" t="s">
        <v>7</v>
      </c>
    </row>
    <row r="129" spans="1:35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E129" s="27" t="s">
        <v>8</v>
      </c>
      <c r="AF129" s="27" t="s">
        <v>7</v>
      </c>
      <c r="AG129" s="27" t="s">
        <v>8</v>
      </c>
      <c r="AH129" s="27" t="s">
        <v>7</v>
      </c>
      <c r="AI129" s="27" t="s">
        <v>8</v>
      </c>
    </row>
    <row r="130" spans="1:35" x14ac:dyDescent="0.25">
      <c r="A130" s="30">
        <v>0.42409761837248428</v>
      </c>
      <c r="C130" s="6"/>
      <c r="D130" s="6"/>
      <c r="E130"/>
      <c r="F130" s="27" t="s">
        <v>7</v>
      </c>
      <c r="AE130" s="27" t="s">
        <v>8</v>
      </c>
      <c r="AF130" s="27" t="s">
        <v>7</v>
      </c>
      <c r="AH130" s="27" t="s">
        <v>7</v>
      </c>
    </row>
    <row r="131" spans="1:35" x14ac:dyDescent="0.25">
      <c r="A131" s="30">
        <v>0.38554328942953109</v>
      </c>
      <c r="E131"/>
      <c r="F131" s="27" t="s">
        <v>7</v>
      </c>
      <c r="AE131" s="27" t="s">
        <v>8</v>
      </c>
    </row>
    <row r="132" spans="1:35" x14ac:dyDescent="0.25">
      <c r="A132" s="30">
        <v>0.35049389948139187</v>
      </c>
      <c r="C132" s="1" t="s">
        <v>13</v>
      </c>
      <c r="E132"/>
      <c r="F132" s="27" t="s">
        <v>7</v>
      </c>
      <c r="AE132" s="27" t="s">
        <v>8</v>
      </c>
    </row>
    <row r="133" spans="1:35" x14ac:dyDescent="0.25">
      <c r="A133" s="30">
        <v>0.31863081771035617</v>
      </c>
      <c r="C133" s="1" t="str">
        <f>C122</f>
        <v>O</v>
      </c>
      <c r="E133"/>
      <c r="F133" s="27" t="s">
        <v>7</v>
      </c>
      <c r="Y133" s="27" t="s">
        <v>8</v>
      </c>
      <c r="AE133" s="27" t="s">
        <v>8</v>
      </c>
    </row>
    <row r="134" spans="1:35" x14ac:dyDescent="0.25">
      <c r="A134" s="30">
        <v>0.28966437973668741</v>
      </c>
      <c r="C134"/>
      <c r="D134"/>
      <c r="E134"/>
      <c r="F134" s="27" t="s">
        <v>7</v>
      </c>
      <c r="Y134" s="27" t="s">
        <v>8</v>
      </c>
      <c r="Z134" s="27" t="s">
        <v>7</v>
      </c>
      <c r="AC134" s="27" t="s">
        <v>8</v>
      </c>
      <c r="AE134" s="27" t="s">
        <v>8</v>
      </c>
    </row>
    <row r="135" spans="1:35" x14ac:dyDescent="0.25">
      <c r="A135" s="30">
        <v>0.2633312543060794</v>
      </c>
      <c r="C135" s="1" t="s">
        <v>14</v>
      </c>
      <c r="E135"/>
      <c r="F135" s="27" t="s">
        <v>7</v>
      </c>
      <c r="Y135" s="27" t="s">
        <v>8</v>
      </c>
      <c r="Z135" s="27" t="s">
        <v>7</v>
      </c>
      <c r="AA135" s="27" t="s">
        <v>8</v>
      </c>
      <c r="AC135" s="27" t="s">
        <v>8</v>
      </c>
      <c r="AD135" s="27" t="s">
        <v>7</v>
      </c>
      <c r="AE135" s="27" t="s">
        <v>8</v>
      </c>
    </row>
    <row r="136" spans="1:3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K136" s="27" t="s">
        <v>8</v>
      </c>
      <c r="Y136" s="27" t="s">
        <v>8</v>
      </c>
      <c r="Z136" s="27" t="s">
        <v>7</v>
      </c>
      <c r="AA136" s="27" t="s">
        <v>8</v>
      </c>
      <c r="AB136" s="27" t="s">
        <v>7</v>
      </c>
      <c r="AC136" s="27" t="s">
        <v>8</v>
      </c>
      <c r="AD136" s="27" t="s">
        <v>7</v>
      </c>
      <c r="AE136" s="27" t="s">
        <v>8</v>
      </c>
    </row>
    <row r="137" spans="1:35" x14ac:dyDescent="0.25">
      <c r="A137" s="30">
        <v>0.2176291357901482</v>
      </c>
      <c r="E137"/>
      <c r="F137" s="27" t="s">
        <v>7</v>
      </c>
      <c r="K137" s="27" t="s">
        <v>8</v>
      </c>
      <c r="L137" s="27" t="s">
        <v>7</v>
      </c>
      <c r="Y137" s="27" t="s">
        <v>8</v>
      </c>
      <c r="Z137" s="27" t="s">
        <v>7</v>
      </c>
      <c r="AA137" s="27" t="s">
        <v>8</v>
      </c>
      <c r="AB137" s="27" t="s">
        <v>7</v>
      </c>
      <c r="AC137" s="27" t="s">
        <v>8</v>
      </c>
      <c r="AD137" s="27" t="s">
        <v>7</v>
      </c>
    </row>
    <row r="138" spans="1:3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K138" s="27" t="s">
        <v>8</v>
      </c>
      <c r="L138" s="27" t="s">
        <v>7</v>
      </c>
      <c r="Y138" s="27" t="s">
        <v>8</v>
      </c>
      <c r="Z138" s="27" t="s">
        <v>7</v>
      </c>
      <c r="AA138" s="27" t="s">
        <v>8</v>
      </c>
      <c r="AB138" s="27" t="s">
        <v>7</v>
      </c>
      <c r="AC138" s="27" t="s">
        <v>8</v>
      </c>
    </row>
    <row r="139" spans="1:35" x14ac:dyDescent="0.25">
      <c r="A139" s="30">
        <v>0.17985878990921333</v>
      </c>
      <c r="E139"/>
      <c r="F139" s="27" t="s">
        <v>7</v>
      </c>
      <c r="I139" s="27" t="s">
        <v>8</v>
      </c>
      <c r="K139" s="27" t="s">
        <v>8</v>
      </c>
      <c r="L139" s="27" t="s">
        <v>7</v>
      </c>
      <c r="Y139" s="27" t="s">
        <v>8</v>
      </c>
      <c r="Z139" s="27" t="s">
        <v>7</v>
      </c>
      <c r="AA139" s="27" t="s">
        <v>8</v>
      </c>
      <c r="AB139" s="27" t="s">
        <v>7</v>
      </c>
      <c r="AC139" s="27" t="s">
        <v>8</v>
      </c>
    </row>
    <row r="140" spans="1:35" x14ac:dyDescent="0.25">
      <c r="A140" s="30">
        <v>0.16350799082655756</v>
      </c>
      <c r="C140" s="1">
        <v>0</v>
      </c>
      <c r="E140"/>
      <c r="F140" s="27" t="s">
        <v>7</v>
      </c>
      <c r="I140" s="27" t="s">
        <v>8</v>
      </c>
      <c r="J140" s="27" t="s">
        <v>7</v>
      </c>
      <c r="K140" s="27" t="s">
        <v>8</v>
      </c>
      <c r="L140" s="27" t="s">
        <v>7</v>
      </c>
      <c r="M140" s="27" t="s">
        <v>8</v>
      </c>
      <c r="U140" s="27" t="s">
        <v>8</v>
      </c>
      <c r="W140" s="27" t="s">
        <v>8</v>
      </c>
      <c r="Y140" s="27" t="s">
        <v>8</v>
      </c>
      <c r="Z140" s="27" t="s">
        <v>7</v>
      </c>
      <c r="AA140" s="27" t="s">
        <v>8</v>
      </c>
      <c r="AB140" s="27" t="s">
        <v>7</v>
      </c>
      <c r="AC140" s="27" t="s">
        <v>8</v>
      </c>
    </row>
    <row r="141" spans="1:35" x14ac:dyDescent="0.25">
      <c r="A141" s="30">
        <v>0.14864362802414322</v>
      </c>
      <c r="C141" s="1">
        <v>1</v>
      </c>
      <c r="E141"/>
      <c r="F141" s="27" t="s">
        <v>7</v>
      </c>
      <c r="I141" s="27" t="s">
        <v>8</v>
      </c>
      <c r="J141" s="27" t="s">
        <v>7</v>
      </c>
      <c r="K141" s="27" t="s">
        <v>8</v>
      </c>
      <c r="L141" s="27" t="s">
        <v>7</v>
      </c>
      <c r="M141" s="27" t="s">
        <v>8</v>
      </c>
      <c r="N141" s="27" t="s">
        <v>7</v>
      </c>
      <c r="U141" s="27" t="s">
        <v>8</v>
      </c>
      <c r="V141" s="27" t="s">
        <v>7</v>
      </c>
      <c r="W141" s="27" t="s">
        <v>8</v>
      </c>
      <c r="X141" s="27" t="s">
        <v>7</v>
      </c>
      <c r="Y141" s="27" t="s">
        <v>8</v>
      </c>
      <c r="Z141" s="27" t="s">
        <v>7</v>
      </c>
      <c r="AB141" s="27" t="s">
        <v>7</v>
      </c>
    </row>
    <row r="142" spans="1:35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  <c r="I142" s="27" t="s">
        <v>8</v>
      </c>
      <c r="J142" s="27" t="s">
        <v>7</v>
      </c>
      <c r="L142" s="27" t="s">
        <v>7</v>
      </c>
      <c r="M142" s="27" t="s">
        <v>8</v>
      </c>
      <c r="N142" s="27" t="s">
        <v>7</v>
      </c>
      <c r="U142" s="27" t="s">
        <v>8</v>
      </c>
      <c r="V142" s="27" t="s">
        <v>7</v>
      </c>
      <c r="W142" s="27" t="s">
        <v>8</v>
      </c>
      <c r="X142" s="27" t="s">
        <v>7</v>
      </c>
      <c r="Y142" s="27" t="s">
        <v>8</v>
      </c>
    </row>
    <row r="143" spans="1:35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H143" s="27" t="s">
        <v>7</v>
      </c>
      <c r="I143" s="27" t="s">
        <v>8</v>
      </c>
      <c r="L143" s="27" t="s">
        <v>7</v>
      </c>
      <c r="M143" s="27" t="s">
        <v>8</v>
      </c>
      <c r="N143" s="27" t="s">
        <v>7</v>
      </c>
      <c r="U143" s="27" t="s">
        <v>8</v>
      </c>
      <c r="V143" s="27" t="s">
        <v>7</v>
      </c>
      <c r="X143" s="27" t="s">
        <v>7</v>
      </c>
    </row>
    <row r="144" spans="1:35" x14ac:dyDescent="0.25">
      <c r="A144" s="30">
        <v>0.11167815779424731</v>
      </c>
      <c r="C144" s="1">
        <v>4</v>
      </c>
      <c r="E144"/>
      <c r="F144" s="27" t="s">
        <v>7</v>
      </c>
      <c r="G144" s="27" t="s">
        <v>8</v>
      </c>
      <c r="H144" s="27" t="s">
        <v>7</v>
      </c>
      <c r="I144" s="27" t="s">
        <v>8</v>
      </c>
      <c r="L144" s="27" t="s">
        <v>7</v>
      </c>
      <c r="N144" s="27" t="s">
        <v>7</v>
      </c>
      <c r="Q144" s="27" t="s">
        <v>8</v>
      </c>
      <c r="S144" s="27" t="s">
        <v>8</v>
      </c>
      <c r="U144" s="27" t="s">
        <v>8</v>
      </c>
    </row>
    <row r="145" spans="1:21" x14ac:dyDescent="0.25">
      <c r="A145" s="30">
        <v>0.10152559799477026</v>
      </c>
      <c r="B145"/>
      <c r="C145"/>
      <c r="D145"/>
      <c r="E145"/>
      <c r="F145" s="27" t="s">
        <v>7</v>
      </c>
      <c r="G145" s="27" t="s">
        <v>8</v>
      </c>
      <c r="H145" s="27" t="s">
        <v>7</v>
      </c>
      <c r="I145" s="27" t="s">
        <v>8</v>
      </c>
      <c r="N145" s="27" t="s">
        <v>7</v>
      </c>
      <c r="Q145" s="27" t="s">
        <v>8</v>
      </c>
      <c r="R145" s="27" t="s">
        <v>7</v>
      </c>
      <c r="S145" s="27" t="s">
        <v>8</v>
      </c>
      <c r="T145" s="27" t="s">
        <v>7</v>
      </c>
      <c r="U145" s="27" t="s">
        <v>8</v>
      </c>
    </row>
    <row r="146" spans="1:21" x14ac:dyDescent="0.25">
      <c r="A146" s="30">
        <v>9.2295998177063854E-2</v>
      </c>
      <c r="B146"/>
      <c r="C146"/>
      <c r="D146"/>
      <c r="E146"/>
      <c r="F146" s="27" t="s">
        <v>7</v>
      </c>
      <c r="G146" s="27" t="s">
        <v>8</v>
      </c>
      <c r="H146" s="27" t="s">
        <v>7</v>
      </c>
      <c r="N146" s="27" t="s">
        <v>7</v>
      </c>
      <c r="Q146" s="27" t="s">
        <v>8</v>
      </c>
      <c r="R146" s="27" t="s">
        <v>7</v>
      </c>
      <c r="S146" s="27" t="s">
        <v>8</v>
      </c>
      <c r="T146" s="27" t="s">
        <v>7</v>
      </c>
      <c r="U146" s="27" t="s">
        <v>8</v>
      </c>
    </row>
    <row r="147" spans="1:21" x14ac:dyDescent="0.25">
      <c r="A147" s="30">
        <v>8.3905452888239848E-2</v>
      </c>
      <c r="B147"/>
      <c r="C147"/>
      <c r="D147"/>
      <c r="E147"/>
      <c r="F147" s="27" t="s">
        <v>7</v>
      </c>
      <c r="N147" s="27" t="s">
        <v>7</v>
      </c>
      <c r="O147" s="27" t="s">
        <v>8</v>
      </c>
      <c r="Q147" s="27" t="s">
        <v>8</v>
      </c>
      <c r="R147" s="27" t="s">
        <v>7</v>
      </c>
      <c r="T147" s="27" t="s">
        <v>7</v>
      </c>
    </row>
    <row r="148" spans="1:21" x14ac:dyDescent="0.25">
      <c r="A148" s="30">
        <v>7.6277684443854396E-2</v>
      </c>
      <c r="B148"/>
      <c r="C148"/>
      <c r="D148"/>
      <c r="E148"/>
      <c r="N148" s="27" t="s">
        <v>7</v>
      </c>
      <c r="O148" s="27" t="s">
        <v>8</v>
      </c>
      <c r="P148" s="27" t="s">
        <v>7</v>
      </c>
      <c r="Q148" s="27" t="s">
        <v>8</v>
      </c>
    </row>
    <row r="149" spans="1:21" x14ac:dyDescent="0.25">
      <c r="A149" s="30">
        <v>6.9343349494413078E-2</v>
      </c>
      <c r="B149"/>
      <c r="C149"/>
      <c r="D149"/>
      <c r="E149"/>
      <c r="N149" s="27" t="s">
        <v>7</v>
      </c>
      <c r="O149" s="27" t="s">
        <v>8</v>
      </c>
      <c r="P149" s="27" t="s">
        <v>7</v>
      </c>
      <c r="Q149" s="27" t="s">
        <v>8</v>
      </c>
    </row>
    <row r="150" spans="1:21" x14ac:dyDescent="0.25">
      <c r="A150" s="30">
        <v>6.3039408631284613E-2</v>
      </c>
      <c r="B150"/>
      <c r="C150"/>
      <c r="D150"/>
      <c r="E150"/>
      <c r="N150" s="27" t="s">
        <v>7</v>
      </c>
      <c r="O150" s="27" t="s">
        <v>8</v>
      </c>
      <c r="P150" s="27" t="s">
        <v>7</v>
      </c>
      <c r="Q150" s="27" t="s">
        <v>8</v>
      </c>
    </row>
    <row r="151" spans="1:21" x14ac:dyDescent="0.25">
      <c r="A151" s="30">
        <v>5.7308553301167818E-2</v>
      </c>
      <c r="B151"/>
      <c r="C151"/>
      <c r="D151"/>
      <c r="E151"/>
      <c r="N151" s="27" t="s">
        <v>7</v>
      </c>
      <c r="O151" s="27" t="s">
        <v>8</v>
      </c>
      <c r="P151" s="27" t="s">
        <v>7</v>
      </c>
      <c r="Q151" s="27" t="s">
        <v>8</v>
      </c>
    </row>
    <row r="152" spans="1:21" x14ac:dyDescent="0.25">
      <c r="A152" s="30">
        <v>5.2098684819243464E-2</v>
      </c>
      <c r="B152"/>
      <c r="C152"/>
      <c r="D152"/>
      <c r="E152"/>
      <c r="N152" s="27" t="s">
        <v>7</v>
      </c>
      <c r="O152" s="27" t="s">
        <v>8</v>
      </c>
      <c r="P152" s="27" t="s">
        <v>7</v>
      </c>
    </row>
    <row r="153" spans="1:21" x14ac:dyDescent="0.25">
      <c r="A153" s="30">
        <v>4.7362440744766775E-2</v>
      </c>
      <c r="B153"/>
      <c r="C153"/>
      <c r="D153"/>
      <c r="E153"/>
      <c r="N153" s="27" t="s">
        <v>7</v>
      </c>
      <c r="O153" s="27" t="s">
        <v>8</v>
      </c>
    </row>
    <row r="154" spans="1:21" x14ac:dyDescent="0.25">
      <c r="A154" s="30">
        <v>4.3056764313424332E-2</v>
      </c>
      <c r="B154"/>
      <c r="C154"/>
      <c r="D154"/>
      <c r="E154"/>
      <c r="N154" s="27" t="s">
        <v>7</v>
      </c>
    </row>
    <row r="155" spans="1:21" x14ac:dyDescent="0.25">
      <c r="A155" s="30">
        <v>3.9142513012203929E-2</v>
      </c>
      <c r="B155"/>
      <c r="C155"/>
      <c r="D155"/>
      <c r="E155"/>
    </row>
    <row r="156" spans="1:21" x14ac:dyDescent="0.25">
      <c r="A156" s="30">
        <v>3.55841027383672E-2</v>
      </c>
      <c r="B156"/>
      <c r="C156"/>
      <c r="D156"/>
      <c r="E156"/>
    </row>
    <row r="157" spans="1:21" x14ac:dyDescent="0.25">
      <c r="A157" s="30">
        <v>3.2349184307606541E-2</v>
      </c>
      <c r="B157"/>
      <c r="C157"/>
      <c r="D157"/>
      <c r="E157"/>
    </row>
    <row r="158" spans="1:21" x14ac:dyDescent="0.25">
      <c r="A158" s="30">
        <v>2.9408349370551395E-2</v>
      </c>
      <c r="B158"/>
      <c r="C158"/>
      <c r="D158"/>
      <c r="E158"/>
    </row>
    <row r="159" spans="1:21" x14ac:dyDescent="0.25">
      <c r="A159" s="30">
        <v>2.6734863064137627E-2</v>
      </c>
      <c r="B159"/>
      <c r="C159"/>
      <c r="D159"/>
      <c r="E159"/>
    </row>
    <row r="160" spans="1:21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230" operator="equal">
      <formula>$U$1</formula>
    </cfRule>
    <cfRule type="cellIs" dxfId="30" priority="1231" operator="equal">
      <formula>$S$1</formula>
    </cfRule>
  </conditionalFormatting>
  <conditionalFormatting sqref="D136">
    <cfRule type="cellIs" dxfId="29" priority="1228" operator="equal">
      <formula>$S$1</formula>
    </cfRule>
    <cfRule type="cellIs" dxfId="28" priority="1229" operator="equal">
      <formula>$U$1</formula>
    </cfRule>
  </conditionalFormatting>
  <conditionalFormatting sqref="C102">
    <cfRule type="cellIs" dxfId="27" priority="1226" operator="equal">
      <formula>$U$1</formula>
    </cfRule>
    <cfRule type="cellIs" dxfId="26" priority="1227" operator="equal">
      <formula>$S$1</formula>
    </cfRule>
  </conditionalFormatting>
  <conditionalFormatting sqref="D102">
    <cfRule type="cellIs" dxfId="25" priority="1224" operator="equal">
      <formula>$S$1</formula>
    </cfRule>
    <cfRule type="cellIs" dxfId="24" priority="1225" operator="equal">
      <formula>$U$1</formula>
    </cfRule>
  </conditionalFormatting>
  <conditionalFormatting sqref="C77">
    <cfRule type="cellIs" dxfId="23" priority="1222" operator="equal">
      <formula>$U$1</formula>
    </cfRule>
    <cfRule type="cellIs" dxfId="22" priority="1223" operator="equal">
      <formula>$S$1</formula>
    </cfRule>
  </conditionalFormatting>
  <conditionalFormatting sqref="D77">
    <cfRule type="cellIs" dxfId="21" priority="1220" operator="equal">
      <formula>$S$1</formula>
    </cfRule>
    <cfRule type="cellIs" dxfId="20" priority="1221" operator="equal">
      <formula>$U$1</formula>
    </cfRule>
  </conditionalFormatting>
  <conditionalFormatting sqref="C52">
    <cfRule type="cellIs" dxfId="19" priority="1218" operator="equal">
      <formula>$U$1</formula>
    </cfRule>
    <cfRule type="cellIs" dxfId="18" priority="1219" operator="equal">
      <formula>$S$1</formula>
    </cfRule>
  </conditionalFormatting>
  <conditionalFormatting sqref="D52">
    <cfRule type="cellIs" dxfId="17" priority="1216" operator="equal">
      <formula>$S$1</formula>
    </cfRule>
    <cfRule type="cellIs" dxfId="16" priority="1217" operator="equal">
      <formula>$U$1</formula>
    </cfRule>
  </conditionalFormatting>
  <conditionalFormatting sqref="C26">
    <cfRule type="cellIs" dxfId="15" priority="1214" operator="equal">
      <formula>$U$1</formula>
    </cfRule>
    <cfRule type="cellIs" dxfId="14" priority="1215" operator="equal">
      <formula>$S$1</formula>
    </cfRule>
  </conditionalFormatting>
  <conditionalFormatting sqref="D26">
    <cfRule type="cellIs" dxfId="13" priority="1212" operator="equal">
      <formula>$S$1</formula>
    </cfRule>
    <cfRule type="cellIs" dxfId="12" priority="121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2022-01-28T01:21:39Z</dcterms:modified>
</cp:coreProperties>
</file>