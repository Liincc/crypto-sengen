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ABC2FC9-70EF-4BE7-9E2E-2881953D05D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4"/>
  <c r="C118" i="4"/>
  <c r="C116" i="5"/>
  <c r="C118" i="3"/>
  <c r="C122" i="3"/>
  <c r="C133" i="3" s="1"/>
  <c r="D136" i="3" s="1"/>
  <c r="D136" i="5"/>
  <c r="C136" i="5"/>
  <c r="D136" i="4"/>
  <c r="C136" i="4"/>
  <c r="R765" i="1"/>
  <c r="C138" i="5" l="1"/>
  <c r="C136" i="3"/>
  <c r="C138" i="3" s="1"/>
  <c r="C138" i="4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<sst xmlns="http://schemas.openxmlformats.org/spreadsheetml/2006/main" count="5236" uniqueCount="34">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</sst>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1.3089999999999999</c:v>
                </c:pt>
                <c:pt idx="1">
                  <c:v>1.333</c:v>
                </c:pt>
                <c:pt idx="2">
                  <c:v>1.2450000000000001</c:v>
                </c:pt>
                <c:pt idx="3">
                  <c:v>1.163</c:v>
                </c:pt>
                <c:pt idx="4">
                  <c:v>1.1539999999999999</c:v>
                </c:pt>
                <c:pt idx="5">
                  <c:v>1.161</c:v>
                </c:pt>
                <c:pt idx="6">
                  <c:v>1.2090000000000001</c:v>
                </c:pt>
                <c:pt idx="7">
                  <c:v>1.272</c:v>
                </c:pt>
                <c:pt idx="8">
                  <c:v>1.294</c:v>
                </c:pt>
                <c:pt idx="9">
                  <c:v>1.351</c:v>
                </c:pt>
                <c:pt idx="10">
                  <c:v>1.391</c:v>
                </c:pt>
                <c:pt idx="11">
                  <c:v>1.4890000000000001</c:v>
                </c:pt>
                <c:pt idx="12">
                  <c:v>1.538</c:v>
                </c:pt>
                <c:pt idx="13">
                  <c:v>1.5089999999999999</c:v>
                </c:pt>
                <c:pt idx="14">
                  <c:v>1.4510000000000001</c:v>
                </c:pt>
                <c:pt idx="15">
                  <c:v>1.49</c:v>
                </c:pt>
                <c:pt idx="16">
                  <c:v>1.3979999999999999</c:v>
                </c:pt>
                <c:pt idx="17">
                  <c:v>1.327</c:v>
                </c:pt>
                <c:pt idx="18">
                  <c:v>1.36</c:v>
                </c:pt>
                <c:pt idx="19">
                  <c:v>1.377</c:v>
                </c:pt>
                <c:pt idx="20">
                  <c:v>1.506</c:v>
                </c:pt>
                <c:pt idx="21">
                  <c:v>1.5369999999999999</c:v>
                </c:pt>
                <c:pt idx="22">
                  <c:v>1.5329999999999999</c:v>
                </c:pt>
                <c:pt idx="23">
                  <c:v>1.6779999999999999</c:v>
                </c:pt>
                <c:pt idx="24">
                  <c:v>1.6819999999999999</c:v>
                </c:pt>
                <c:pt idx="25">
                  <c:v>1.776</c:v>
                </c:pt>
                <c:pt idx="26">
                  <c:v>1.748</c:v>
                </c:pt>
                <c:pt idx="27">
                  <c:v>1.6339999999999999</c:v>
                </c:pt>
                <c:pt idx="28">
                  <c:v>1.6240000000000001</c:v>
                </c:pt>
                <c:pt idx="29">
                  <c:v>1.589</c:v>
                </c:pt>
                <c:pt idx="30">
                  <c:v>1.6639999999999999</c:v>
                </c:pt>
                <c:pt idx="31">
                  <c:v>1.8839999999999999</c:v>
                </c:pt>
                <c:pt idx="32">
                  <c:v>1.9419999999999999</c:v>
                </c:pt>
                <c:pt idx="33">
                  <c:v>1.952</c:v>
                </c:pt>
                <c:pt idx="34">
                  <c:v>1.9990000000000001</c:v>
                </c:pt>
                <c:pt idx="35">
                  <c:v>1.9830000000000001</c:v>
                </c:pt>
                <c:pt idx="36">
                  <c:v>1.8009999999999999</c:v>
                </c:pt>
                <c:pt idx="37">
                  <c:v>1.776</c:v>
                </c:pt>
                <c:pt idx="38">
                  <c:v>1.671</c:v>
                </c:pt>
                <c:pt idx="39">
                  <c:v>1.7549999999999999</c:v>
                </c:pt>
                <c:pt idx="40">
                  <c:v>1.7450000000000001</c:v>
                </c:pt>
                <c:pt idx="41">
                  <c:v>1.7430000000000001</c:v>
                </c:pt>
                <c:pt idx="42">
                  <c:v>1.7470000000000001</c:v>
                </c:pt>
                <c:pt idx="43">
                  <c:v>1.6719999999999999</c:v>
                </c:pt>
                <c:pt idx="44">
                  <c:v>1.583</c:v>
                </c:pt>
                <c:pt idx="45">
                  <c:v>1.51</c:v>
                </c:pt>
                <c:pt idx="46">
                  <c:v>1.748</c:v>
                </c:pt>
                <c:pt idx="47">
                  <c:v>1.6619999999999999</c:v>
                </c:pt>
                <c:pt idx="48">
                  <c:v>1.587</c:v>
                </c:pt>
                <c:pt idx="49">
                  <c:v>1.528</c:v>
                </c:pt>
                <c:pt idx="50">
                  <c:v>1.6379999999999999</c:v>
                </c:pt>
                <c:pt idx="51">
                  <c:v>1.649</c:v>
                </c:pt>
                <c:pt idx="52">
                  <c:v>1.673</c:v>
                </c:pt>
                <c:pt idx="53">
                  <c:v>1.5329999999999999</c:v>
                </c:pt>
                <c:pt idx="54">
                  <c:v>1.6930000000000001</c:v>
                </c:pt>
                <c:pt idx="55">
                  <c:v>2.129</c:v>
                </c:pt>
                <c:pt idx="56">
                  <c:v>2.2839999999999998</c:v>
                </c:pt>
                <c:pt idx="57">
                  <c:v>2.5960000000000001</c:v>
                </c:pt>
                <c:pt idx="58">
                  <c:v>1.8640000000000001</c:v>
                </c:pt>
                <c:pt idx="59">
                  <c:v>1.71</c:v>
                </c:pt>
                <c:pt idx="60">
                  <c:v>1.679</c:v>
                </c:pt>
                <c:pt idx="61">
                  <c:v>1.6659999999999999</c:v>
                </c:pt>
                <c:pt idx="62">
                  <c:v>1.6779999999999999</c:v>
                </c:pt>
                <c:pt idx="63">
                  <c:v>1.833</c:v>
                </c:pt>
                <c:pt idx="64">
                  <c:v>1.7370000000000001</c:v>
                </c:pt>
                <c:pt idx="65">
                  <c:v>1.7509999999999999</c:v>
                </c:pt>
                <c:pt idx="66">
                  <c:v>1.6870000000000001</c:v>
                </c:pt>
                <c:pt idx="67">
                  <c:v>1.7529999999999999</c:v>
                </c:pt>
                <c:pt idx="68">
                  <c:v>1.7509999999999999</c:v>
                </c:pt>
                <c:pt idx="69">
                  <c:v>1.681</c:v>
                </c:pt>
                <c:pt idx="70">
                  <c:v>1.5860000000000001</c:v>
                </c:pt>
                <c:pt idx="71">
                  <c:v>1.71</c:v>
                </c:pt>
                <c:pt idx="72">
                  <c:v>1.6970000000000001</c:v>
                </c:pt>
                <c:pt idx="73">
                  <c:v>1.91</c:v>
                </c:pt>
                <c:pt idx="74">
                  <c:v>1.923</c:v>
                </c:pt>
                <c:pt idx="75">
                  <c:v>1.9159999999999999</c:v>
                </c:pt>
                <c:pt idx="76">
                  <c:v>1.8919999999999999</c:v>
                </c:pt>
                <c:pt idx="77">
                  <c:v>1.89</c:v>
                </c:pt>
                <c:pt idx="78">
                  <c:v>1.83</c:v>
                </c:pt>
                <c:pt idx="79">
                  <c:v>2.0489999999999999</c:v>
                </c:pt>
                <c:pt idx="80">
                  <c:v>2.125</c:v>
                </c:pt>
                <c:pt idx="81">
                  <c:v>2.1520000000000001</c:v>
                </c:pt>
                <c:pt idx="82">
                  <c:v>2.0659999999999998</c:v>
                </c:pt>
                <c:pt idx="83">
                  <c:v>2.1040000000000001</c:v>
                </c:pt>
                <c:pt idx="84">
                  <c:v>2.1160000000000001</c:v>
                </c:pt>
                <c:pt idx="85">
                  <c:v>2.1539999999999999</c:v>
                </c:pt>
                <c:pt idx="86">
                  <c:v>2.0710000000000002</c:v>
                </c:pt>
                <c:pt idx="87">
                  <c:v>1.9870000000000001</c:v>
                </c:pt>
                <c:pt idx="88">
                  <c:v>1.9510000000000001</c:v>
                </c:pt>
                <c:pt idx="89">
                  <c:v>1.8620000000000001</c:v>
                </c:pt>
                <c:pt idx="90">
                  <c:v>1.875</c:v>
                </c:pt>
                <c:pt idx="91">
                  <c:v>1.8480000000000001</c:v>
                </c:pt>
                <c:pt idx="92">
                  <c:v>1.8160000000000001</c:v>
                </c:pt>
                <c:pt idx="93">
                  <c:v>2.2229999999999999</c:v>
                </c:pt>
                <c:pt idx="94">
                  <c:v>2.073</c:v>
                </c:pt>
                <c:pt idx="95">
                  <c:v>1.946</c:v>
                </c:pt>
                <c:pt idx="96">
                  <c:v>1.996</c:v>
                </c:pt>
                <c:pt idx="97">
                  <c:v>2.0009999999999999</c:v>
                </c:pt>
                <c:pt idx="98">
                  <c:v>1.9139999999999999</c:v>
                </c:pt>
                <c:pt idx="99">
                  <c:v>2.0230000000000001</c:v>
                </c:pt>
                <c:pt idx="100">
                  <c:v>2.0169999999999999</c:v>
                </c:pt>
                <c:pt idx="101">
                  <c:v>2.081</c:v>
                </c:pt>
                <c:pt idx="102">
                  <c:v>2.1320000000000001</c:v>
                </c:pt>
                <c:pt idx="103">
                  <c:v>2.06</c:v>
                </c:pt>
                <c:pt idx="104">
                  <c:v>1.96</c:v>
                </c:pt>
                <c:pt idx="105">
                  <c:v>1.964</c:v>
                </c:pt>
                <c:pt idx="106">
                  <c:v>1.859</c:v>
                </c:pt>
                <c:pt idx="107">
                  <c:v>1.792</c:v>
                </c:pt>
                <c:pt idx="108">
                  <c:v>1.78</c:v>
                </c:pt>
                <c:pt idx="109">
                  <c:v>1.798</c:v>
                </c:pt>
                <c:pt idx="110">
                  <c:v>1.921</c:v>
                </c:pt>
                <c:pt idx="111">
                  <c:v>1.94</c:v>
                </c:pt>
                <c:pt idx="112">
                  <c:v>2.056</c:v>
                </c:pt>
                <c:pt idx="113">
                  <c:v>2.0640000000000001</c:v>
                </c:pt>
                <c:pt idx="114">
                  <c:v>2.0329999999999999</c:v>
                </c:pt>
                <c:pt idx="115">
                  <c:v>1.8839999999999999</c:v>
                </c:pt>
                <c:pt idx="116">
                  <c:v>1.905</c:v>
                </c:pt>
                <c:pt idx="117">
                  <c:v>1.788</c:v>
                </c:pt>
                <c:pt idx="118">
                  <c:v>1.81</c:v>
                </c:pt>
                <c:pt idx="119">
                  <c:v>1.51</c:v>
                </c:pt>
                <c:pt idx="120">
                  <c:v>1.4159999999999999</c:v>
                </c:pt>
                <c:pt idx="121">
                  <c:v>1.399</c:v>
                </c:pt>
                <c:pt idx="122">
                  <c:v>1.512</c:v>
                </c:pt>
                <c:pt idx="123">
                  <c:v>1.5149999999999999</c:v>
                </c:pt>
                <c:pt idx="124">
                  <c:v>1.57</c:v>
                </c:pt>
                <c:pt idx="125">
                  <c:v>1.625</c:v>
                </c:pt>
                <c:pt idx="126">
                  <c:v>1.833</c:v>
                </c:pt>
                <c:pt idx="127">
                  <c:v>1.7509999999999999</c:v>
                </c:pt>
                <c:pt idx="128">
                  <c:v>1.5309999999999999</c:v>
                </c:pt>
                <c:pt idx="129">
                  <c:v>1.792</c:v>
                </c:pt>
                <c:pt idx="130">
                  <c:v>1.9570000000000001</c:v>
                </c:pt>
                <c:pt idx="131">
                  <c:v>2.0590000000000002</c:v>
                </c:pt>
                <c:pt idx="132">
                  <c:v>2.024</c:v>
                </c:pt>
                <c:pt idx="133">
                  <c:v>2.0350000000000001</c:v>
                </c:pt>
                <c:pt idx="134">
                  <c:v>2.1349999999999998</c:v>
                </c:pt>
                <c:pt idx="135">
                  <c:v>2.0230000000000001</c:v>
                </c:pt>
                <c:pt idx="136">
                  <c:v>1.9570000000000001</c:v>
                </c:pt>
                <c:pt idx="137">
                  <c:v>2.1509999999999998</c:v>
                </c:pt>
                <c:pt idx="138">
                  <c:v>2.1259999999999999</c:v>
                </c:pt>
                <c:pt idx="139">
                  <c:v>2.1320000000000001</c:v>
                </c:pt>
                <c:pt idx="140">
                  <c:v>2.2109999999999999</c:v>
                </c:pt>
                <c:pt idx="141">
                  <c:v>2.0209999999999999</c:v>
                </c:pt>
                <c:pt idx="142">
                  <c:v>2.1040000000000001</c:v>
                </c:pt>
                <c:pt idx="143">
                  <c:v>2.7890000000000001</c:v>
                </c:pt>
                <c:pt idx="144">
                  <c:v>2.8650000000000002</c:v>
                </c:pt>
                <c:pt idx="145">
                  <c:v>2.714</c:v>
                </c:pt>
                <c:pt idx="146">
                  <c:v>2.758</c:v>
                </c:pt>
                <c:pt idx="147">
                  <c:v>2.67</c:v>
                </c:pt>
                <c:pt idx="148">
                  <c:v>2.7210000000000001</c:v>
                </c:pt>
                <c:pt idx="149">
                  <c:v>2.5049999999999999</c:v>
                </c:pt>
                <c:pt idx="150">
                  <c:v>2.3180000000000001</c:v>
                </c:pt>
                <c:pt idx="151">
                  <c:v>2.3969999999999998</c:v>
                </c:pt>
                <c:pt idx="152">
                  <c:v>2.2959999999999998</c:v>
                </c:pt>
                <c:pt idx="153">
                  <c:v>2.4300000000000002</c:v>
                </c:pt>
                <c:pt idx="154">
                  <c:v>2.36</c:v>
                </c:pt>
                <c:pt idx="155">
                  <c:v>2.6229</c:v>
                </c:pt>
                <c:pt idx="156">
                  <c:v>2.7719</c:v>
                </c:pt>
                <c:pt idx="157">
                  <c:v>2.2684000000000002</c:v>
                </c:pt>
                <c:pt idx="158">
                  <c:v>2.2233999999999998</c:v>
                </c:pt>
                <c:pt idx="159">
                  <c:v>2.3740999999999999</c:v>
                </c:pt>
                <c:pt idx="160">
                  <c:v>2.1471</c:v>
                </c:pt>
                <c:pt idx="161">
                  <c:v>1.9480999999999999</c:v>
                </c:pt>
                <c:pt idx="162">
                  <c:v>1.8519000000000001</c:v>
                </c:pt>
                <c:pt idx="163">
                  <c:v>1.7527999999999999</c:v>
                </c:pt>
                <c:pt idx="164">
                  <c:v>1.5569</c:v>
                </c:pt>
                <c:pt idx="165">
                  <c:v>1.7041999999999999</c:v>
                </c:pt>
                <c:pt idx="166">
                  <c:v>1.619</c:v>
                </c:pt>
                <c:pt idx="167">
                  <c:v>1.7265999999999999</c:v>
                </c:pt>
                <c:pt idx="168">
                  <c:v>1.4312</c:v>
                </c:pt>
                <c:pt idx="169">
                  <c:v>1.5003</c:v>
                </c:pt>
                <c:pt idx="170">
                  <c:v>1.3205</c:v>
                </c:pt>
                <c:pt idx="171">
                  <c:v>1.3041</c:v>
                </c:pt>
                <c:pt idx="172">
                  <c:v>1.2011000000000001</c:v>
                </c:pt>
                <c:pt idx="173">
                  <c:v>1.3029999999999999</c:v>
                </c:pt>
                <c:pt idx="174">
                  <c:v>1.3174999999999999</c:v>
                </c:pt>
                <c:pt idx="175">
                  <c:v>1.3265</c:v>
                </c:pt>
                <c:pt idx="176">
                  <c:v>1.2578</c:v>
                </c:pt>
                <c:pt idx="177">
                  <c:v>1.2248000000000001</c:v>
                </c:pt>
                <c:pt idx="178">
                  <c:v>1.2096</c:v>
                </c:pt>
                <c:pt idx="179">
                  <c:v>1.1017999999999999</c:v>
                </c:pt>
                <c:pt idx="180">
                  <c:v>1.0945</c:v>
                </c:pt>
                <c:pt idx="181">
                  <c:v>1.1253</c:v>
                </c:pt>
                <c:pt idx="182">
                  <c:v>1.0425</c:v>
                </c:pt>
                <c:pt idx="183">
                  <c:v>1.0113000000000001</c:v>
                </c:pt>
                <c:pt idx="184">
                  <c:v>1.0395000000000001</c:v>
                </c:pt>
                <c:pt idx="185">
                  <c:v>1.024</c:v>
                </c:pt>
                <c:pt idx="186">
                  <c:v>1.0929</c:v>
                </c:pt>
                <c:pt idx="187">
                  <c:v>1.0434000000000001</c:v>
                </c:pt>
                <c:pt idx="188">
                  <c:v>1.0641</c:v>
                </c:pt>
                <c:pt idx="189">
                  <c:v>1.044</c:v>
                </c:pt>
                <c:pt idx="190">
                  <c:v>1.0004</c:v>
                </c:pt>
                <c:pt idx="191">
                  <c:v>0.91869999999999996</c:v>
                </c:pt>
                <c:pt idx="192">
                  <c:v>0.98450000000000004</c:v>
                </c:pt>
                <c:pt idx="193">
                  <c:v>1.0772999999999999</c:v>
                </c:pt>
                <c:pt idx="194">
                  <c:v>1.0253000000000001</c:v>
                </c:pt>
                <c:pt idx="195">
                  <c:v>1.0734999999999999</c:v>
                </c:pt>
                <c:pt idx="196">
                  <c:v>1.2162999999999999</c:v>
                </c:pt>
                <c:pt idx="197">
                  <c:v>1.0541</c:v>
                </c:pt>
                <c:pt idx="198">
                  <c:v>1.0144</c:v>
                </c:pt>
                <c:pt idx="199">
                  <c:v>1.0065</c:v>
                </c:pt>
                <c:pt idx="200">
                  <c:v>1.0606</c:v>
                </c:pt>
                <c:pt idx="201">
                  <c:v>1.0049999999999999</c:v>
                </c:pt>
                <c:pt idx="202">
                  <c:v>1.02</c:v>
                </c:pt>
                <c:pt idx="203">
                  <c:v>1.0282</c:v>
                </c:pt>
                <c:pt idx="204">
                  <c:v>1.1328</c:v>
                </c:pt>
                <c:pt idx="205">
                  <c:v>1.1393</c:v>
                </c:pt>
                <c:pt idx="206">
                  <c:v>1.1246</c:v>
                </c:pt>
                <c:pt idx="207">
                  <c:v>1.1989000000000001</c:v>
                </c:pt>
                <c:pt idx="208">
                  <c:v>1.1664000000000001</c:v>
                </c:pt>
                <c:pt idx="209">
                  <c:v>1.1808000000000001</c:v>
                </c:pt>
                <c:pt idx="210">
                  <c:v>1.1801999999999999</c:v>
                </c:pt>
                <c:pt idx="211">
                  <c:v>0.97699999999999998</c:v>
                </c:pt>
                <c:pt idx="212">
                  <c:v>0.96679999999999999</c:v>
                </c:pt>
                <c:pt idx="213">
                  <c:v>0.91810000000000003</c:v>
                </c:pt>
                <c:pt idx="214">
                  <c:v>0.91090000000000004</c:v>
                </c:pt>
                <c:pt idx="215">
                  <c:v>0.87170000000000003</c:v>
                </c:pt>
                <c:pt idx="216">
                  <c:v>0.82869999999999999</c:v>
                </c:pt>
                <c:pt idx="217">
                  <c:v>0.93689999999999996</c:v>
                </c:pt>
                <c:pt idx="218">
                  <c:v>0.92169999999999996</c:v>
                </c:pt>
                <c:pt idx="219">
                  <c:v>0.87860000000000005</c:v>
                </c:pt>
                <c:pt idx="220">
                  <c:v>0.88900000000000001</c:v>
                </c:pt>
                <c:pt idx="221">
                  <c:v>1.1503000000000001</c:v>
                </c:pt>
                <c:pt idx="222">
                  <c:v>1.1443000000000001</c:v>
                </c:pt>
                <c:pt idx="223">
                  <c:v>1.1680999999999999</c:v>
                </c:pt>
                <c:pt idx="224">
                  <c:v>1.3172999999999999</c:v>
                </c:pt>
                <c:pt idx="225">
                  <c:v>1.2323999999999999</c:v>
                </c:pt>
                <c:pt idx="226">
                  <c:v>1.3128</c:v>
                </c:pt>
                <c:pt idx="227">
                  <c:v>1.2611000000000001</c:v>
                </c:pt>
                <c:pt idx="228">
                  <c:v>1.206</c:v>
                </c:pt>
                <c:pt idx="229">
                  <c:v>1.0909</c:v>
                </c:pt>
                <c:pt idx="230">
                  <c:v>1.1415999999999999</c:v>
                </c:pt>
                <c:pt idx="231">
                  <c:v>1.2170000000000001</c:v>
                </c:pt>
                <c:pt idx="232">
                  <c:v>1.1977</c:v>
                </c:pt>
                <c:pt idx="233">
                  <c:v>1.1398999999999999</c:v>
                </c:pt>
                <c:pt idx="234">
                  <c:v>1.1571</c:v>
                </c:pt>
                <c:pt idx="235">
                  <c:v>1.2707999999999999</c:v>
                </c:pt>
                <c:pt idx="236">
                  <c:v>1.2444</c:v>
                </c:pt>
                <c:pt idx="237">
                  <c:v>1.2517</c:v>
                </c:pt>
                <c:pt idx="238">
                  <c:v>1.4554</c:v>
                </c:pt>
                <c:pt idx="239">
                  <c:v>1.4371</c:v>
                </c:pt>
                <c:pt idx="240">
                  <c:v>1.3073999999999999</c:v>
                </c:pt>
                <c:pt idx="241">
                  <c:v>1.3358000000000001</c:v>
                </c:pt>
                <c:pt idx="242">
                  <c:v>1.2634000000000001</c:v>
                </c:pt>
                <c:pt idx="243">
                  <c:v>1.0868</c:v>
                </c:pt>
                <c:pt idx="244">
                  <c:v>1.2001999999999999</c:v>
                </c:pt>
                <c:pt idx="245">
                  <c:v>1.4077</c:v>
                </c:pt>
                <c:pt idx="246">
                  <c:v>1.4570000000000001</c:v>
                </c:pt>
                <c:pt idx="247">
                  <c:v>1.3184</c:v>
                </c:pt>
                <c:pt idx="248">
                  <c:v>1.3001</c:v>
                </c:pt>
                <c:pt idx="249">
                  <c:v>1.1151</c:v>
                </c:pt>
                <c:pt idx="250">
                  <c:v>1.22</c:v>
                </c:pt>
                <c:pt idx="251">
                  <c:v>1.2172000000000001</c:v>
                </c:pt>
                <c:pt idx="252">
                  <c:v>1.4715</c:v>
                </c:pt>
                <c:pt idx="253">
                  <c:v>1.2297</c:v>
                </c:pt>
                <c:pt idx="254">
                  <c:v>1.978</c:v>
                </c:pt>
                <c:pt idx="255">
                  <c:v>1.9550000000000001</c:v>
                </c:pt>
                <c:pt idx="256">
                  <c:v>2.1688000000000001</c:v>
                </c:pt>
                <c:pt idx="257">
                  <c:v>2.0981000000000001</c:v>
                </c:pt>
                <c:pt idx="258">
                  <c:v>2.3277999999999999</c:v>
                </c:pt>
                <c:pt idx="259">
                  <c:v>2.2214</c:v>
                </c:pt>
                <c:pt idx="260">
                  <c:v>2.1358999999999999</c:v>
                </c:pt>
                <c:pt idx="261">
                  <c:v>2.6928000000000001</c:v>
                </c:pt>
                <c:pt idx="262">
                  <c:v>2.593</c:v>
                </c:pt>
                <c:pt idx="263">
                  <c:v>3.1015999999999999</c:v>
                </c:pt>
                <c:pt idx="264">
                  <c:v>3.1734</c:v>
                </c:pt>
                <c:pt idx="265">
                  <c:v>2.9169999999999998</c:v>
                </c:pt>
                <c:pt idx="266">
                  <c:v>2.9744999999999999</c:v>
                </c:pt>
                <c:pt idx="267">
                  <c:v>3.0135000000000001</c:v>
                </c:pt>
                <c:pt idx="268">
                  <c:v>2.6093000000000002</c:v>
                </c:pt>
                <c:pt idx="269">
                  <c:v>2.8815</c:v>
                </c:pt>
                <c:pt idx="270">
                  <c:v>2.6577999999999999</c:v>
                </c:pt>
                <c:pt idx="271">
                  <c:v>2.4971999999999999</c:v>
                </c:pt>
                <c:pt idx="272">
                  <c:v>2.4990999999999999</c:v>
                </c:pt>
                <c:pt idx="273">
                  <c:v>2.4392999999999998</c:v>
                </c:pt>
                <c:pt idx="274">
                  <c:v>2.5739999999999998</c:v>
                </c:pt>
                <c:pt idx="275">
                  <c:v>2.76</c:v>
                </c:pt>
                <c:pt idx="276">
                  <c:v>2.4180000000000001</c:v>
                </c:pt>
                <c:pt idx="277">
                  <c:v>2.2669999999999999</c:v>
                </c:pt>
                <c:pt idx="278">
                  <c:v>2.452</c:v>
                </c:pt>
                <c:pt idx="279">
                  <c:v>2.1596000000000002</c:v>
                </c:pt>
                <c:pt idx="280">
                  <c:v>2.2159</c:v>
                </c:pt>
                <c:pt idx="281">
                  <c:v>2.1456</c:v>
                </c:pt>
                <c:pt idx="282">
                  <c:v>2.3178000000000001</c:v>
                </c:pt>
                <c:pt idx="283">
                  <c:v>2.1873999999999998</c:v>
                </c:pt>
                <c:pt idx="284">
                  <c:v>2.5150999999999999</c:v>
                </c:pt>
                <c:pt idx="285">
                  <c:v>3.0626000000000002</c:v>
                </c:pt>
                <c:pt idx="286">
                  <c:v>3.0754000000000001</c:v>
                </c:pt>
                <c:pt idx="287">
                  <c:v>3.3530000000000002</c:v>
                </c:pt>
                <c:pt idx="288">
                  <c:v>3.1783999999999999</c:v>
                </c:pt>
                <c:pt idx="289">
                  <c:v>3.2440000000000002</c:v>
                </c:pt>
                <c:pt idx="290">
                  <c:v>3.2298</c:v>
                </c:pt>
                <c:pt idx="291">
                  <c:v>3.4211999999999998</c:v>
                </c:pt>
                <c:pt idx="292">
                  <c:v>3.3691</c:v>
                </c:pt>
                <c:pt idx="293">
                  <c:v>3.5533999999999999</c:v>
                </c:pt>
                <c:pt idx="294">
                  <c:v>3.4060999999999999</c:v>
                </c:pt>
                <c:pt idx="295">
                  <c:v>3.2545999999999999</c:v>
                </c:pt>
                <c:pt idx="296">
                  <c:v>3.7848999999999999</c:v>
                </c:pt>
                <c:pt idx="297">
                  <c:v>3.4964</c:v>
                </c:pt>
                <c:pt idx="298">
                  <c:v>3.5550000000000002</c:v>
                </c:pt>
                <c:pt idx="299">
                  <c:v>3.383</c:v>
                </c:pt>
                <c:pt idx="300">
                  <c:v>3.0114000000000001</c:v>
                </c:pt>
                <c:pt idx="301">
                  <c:v>3.1446999999999998</c:v>
                </c:pt>
                <c:pt idx="302">
                  <c:v>2.7382</c:v>
                </c:pt>
                <c:pt idx="303">
                  <c:v>2.8473999999999999</c:v>
                </c:pt>
                <c:pt idx="304">
                  <c:v>2.77</c:v>
                </c:pt>
                <c:pt idx="305">
                  <c:v>2.6747000000000001</c:v>
                </c:pt>
                <c:pt idx="306">
                  <c:v>2.3690000000000002</c:v>
                </c:pt>
                <c:pt idx="307">
                  <c:v>2.3043999999999998</c:v>
                </c:pt>
                <c:pt idx="308">
                  <c:v>1.9859</c:v>
                </c:pt>
                <c:pt idx="309">
                  <c:v>2.1048</c:v>
                </c:pt>
                <c:pt idx="310">
                  <c:v>2.3752</c:v>
                </c:pt>
                <c:pt idx="311">
                  <c:v>2.6042999999999998</c:v>
                </c:pt>
                <c:pt idx="312">
                  <c:v>2.4546000000000001</c:v>
                </c:pt>
                <c:pt idx="313">
                  <c:v>2.52</c:v>
                </c:pt>
                <c:pt idx="314">
                  <c:v>2.7309000000000001</c:v>
                </c:pt>
                <c:pt idx="315">
                  <c:v>2.5842000000000001</c:v>
                </c:pt>
                <c:pt idx="316">
                  <c:v>2.5095999999999998</c:v>
                </c:pt>
                <c:pt idx="317">
                  <c:v>2.4910000000000001</c:v>
                </c:pt>
                <c:pt idx="318">
                  <c:v>2.5653000000000001</c:v>
                </c:pt>
                <c:pt idx="319">
                  <c:v>2.39</c:v>
                </c:pt>
                <c:pt idx="320">
                  <c:v>2.5926</c:v>
                </c:pt>
                <c:pt idx="321">
                  <c:v>2.2423000000000002</c:v>
                </c:pt>
                <c:pt idx="322">
                  <c:v>2.1842999999999999</c:v>
                </c:pt>
                <c:pt idx="323">
                  <c:v>2.1232000000000002</c:v>
                </c:pt>
                <c:pt idx="324">
                  <c:v>2.2343999999999999</c:v>
                </c:pt>
                <c:pt idx="325">
                  <c:v>2.0931999999999999</c:v>
                </c:pt>
                <c:pt idx="326">
                  <c:v>2.1543999999999999</c:v>
                </c:pt>
                <c:pt idx="327">
                  <c:v>1.8309</c:v>
                </c:pt>
                <c:pt idx="328">
                  <c:v>1.7144999999999999</c:v>
                </c:pt>
                <c:pt idx="329">
                  <c:v>1.8675999999999999</c:v>
                </c:pt>
                <c:pt idx="330">
                  <c:v>1.7658</c:v>
                </c:pt>
                <c:pt idx="331">
                  <c:v>1.7774000000000001</c:v>
                </c:pt>
                <c:pt idx="332">
                  <c:v>1.7125999999999999</c:v>
                </c:pt>
                <c:pt idx="333">
                  <c:v>1.5623</c:v>
                </c:pt>
                <c:pt idx="334">
                  <c:v>1.6734</c:v>
                </c:pt>
                <c:pt idx="335">
                  <c:v>1.6444000000000001</c:v>
                </c:pt>
                <c:pt idx="336">
                  <c:v>1.6818</c:v>
                </c:pt>
                <c:pt idx="337">
                  <c:v>1.7382</c:v>
                </c:pt>
                <c:pt idx="338">
                  <c:v>1.6035999999999999</c:v>
                </c:pt>
                <c:pt idx="339">
                  <c:v>1.9218999999999999</c:v>
                </c:pt>
                <c:pt idx="340">
                  <c:v>2.1177000000000001</c:v>
                </c:pt>
                <c:pt idx="341">
                  <c:v>2.1101999999999999</c:v>
                </c:pt>
                <c:pt idx="342">
                  <c:v>2.6941999999999999</c:v>
                </c:pt>
                <c:pt idx="343">
                  <c:v>2.2387000000000001</c:v>
                </c:pt>
                <c:pt idx="344">
                  <c:v>2.1934</c:v>
                </c:pt>
                <c:pt idx="345">
                  <c:v>1.8647</c:v>
                </c:pt>
                <c:pt idx="346">
                  <c:v>1.8867</c:v>
                </c:pt>
                <c:pt idx="347">
                  <c:v>2.0834000000000001</c:v>
                </c:pt>
                <c:pt idx="348">
                  <c:v>2.3708</c:v>
                </c:pt>
                <c:pt idx="349">
                  <c:v>2.3092000000000001</c:v>
                </c:pt>
                <c:pt idx="350">
                  <c:v>2.1097999999999999</c:v>
                </c:pt>
                <c:pt idx="351">
                  <c:v>2.2151000000000001</c:v>
                </c:pt>
                <c:pt idx="352">
                  <c:v>1.792</c:v>
                </c:pt>
                <c:pt idx="353">
                  <c:v>1.7245999999999999</c:v>
                </c:pt>
                <c:pt idx="354">
                  <c:v>1.2601</c:v>
                </c:pt>
                <c:pt idx="355">
                  <c:v>1.1659999999999999</c:v>
                </c:pt>
                <c:pt idx="356">
                  <c:v>1.1998</c:v>
                </c:pt>
                <c:pt idx="357">
                  <c:v>1</c:v>
                </c:pt>
                <c:pt idx="358">
                  <c:v>1.0196000000000001</c:v>
                </c:pt>
                <c:pt idx="359">
                  <c:v>0.98180000000000001</c:v>
                </c:pt>
                <c:pt idx="360">
                  <c:v>0.97840000000000005</c:v>
                </c:pt>
                <c:pt idx="361">
                  <c:v>0.91859999999999997</c:v>
                </c:pt>
                <c:pt idx="362">
                  <c:v>0.91879999999999995</c:v>
                </c:pt>
                <c:pt idx="363">
                  <c:v>0.90110000000000001</c:v>
                </c:pt>
                <c:pt idx="364">
                  <c:v>0.9395</c:v>
                </c:pt>
                <c:pt idx="365">
                  <c:v>0.88280000000000003</c:v>
                </c:pt>
                <c:pt idx="366">
                  <c:v>0.94420000000000004</c:v>
                </c:pt>
                <c:pt idx="367">
                  <c:v>0.93240000000000001</c:v>
                </c:pt>
                <c:pt idx="368">
                  <c:v>1.0198</c:v>
                </c:pt>
                <c:pt idx="369">
                  <c:v>1.0039</c:v>
                </c:pt>
                <c:pt idx="370">
                  <c:v>0.99009999999999998</c:v>
                </c:pt>
                <c:pt idx="371">
                  <c:v>0.9264</c:v>
                </c:pt>
                <c:pt idx="372">
                  <c:v>1.236</c:v>
                </c:pt>
                <c:pt idx="373">
                  <c:v>1.0932999999999999</c:v>
                </c:pt>
                <c:pt idx="374">
                  <c:v>1.1809000000000001</c:v>
                </c:pt>
                <c:pt idx="375">
                  <c:v>1.1100000000000001</c:v>
                </c:pt>
                <c:pt idx="376">
                  <c:v>1.0437000000000001</c:v>
                </c:pt>
                <c:pt idx="377">
                  <c:v>1.008</c:v>
                </c:pt>
                <c:pt idx="378">
                  <c:v>0.999</c:v>
                </c:pt>
                <c:pt idx="379">
                  <c:v>0.94730000000000003</c:v>
                </c:pt>
                <c:pt idx="380">
                  <c:v>0.88939999999999997</c:v>
                </c:pt>
                <c:pt idx="381">
                  <c:v>0.86899999999999999</c:v>
                </c:pt>
                <c:pt idx="382">
                  <c:v>0.9133</c:v>
                </c:pt>
                <c:pt idx="383">
                  <c:v>0.92079999999999995</c:v>
                </c:pt>
                <c:pt idx="384">
                  <c:v>0.90259999999999996</c:v>
                </c:pt>
                <c:pt idx="385">
                  <c:v>0.90059999999999996</c:v>
                </c:pt>
                <c:pt idx="386">
                  <c:v>0.9446</c:v>
                </c:pt>
                <c:pt idx="387">
                  <c:v>0.91779999999999995</c:v>
                </c:pt>
                <c:pt idx="388">
                  <c:v>0.97860000000000003</c:v>
                </c:pt>
                <c:pt idx="389">
                  <c:v>0.9254</c:v>
                </c:pt>
                <c:pt idx="390">
                  <c:v>0.87539999999999996</c:v>
                </c:pt>
                <c:pt idx="391">
                  <c:v>0.86970000000000003</c:v>
                </c:pt>
                <c:pt idx="392">
                  <c:v>0.84850000000000003</c:v>
                </c:pt>
                <c:pt idx="393">
                  <c:v>0.84540000000000004</c:v>
                </c:pt>
                <c:pt idx="394">
                  <c:v>0.82779999999999998</c:v>
                </c:pt>
                <c:pt idx="395">
                  <c:v>0.82389999999999997</c:v>
                </c:pt>
                <c:pt idx="396">
                  <c:v>0.80410000000000004</c:v>
                </c:pt>
                <c:pt idx="397">
                  <c:v>0.80400000000000005</c:v>
                </c:pt>
                <c:pt idx="398">
                  <c:v>0.81920000000000004</c:v>
                </c:pt>
                <c:pt idx="399">
                  <c:v>0.86570000000000003</c:v>
                </c:pt>
                <c:pt idx="400">
                  <c:v>0.84260000000000002</c:v>
                </c:pt>
                <c:pt idx="401">
                  <c:v>0.93120000000000003</c:v>
                </c:pt>
                <c:pt idx="402">
                  <c:v>0.86399999999999999</c:v>
                </c:pt>
                <c:pt idx="403">
                  <c:v>0.92749999999999999</c:v>
                </c:pt>
                <c:pt idx="404">
                  <c:v>1.0187999999999999</c:v>
                </c:pt>
                <c:pt idx="405">
                  <c:v>1.0232000000000001</c:v>
                </c:pt>
                <c:pt idx="406">
                  <c:v>1.0145999999999999</c:v>
                </c:pt>
                <c:pt idx="407">
                  <c:v>0.99209999999999998</c:v>
                </c:pt>
                <c:pt idx="408">
                  <c:v>0.97609999999999997</c:v>
                </c:pt>
                <c:pt idx="409">
                  <c:v>0.98129999999999995</c:v>
                </c:pt>
                <c:pt idx="410">
                  <c:v>0.99299999999999999</c:v>
                </c:pt>
                <c:pt idx="411">
                  <c:v>0.99109999999999998</c:v>
                </c:pt>
                <c:pt idx="412">
                  <c:v>0.96379999999999999</c:v>
                </c:pt>
                <c:pt idx="413">
                  <c:v>1.0831999999999999</c:v>
                </c:pt>
                <c:pt idx="414">
                  <c:v>1.1383000000000001</c:v>
                </c:pt>
                <c:pt idx="415">
                  <c:v>1.167</c:v>
                </c:pt>
                <c:pt idx="416">
                  <c:v>1.0807</c:v>
                </c:pt>
                <c:pt idx="417">
                  <c:v>1.0271999999999999</c:v>
                </c:pt>
                <c:pt idx="418">
                  <c:v>1.0581</c:v>
                </c:pt>
                <c:pt idx="419">
                  <c:v>1.0329999999999999</c:v>
                </c:pt>
                <c:pt idx="420">
                  <c:v>1.2470000000000001</c:v>
                </c:pt>
                <c:pt idx="421">
                  <c:v>1.2362</c:v>
                </c:pt>
                <c:pt idx="422">
                  <c:v>1.1812</c:v>
                </c:pt>
                <c:pt idx="423">
                  <c:v>1.1359999999999999</c:v>
                </c:pt>
                <c:pt idx="424">
                  <c:v>1.1870000000000001</c:v>
                </c:pt>
                <c:pt idx="425">
                  <c:v>1.0247999999999999</c:v>
                </c:pt>
                <c:pt idx="426">
                  <c:v>1.0047999999999999</c:v>
                </c:pt>
                <c:pt idx="427">
                  <c:v>1.0503</c:v>
                </c:pt>
                <c:pt idx="428">
                  <c:v>1.1296999999999999</c:v>
                </c:pt>
                <c:pt idx="429">
                  <c:v>1.1272</c:v>
                </c:pt>
                <c:pt idx="430">
                  <c:v>1.1938</c:v>
                </c:pt>
                <c:pt idx="431">
                  <c:v>1.1664000000000001</c:v>
                </c:pt>
                <c:pt idx="432">
                  <c:v>1.3594999999999999</c:v>
                </c:pt>
                <c:pt idx="433">
                  <c:v>1.3577999999999999</c:v>
                </c:pt>
                <c:pt idx="434">
                  <c:v>1.1592</c:v>
                </c:pt>
                <c:pt idx="435">
                  <c:v>1.147</c:v>
                </c:pt>
                <c:pt idx="436">
                  <c:v>1.1682999999999999</c:v>
                </c:pt>
                <c:pt idx="437">
                  <c:v>1.2224999999999999</c:v>
                </c:pt>
                <c:pt idx="438">
                  <c:v>1.2116</c:v>
                </c:pt>
                <c:pt idx="439">
                  <c:v>1.0487</c:v>
                </c:pt>
                <c:pt idx="440">
                  <c:v>1.0417000000000001</c:v>
                </c:pt>
                <c:pt idx="441">
                  <c:v>0.92459999999999998</c:v>
                </c:pt>
                <c:pt idx="442">
                  <c:v>0.90200000000000002</c:v>
                </c:pt>
                <c:pt idx="443">
                  <c:v>0.92689999999999995</c:v>
                </c:pt>
                <c:pt idx="444">
                  <c:v>0.89590000000000003</c:v>
                </c:pt>
                <c:pt idx="445">
                  <c:v>0.83579999999999999</c:v>
                </c:pt>
                <c:pt idx="446">
                  <c:v>0.79330000000000001</c:v>
                </c:pt>
                <c:pt idx="447">
                  <c:v>0.78</c:v>
                </c:pt>
                <c:pt idx="448">
                  <c:v>0.76029999999999998</c:v>
                </c:pt>
                <c:pt idx="449">
                  <c:v>0.747</c:v>
                </c:pt>
                <c:pt idx="450">
                  <c:v>0.74909999999999999</c:v>
                </c:pt>
                <c:pt idx="451">
                  <c:v>0.84699999999999998</c:v>
                </c:pt>
                <c:pt idx="452">
                  <c:v>0.8296</c:v>
                </c:pt>
                <c:pt idx="453">
                  <c:v>0.86450000000000005</c:v>
                </c:pt>
                <c:pt idx="454">
                  <c:v>0.88180000000000003</c:v>
                </c:pt>
                <c:pt idx="455">
                  <c:v>0.99670000000000003</c:v>
                </c:pt>
                <c:pt idx="456">
                  <c:v>0.99650000000000005</c:v>
                </c:pt>
                <c:pt idx="457">
                  <c:v>1.3644000000000001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47-4C4F-9DB8-43787522676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-0.71461159230788529</c:v>
                </c:pt>
                <c:pt idx="1">
                  <c:v>-0.71248019955788522</c:v>
                </c:pt>
                <c:pt idx="2">
                  <c:v>-0.72545427978573329</c:v>
                </c:pt>
                <c:pt idx="3">
                  <c:v>-0.73401494479906682</c:v>
                </c:pt>
                <c:pt idx="4">
                  <c:v>-0.75852498633752841</c:v>
                </c:pt>
                <c:pt idx="5">
                  <c:v>-0.75677771692576368</c:v>
                </c:pt>
                <c:pt idx="6">
                  <c:v>-0.71822584167986203</c:v>
                </c:pt>
                <c:pt idx="7">
                  <c:v>-0.71346279078666475</c:v>
                </c:pt>
                <c:pt idx="8">
                  <c:v>-0.6770563144290489</c:v>
                </c:pt>
                <c:pt idx="9">
                  <c:v>-0.64533276666904893</c:v>
                </c:pt>
                <c:pt idx="10">
                  <c:v>-0.63951314060125231</c:v>
                </c:pt>
                <c:pt idx="11">
                  <c:v>-0.63006803227841757</c:v>
                </c:pt>
                <c:pt idx="12">
                  <c:v>-0.61881688384631883</c:v>
                </c:pt>
                <c:pt idx="13">
                  <c:v>-0.62603401749188858</c:v>
                </c:pt>
                <c:pt idx="14">
                  <c:v>-0.6380823714541527</c:v>
                </c:pt>
                <c:pt idx="15">
                  <c:v>-0.62291258053182263</c:v>
                </c:pt>
                <c:pt idx="16">
                  <c:v>-0.63725619114720711</c:v>
                </c:pt>
                <c:pt idx="17">
                  <c:v>-0.64572630080237958</c:v>
                </c:pt>
                <c:pt idx="18">
                  <c:v>-0.65085187703210934</c:v>
                </c:pt>
                <c:pt idx="19">
                  <c:v>-0.63913236172258547</c:v>
                </c:pt>
                <c:pt idx="20">
                  <c:v>-0.61775629943687127</c:v>
                </c:pt>
                <c:pt idx="21">
                  <c:v>-0.62973782690353797</c:v>
                </c:pt>
                <c:pt idx="22">
                  <c:v>-0.64631809833210929</c:v>
                </c:pt>
                <c:pt idx="23">
                  <c:v>-0.62811413394950055</c:v>
                </c:pt>
                <c:pt idx="24">
                  <c:v>-0.61508195133322152</c:v>
                </c:pt>
                <c:pt idx="25">
                  <c:v>-0.60279151149322152</c:v>
                </c:pt>
                <c:pt idx="26">
                  <c:v>-0.61565748350332261</c:v>
                </c:pt>
                <c:pt idx="27">
                  <c:v>-0.62622293016998931</c:v>
                </c:pt>
                <c:pt idx="28">
                  <c:v>-0.61524395971052981</c:v>
                </c:pt>
                <c:pt idx="29">
                  <c:v>-0.62717455224624419</c:v>
                </c:pt>
                <c:pt idx="30">
                  <c:v>-0.60541633307957754</c:v>
                </c:pt>
                <c:pt idx="31">
                  <c:v>-0.5553106808673326</c:v>
                </c:pt>
                <c:pt idx="32">
                  <c:v>-0.53367451919233255</c:v>
                </c:pt>
                <c:pt idx="33">
                  <c:v>-0.54929687610142341</c:v>
                </c:pt>
                <c:pt idx="34">
                  <c:v>-0.54028999153892343</c:v>
                </c:pt>
                <c:pt idx="35">
                  <c:v>-0.50121313650398902</c:v>
                </c:pt>
                <c:pt idx="36">
                  <c:v>-0.53792409465139956</c:v>
                </c:pt>
                <c:pt idx="37">
                  <c:v>-0.53650871142412671</c:v>
                </c:pt>
                <c:pt idx="38">
                  <c:v>-0.54807521322412678</c:v>
                </c:pt>
                <c:pt idx="39">
                  <c:v>-0.53616839994243659</c:v>
                </c:pt>
                <c:pt idx="40">
                  <c:v>-0.52442683322150629</c:v>
                </c:pt>
                <c:pt idx="41">
                  <c:v>-0.51072668441478375</c:v>
                </c:pt>
                <c:pt idx="42">
                  <c:v>-0.5378927217911279</c:v>
                </c:pt>
                <c:pt idx="43">
                  <c:v>-0.54352322675757081</c:v>
                </c:pt>
                <c:pt idx="44">
                  <c:v>-0.57662165784847996</c:v>
                </c:pt>
                <c:pt idx="45">
                  <c:v>-0.59641274818956513</c:v>
                </c:pt>
                <c:pt idx="46">
                  <c:v>-0.544143701078454</c:v>
                </c:pt>
                <c:pt idx="47">
                  <c:v>-0.56700011713445408</c:v>
                </c:pt>
                <c:pt idx="48">
                  <c:v>-0.56872008936746388</c:v>
                </c:pt>
                <c:pt idx="49">
                  <c:v>-0.49218449419421156</c:v>
                </c:pt>
                <c:pt idx="50">
                  <c:v>-0.44850561776724529</c:v>
                </c:pt>
                <c:pt idx="51">
                  <c:v>-0.48707453994115835</c:v>
                </c:pt>
                <c:pt idx="52">
                  <c:v>-0.45165341363706479</c:v>
                </c:pt>
                <c:pt idx="53">
                  <c:v>-0.51889105933833068</c:v>
                </c:pt>
                <c:pt idx="54">
                  <c:v>-0.48589445830891886</c:v>
                </c:pt>
                <c:pt idx="55">
                  <c:v>-0.48941508720039495</c:v>
                </c:pt>
                <c:pt idx="56">
                  <c:v>-0.47596248562848853</c:v>
                </c:pt>
                <c:pt idx="57">
                  <c:v>-0.2920487129292596</c:v>
                </c:pt>
                <c:pt idx="58">
                  <c:v>-0.34437237597170084</c:v>
                </c:pt>
                <c:pt idx="59">
                  <c:v>-0.37706700785659297</c:v>
                </c:pt>
                <c:pt idx="60">
                  <c:v>-0.38638535333027718</c:v>
                </c:pt>
                <c:pt idx="61">
                  <c:v>-0.40624089164138827</c:v>
                </c:pt>
                <c:pt idx="62">
                  <c:v>-0.39322459579735153</c:v>
                </c:pt>
                <c:pt idx="63">
                  <c:v>-0.37548371774197686</c:v>
                </c:pt>
                <c:pt idx="64">
                  <c:v>-0.38328892790148611</c:v>
                </c:pt>
                <c:pt idx="65">
                  <c:v>-0.38404554935603158</c:v>
                </c:pt>
                <c:pt idx="66">
                  <c:v>-0.39019619885996848</c:v>
                </c:pt>
                <c:pt idx="67">
                  <c:v>-0.38571675419330187</c:v>
                </c:pt>
                <c:pt idx="68">
                  <c:v>-0.35609570752098546</c:v>
                </c:pt>
                <c:pt idx="69">
                  <c:v>-0.37004386467483164</c:v>
                </c:pt>
                <c:pt idx="70">
                  <c:v>-0.38506515210340309</c:v>
                </c:pt>
                <c:pt idx="71">
                  <c:v>-0.37810524061644657</c:v>
                </c:pt>
                <c:pt idx="72">
                  <c:v>-0.39073513561644646</c:v>
                </c:pt>
                <c:pt idx="73">
                  <c:v>-0.38023239415799376</c:v>
                </c:pt>
                <c:pt idx="74">
                  <c:v>-0.36680927314533557</c:v>
                </c:pt>
                <c:pt idx="75">
                  <c:v>-0.36998391190938046</c:v>
                </c:pt>
                <c:pt idx="76">
                  <c:v>-0.3773093255093804</c:v>
                </c:pt>
                <c:pt idx="77">
                  <c:v>-0.38103289095723319</c:v>
                </c:pt>
                <c:pt idx="78">
                  <c:v>-0.39213599534409438</c:v>
                </c:pt>
                <c:pt idx="79">
                  <c:v>-0.36866196040902954</c:v>
                </c:pt>
                <c:pt idx="80">
                  <c:v>-0.35102521263667169</c:v>
                </c:pt>
                <c:pt idx="81">
                  <c:v>-0.35276631766524313</c:v>
                </c:pt>
                <c:pt idx="82">
                  <c:v>-0.36961579557433411</c:v>
                </c:pt>
                <c:pt idx="83">
                  <c:v>-0.36204347859745545</c:v>
                </c:pt>
                <c:pt idx="84">
                  <c:v>-0.332258417580858</c:v>
                </c:pt>
                <c:pt idx="85">
                  <c:v>-0.3331507482645315</c:v>
                </c:pt>
                <c:pt idx="86">
                  <c:v>-0.33118375203596001</c:v>
                </c:pt>
                <c:pt idx="87">
                  <c:v>-0.32938912449429342</c:v>
                </c:pt>
                <c:pt idx="88">
                  <c:v>-0.33625962917429342</c:v>
                </c:pt>
                <c:pt idx="89">
                  <c:v>-0.35573967354762681</c:v>
                </c:pt>
                <c:pt idx="90">
                  <c:v>-0.36869422972223004</c:v>
                </c:pt>
                <c:pt idx="91">
                  <c:v>-0.36187524343651578</c:v>
                </c:pt>
                <c:pt idx="92">
                  <c:v>-0.35182418913651586</c:v>
                </c:pt>
                <c:pt idx="93">
                  <c:v>-0.31137865096078365</c:v>
                </c:pt>
                <c:pt idx="94">
                  <c:v>-0.33781984881202315</c:v>
                </c:pt>
                <c:pt idx="95">
                  <c:v>-0.35570134304923245</c:v>
                </c:pt>
                <c:pt idx="96">
                  <c:v>-0.31600088085234113</c:v>
                </c:pt>
                <c:pt idx="97">
                  <c:v>-0.31534731796862026</c:v>
                </c:pt>
                <c:pt idx="98">
                  <c:v>-0.31638300692210858</c:v>
                </c:pt>
                <c:pt idx="99">
                  <c:v>-0.28535684370967329</c:v>
                </c:pt>
                <c:pt idx="100">
                  <c:v>-0.28894073097753048</c:v>
                </c:pt>
                <c:pt idx="101">
                  <c:v>-0.27185984871179619</c:v>
                </c:pt>
                <c:pt idx="102">
                  <c:v>-0.26642173201614389</c:v>
                </c:pt>
                <c:pt idx="103">
                  <c:v>-0.28608282798823703</c:v>
                </c:pt>
                <c:pt idx="104">
                  <c:v>-0.27174882410096435</c:v>
                </c:pt>
                <c:pt idx="105">
                  <c:v>-0.29825348729083773</c:v>
                </c:pt>
                <c:pt idx="106">
                  <c:v>-0.27792729893673929</c:v>
                </c:pt>
                <c:pt idx="107">
                  <c:v>-0.28936973652148512</c:v>
                </c:pt>
                <c:pt idx="108">
                  <c:v>-0.31445101050330326</c:v>
                </c:pt>
                <c:pt idx="109">
                  <c:v>-0.30665221181691277</c:v>
                </c:pt>
                <c:pt idx="110">
                  <c:v>-0.29073648006382635</c:v>
                </c:pt>
                <c:pt idx="111">
                  <c:v>-0.2883677705432785</c:v>
                </c:pt>
                <c:pt idx="112">
                  <c:v>-0.27057739989058383</c:v>
                </c:pt>
                <c:pt idx="113">
                  <c:v>-0.26128747606222563</c:v>
                </c:pt>
                <c:pt idx="114">
                  <c:v>-0.28245931451971551</c:v>
                </c:pt>
                <c:pt idx="115">
                  <c:v>-0.27930456033187023</c:v>
                </c:pt>
                <c:pt idx="116">
                  <c:v>-0.29186734194725478</c:v>
                </c:pt>
                <c:pt idx="117">
                  <c:v>-0.31131369745906579</c:v>
                </c:pt>
                <c:pt idx="118">
                  <c:v>-0.26638304265055518</c:v>
                </c:pt>
                <c:pt idx="119">
                  <c:v>-0.31509247530937878</c:v>
                </c:pt>
                <c:pt idx="120">
                  <c:v>-0.34561692005318034</c:v>
                </c:pt>
                <c:pt idx="121">
                  <c:v>-0.31768634761742626</c:v>
                </c:pt>
                <c:pt idx="122">
                  <c:v>-0.29051461951216306</c:v>
                </c:pt>
                <c:pt idx="123">
                  <c:v>-0.26364493502401137</c:v>
                </c:pt>
                <c:pt idx="124">
                  <c:v>-0.27516944703543994</c:v>
                </c:pt>
                <c:pt idx="125">
                  <c:v>-0.24319294722340992</c:v>
                </c:pt>
                <c:pt idx="126">
                  <c:v>-0.1990740141511208</c:v>
                </c:pt>
                <c:pt idx="127">
                  <c:v>-0.21999871941778745</c:v>
                </c:pt>
                <c:pt idx="128">
                  <c:v>-0.24299336841778746</c:v>
                </c:pt>
                <c:pt idx="129">
                  <c:v>-0.21231600305064455</c:v>
                </c:pt>
                <c:pt idx="130">
                  <c:v>-0.19204022442928539</c:v>
                </c:pt>
                <c:pt idx="131">
                  <c:v>-0.17534048518035836</c:v>
                </c:pt>
                <c:pt idx="132">
                  <c:v>-0.17445337253263116</c:v>
                </c:pt>
                <c:pt idx="133">
                  <c:v>-0.19313109133263123</c:v>
                </c:pt>
                <c:pt idx="134">
                  <c:v>-0.17318394383263125</c:v>
                </c:pt>
                <c:pt idx="135">
                  <c:v>-0.19863977394626753</c:v>
                </c:pt>
                <c:pt idx="136">
                  <c:v>-0.23126129715753518</c:v>
                </c:pt>
                <c:pt idx="137">
                  <c:v>-0.21953006844616496</c:v>
                </c:pt>
                <c:pt idx="138">
                  <c:v>-0.21489464182440321</c:v>
                </c:pt>
                <c:pt idx="139">
                  <c:v>-0.20726314258844808</c:v>
                </c:pt>
                <c:pt idx="140">
                  <c:v>-0.18900861517804349</c:v>
                </c:pt>
                <c:pt idx="141">
                  <c:v>-0.19520397383067509</c:v>
                </c:pt>
                <c:pt idx="142">
                  <c:v>-0.22681130668781793</c:v>
                </c:pt>
                <c:pt idx="143">
                  <c:v>-0.19811233518816398</c:v>
                </c:pt>
                <c:pt idx="144">
                  <c:v>-0.19402230429816403</c:v>
                </c:pt>
                <c:pt idx="145">
                  <c:v>-0.21503537903038167</c:v>
                </c:pt>
                <c:pt idx="146">
                  <c:v>-0.20575645310117816</c:v>
                </c:pt>
                <c:pt idx="147">
                  <c:v>-0.22272059464932636</c:v>
                </c:pt>
                <c:pt idx="148">
                  <c:v>-0.14760289173616842</c:v>
                </c:pt>
                <c:pt idx="149">
                  <c:v>-0.19882095456601923</c:v>
                </c:pt>
                <c:pt idx="150">
                  <c:v>-0.15970381732127342</c:v>
                </c:pt>
                <c:pt idx="151">
                  <c:v>-9.5308855957056279E-2</c:v>
                </c:pt>
                <c:pt idx="152">
                  <c:v>-0.11848768801595184</c:v>
                </c:pt>
                <c:pt idx="153">
                  <c:v>-8.2691725648209813E-2</c:v>
                </c:pt>
                <c:pt idx="154">
                  <c:v>-0.16992921553470502</c:v>
                </c:pt>
                <c:pt idx="155">
                  <c:v>-0.11512871705755413</c:v>
                </c:pt>
                <c:pt idx="156">
                  <c:v>4.7907578136826305E-3</c:v>
                </c:pt>
                <c:pt idx="157">
                  <c:v>-0.13804051065507023</c:v>
                </c:pt>
                <c:pt idx="158">
                  <c:v>-0.12263028895683534</c:v>
                </c:pt>
                <c:pt idx="159">
                  <c:v>-9.0197407739331562E-2</c:v>
                </c:pt>
                <c:pt idx="160">
                  <c:v>-0.15798517080485411</c:v>
                </c:pt>
                <c:pt idx="161">
                  <c:v>-0.19962385623401607</c:v>
                </c:pt>
                <c:pt idx="162">
                  <c:v>-0.17918509299190277</c:v>
                </c:pt>
                <c:pt idx="163">
                  <c:v>-0.24482670591265104</c:v>
                </c:pt>
                <c:pt idx="164">
                  <c:v>-0.1534915358968425</c:v>
                </c:pt>
                <c:pt idx="165">
                  <c:v>-0.11435836448341988</c:v>
                </c:pt>
                <c:pt idx="166">
                  <c:v>-0.16357118400177706</c:v>
                </c:pt>
                <c:pt idx="167">
                  <c:v>-0.14737437546248958</c:v>
                </c:pt>
                <c:pt idx="168">
                  <c:v>-0.25333172553871597</c:v>
                </c:pt>
                <c:pt idx="169">
                  <c:v>-0.21355503041753754</c:v>
                </c:pt>
                <c:pt idx="170">
                  <c:v>-0.25323559717838412</c:v>
                </c:pt>
                <c:pt idx="171">
                  <c:v>-0.26103757747569073</c:v>
                </c:pt>
                <c:pt idx="172">
                  <c:v>-0.30182264643685153</c:v>
                </c:pt>
                <c:pt idx="173">
                  <c:v>-0.25898501794203888</c:v>
                </c:pt>
                <c:pt idx="174">
                  <c:v>-0.2340404946523956</c:v>
                </c:pt>
                <c:pt idx="175">
                  <c:v>-0.20131336526657825</c:v>
                </c:pt>
                <c:pt idx="176">
                  <c:v>-0.25548925185157423</c:v>
                </c:pt>
                <c:pt idx="177">
                  <c:v>-0.28077667757326574</c:v>
                </c:pt>
                <c:pt idx="178">
                  <c:v>-0.31693880427224402</c:v>
                </c:pt>
                <c:pt idx="179">
                  <c:v>-0.37135230064633928</c:v>
                </c:pt>
                <c:pt idx="180">
                  <c:v>-0.29015655689940029</c:v>
                </c:pt>
                <c:pt idx="181">
                  <c:v>-0.25561625378265396</c:v>
                </c:pt>
                <c:pt idx="182">
                  <c:v>-0.32698566472361956</c:v>
                </c:pt>
                <c:pt idx="183">
                  <c:v>-0.36241477834861963</c:v>
                </c:pt>
                <c:pt idx="184">
                  <c:v>-0.32297918162932376</c:v>
                </c:pt>
                <c:pt idx="185">
                  <c:v>-0.36095123392249479</c:v>
                </c:pt>
                <c:pt idx="186">
                  <c:v>-0.2618560872284984</c:v>
                </c:pt>
                <c:pt idx="187">
                  <c:v>-0.29680147286334674</c:v>
                </c:pt>
                <c:pt idx="188">
                  <c:v>-0.24110511305147239</c:v>
                </c:pt>
                <c:pt idx="189">
                  <c:v>-0.25425214299591681</c:v>
                </c:pt>
                <c:pt idx="190">
                  <c:v>-0.28124440649506305</c:v>
                </c:pt>
                <c:pt idx="191">
                  <c:v>-0.29941630417321541</c:v>
                </c:pt>
                <c:pt idx="192">
                  <c:v>-0.28090641691369156</c:v>
                </c:pt>
                <c:pt idx="193">
                  <c:v>-0.21249052716621683</c:v>
                </c:pt>
                <c:pt idx="194">
                  <c:v>-0.1895832853979241</c:v>
                </c:pt>
                <c:pt idx="195">
                  <c:v>-0.17337622962829072</c:v>
                </c:pt>
                <c:pt idx="196">
                  <c:v>-0.10103980180263974</c:v>
                </c:pt>
                <c:pt idx="197">
                  <c:v>-0.1521469422833181</c:v>
                </c:pt>
                <c:pt idx="198">
                  <c:v>-0.16309992665663192</c:v>
                </c:pt>
                <c:pt idx="199">
                  <c:v>-0.17451869387224522</c:v>
                </c:pt>
                <c:pt idx="200">
                  <c:v>-0.15728843045481328</c:v>
                </c:pt>
                <c:pt idx="201">
                  <c:v>-0.15898815033712832</c:v>
                </c:pt>
                <c:pt idx="202">
                  <c:v>-0.15648219063378482</c:v>
                </c:pt>
                <c:pt idx="203">
                  <c:v>-0.16677749652586887</c:v>
                </c:pt>
                <c:pt idx="204">
                  <c:v>-0.14339428322485587</c:v>
                </c:pt>
                <c:pt idx="205">
                  <c:v>-0.12010384618485583</c:v>
                </c:pt>
                <c:pt idx="206">
                  <c:v>-0.11118728654974128</c:v>
                </c:pt>
                <c:pt idx="207">
                  <c:v>-9.4247798930785803E-2</c:v>
                </c:pt>
                <c:pt idx="208">
                  <c:v>-9.3538419634818099E-2</c:v>
                </c:pt>
                <c:pt idx="209">
                  <c:v>-8.5504676234818139E-2</c:v>
                </c:pt>
                <c:pt idx="210">
                  <c:v>-0.11747791398619788</c:v>
                </c:pt>
                <c:pt idx="211">
                  <c:v>-0.23908902264601672</c:v>
                </c:pt>
                <c:pt idx="212">
                  <c:v>-0.24160950624527808</c:v>
                </c:pt>
                <c:pt idx="213">
                  <c:v>-0.24656395732948863</c:v>
                </c:pt>
                <c:pt idx="214">
                  <c:v>-0.24966436995586228</c:v>
                </c:pt>
                <c:pt idx="215">
                  <c:v>-0.25518507307088134</c:v>
                </c:pt>
                <c:pt idx="216">
                  <c:v>-0.27640568221317602</c:v>
                </c:pt>
                <c:pt idx="217">
                  <c:v>-0.25955649203291853</c:v>
                </c:pt>
                <c:pt idx="218">
                  <c:v>-0.2614814357237582</c:v>
                </c:pt>
                <c:pt idx="219">
                  <c:v>-0.26840572881147745</c:v>
                </c:pt>
                <c:pt idx="220">
                  <c:v>-0.27544720876391765</c:v>
                </c:pt>
                <c:pt idx="221">
                  <c:v>-0.24367343586494863</c:v>
                </c:pt>
                <c:pt idx="222">
                  <c:v>-0.24715600656582498</c:v>
                </c:pt>
                <c:pt idx="223">
                  <c:v>-0.24082961832582495</c:v>
                </c:pt>
                <c:pt idx="224">
                  <c:v>-0.2288594319215331</c:v>
                </c:pt>
                <c:pt idx="225">
                  <c:v>-0.32435302313861364</c:v>
                </c:pt>
                <c:pt idx="226">
                  <c:v>-0.30319519120068</c:v>
                </c:pt>
                <c:pt idx="227">
                  <c:v>-0.29065966375891561</c:v>
                </c:pt>
                <c:pt idx="228">
                  <c:v>-0.29142324506369655</c:v>
                </c:pt>
                <c:pt idx="229">
                  <c:v>-0.30529021171887366</c:v>
                </c:pt>
                <c:pt idx="230">
                  <c:v>-0.30056671259140827</c:v>
                </c:pt>
                <c:pt idx="231">
                  <c:v>-0.27243609695602666</c:v>
                </c:pt>
                <c:pt idx="232">
                  <c:v>-0.29456491334652946</c:v>
                </c:pt>
                <c:pt idx="233">
                  <c:v>-0.30699092923764054</c:v>
                </c:pt>
                <c:pt idx="234">
                  <c:v>-0.31363336768788008</c:v>
                </c:pt>
                <c:pt idx="235">
                  <c:v>-0.28360661002728327</c:v>
                </c:pt>
                <c:pt idx="236">
                  <c:v>-0.29184376194544182</c:v>
                </c:pt>
                <c:pt idx="237">
                  <c:v>-0.27743250474765907</c:v>
                </c:pt>
                <c:pt idx="238">
                  <c:v>-0.25568200897003052</c:v>
                </c:pt>
                <c:pt idx="239">
                  <c:v>-0.24518442513198621</c:v>
                </c:pt>
                <c:pt idx="240">
                  <c:v>-0.24765598913928552</c:v>
                </c:pt>
                <c:pt idx="241">
                  <c:v>-0.25222586490083898</c:v>
                </c:pt>
                <c:pt idx="242">
                  <c:v>-0.26273915355423533</c:v>
                </c:pt>
                <c:pt idx="243">
                  <c:v>-0.29638914823960988</c:v>
                </c:pt>
                <c:pt idx="244">
                  <c:v>-0.28708901408363963</c:v>
                </c:pt>
                <c:pt idx="245">
                  <c:v>-0.27400610325769909</c:v>
                </c:pt>
                <c:pt idx="246">
                  <c:v>-0.27634881334352429</c:v>
                </c:pt>
                <c:pt idx="247">
                  <c:v>-0.29515598113577746</c:v>
                </c:pt>
                <c:pt idx="248">
                  <c:v>-0.31448049947786239</c:v>
                </c:pt>
                <c:pt idx="249">
                  <c:v>-0.34551679611297537</c:v>
                </c:pt>
                <c:pt idx="250">
                  <c:v>-0.35545588383842341</c:v>
                </c:pt>
                <c:pt idx="251">
                  <c:v>-0.36353392891688607</c:v>
                </c:pt>
                <c:pt idx="252">
                  <c:v>-0.34991544763304933</c:v>
                </c:pt>
                <c:pt idx="253">
                  <c:v>-0.37380171575424531</c:v>
                </c:pt>
                <c:pt idx="254">
                  <c:v>-0.29698960159761462</c:v>
                </c:pt>
                <c:pt idx="255">
                  <c:v>-0.28193700326984461</c:v>
                </c:pt>
                <c:pt idx="256">
                  <c:v>-0.26673656093047088</c:v>
                </c:pt>
                <c:pt idx="257">
                  <c:v>-0.26994980022273496</c:v>
                </c:pt>
                <c:pt idx="258">
                  <c:v>-0.25134008330982605</c:v>
                </c:pt>
                <c:pt idx="259">
                  <c:v>-0.25860037924299129</c:v>
                </c:pt>
                <c:pt idx="260">
                  <c:v>-0.26026456590437025</c:v>
                </c:pt>
                <c:pt idx="261">
                  <c:v>-0.22237589829365839</c:v>
                </c:pt>
                <c:pt idx="262">
                  <c:v>-0.22615800559151733</c:v>
                </c:pt>
                <c:pt idx="263">
                  <c:v>-0.20701323072765845</c:v>
                </c:pt>
                <c:pt idx="264">
                  <c:v>-0.20923132439932821</c:v>
                </c:pt>
                <c:pt idx="265">
                  <c:v>-0.21409982708085146</c:v>
                </c:pt>
                <c:pt idx="266">
                  <c:v>-0.19220886758709815</c:v>
                </c:pt>
                <c:pt idx="267">
                  <c:v>-0.18236959699532829</c:v>
                </c:pt>
                <c:pt idx="268">
                  <c:v>-0.21012751848996369</c:v>
                </c:pt>
                <c:pt idx="269">
                  <c:v>-0.1375939466927007</c:v>
                </c:pt>
                <c:pt idx="270">
                  <c:v>-0.10798675633053985</c:v>
                </c:pt>
                <c:pt idx="271">
                  <c:v>-0.1608445874042824</c:v>
                </c:pt>
                <c:pt idx="272">
                  <c:v>-0.16856318215659746</c:v>
                </c:pt>
                <c:pt idx="273">
                  <c:v>-0.17844359964091111</c:v>
                </c:pt>
                <c:pt idx="274">
                  <c:v>-0.15683390199071498</c:v>
                </c:pt>
                <c:pt idx="275">
                  <c:v>-0.14843181926942933</c:v>
                </c:pt>
                <c:pt idx="276">
                  <c:v>-0.18952196891712106</c:v>
                </c:pt>
                <c:pt idx="277">
                  <c:v>-0.18554241342695846</c:v>
                </c:pt>
                <c:pt idx="278">
                  <c:v>-0.17143630556615355</c:v>
                </c:pt>
                <c:pt idx="279">
                  <c:v>-0.20404801499720104</c:v>
                </c:pt>
                <c:pt idx="280">
                  <c:v>-0.22451730731120498</c:v>
                </c:pt>
                <c:pt idx="281">
                  <c:v>-0.19352032157677768</c:v>
                </c:pt>
                <c:pt idx="282">
                  <c:v>-0.17101955420177772</c:v>
                </c:pt>
                <c:pt idx="283">
                  <c:v>-0.19584719467912182</c:v>
                </c:pt>
                <c:pt idx="284">
                  <c:v>-0.15647405773275264</c:v>
                </c:pt>
                <c:pt idx="285">
                  <c:v>-0.15927382147577282</c:v>
                </c:pt>
                <c:pt idx="286">
                  <c:v>-0.14176471506480126</c:v>
                </c:pt>
                <c:pt idx="287">
                  <c:v>-0.12641192155943709</c:v>
                </c:pt>
                <c:pt idx="288">
                  <c:v>-0.13379867344298818</c:v>
                </c:pt>
                <c:pt idx="289">
                  <c:v>-0.13673524882164928</c:v>
                </c:pt>
                <c:pt idx="290">
                  <c:v>-0.14371975920571756</c:v>
                </c:pt>
                <c:pt idx="291">
                  <c:v>-0.13170787424843172</c:v>
                </c:pt>
                <c:pt idx="292">
                  <c:v>-0.13092109179248554</c:v>
                </c:pt>
                <c:pt idx="293">
                  <c:v>-0.11953334542592522</c:v>
                </c:pt>
                <c:pt idx="294">
                  <c:v>-0.1369246508859763</c:v>
                </c:pt>
                <c:pt idx="295">
                  <c:v>-0.12867282952140274</c:v>
                </c:pt>
                <c:pt idx="296">
                  <c:v>-9.8374045110187797E-2</c:v>
                </c:pt>
                <c:pt idx="297">
                  <c:v>-0.11515306281164059</c:v>
                </c:pt>
                <c:pt idx="298">
                  <c:v>-0.10986212927564058</c:v>
                </c:pt>
                <c:pt idx="299">
                  <c:v>-0.1400913374899263</c:v>
                </c:pt>
                <c:pt idx="300">
                  <c:v>-0.13190641591252519</c:v>
                </c:pt>
                <c:pt idx="301">
                  <c:v>-0.11933096930555004</c:v>
                </c:pt>
                <c:pt idx="302">
                  <c:v>-0.15877454451941944</c:v>
                </c:pt>
                <c:pt idx="303">
                  <c:v>-0.1545506134216714</c:v>
                </c:pt>
                <c:pt idx="304">
                  <c:v>-0.16389845308963252</c:v>
                </c:pt>
                <c:pt idx="305">
                  <c:v>-0.15824858273065812</c:v>
                </c:pt>
                <c:pt idx="306">
                  <c:v>-0.17300141710404379</c:v>
                </c:pt>
                <c:pt idx="307">
                  <c:v>-0.19347263597728331</c:v>
                </c:pt>
                <c:pt idx="308">
                  <c:v>-0.21599929376077937</c:v>
                </c:pt>
                <c:pt idx="309">
                  <c:v>-0.19158731292899575</c:v>
                </c:pt>
                <c:pt idx="310">
                  <c:v>-0.16581350340492873</c:v>
                </c:pt>
                <c:pt idx="311">
                  <c:v>-0.14268598506523825</c:v>
                </c:pt>
                <c:pt idx="312">
                  <c:v>-0.14136791015842418</c:v>
                </c:pt>
                <c:pt idx="313">
                  <c:v>-0.13625621228914056</c:v>
                </c:pt>
                <c:pt idx="314">
                  <c:v>-0.1127066336116435</c:v>
                </c:pt>
                <c:pt idx="315">
                  <c:v>-0.13183180966874708</c:v>
                </c:pt>
                <c:pt idx="316">
                  <c:v>-0.13174917952032644</c:v>
                </c:pt>
                <c:pt idx="317">
                  <c:v>-0.13981434141237459</c:v>
                </c:pt>
                <c:pt idx="318">
                  <c:v>-0.15446164106814803</c:v>
                </c:pt>
                <c:pt idx="319">
                  <c:v>-0.15205131306594818</c:v>
                </c:pt>
                <c:pt idx="320">
                  <c:v>-0.11880990661121912</c:v>
                </c:pt>
                <c:pt idx="321">
                  <c:v>-0.14925511989643853</c:v>
                </c:pt>
                <c:pt idx="322">
                  <c:v>-0.11889880244326176</c:v>
                </c:pt>
                <c:pt idx="323">
                  <c:v>-0.11860414557128607</c:v>
                </c:pt>
                <c:pt idx="324">
                  <c:v>-0.10165080196944147</c:v>
                </c:pt>
                <c:pt idx="325">
                  <c:v>-0.11831072613897821</c:v>
                </c:pt>
                <c:pt idx="326">
                  <c:v>-0.1229287950980673</c:v>
                </c:pt>
                <c:pt idx="327">
                  <c:v>-0.16942180739014737</c:v>
                </c:pt>
                <c:pt idx="328">
                  <c:v>-0.18443299285544856</c:v>
                </c:pt>
                <c:pt idx="329">
                  <c:v>-0.16807118064776805</c:v>
                </c:pt>
                <c:pt idx="330">
                  <c:v>-0.17856139777193777</c:v>
                </c:pt>
                <c:pt idx="331">
                  <c:v>-0.17163918603998435</c:v>
                </c:pt>
                <c:pt idx="332">
                  <c:v>-0.19335280570966176</c:v>
                </c:pt>
                <c:pt idx="333">
                  <c:v>-0.20721133618191545</c:v>
                </c:pt>
                <c:pt idx="334">
                  <c:v>-0.20658743104424906</c:v>
                </c:pt>
                <c:pt idx="335">
                  <c:v>-0.19621544916370498</c:v>
                </c:pt>
                <c:pt idx="336">
                  <c:v>-0.20174830737571545</c:v>
                </c:pt>
                <c:pt idx="337">
                  <c:v>-0.16287618343963589</c:v>
                </c:pt>
                <c:pt idx="338">
                  <c:v>-0.18387932711157584</c:v>
                </c:pt>
                <c:pt idx="339">
                  <c:v>-0.18272355406497917</c:v>
                </c:pt>
                <c:pt idx="340">
                  <c:v>-0.20538072492958079</c:v>
                </c:pt>
                <c:pt idx="341">
                  <c:v>-0.19598923606040064</c:v>
                </c:pt>
                <c:pt idx="342">
                  <c:v>-0.16928913561738826</c:v>
                </c:pt>
                <c:pt idx="343">
                  <c:v>-0.23628645264336004</c:v>
                </c:pt>
                <c:pt idx="344">
                  <c:v>-0.25707015337942102</c:v>
                </c:pt>
                <c:pt idx="345">
                  <c:v>-0.29407609671736024</c:v>
                </c:pt>
                <c:pt idx="346">
                  <c:v>-0.29184676249406771</c:v>
                </c:pt>
                <c:pt idx="347">
                  <c:v>-0.31455770997751004</c:v>
                </c:pt>
                <c:pt idx="348">
                  <c:v>-0.27726919562208013</c:v>
                </c:pt>
                <c:pt idx="349">
                  <c:v>-0.29008293157435483</c:v>
                </c:pt>
                <c:pt idx="350">
                  <c:v>-0.2895871748054607</c:v>
                </c:pt>
                <c:pt idx="351">
                  <c:v>-0.2558807437060564</c:v>
                </c:pt>
                <c:pt idx="352">
                  <c:v>-0.34163265371791363</c:v>
                </c:pt>
                <c:pt idx="353">
                  <c:v>-0.34055686396870627</c:v>
                </c:pt>
                <c:pt idx="354">
                  <c:v>-0.42013172466692261</c:v>
                </c:pt>
                <c:pt idx="355">
                  <c:v>-0.44913385071296863</c:v>
                </c:pt>
                <c:pt idx="356">
                  <c:v>-0.46887064175649801</c:v>
                </c:pt>
                <c:pt idx="357">
                  <c:v>-0.52056378033958473</c:v>
                </c:pt>
                <c:pt idx="358">
                  <c:v>-0.5423949113693215</c:v>
                </c:pt>
                <c:pt idx="359">
                  <c:v>-0.55789430601150669</c:v>
                </c:pt>
                <c:pt idx="360">
                  <c:v>-0.54090532228173083</c:v>
                </c:pt>
                <c:pt idx="361">
                  <c:v>-0.57359638739620966</c:v>
                </c:pt>
                <c:pt idx="362">
                  <c:v>-0.56271428847503013</c:v>
                </c:pt>
                <c:pt idx="363">
                  <c:v>-0.58202164203587659</c:v>
                </c:pt>
                <c:pt idx="364">
                  <c:v>-0.57876955719223622</c:v>
                </c:pt>
                <c:pt idx="365">
                  <c:v>-0.61323023366328877</c:v>
                </c:pt>
                <c:pt idx="366">
                  <c:v>-0.62504193535079811</c:v>
                </c:pt>
                <c:pt idx="367">
                  <c:v>-0.63329935613420829</c:v>
                </c:pt>
                <c:pt idx="368">
                  <c:v>-0.58269973876290537</c:v>
                </c:pt>
                <c:pt idx="369">
                  <c:v>-0.57529743543698719</c:v>
                </c:pt>
                <c:pt idx="370">
                  <c:v>-0.57529743543698719</c:v>
                </c:pt>
                <c:pt idx="371">
                  <c:v>-0.68490885500467114</c:v>
                </c:pt>
                <c:pt idx="372">
                  <c:v>-0.4293244366895434</c:v>
                </c:pt>
                <c:pt idx="373">
                  <c:v>-0.4465729856698713</c:v>
                </c:pt>
                <c:pt idx="374">
                  <c:v>-0.42916349706074086</c:v>
                </c:pt>
                <c:pt idx="375">
                  <c:v>-0.4645202828165329</c:v>
                </c:pt>
                <c:pt idx="376">
                  <c:v>-0.47658213277807143</c:v>
                </c:pt>
                <c:pt idx="377">
                  <c:v>-0.47567920137100073</c:v>
                </c:pt>
                <c:pt idx="378">
                  <c:v>-0.49269912581280861</c:v>
                </c:pt>
                <c:pt idx="379">
                  <c:v>-0.50623970020088971</c:v>
                </c:pt>
                <c:pt idx="380">
                  <c:v>-0.52387602952029899</c:v>
                </c:pt>
                <c:pt idx="381">
                  <c:v>-0.54470135063696556</c:v>
                </c:pt>
                <c:pt idx="382">
                  <c:v>-0.55804347797683596</c:v>
                </c:pt>
                <c:pt idx="383">
                  <c:v>-0.54341699636222718</c:v>
                </c:pt>
                <c:pt idx="384">
                  <c:v>-0.54854889046516841</c:v>
                </c:pt>
                <c:pt idx="385">
                  <c:v>-0.57590808131648952</c:v>
                </c:pt>
                <c:pt idx="386">
                  <c:v>-0.57292757289851504</c:v>
                </c:pt>
                <c:pt idx="387">
                  <c:v>-0.556204679535514</c:v>
                </c:pt>
                <c:pt idx="388">
                  <c:v>-0.42171575908831016</c:v>
                </c:pt>
                <c:pt idx="389">
                  <c:v>-0.42387469813358142</c:v>
                </c:pt>
                <c:pt idx="390">
                  <c:v>-0.44052452714435986</c:v>
                </c:pt>
                <c:pt idx="391">
                  <c:v>-0.43665972412852544</c:v>
                </c:pt>
                <c:pt idx="392">
                  <c:v>-0.435357282694873</c:v>
                </c:pt>
                <c:pt idx="393">
                  <c:v>-0.4451458245409452</c:v>
                </c:pt>
                <c:pt idx="394">
                  <c:v>-0.48836266852674409</c:v>
                </c:pt>
                <c:pt idx="395">
                  <c:v>-0.48336569366950821</c:v>
                </c:pt>
                <c:pt idx="396">
                  <c:v>-0.47659751531852429</c:v>
                </c:pt>
                <c:pt idx="397">
                  <c:v>-0.45686300059699964</c:v>
                </c:pt>
                <c:pt idx="398">
                  <c:v>-0.36655957614835111</c:v>
                </c:pt>
                <c:pt idx="399">
                  <c:v>-0.35942489994285165</c:v>
                </c:pt>
                <c:pt idx="400">
                  <c:v>-0.37941633108177375</c:v>
                </c:pt>
                <c:pt idx="401">
                  <c:v>-0.31442845247966189</c:v>
                </c:pt>
                <c:pt idx="402">
                  <c:v>-0.33159262300578324</c:v>
                </c:pt>
                <c:pt idx="403">
                  <c:v>-0.31781482833936259</c:v>
                </c:pt>
                <c:pt idx="404">
                  <c:v>-0.29450020873133614</c:v>
                </c:pt>
                <c:pt idx="405">
                  <c:v>-0.21816685404962993</c:v>
                </c:pt>
                <c:pt idx="406">
                  <c:v>-0.20542762400971509</c:v>
                </c:pt>
                <c:pt idx="407">
                  <c:v>-0.20665608533516491</c:v>
                </c:pt>
                <c:pt idx="408">
                  <c:v>-0.19319471253733886</c:v>
                </c:pt>
                <c:pt idx="409">
                  <c:v>-0.19236936874786514</c:v>
                </c:pt>
                <c:pt idx="410">
                  <c:v>-0.19740109068555356</c:v>
                </c:pt>
                <c:pt idx="411">
                  <c:v>-0.19919393336276875</c:v>
                </c:pt>
                <c:pt idx="412">
                  <c:v>-0.197224986355193</c:v>
                </c:pt>
                <c:pt idx="413">
                  <c:v>-0.15711857188542555</c:v>
                </c:pt>
                <c:pt idx="414">
                  <c:v>-0.13088745091671966</c:v>
                </c:pt>
                <c:pt idx="415">
                  <c:v>-0.1449096569738533</c:v>
                </c:pt>
                <c:pt idx="416">
                  <c:v>-0.14764776215921183</c:v>
                </c:pt>
                <c:pt idx="417">
                  <c:v>-0.15461122435576022</c:v>
                </c:pt>
                <c:pt idx="418">
                  <c:v>-0.14251851685422171</c:v>
                </c:pt>
                <c:pt idx="419">
                  <c:v>-0.14553398546384994</c:v>
                </c:pt>
                <c:pt idx="420">
                  <c:v>-0.10232568251507775</c:v>
                </c:pt>
                <c:pt idx="421">
                  <c:v>-8.0891384823984905E-2</c:v>
                </c:pt>
                <c:pt idx="422">
                  <c:v>-8.2463491871043695E-2</c:v>
                </c:pt>
                <c:pt idx="423">
                  <c:v>-8.3451564607934209E-2</c:v>
                </c:pt>
                <c:pt idx="424">
                  <c:v>-7.9950020144163192E-2</c:v>
                </c:pt>
                <c:pt idx="425">
                  <c:v>-9.3154350007291692E-2</c:v>
                </c:pt>
                <c:pt idx="426">
                  <c:v>-8.4514027580981282E-2</c:v>
                </c:pt>
                <c:pt idx="427">
                  <c:v>-7.6348174088673559E-2</c:v>
                </c:pt>
                <c:pt idx="428">
                  <c:v>-8.1649068340294201E-2</c:v>
                </c:pt>
                <c:pt idx="429">
                  <c:v>-7.8312459593500833E-2</c:v>
                </c:pt>
                <c:pt idx="430">
                  <c:v>-7.4454028739000019E-2</c:v>
                </c:pt>
                <c:pt idx="431">
                  <c:v>-7.2295644075129062E-2</c:v>
                </c:pt>
                <c:pt idx="432">
                  <c:v>-5.3988515738415344E-2</c:v>
                </c:pt>
                <c:pt idx="433">
                  <c:v>-6.0677302680655548E-2</c:v>
                </c:pt>
                <c:pt idx="434">
                  <c:v>-9.3115117804403819E-2</c:v>
                </c:pt>
                <c:pt idx="435">
                  <c:v>-6.0800795869810263E-2</c:v>
                </c:pt>
                <c:pt idx="436">
                  <c:v>-9.233993125539397E-2</c:v>
                </c:pt>
                <c:pt idx="437">
                  <c:v>-8.8250506966409958E-2</c:v>
                </c:pt>
                <c:pt idx="438">
                  <c:v>-8.0083952903381703E-2</c:v>
                </c:pt>
                <c:pt idx="439">
                  <c:v>-9.500018410064387E-2</c:v>
                </c:pt>
                <c:pt idx="440">
                  <c:v>-0.11513567262791652</c:v>
                </c:pt>
                <c:pt idx="441">
                  <c:v>-0.13782073864580538</c:v>
                </c:pt>
                <c:pt idx="442">
                  <c:v>-0.13627366782156294</c:v>
                </c:pt>
                <c:pt idx="443">
                  <c:v>-0.13180388351359837</c:v>
                </c:pt>
                <c:pt idx="444">
                  <c:v>-0.14449024528960838</c:v>
                </c:pt>
                <c:pt idx="445">
                  <c:v>-0.14650847881630744</c:v>
                </c:pt>
                <c:pt idx="446">
                  <c:v>-0.15109770067091999</c:v>
                </c:pt>
                <c:pt idx="447">
                  <c:v>-0.14576605211175331</c:v>
                </c:pt>
                <c:pt idx="448">
                  <c:v>-0.15124098948949136</c:v>
                </c:pt>
                <c:pt idx="449">
                  <c:v>-0.17132354750409101</c:v>
                </c:pt>
                <c:pt idx="450">
                  <c:v>-0.17879365684150278</c:v>
                </c:pt>
                <c:pt idx="451">
                  <c:v>-0.14375641485446131</c:v>
                </c:pt>
                <c:pt idx="452">
                  <c:v>-0.16481172756235896</c:v>
                </c:pt>
                <c:pt idx="453">
                  <c:v>-0.16502517480400328</c:v>
                </c:pt>
                <c:pt idx="454">
                  <c:v>-0.1606466405057374</c:v>
                </c:pt>
                <c:pt idx="455">
                  <c:v>-0.14557323414121173</c:v>
                </c:pt>
                <c:pt idx="456">
                  <c:v>-0.15032327461479664</c:v>
                </c:pt>
                <c:pt idx="457">
                  <c:v>-0.11392886488721587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47-4C4F-9DB8-437875226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3598639"/>
        <c:axId val="1633599055"/>
      </c:lineChart>
      <c:dateAx>
        <c:axId val="1633598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599055"/>
        <c:crosses val="autoZero"/>
        <c:auto val="1"/>
        <c:lblOffset val="100"/>
        <c:baseTimeUnit val="days"/>
      </c:dateAx>
      <c:valAx>
        <c:axId val="163359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598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827FE99-D9D5-4073-8AAA-FF25DD6452FD}">
  <sheetPr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F45C45-7926-476C-AEED-1A74B39B1C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4.8</v>
      </c>
      <c r="D2" s="4">
        <f>MIN(D3:D1912)</f>
        <v>0.69010000000000005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8</v>
      </c>
      <c r="N4" t="s">
        <v>7</v>
      </c>
    </row>
    <row r="5" spans="1:20" x14ac:dyDescent="0.25">
      <c r="A5" s="5">
        <v>44588</v>
      </c>
      <c r="B5">
        <v>1.3320000000000001</v>
      </c>
      <c r="C5">
        <v>1.3640000000000001</v>
      </c>
      <c r="D5">
        <v>1.3</v>
      </c>
      <c r="E5">
        <v>1.3089999999999999</v>
      </c>
      <c r="F5">
        <v>296541.59999999998</v>
      </c>
      <c r="G5">
        <v>1.3089999999999999</v>
      </c>
      <c r="L5" t="s">
        <v>8</v>
      </c>
      <c r="M5" t="s">
        <v>8</v>
      </c>
      <c r="N5" t="s">
        <v>7</v>
      </c>
      <c r="P5">
        <f t="shared" ref="P5" si="0">IF(C5=D5,0,((E5-D5)-(C5-E5))/(C5-D5))</f>
        <v>-0.71875000000000344</v>
      </c>
      <c r="Q5">
        <f t="shared" ref="Q5" si="1">F5*P5</f>
        <v>-213139.27500000101</v>
      </c>
      <c r="R5">
        <f t="shared" ref="R5" si="2">R6+Q5</f>
        <v>-71461159.230788529</v>
      </c>
      <c r="S5">
        <f t="shared" ref="S5" si="3">R5/100000</f>
        <v>-714.6115923078853</v>
      </c>
      <c r="T5">
        <f t="shared" ref="T5" si="4">S5/1000</f>
        <v>-0.71461159230788529</v>
      </c>
    </row>
    <row r="6" spans="1:20" x14ac:dyDescent="0.25">
      <c r="A6" s="5">
        <v>44587</v>
      </c>
      <c r="B6">
        <v>1.2450000000000001</v>
      </c>
      <c r="C6">
        <v>1.3779999999999999</v>
      </c>
      <c r="D6">
        <v>1.22</v>
      </c>
      <c r="E6">
        <v>1.333</v>
      </c>
      <c r="F6">
        <v>3014565.7</v>
      </c>
      <c r="G6">
        <v>1.333</v>
      </c>
      <c r="L6" t="s">
        <v>8</v>
      </c>
      <c r="M6" t="s">
        <v>8</v>
      </c>
      <c r="N6" t="s">
        <v>7</v>
      </c>
      <c r="P6">
        <f t="shared" ref="P6" si="5">IF(C6=D6,0,((E6-D6)-(C6-E6))/(C6-D6))</f>
        <v>0.43037974683544367</v>
      </c>
      <c r="Q6">
        <f t="shared" ref="Q6" si="6">F6*P6</f>
        <v>1297408.0227848121</v>
      </c>
      <c r="R6">
        <f t="shared" ref="R6" si="7">R7+Q6</f>
        <v>-71248019.955788523</v>
      </c>
      <c r="S6">
        <f t="shared" ref="S6" si="8">R6/100000</f>
        <v>-712.48019955788527</v>
      </c>
      <c r="T6">
        <f t="shared" ref="T6" si="9">S6/1000</f>
        <v>-0.71248019955788522</v>
      </c>
    </row>
    <row r="7" spans="1:20" x14ac:dyDescent="0.25">
      <c r="A7" s="5">
        <v>44586</v>
      </c>
      <c r="B7">
        <v>1.1619999999999999</v>
      </c>
      <c r="C7">
        <v>1.2969999999999999</v>
      </c>
      <c r="D7">
        <v>1.147</v>
      </c>
      <c r="E7">
        <v>1.2450000000000001</v>
      </c>
      <c r="F7">
        <v>2791521.2</v>
      </c>
      <c r="G7">
        <v>1.2450000000000001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0.30666666666666859</v>
      </c>
      <c r="Q7">
        <f t="shared" ref="Q7" si="11">F7*P7</f>
        <v>856066.50133333879</v>
      </c>
      <c r="R7">
        <f t="shared" ref="R7" si="12">R8+Q7</f>
        <v>-72545427.978573337</v>
      </c>
      <c r="S7">
        <f t="shared" ref="S7" si="13">R7/100000</f>
        <v>-725.45427978573332</v>
      </c>
      <c r="T7">
        <f t="shared" ref="T7" si="14">S7/1000</f>
        <v>-0.72545427978573329</v>
      </c>
    </row>
    <row r="8" spans="1:20" x14ac:dyDescent="0.25">
      <c r="A8" s="5">
        <v>44585</v>
      </c>
      <c r="B8">
        <v>1.153</v>
      </c>
      <c r="C8">
        <v>1.196</v>
      </c>
      <c r="D8">
        <v>1.04</v>
      </c>
      <c r="E8">
        <v>1.163</v>
      </c>
      <c r="F8">
        <v>4248407.2</v>
      </c>
      <c r="G8">
        <v>1.163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0.57692307692307776</v>
      </c>
      <c r="Q8">
        <f t="shared" ref="Q8" si="16">F8*P8</f>
        <v>2451004.1538461577</v>
      </c>
      <c r="R8">
        <f t="shared" ref="R8" si="17">R9+Q8</f>
        <v>-73401494.479906678</v>
      </c>
      <c r="S8">
        <f t="shared" ref="S8" si="18">R8/100000</f>
        <v>-734.01494479906682</v>
      </c>
      <c r="T8">
        <f t="shared" ref="T8" si="19">S8/1000</f>
        <v>-0.73401494479906682</v>
      </c>
    </row>
    <row r="9" spans="1:20" x14ac:dyDescent="0.25">
      <c r="A9" s="5">
        <v>44584</v>
      </c>
      <c r="B9">
        <v>1.1559999999999999</v>
      </c>
      <c r="C9">
        <v>1.226</v>
      </c>
      <c r="D9">
        <v>1.0900000000000001</v>
      </c>
      <c r="E9">
        <v>1.1539999999999999</v>
      </c>
      <c r="F9">
        <v>2970358</v>
      </c>
      <c r="G9">
        <v>1.1539999999999999</v>
      </c>
      <c r="L9" t="s">
        <v>8</v>
      </c>
      <c r="M9" t="s">
        <v>7</v>
      </c>
      <c r="N9" t="s">
        <v>7</v>
      </c>
      <c r="P9">
        <f t="shared" ref="P9" si="20">IF(C9=D9,0,((E9-D9)-(C9-E9))/(C9-D9))</f>
        <v>-5.8823529411766433E-2</v>
      </c>
      <c r="Q9">
        <f t="shared" ref="Q9" si="21">F9*P9</f>
        <v>-174726.94117647572</v>
      </c>
      <c r="R9">
        <f t="shared" ref="R9" si="22">R10+Q9</f>
        <v>-75852498.633752838</v>
      </c>
      <c r="S9">
        <f t="shared" ref="S9" si="23">R9/100000</f>
        <v>-758.52498633752839</v>
      </c>
      <c r="T9">
        <f t="shared" ref="T9" si="24">S9/1000</f>
        <v>-0.75852498633752841</v>
      </c>
    </row>
    <row r="10" spans="1:20" x14ac:dyDescent="0.25">
      <c r="A10" s="5">
        <v>44583</v>
      </c>
      <c r="B10">
        <v>1.2090000000000001</v>
      </c>
      <c r="C10">
        <v>1.34</v>
      </c>
      <c r="D10">
        <v>1.0960000000000001</v>
      </c>
      <c r="E10">
        <v>1.161</v>
      </c>
      <c r="F10">
        <v>8251454</v>
      </c>
      <c r="G10">
        <v>1.161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-0.46721311475409877</v>
      </c>
      <c r="Q10">
        <f t="shared" ref="Q10" si="26">F10*P10</f>
        <v>-3855187.5245901672</v>
      </c>
      <c r="R10">
        <f t="shared" ref="R10" si="27">R11+Q10</f>
        <v>-75677771.692576364</v>
      </c>
      <c r="S10">
        <f t="shared" ref="S10" si="28">R10/100000</f>
        <v>-756.77771692576368</v>
      </c>
      <c r="T10">
        <f t="shared" ref="T10" si="29">S10/1000</f>
        <v>-0.75677771692576368</v>
      </c>
    </row>
    <row r="11" spans="1:20" x14ac:dyDescent="0.25">
      <c r="A11" s="5">
        <v>44582</v>
      </c>
      <c r="B11">
        <v>1.2709999999999999</v>
      </c>
      <c r="C11">
        <v>1.292</v>
      </c>
      <c r="D11">
        <v>1.145</v>
      </c>
      <c r="E11">
        <v>1.2090000000000001</v>
      </c>
      <c r="F11">
        <v>3685097.27</v>
      </c>
      <c r="G11">
        <v>1.2090000000000001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-0.12925170068027145</v>
      </c>
      <c r="Q11">
        <f t="shared" ref="Q11" si="31">F11*P11</f>
        <v>-476305.08931972546</v>
      </c>
      <c r="R11">
        <f t="shared" ref="R11" si="32">R12+Q11</f>
        <v>-71822584.167986199</v>
      </c>
      <c r="S11">
        <f t="shared" ref="S11" si="33">R11/100000</f>
        <v>-718.22584167986201</v>
      </c>
      <c r="T11">
        <f t="shared" ref="T11" si="34">S11/1000</f>
        <v>-0.71822584167986203</v>
      </c>
    </row>
    <row r="12" spans="1:20" x14ac:dyDescent="0.25">
      <c r="A12" s="5">
        <v>44581</v>
      </c>
      <c r="B12">
        <v>1.296</v>
      </c>
      <c r="C12">
        <v>1.415</v>
      </c>
      <c r="D12">
        <v>1.264</v>
      </c>
      <c r="E12">
        <v>1.272</v>
      </c>
      <c r="F12">
        <v>4072131.8</v>
      </c>
      <c r="G12">
        <v>1.272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-0.89403973509933765</v>
      </c>
      <c r="Q12">
        <f t="shared" ref="Q12" si="36">F12*P12</f>
        <v>-3640647.6357615888</v>
      </c>
      <c r="R12">
        <f t="shared" ref="R12" si="37">R13+Q12</f>
        <v>-71346279.078666478</v>
      </c>
      <c r="S12">
        <f t="shared" ref="S12" si="38">R12/100000</f>
        <v>-713.46279078666475</v>
      </c>
      <c r="T12">
        <f t="shared" ref="T12" si="39">S12/1000</f>
        <v>-0.71346279078666475</v>
      </c>
    </row>
    <row r="13" spans="1:20" x14ac:dyDescent="0.25">
      <c r="A13" s="5">
        <v>44580</v>
      </c>
      <c r="B13">
        <v>1.347</v>
      </c>
      <c r="C13">
        <v>1.427</v>
      </c>
      <c r="D13">
        <v>1.2769999999999999</v>
      </c>
      <c r="E13">
        <v>1.294</v>
      </c>
      <c r="F13">
        <v>4102182.9</v>
      </c>
      <c r="G13">
        <v>1.294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-0.77333333333333187</v>
      </c>
      <c r="Q13">
        <f t="shared" ref="Q13" si="41">F13*P13</f>
        <v>-3172354.775999994</v>
      </c>
      <c r="R13">
        <f t="shared" ref="R13" si="42">R14+Q13</f>
        <v>-67705631.44290489</v>
      </c>
      <c r="S13">
        <f t="shared" ref="S13" si="43">R13/100000</f>
        <v>-677.05631442904894</v>
      </c>
      <c r="T13">
        <f t="shared" ref="T13" si="44">S13/1000</f>
        <v>-0.6770563144290489</v>
      </c>
    </row>
    <row r="14" spans="1:20" x14ac:dyDescent="0.25">
      <c r="A14" s="5">
        <v>44579</v>
      </c>
      <c r="B14">
        <v>1.393</v>
      </c>
      <c r="C14">
        <v>1.4279999999999999</v>
      </c>
      <c r="D14">
        <v>1.31</v>
      </c>
      <c r="E14">
        <v>1.351</v>
      </c>
      <c r="F14">
        <v>1907544.1</v>
      </c>
      <c r="G14">
        <v>1.351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-0.30508474576271244</v>
      </c>
      <c r="Q14">
        <f t="shared" ref="Q14" si="46">F14*P14</f>
        <v>-581962.60677966219</v>
      </c>
      <c r="R14">
        <f t="shared" ref="R14" si="47">R15+Q14</f>
        <v>-64533276.666904896</v>
      </c>
      <c r="S14">
        <f t="shared" ref="S14" si="48">R14/100000</f>
        <v>-645.33276666904897</v>
      </c>
      <c r="T14">
        <f t="shared" ref="T14" si="49">S14/1000</f>
        <v>-0.64533276666904893</v>
      </c>
    </row>
    <row r="15" spans="1:20" x14ac:dyDescent="0.25">
      <c r="A15" s="5">
        <v>44578</v>
      </c>
      <c r="B15">
        <v>1.49</v>
      </c>
      <c r="C15">
        <v>1.4950000000000001</v>
      </c>
      <c r="D15">
        <v>1.3680000000000001</v>
      </c>
      <c r="E15">
        <v>1.391</v>
      </c>
      <c r="F15">
        <v>1480899.7</v>
      </c>
      <c r="G15">
        <v>1.391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-0.6377952755905526</v>
      </c>
      <c r="Q15">
        <f t="shared" ref="Q15" si="51">F15*P15</f>
        <v>-944510.83228346659</v>
      </c>
      <c r="R15">
        <f t="shared" ref="R15" si="52">R16+Q15</f>
        <v>-63951314.060125232</v>
      </c>
      <c r="S15">
        <f t="shared" ref="S15" si="53">R15/100000</f>
        <v>-639.5131406012523</v>
      </c>
      <c r="T15">
        <f t="shared" ref="T15" si="54">S15/1000</f>
        <v>-0.63951314060125231</v>
      </c>
    </row>
    <row r="16" spans="1:20" x14ac:dyDescent="0.25">
      <c r="A16" s="5">
        <v>44577</v>
      </c>
      <c r="B16">
        <v>1.536</v>
      </c>
      <c r="C16">
        <v>1.5660000000000001</v>
      </c>
      <c r="D16">
        <v>1.4850000000000001</v>
      </c>
      <c r="E16">
        <v>1.4890000000000001</v>
      </c>
      <c r="F16">
        <v>1248415.1000000001</v>
      </c>
      <c r="G16">
        <v>1.4890000000000001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-0.90123456790123446</v>
      </c>
      <c r="Q16">
        <f t="shared" ref="Q16" si="56">F16*P16</f>
        <v>-1125114.8432098764</v>
      </c>
      <c r="R16">
        <f t="shared" ref="R16" si="57">R17+Q16</f>
        <v>-63006803.227841765</v>
      </c>
      <c r="S16">
        <f t="shared" ref="S16" si="58">R16/100000</f>
        <v>-630.0680322784176</v>
      </c>
      <c r="T16">
        <f t="shared" ref="T16" si="59">S16/1000</f>
        <v>-0.63006803227841757</v>
      </c>
    </row>
    <row r="17" spans="1:20" x14ac:dyDescent="0.25">
      <c r="A17" s="5">
        <v>44576</v>
      </c>
      <c r="B17">
        <v>1.5089999999999999</v>
      </c>
      <c r="C17">
        <v>1.5489999999999999</v>
      </c>
      <c r="D17">
        <v>1.47</v>
      </c>
      <c r="E17">
        <v>1.538</v>
      </c>
      <c r="F17">
        <v>1000269.4</v>
      </c>
      <c r="G17">
        <v>1.538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0.72151898734177455</v>
      </c>
      <c r="Q17">
        <f t="shared" ref="Q17" si="61">F17*P17</f>
        <v>721713.36455696449</v>
      </c>
      <c r="R17">
        <f t="shared" ref="R17" si="62">R18+Q17</f>
        <v>-61881688.384631887</v>
      </c>
      <c r="S17">
        <f t="shared" ref="S17" si="63">R17/100000</f>
        <v>-618.81688384631889</v>
      </c>
      <c r="T17">
        <f t="shared" ref="T17" si="64">S17/1000</f>
        <v>-0.61881688384631883</v>
      </c>
    </row>
    <row r="18" spans="1:20" x14ac:dyDescent="0.25">
      <c r="A18" s="5">
        <v>44575</v>
      </c>
      <c r="B18">
        <v>1.452</v>
      </c>
      <c r="C18">
        <v>1.518</v>
      </c>
      <c r="D18">
        <v>1.4119999999999999</v>
      </c>
      <c r="E18">
        <v>1.5089999999999999</v>
      </c>
      <c r="F18">
        <v>1451279</v>
      </c>
      <c r="G18">
        <v>1.5089999999999999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0.83018867924528095</v>
      </c>
      <c r="Q18">
        <f t="shared" ref="Q18" si="66">F18*P18</f>
        <v>1204835.3962264122</v>
      </c>
      <c r="R18">
        <f t="shared" ref="R18" si="67">R19+Q18</f>
        <v>-62603401.749188855</v>
      </c>
      <c r="S18">
        <f t="shared" ref="S18" si="68">R18/100000</f>
        <v>-626.03401749188856</v>
      </c>
      <c r="T18">
        <f t="shared" ref="T18" si="69">S18/1000</f>
        <v>-0.62603401749188858</v>
      </c>
    </row>
    <row r="19" spans="1:20" x14ac:dyDescent="0.25">
      <c r="A19" s="5">
        <v>44574</v>
      </c>
      <c r="B19">
        <v>1.49</v>
      </c>
      <c r="C19">
        <v>1.542</v>
      </c>
      <c r="D19">
        <v>1.4390000000000001</v>
      </c>
      <c r="E19">
        <v>1.4510000000000001</v>
      </c>
      <c r="F19">
        <v>1977833.5</v>
      </c>
      <c r="G19">
        <v>1.4510000000000001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-0.76699029126213569</v>
      </c>
      <c r="Q19">
        <f t="shared" ref="Q19" si="71">F19*P19</f>
        <v>-1516979.0922330092</v>
      </c>
      <c r="R19">
        <f t="shared" ref="R19" si="72">R20+Q19</f>
        <v>-63808237.145415269</v>
      </c>
      <c r="S19">
        <f t="shared" ref="S19" si="73">R19/100000</f>
        <v>-638.08237145415274</v>
      </c>
      <c r="T19">
        <f t="shared" ref="T19" si="74">S19/1000</f>
        <v>-0.6380823714541527</v>
      </c>
    </row>
    <row r="20" spans="1:20" x14ac:dyDescent="0.25">
      <c r="A20" s="5">
        <v>44573</v>
      </c>
      <c r="B20">
        <v>1.3979999999999999</v>
      </c>
      <c r="C20">
        <v>1.5</v>
      </c>
      <c r="D20">
        <v>1.3959999999999999</v>
      </c>
      <c r="E20">
        <v>1.49</v>
      </c>
      <c r="F20">
        <v>1775875.6</v>
      </c>
      <c r="G20">
        <v>1.49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0.80769230769230771</v>
      </c>
      <c r="Q20">
        <f t="shared" ref="Q20" si="76">F20*P20</f>
        <v>1434361.0615384616</v>
      </c>
      <c r="R20">
        <f t="shared" ref="R20" si="77">R21+Q20</f>
        <v>-62291258.053182259</v>
      </c>
      <c r="S20">
        <f t="shared" ref="S20" si="78">R20/100000</f>
        <v>-622.91258053182264</v>
      </c>
      <c r="T20">
        <f t="shared" ref="T20" si="79">S20/1000</f>
        <v>-0.62291258053182263</v>
      </c>
    </row>
    <row r="21" spans="1:20" x14ac:dyDescent="0.25">
      <c r="A21" s="5">
        <v>44572</v>
      </c>
      <c r="B21">
        <v>1.3280000000000001</v>
      </c>
      <c r="C21">
        <v>1.43</v>
      </c>
      <c r="D21">
        <v>1.3140000000000001</v>
      </c>
      <c r="E21">
        <v>1.3979999999999999</v>
      </c>
      <c r="F21">
        <v>1889486</v>
      </c>
      <c r="G21">
        <v>1.3979999999999999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0.44827586206896447</v>
      </c>
      <c r="Q21">
        <f t="shared" ref="Q21" si="81">F21*P21</f>
        <v>847010.96551723941</v>
      </c>
      <c r="R21">
        <f t="shared" ref="R21" si="82">R22+Q21</f>
        <v>-63725619.114720717</v>
      </c>
      <c r="S21">
        <f t="shared" ref="S21" si="83">R21/100000</f>
        <v>-637.25619114720712</v>
      </c>
      <c r="T21">
        <f t="shared" ref="T21" si="84">S21/1000</f>
        <v>-0.63725619114720711</v>
      </c>
    </row>
    <row r="22" spans="1:20" x14ac:dyDescent="0.25">
      <c r="A22" s="5">
        <v>44571</v>
      </c>
      <c r="B22">
        <v>1.36</v>
      </c>
      <c r="C22">
        <v>1.3879999999999999</v>
      </c>
      <c r="D22">
        <v>1.24</v>
      </c>
      <c r="E22">
        <v>1.327</v>
      </c>
      <c r="F22">
        <v>2917635.7</v>
      </c>
      <c r="G22">
        <v>1.327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0.17567567567567594</v>
      </c>
      <c r="Q22">
        <f t="shared" ref="Q22" si="86">F22*P22</f>
        <v>512557.62297297374</v>
      </c>
      <c r="R22">
        <f t="shared" ref="R22" si="87">R23+Q22</f>
        <v>-64572630.080237955</v>
      </c>
      <c r="S22">
        <f t="shared" ref="S22" si="88">R22/100000</f>
        <v>-645.72630080237957</v>
      </c>
      <c r="T22">
        <f t="shared" ref="T22" si="89">S22/1000</f>
        <v>-0.64572630080237958</v>
      </c>
    </row>
    <row r="23" spans="1:20" x14ac:dyDescent="0.25">
      <c r="A23" s="5">
        <v>44570</v>
      </c>
      <c r="B23">
        <v>1.377</v>
      </c>
      <c r="C23">
        <v>1.421</v>
      </c>
      <c r="D23">
        <v>1.337</v>
      </c>
      <c r="E23">
        <v>1.36</v>
      </c>
      <c r="F23">
        <v>2590629.7000000002</v>
      </c>
      <c r="G23">
        <v>1.36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-0.45238095238094972</v>
      </c>
      <c r="Q23">
        <f t="shared" ref="Q23" si="91">F23*P23</f>
        <v>-1171951.5309523742</v>
      </c>
      <c r="R23">
        <f t="shared" ref="R23" si="92">R24+Q23</f>
        <v>-65085187.703210928</v>
      </c>
      <c r="S23">
        <f t="shared" ref="S23" si="93">R23/100000</f>
        <v>-650.85187703210931</v>
      </c>
      <c r="T23">
        <f t="shared" ref="T23" si="94">S23/1000</f>
        <v>-0.65085187703210934</v>
      </c>
    </row>
    <row r="24" spans="1:20" x14ac:dyDescent="0.25">
      <c r="A24" s="5">
        <v>44569</v>
      </c>
      <c r="B24">
        <v>1.506</v>
      </c>
      <c r="C24">
        <v>1.55</v>
      </c>
      <c r="D24">
        <v>1.34</v>
      </c>
      <c r="E24">
        <v>1.377</v>
      </c>
      <c r="F24">
        <v>3300715.5</v>
      </c>
      <c r="G24">
        <v>1.377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-0.64761904761904832</v>
      </c>
      <c r="Q24">
        <f t="shared" ref="Q24" si="96">F24*P24</f>
        <v>-2137606.2285714308</v>
      </c>
      <c r="R24">
        <f t="shared" ref="R24" si="97">R25+Q24</f>
        <v>-63913236.172258556</v>
      </c>
      <c r="S24">
        <f t="shared" ref="S24" si="98">R24/100000</f>
        <v>-639.13236172258553</v>
      </c>
      <c r="T24">
        <f t="shared" ref="T24" si="99">S24/1000</f>
        <v>-0.63913236172258547</v>
      </c>
    </row>
    <row r="25" spans="1:20" x14ac:dyDescent="0.25">
      <c r="A25" s="5">
        <v>44568</v>
      </c>
      <c r="B25">
        <v>1.5369999999999999</v>
      </c>
      <c r="C25">
        <v>1.544</v>
      </c>
      <c r="D25">
        <v>1.3939999999999999</v>
      </c>
      <c r="E25">
        <v>1.506</v>
      </c>
      <c r="F25">
        <v>2428688</v>
      </c>
      <c r="G25">
        <v>1.506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0.49333333333333335</v>
      </c>
      <c r="Q25">
        <f t="shared" ref="Q25" si="101">F25*P25</f>
        <v>1198152.7466666666</v>
      </c>
      <c r="R25">
        <f t="shared" ref="R25" si="102">R26+Q25</f>
        <v>-61775629.943687126</v>
      </c>
      <c r="S25">
        <f t="shared" ref="S25" si="103">R25/100000</f>
        <v>-617.75629943687125</v>
      </c>
      <c r="T25">
        <f t="shared" ref="T25" si="104">S25/1000</f>
        <v>-0.61775629943687127</v>
      </c>
    </row>
    <row r="26" spans="1:20" x14ac:dyDescent="0.25">
      <c r="A26" s="5">
        <v>44567</v>
      </c>
      <c r="B26">
        <v>1.5329999999999999</v>
      </c>
      <c r="C26">
        <v>1.552</v>
      </c>
      <c r="D26">
        <v>1.4470000000000001</v>
      </c>
      <c r="E26">
        <v>1.5369999999999999</v>
      </c>
      <c r="F26">
        <v>2321238</v>
      </c>
      <c r="G26">
        <v>1.5369999999999999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0.71428571428571186</v>
      </c>
      <c r="Q26">
        <f t="shared" ref="Q26" si="106">F26*P26</f>
        <v>1658027.1428571371</v>
      </c>
      <c r="R26">
        <f t="shared" ref="R26" si="107">R27+Q26</f>
        <v>-62973782.690353796</v>
      </c>
      <c r="S26">
        <f t="shared" ref="S26" si="108">R26/100000</f>
        <v>-629.73782690353801</v>
      </c>
      <c r="T26">
        <f t="shared" ref="T26" si="109">S26/1000</f>
        <v>-0.62973782690353797</v>
      </c>
    </row>
    <row r="27" spans="1:20" x14ac:dyDescent="0.25">
      <c r="A27" s="5">
        <v>44566</v>
      </c>
      <c r="B27">
        <v>1.6779999999999999</v>
      </c>
      <c r="C27">
        <v>1.7849999999999999</v>
      </c>
      <c r="D27">
        <v>1.44</v>
      </c>
      <c r="E27">
        <v>1.5329999999999999</v>
      </c>
      <c r="F27">
        <v>3949916.8</v>
      </c>
      <c r="G27">
        <v>1.5329999999999999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-0.46086956521739142</v>
      </c>
      <c r="Q27">
        <f t="shared" ref="Q27" si="111">F27*P27</f>
        <v>-1820396.4382608698</v>
      </c>
      <c r="R27">
        <f t="shared" ref="R27" si="112">R28+Q27</f>
        <v>-64631809.83321093</v>
      </c>
      <c r="S27">
        <f t="shared" ref="S27" si="113">R27/100000</f>
        <v>-646.31809833210934</v>
      </c>
      <c r="T27">
        <f t="shared" ref="T27" si="114">S27/1000</f>
        <v>-0.64631809833210929</v>
      </c>
    </row>
    <row r="28" spans="1:20" x14ac:dyDescent="0.25">
      <c r="A28" s="5">
        <v>44565</v>
      </c>
      <c r="B28">
        <v>1.6819999999999999</v>
      </c>
      <c r="C28">
        <v>1.8089999999999999</v>
      </c>
      <c r="D28">
        <v>1.637</v>
      </c>
      <c r="E28">
        <v>1.6779999999999999</v>
      </c>
      <c r="F28">
        <v>2490594.9</v>
      </c>
      <c r="G28">
        <v>1.6779999999999999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-0.52325581395348908</v>
      </c>
      <c r="Q28">
        <f t="shared" ref="Q28" si="116">F28*P28</f>
        <v>-1303218.2616279088</v>
      </c>
      <c r="R28">
        <f t="shared" ref="R28" si="117">R29+Q28</f>
        <v>-62811413.394950062</v>
      </c>
      <c r="S28">
        <f t="shared" ref="S28" si="118">R28/100000</f>
        <v>-628.11413394950057</v>
      </c>
      <c r="T28">
        <f t="shared" ref="T28" si="119">S28/1000</f>
        <v>-0.62811413394950055</v>
      </c>
    </row>
    <row r="29" spans="1:20" x14ac:dyDescent="0.25">
      <c r="A29" s="5">
        <v>44564</v>
      </c>
      <c r="B29">
        <v>1.7749999999999999</v>
      </c>
      <c r="C29">
        <v>1.83</v>
      </c>
      <c r="D29">
        <v>1.63</v>
      </c>
      <c r="E29">
        <v>1.6819999999999999</v>
      </c>
      <c r="F29">
        <v>2560508.2999999998</v>
      </c>
      <c r="G29">
        <v>1.6819999999999999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-0.48</v>
      </c>
      <c r="Q29">
        <f t="shared" ref="Q29" si="121">F29*P29</f>
        <v>-1229043.9839999999</v>
      </c>
      <c r="R29">
        <f t="shared" ref="R29" si="122">R30+Q29</f>
        <v>-61508195.13332215</v>
      </c>
      <c r="S29">
        <f t="shared" ref="S29" si="123">R29/100000</f>
        <v>-615.08195133322147</v>
      </c>
      <c r="T29">
        <f t="shared" ref="T29" si="124">S29/1000</f>
        <v>-0.61508195133322152</v>
      </c>
    </row>
    <row r="30" spans="1:20" x14ac:dyDescent="0.25">
      <c r="A30" s="5">
        <v>44563</v>
      </c>
      <c r="B30">
        <v>1.75</v>
      </c>
      <c r="C30">
        <v>1.7889999999999999</v>
      </c>
      <c r="D30">
        <v>1.69</v>
      </c>
      <c r="E30">
        <v>1.776</v>
      </c>
      <c r="F30">
        <v>1744837.3</v>
      </c>
      <c r="G30">
        <v>1.776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0.73737373737373935</v>
      </c>
      <c r="Q30">
        <f t="shared" ref="Q30" si="126">F30*P30</f>
        <v>1286597.2010101045</v>
      </c>
      <c r="R30">
        <f t="shared" ref="R30" si="127">R31+Q30</f>
        <v>-60279151.149322152</v>
      </c>
      <c r="S30">
        <f t="shared" ref="S30" si="128">R30/100000</f>
        <v>-602.79151149322149</v>
      </c>
      <c r="T30">
        <f t="shared" ref="T30" si="129">S30/1000</f>
        <v>-0.60279151149322152</v>
      </c>
    </row>
    <row r="31" spans="1:20" x14ac:dyDescent="0.25">
      <c r="A31" s="5">
        <v>44562</v>
      </c>
      <c r="B31">
        <v>1.633</v>
      </c>
      <c r="C31">
        <v>1.7589999999999999</v>
      </c>
      <c r="D31">
        <v>1.633</v>
      </c>
      <c r="E31">
        <v>1.748</v>
      </c>
      <c r="F31">
        <v>1280044.5</v>
      </c>
      <c r="G31">
        <v>1.748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0.82539682539682691</v>
      </c>
      <c r="Q31">
        <f t="shared" ref="Q31" si="131">F31*P31</f>
        <v>1056544.6666666686</v>
      </c>
      <c r="R31">
        <f t="shared" ref="R31" si="132">R32+Q31</f>
        <v>-61565748.35033226</v>
      </c>
      <c r="S31">
        <f t="shared" ref="S31" si="133">R31/100000</f>
        <v>-615.65748350332262</v>
      </c>
      <c r="T31">
        <f t="shared" ref="T31" si="134">S31/1000</f>
        <v>-0.61565748350332261</v>
      </c>
    </row>
    <row r="32" spans="1:20" x14ac:dyDescent="0.25">
      <c r="A32" s="5">
        <v>44561</v>
      </c>
      <c r="B32">
        <v>1.6240000000000001</v>
      </c>
      <c r="C32">
        <v>1.714</v>
      </c>
      <c r="D32">
        <v>1.603</v>
      </c>
      <c r="E32">
        <v>1.6339999999999999</v>
      </c>
      <c r="F32">
        <v>2487072.9</v>
      </c>
      <c r="G32">
        <v>1.6339999999999999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-0.44144144144144287</v>
      </c>
      <c r="Q32">
        <f t="shared" ref="Q32" si="136">F32*P32</f>
        <v>-1097897.0459459494</v>
      </c>
      <c r="R32">
        <f t="shared" ref="R32" si="137">R33+Q32</f>
        <v>-62622293.016998932</v>
      </c>
      <c r="S32">
        <f t="shared" ref="S32" si="138">R32/100000</f>
        <v>-626.22293016998935</v>
      </c>
      <c r="T32">
        <f t="shared" ref="T32" si="139">S32/1000</f>
        <v>-0.62622293016998931</v>
      </c>
    </row>
    <row r="33" spans="1:20" x14ac:dyDescent="0.25">
      <c r="A33" s="5">
        <v>44560</v>
      </c>
      <c r="B33">
        <v>1.591</v>
      </c>
      <c r="C33">
        <v>1.647</v>
      </c>
      <c r="D33">
        <v>1.5349999999999999</v>
      </c>
      <c r="E33">
        <v>1.6240000000000001</v>
      </c>
      <c r="F33">
        <v>2024585.4</v>
      </c>
      <c r="G33">
        <v>1.6240000000000001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0.5892857142857163</v>
      </c>
      <c r="Q33">
        <f t="shared" ref="Q33" si="141">F33*P33</f>
        <v>1193059.2535714325</v>
      </c>
      <c r="R33">
        <f t="shared" ref="R33" si="142">R34+Q33</f>
        <v>-61524395.971052982</v>
      </c>
      <c r="S33">
        <f t="shared" ref="S33" si="143">R33/100000</f>
        <v>-615.24395971052979</v>
      </c>
      <c r="T33">
        <f t="shared" ref="T33" si="144">S33/1000</f>
        <v>-0.61524395971052981</v>
      </c>
    </row>
    <row r="34" spans="1:20" x14ac:dyDescent="0.25">
      <c r="A34" s="5">
        <v>44559</v>
      </c>
      <c r="B34">
        <v>1.6639999999999999</v>
      </c>
      <c r="C34">
        <v>1.72</v>
      </c>
      <c r="D34">
        <v>1.552</v>
      </c>
      <c r="E34">
        <v>1.589</v>
      </c>
      <c r="F34">
        <v>3888703</v>
      </c>
      <c r="G34">
        <v>1.589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-0.55952380952381031</v>
      </c>
      <c r="Q34">
        <f t="shared" ref="Q34" si="146">F34*P34</f>
        <v>-2175821.9166666698</v>
      </c>
      <c r="R34">
        <f t="shared" ref="R34" si="147">R35+Q34</f>
        <v>-62717455.224624418</v>
      </c>
      <c r="S34">
        <f t="shared" ref="S34" si="148">R34/100000</f>
        <v>-627.17455224624416</v>
      </c>
      <c r="T34">
        <f t="shared" ref="T34" si="149">S34/1000</f>
        <v>-0.62717455224624419</v>
      </c>
    </row>
    <row r="35" spans="1:20" x14ac:dyDescent="0.25">
      <c r="A35" s="5">
        <v>44558</v>
      </c>
      <c r="B35">
        <v>1.883</v>
      </c>
      <c r="C35">
        <v>1.885</v>
      </c>
      <c r="D35">
        <v>1.64</v>
      </c>
      <c r="E35">
        <v>1.6639999999999999</v>
      </c>
      <c r="F35">
        <v>6231413.5999999996</v>
      </c>
      <c r="G35">
        <v>1.6639999999999999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-0.8040816326530611</v>
      </c>
      <c r="Q35">
        <f t="shared" ref="Q35" si="151">F35*P35</f>
        <v>-5010565.2212244887</v>
      </c>
      <c r="R35">
        <f t="shared" ref="R35" si="152">R36+Q35</f>
        <v>-60541633.307957746</v>
      </c>
      <c r="S35">
        <f t="shared" ref="S35" si="153">R35/100000</f>
        <v>-605.4163330795775</v>
      </c>
      <c r="T35">
        <f t="shared" ref="T35" si="154">S35/1000</f>
        <v>-0.60541633307957754</v>
      </c>
    </row>
    <row r="36" spans="1:20" x14ac:dyDescent="0.25">
      <c r="A36" s="5">
        <v>44557</v>
      </c>
      <c r="B36">
        <v>1.9430000000000001</v>
      </c>
      <c r="C36">
        <v>2.0249999999999999</v>
      </c>
      <c r="D36">
        <v>1.865</v>
      </c>
      <c r="E36">
        <v>1.8839999999999999</v>
      </c>
      <c r="F36">
        <v>2837529.4</v>
      </c>
      <c r="G36">
        <v>1.8839999999999999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-0.76250000000000107</v>
      </c>
      <c r="Q36">
        <f t="shared" ref="Q36" si="156">F36*P36</f>
        <v>-2163616.1675000028</v>
      </c>
      <c r="R36">
        <f t="shared" ref="R36" si="157">R37+Q36</f>
        <v>-55531068.086733259</v>
      </c>
      <c r="S36">
        <f t="shared" ref="S36" si="158">R36/100000</f>
        <v>-555.31068086733262</v>
      </c>
      <c r="T36">
        <f t="shared" ref="T36" si="159">S36/1000</f>
        <v>-0.5553106808673326</v>
      </c>
    </row>
    <row r="37" spans="1:20" x14ac:dyDescent="0.25">
      <c r="A37" s="5">
        <v>44556</v>
      </c>
      <c r="B37">
        <v>1.9510000000000001</v>
      </c>
      <c r="C37">
        <v>1.962</v>
      </c>
      <c r="D37">
        <v>1.8520000000000001</v>
      </c>
      <c r="E37">
        <v>1.9419999999999999</v>
      </c>
      <c r="F37">
        <v>2454941.7999999998</v>
      </c>
      <c r="G37">
        <v>1.9419999999999999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0.63636363636363558</v>
      </c>
      <c r="Q37">
        <f t="shared" ref="Q37" si="161">F37*P37</f>
        <v>1562235.6909090888</v>
      </c>
      <c r="R37">
        <f t="shared" ref="R37" si="162">R38+Q37</f>
        <v>-53367451.919233255</v>
      </c>
      <c r="S37">
        <f t="shared" ref="S37" si="163">R37/100000</f>
        <v>-533.67451919233258</v>
      </c>
      <c r="T37">
        <f t="shared" ref="T37" si="164">S37/1000</f>
        <v>-0.53367451919233255</v>
      </c>
    </row>
    <row r="38" spans="1:20" x14ac:dyDescent="0.25">
      <c r="A38" s="5">
        <v>44555</v>
      </c>
      <c r="B38">
        <v>2</v>
      </c>
      <c r="C38">
        <v>2.0379999999999998</v>
      </c>
      <c r="D38">
        <v>1.91</v>
      </c>
      <c r="E38">
        <v>1.952</v>
      </c>
      <c r="F38">
        <v>2620184.6</v>
      </c>
      <c r="G38">
        <v>1.952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-0.34374999999999883</v>
      </c>
      <c r="Q38">
        <f t="shared" ref="Q38" si="166">F38*P38</f>
        <v>-900688.45624999702</v>
      </c>
      <c r="R38">
        <f t="shared" ref="R38" si="167">R39+Q38</f>
        <v>-54929687.610142343</v>
      </c>
      <c r="S38">
        <f t="shared" ref="S38" si="168">R38/100000</f>
        <v>-549.29687610142344</v>
      </c>
      <c r="T38">
        <f t="shared" ref="T38" si="169">S38/1000</f>
        <v>-0.54929687610142341</v>
      </c>
    </row>
    <row r="39" spans="1:20" x14ac:dyDescent="0.25">
      <c r="A39" s="5">
        <v>44554</v>
      </c>
      <c r="B39">
        <v>1.9830000000000001</v>
      </c>
      <c r="C39">
        <v>2.1850000000000001</v>
      </c>
      <c r="D39">
        <v>1.956</v>
      </c>
      <c r="E39">
        <v>1.9990000000000001</v>
      </c>
      <c r="F39">
        <v>6257762.0999999996</v>
      </c>
      <c r="G39">
        <v>1.9990000000000001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-0.62445414847161462</v>
      </c>
      <c r="Q39">
        <f t="shared" ref="Q39" si="171">F39*P39</f>
        <v>-3907685.5034934427</v>
      </c>
      <c r="R39">
        <f t="shared" ref="R39" si="172">R40+Q39</f>
        <v>-54028999.153892346</v>
      </c>
      <c r="S39">
        <f t="shared" ref="S39" si="173">R39/100000</f>
        <v>-540.28999153892346</v>
      </c>
      <c r="T39">
        <f t="shared" ref="T39" si="174">S39/1000</f>
        <v>-0.54028999153892343</v>
      </c>
    </row>
    <row r="40" spans="1:20" x14ac:dyDescent="0.25">
      <c r="A40" s="5">
        <v>44553</v>
      </c>
      <c r="B40">
        <v>1.8009999999999999</v>
      </c>
      <c r="C40">
        <v>2.0059999999999998</v>
      </c>
      <c r="D40">
        <v>1.7549999999999999</v>
      </c>
      <c r="E40">
        <v>1.9830000000000001</v>
      </c>
      <c r="F40">
        <v>4494853.9000000004</v>
      </c>
      <c r="G40">
        <v>1.9830000000000001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0.81673306772908605</v>
      </c>
      <c r="Q40">
        <f t="shared" ref="Q40" si="176">F40*P40</f>
        <v>3671095.8147410471</v>
      </c>
      <c r="R40">
        <f t="shared" ref="R40" si="177">R41+Q40</f>
        <v>-50121313.650398903</v>
      </c>
      <c r="S40">
        <f t="shared" ref="S40" si="178">R40/100000</f>
        <v>-501.21313650398901</v>
      </c>
      <c r="T40">
        <f t="shared" ref="T40" si="179">S40/1000</f>
        <v>-0.50121313650398902</v>
      </c>
    </row>
    <row r="41" spans="1:20" x14ac:dyDescent="0.25">
      <c r="A41" s="5">
        <v>44552</v>
      </c>
      <c r="B41">
        <v>1.7769999999999999</v>
      </c>
      <c r="C41">
        <v>1.87</v>
      </c>
      <c r="D41">
        <v>1.738</v>
      </c>
      <c r="E41">
        <v>1.8009999999999999</v>
      </c>
      <c r="F41">
        <v>3113843.1</v>
      </c>
      <c r="G41">
        <v>1.8009999999999999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-4.5454545454547135E-2</v>
      </c>
      <c r="Q41">
        <f t="shared" ref="Q41" si="181">F41*P41</f>
        <v>-141538.32272727796</v>
      </c>
      <c r="R41">
        <f t="shared" ref="R41" si="182">R42+Q41</f>
        <v>-53792409.465139948</v>
      </c>
      <c r="S41">
        <f t="shared" ref="S41" si="183">R41/100000</f>
        <v>-537.92409465139951</v>
      </c>
      <c r="T41">
        <f t="shared" ref="T41" si="184">S41/1000</f>
        <v>-0.53792409465139956</v>
      </c>
    </row>
    <row r="42" spans="1:20" x14ac:dyDescent="0.25">
      <c r="A42" s="5">
        <v>44551</v>
      </c>
      <c r="B42">
        <v>1.67</v>
      </c>
      <c r="C42">
        <v>1.8080000000000001</v>
      </c>
      <c r="D42">
        <v>1.6479999999999999</v>
      </c>
      <c r="E42">
        <v>1.776</v>
      </c>
      <c r="F42">
        <v>1927750.3</v>
      </c>
      <c r="G42">
        <v>1.776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0.6</v>
      </c>
      <c r="Q42">
        <f t="shared" ref="Q42" si="186">F42*P42</f>
        <v>1156650.18</v>
      </c>
      <c r="R42">
        <f t="shared" ref="R42" si="187">R43+Q42</f>
        <v>-53650871.14241267</v>
      </c>
      <c r="S42">
        <f t="shared" ref="S42" si="188">R42/100000</f>
        <v>-536.50871142412666</v>
      </c>
      <c r="T42">
        <f t="shared" ref="T42" si="189">S42/1000</f>
        <v>-0.53650871142412671</v>
      </c>
    </row>
    <row r="43" spans="1:20" x14ac:dyDescent="0.25">
      <c r="A43" s="5">
        <v>44550</v>
      </c>
      <c r="B43">
        <v>1.754</v>
      </c>
      <c r="C43">
        <v>1.8180000000000001</v>
      </c>
      <c r="D43">
        <v>1.605</v>
      </c>
      <c r="E43">
        <v>1.671</v>
      </c>
      <c r="F43">
        <v>3131050.9</v>
      </c>
      <c r="G43">
        <v>1.671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-0.38028169014084473</v>
      </c>
      <c r="Q43">
        <f t="shared" ref="Q43" si="191">F43*P43</f>
        <v>-1190681.3281690129</v>
      </c>
      <c r="R43">
        <f t="shared" ref="R43" si="192">R44+Q43</f>
        <v>-54807521.32241267</v>
      </c>
      <c r="S43">
        <f t="shared" ref="S43" si="193">R43/100000</f>
        <v>-548.07521322412674</v>
      </c>
      <c r="T43">
        <f t="shared" ref="T43" si="194">S43/1000</f>
        <v>-0.54807521322412678</v>
      </c>
    </row>
    <row r="44" spans="1:20" x14ac:dyDescent="0.25">
      <c r="A44" s="5">
        <v>44549</v>
      </c>
      <c r="B44">
        <v>1.746</v>
      </c>
      <c r="C44">
        <v>1.845</v>
      </c>
      <c r="D44">
        <v>1.716</v>
      </c>
      <c r="E44">
        <v>1.7549999999999999</v>
      </c>
      <c r="F44">
        <v>2969925.7</v>
      </c>
      <c r="G44">
        <v>1.7549999999999999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-0.39534883720930353</v>
      </c>
      <c r="Q44">
        <f t="shared" ref="Q44" si="196">F44*P44</f>
        <v>-1174156.6720930268</v>
      </c>
      <c r="R44">
        <f t="shared" ref="R44" si="197">R45+Q44</f>
        <v>-53616839.994243659</v>
      </c>
      <c r="S44">
        <f t="shared" ref="S44" si="198">R44/100000</f>
        <v>-536.16839994243662</v>
      </c>
      <c r="T44">
        <f t="shared" ref="T44" si="199">S44/1000</f>
        <v>-0.53616839994243659</v>
      </c>
    </row>
    <row r="45" spans="1:20" x14ac:dyDescent="0.25">
      <c r="A45" s="5">
        <v>44548</v>
      </c>
      <c r="B45">
        <v>1.7450000000000001</v>
      </c>
      <c r="C45">
        <v>1.9</v>
      </c>
      <c r="D45">
        <v>1.6619999999999999</v>
      </c>
      <c r="E45">
        <v>1.7450000000000001</v>
      </c>
      <c r="F45">
        <v>4528660.3</v>
      </c>
      <c r="G45">
        <v>1.7450000000000001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-0.30252100840335977</v>
      </c>
      <c r="Q45">
        <f t="shared" ref="Q45" si="201">F45*P45</f>
        <v>-1370014.8806722618</v>
      </c>
      <c r="R45">
        <f t="shared" ref="R45" si="202">R46+Q45</f>
        <v>-52442683.322150633</v>
      </c>
      <c r="S45">
        <f t="shared" ref="S45" si="203">R45/100000</f>
        <v>-524.42683322150629</v>
      </c>
      <c r="T45">
        <f t="shared" ref="T45" si="204">S45/1000</f>
        <v>-0.52442683322150629</v>
      </c>
    </row>
    <row r="46" spans="1:20" x14ac:dyDescent="0.25">
      <c r="A46" s="5">
        <v>44547</v>
      </c>
      <c r="B46">
        <v>1.746</v>
      </c>
      <c r="C46">
        <v>1.76</v>
      </c>
      <c r="D46">
        <v>1.5740000000000001</v>
      </c>
      <c r="E46">
        <v>1.7430000000000001</v>
      </c>
      <c r="F46">
        <v>3324265.1</v>
      </c>
      <c r="G46">
        <v>1.7430000000000001</v>
      </c>
      <c r="L46" t="s">
        <v>7</v>
      </c>
      <c r="M46" t="s">
        <v>8</v>
      </c>
      <c r="N46" t="s">
        <v>8</v>
      </c>
      <c r="P46">
        <f t="shared" ref="P46" si="205">IF(C46=D46,0,((E46-D46)-(C46-E46))/(C46-D46))</f>
        <v>0.81720430107526976</v>
      </c>
      <c r="Q46">
        <f t="shared" ref="Q46" si="206">F46*P46</f>
        <v>2716603.737634412</v>
      </c>
      <c r="R46">
        <f t="shared" ref="R46" si="207">R47+Q46</f>
        <v>-51072668.441478372</v>
      </c>
      <c r="S46">
        <f t="shared" ref="S46" si="208">R46/100000</f>
        <v>-510.72668441478373</v>
      </c>
      <c r="T46">
        <f t="shared" ref="T46" si="209">S46/1000</f>
        <v>-0.51072668441478375</v>
      </c>
    </row>
    <row r="47" spans="1:20" x14ac:dyDescent="0.25">
      <c r="A47" s="5">
        <v>44546</v>
      </c>
      <c r="B47">
        <v>1.671</v>
      </c>
      <c r="C47">
        <v>1.81</v>
      </c>
      <c r="D47">
        <v>1.661</v>
      </c>
      <c r="E47">
        <v>1.7470000000000001</v>
      </c>
      <c r="F47">
        <v>3647588</v>
      </c>
      <c r="G47">
        <v>1.7470000000000001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0.15436241610738341</v>
      </c>
      <c r="Q47">
        <f t="shared" ref="Q47" si="211">F47*P47</f>
        <v>563050.49664429843</v>
      </c>
      <c r="R47">
        <f t="shared" ref="R47" si="212">R48+Q47</f>
        <v>-53789272.179112785</v>
      </c>
      <c r="S47">
        <f t="shared" ref="S47" si="213">R47/100000</f>
        <v>-537.89272179112788</v>
      </c>
      <c r="T47">
        <f t="shared" ref="T47" si="214">S47/1000</f>
        <v>-0.5378927217911279</v>
      </c>
    </row>
    <row r="48" spans="1:20" x14ac:dyDescent="0.25">
      <c r="A48" s="5">
        <v>44545</v>
      </c>
      <c r="B48">
        <v>1.583</v>
      </c>
      <c r="C48">
        <v>1.722</v>
      </c>
      <c r="D48">
        <v>1.502</v>
      </c>
      <c r="E48">
        <v>1.6719999999999999</v>
      </c>
      <c r="F48">
        <v>6068045.7000000002</v>
      </c>
      <c r="G48">
        <v>1.6719999999999999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0.54545454545454497</v>
      </c>
      <c r="Q48">
        <f t="shared" ref="Q48" si="216">F48*P48</f>
        <v>3309843.1090909061</v>
      </c>
      <c r="R48">
        <f t="shared" ref="R48" si="217">R49+Q48</f>
        <v>-54352322.67575708</v>
      </c>
      <c r="S48">
        <f t="shared" ref="S48" si="218">R48/100000</f>
        <v>-543.5232267575708</v>
      </c>
      <c r="T48">
        <f t="shared" ref="T48" si="219">S48/1000</f>
        <v>-0.54352322675757081</v>
      </c>
    </row>
    <row r="49" spans="1:20" x14ac:dyDescent="0.25">
      <c r="A49" s="5">
        <v>44544</v>
      </c>
      <c r="B49">
        <v>1.51</v>
      </c>
      <c r="C49">
        <v>1.609</v>
      </c>
      <c r="D49">
        <v>1.48</v>
      </c>
      <c r="E49">
        <v>1.583</v>
      </c>
      <c r="F49">
        <v>3315650.2</v>
      </c>
      <c r="G49">
        <v>1.583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0.59689922480620117</v>
      </c>
      <c r="Q49">
        <f t="shared" ref="Q49" si="221">F49*P49</f>
        <v>1979109.0341085261</v>
      </c>
      <c r="R49">
        <f t="shared" ref="R49" si="222">R50+Q49</f>
        <v>-57662165.78484799</v>
      </c>
      <c r="S49">
        <f t="shared" ref="S49" si="223">R49/100000</f>
        <v>-576.62165784847991</v>
      </c>
      <c r="T49">
        <f t="shared" ref="T49" si="224">S49/1000</f>
        <v>-0.57662165784847996</v>
      </c>
    </row>
    <row r="50" spans="1:20" x14ac:dyDescent="0.25">
      <c r="A50" s="5">
        <v>44543</v>
      </c>
      <c r="B50">
        <v>1.7470000000000001</v>
      </c>
      <c r="C50">
        <v>1.853</v>
      </c>
      <c r="D50">
        <v>1.4750000000000001</v>
      </c>
      <c r="E50">
        <v>1.51</v>
      </c>
      <c r="F50">
        <v>6414837.5999999996</v>
      </c>
      <c r="G50">
        <v>1.51</v>
      </c>
      <c r="L50" t="s">
        <v>8</v>
      </c>
      <c r="M50" t="s">
        <v>7</v>
      </c>
      <c r="N50" t="s">
        <v>8</v>
      </c>
      <c r="P50">
        <f t="shared" ref="P50" si="225">IF(C50=D50,0,((E50-D50)-(C50-E50))/(C50-D50))</f>
        <v>-0.81481481481481521</v>
      </c>
      <c r="Q50">
        <f t="shared" ref="Q50" si="226">F50*P50</f>
        <v>-5226904.7111111134</v>
      </c>
      <c r="R50">
        <f t="shared" ref="R50" si="227">R51+Q50</f>
        <v>-59641274.818956517</v>
      </c>
      <c r="S50">
        <f t="shared" ref="S50" si="228">R50/100000</f>
        <v>-596.41274818956515</v>
      </c>
      <c r="T50">
        <f t="shared" ref="T50" si="229">S50/1000</f>
        <v>-0.59641274818956513</v>
      </c>
    </row>
    <row r="51" spans="1:20" x14ac:dyDescent="0.25">
      <c r="A51" s="5">
        <v>44542</v>
      </c>
      <c r="B51">
        <v>1.6719999999999999</v>
      </c>
      <c r="C51">
        <v>1.7589999999999999</v>
      </c>
      <c r="D51">
        <v>1.6339999999999999</v>
      </c>
      <c r="E51">
        <v>1.748</v>
      </c>
      <c r="F51">
        <v>2773836.9</v>
      </c>
      <c r="G51">
        <v>1.748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0.82400000000000162</v>
      </c>
      <c r="Q51">
        <f t="shared" ref="Q51" si="231">F51*P51</f>
        <v>2285641.6056000046</v>
      </c>
      <c r="R51">
        <f t="shared" ref="R51" si="232">R52+Q51</f>
        <v>-54414370.107845403</v>
      </c>
      <c r="S51">
        <f t="shared" ref="S51" si="233">R51/100000</f>
        <v>-544.143701078454</v>
      </c>
      <c r="T51">
        <f t="shared" ref="T51" si="234">S51/1000</f>
        <v>-0.544143701078454</v>
      </c>
    </row>
    <row r="52" spans="1:20" x14ac:dyDescent="0.25">
      <c r="A52" s="5">
        <v>44541</v>
      </c>
      <c r="B52">
        <v>1.5880000000000001</v>
      </c>
      <c r="C52">
        <v>1.6850000000000001</v>
      </c>
      <c r="D52">
        <v>1.5820000000000001</v>
      </c>
      <c r="E52">
        <v>1.6619999999999999</v>
      </c>
      <c r="F52">
        <v>310802</v>
      </c>
      <c r="G52">
        <v>1.6619999999999999</v>
      </c>
      <c r="L52" t="s">
        <v>7</v>
      </c>
      <c r="M52" t="s">
        <v>8</v>
      </c>
      <c r="N52" t="s">
        <v>8</v>
      </c>
      <c r="P52">
        <f t="shared" ref="P52" si="235">IF(C52=D52,0,((E52-D52)-(C52-E52))/(C52-D52))</f>
        <v>0.5533980582524245</v>
      </c>
      <c r="Q52">
        <f t="shared" ref="Q52" si="236">F52*P52</f>
        <v>171997.22330097004</v>
      </c>
      <c r="R52">
        <f t="shared" ref="R52" si="237">R53+Q52</f>
        <v>-56700011.71344541</v>
      </c>
      <c r="S52">
        <f t="shared" ref="S52" si="238">R52/100000</f>
        <v>-567.00011713445406</v>
      </c>
      <c r="T52">
        <f t="shared" ref="T52" si="239">S52/1000</f>
        <v>-0.56700011713445408</v>
      </c>
    </row>
    <row r="53" spans="1:20" x14ac:dyDescent="0.25">
      <c r="A53" s="5">
        <v>44540</v>
      </c>
      <c r="B53">
        <v>1.528</v>
      </c>
      <c r="C53">
        <v>1.857</v>
      </c>
      <c r="D53">
        <v>1.528</v>
      </c>
      <c r="E53">
        <v>1.587</v>
      </c>
      <c r="F53">
        <v>11933749.199999999</v>
      </c>
      <c r="G53">
        <v>1.587</v>
      </c>
      <c r="L53" t="s">
        <v>8</v>
      </c>
      <c r="M53" t="s">
        <v>8</v>
      </c>
      <c r="N53" t="s">
        <v>8</v>
      </c>
      <c r="P53">
        <f t="shared" ref="P53" si="240">IF(C53=D53,0,((E53-D53)-(C53-E53))/(C53-D53))</f>
        <v>-0.64133738601823742</v>
      </c>
      <c r="Q53">
        <f t="shared" ref="Q53" si="241">F53*P53</f>
        <v>-7653559.5173252318</v>
      </c>
      <c r="R53">
        <f t="shared" ref="R53" si="242">R54+Q53</f>
        <v>-56872008.936746381</v>
      </c>
      <c r="S53">
        <f t="shared" ref="S53" si="243">R53/100000</f>
        <v>-568.72008936746386</v>
      </c>
      <c r="T53">
        <f t="shared" ref="T53" si="244">S53/1000</f>
        <v>-0.56872008936746388</v>
      </c>
    </row>
    <row r="54" spans="1:20" x14ac:dyDescent="0.25">
      <c r="A54" s="5">
        <v>44539</v>
      </c>
      <c r="B54">
        <v>1.643</v>
      </c>
      <c r="C54">
        <v>1.6990000000000001</v>
      </c>
      <c r="D54">
        <v>1.5209999999999999</v>
      </c>
      <c r="E54">
        <v>1.528</v>
      </c>
      <c r="F54">
        <v>4740756.0999999996</v>
      </c>
      <c r="G54">
        <v>1.528</v>
      </c>
      <c r="L54" t="s">
        <v>8</v>
      </c>
      <c r="M54" t="s">
        <v>7</v>
      </c>
      <c r="N54" t="s">
        <v>8</v>
      </c>
      <c r="P54">
        <f t="shared" ref="P54" si="245">IF(C54=D54,0,((E54-D54)-(C54-E54))/(C54-D54))</f>
        <v>-0.92134831460674027</v>
      </c>
      <c r="Q54">
        <f t="shared" ref="Q54" si="246">F54*P54</f>
        <v>-4367887.6426966228</v>
      </c>
      <c r="R54">
        <f t="shared" ref="R54" si="247">R55+Q54</f>
        <v>-49218449.419421151</v>
      </c>
      <c r="S54">
        <f t="shared" ref="S54" si="248">R54/100000</f>
        <v>-492.18449419421154</v>
      </c>
      <c r="T54">
        <f t="shared" ref="T54" si="249">S54/1000</f>
        <v>-0.49218449419421156</v>
      </c>
    </row>
    <row r="55" spans="1:20" x14ac:dyDescent="0.25">
      <c r="A55" s="5">
        <v>44538</v>
      </c>
      <c r="B55">
        <v>1.651</v>
      </c>
      <c r="C55">
        <v>1.6519999999999999</v>
      </c>
      <c r="D55">
        <v>1.514</v>
      </c>
      <c r="E55">
        <v>1.6379999999999999</v>
      </c>
      <c r="F55">
        <v>4838646.5999999996</v>
      </c>
      <c r="G55">
        <v>1.6379999999999999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0.79710144927536197</v>
      </c>
      <c r="Q55">
        <f t="shared" ref="Q55" si="251">F55*P55</f>
        <v>3856892.2173913023</v>
      </c>
      <c r="R55">
        <f t="shared" ref="R55" si="252">R56+Q55</f>
        <v>-44850561.776724525</v>
      </c>
      <c r="S55">
        <f t="shared" ref="S55" si="253">R55/100000</f>
        <v>-448.50561776724527</v>
      </c>
      <c r="T55">
        <f t="shared" ref="T55" si="254">S55/1000</f>
        <v>-0.44850561776724529</v>
      </c>
    </row>
    <row r="56" spans="1:20" x14ac:dyDescent="0.25">
      <c r="A56" s="5">
        <v>44537</v>
      </c>
      <c r="B56">
        <v>1.671</v>
      </c>
      <c r="C56">
        <v>1.78</v>
      </c>
      <c r="D56">
        <v>1.609</v>
      </c>
      <c r="E56">
        <v>1.649</v>
      </c>
      <c r="F56">
        <v>6656057.7999999998</v>
      </c>
      <c r="G56">
        <v>1.649</v>
      </c>
      <c r="L56" t="s">
        <v>7</v>
      </c>
      <c r="M56" t="s">
        <v>8</v>
      </c>
      <c r="N56" t="s">
        <v>8</v>
      </c>
      <c r="P56">
        <f t="shared" ref="P56" si="255">IF(C56=D56,0,((E56-D56)-(C56-E56))/(C56-D56))</f>
        <v>-0.53216374269005817</v>
      </c>
      <c r="Q56">
        <f t="shared" ref="Q56" si="256">F56*P56</f>
        <v>-3542112.6304093548</v>
      </c>
      <c r="R56">
        <f t="shared" ref="R56" si="257">R57+Q56</f>
        <v>-48707453.994115829</v>
      </c>
      <c r="S56">
        <f t="shared" ref="S56" si="258">R56/100000</f>
        <v>-487.07453994115832</v>
      </c>
      <c r="T56">
        <f t="shared" ref="T56" si="259">S56/1000</f>
        <v>-0.48707453994115835</v>
      </c>
    </row>
    <row r="57" spans="1:20" x14ac:dyDescent="0.25">
      <c r="A57" s="5">
        <v>44536</v>
      </c>
      <c r="B57">
        <v>1.5329999999999999</v>
      </c>
      <c r="C57">
        <v>1.7989999999999999</v>
      </c>
      <c r="D57">
        <v>1.4039999999999999</v>
      </c>
      <c r="E57">
        <v>1.673</v>
      </c>
      <c r="F57">
        <v>18572636.399999999</v>
      </c>
      <c r="G57">
        <v>1.673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0.3620253164556968</v>
      </c>
      <c r="Q57">
        <f t="shared" ref="Q57" si="261">F57*P57</f>
        <v>6723764.5701265931</v>
      </c>
      <c r="R57">
        <f t="shared" ref="R57" si="262">R58+Q57</f>
        <v>-45165341.363706477</v>
      </c>
      <c r="S57">
        <f t="shared" ref="S57" si="263">R57/100000</f>
        <v>-451.65341363706477</v>
      </c>
      <c r="T57">
        <f t="shared" ref="T57" si="264">S57/1000</f>
        <v>-0.45165341363706479</v>
      </c>
    </row>
    <row r="58" spans="1:20" x14ac:dyDescent="0.25">
      <c r="A58" s="5">
        <v>44535</v>
      </c>
      <c r="B58">
        <v>1.6890000000000001</v>
      </c>
      <c r="C58">
        <v>1.7390000000000001</v>
      </c>
      <c r="D58">
        <v>1.4670000000000001</v>
      </c>
      <c r="E58">
        <v>1.5329999999999999</v>
      </c>
      <c r="F58">
        <v>6410768.2000000002</v>
      </c>
      <c r="G58">
        <v>1.5329999999999999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-0.51470588235294246</v>
      </c>
      <c r="Q58">
        <f t="shared" ref="Q58" si="266">F58*P58</f>
        <v>-3299660.1029411848</v>
      </c>
      <c r="R58">
        <f t="shared" ref="R58" si="267">R59+Q58</f>
        <v>-51889105.93383307</v>
      </c>
      <c r="S58">
        <f t="shared" ref="S58" si="268">R58/100000</f>
        <v>-518.89105933833071</v>
      </c>
      <c r="T58">
        <f t="shared" ref="T58" si="269">S58/1000</f>
        <v>-0.51889105933833068</v>
      </c>
    </row>
    <row r="59" spans="1:20" x14ac:dyDescent="0.25">
      <c r="A59" s="5">
        <v>44534</v>
      </c>
      <c r="B59">
        <v>2.1190000000000002</v>
      </c>
      <c r="C59">
        <v>2.1619999999999999</v>
      </c>
      <c r="D59">
        <v>1.2</v>
      </c>
      <c r="E59">
        <v>1.6930000000000001</v>
      </c>
      <c r="F59">
        <v>14111854.140000001</v>
      </c>
      <c r="G59">
        <v>1.6930000000000001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2.4948024948025203E-2</v>
      </c>
      <c r="Q59">
        <f t="shared" ref="Q59" si="271">F59*P59</f>
        <v>352062.88914761273</v>
      </c>
      <c r="R59">
        <f t="shared" ref="R59" si="272">R60+Q59</f>
        <v>-48589445.830891885</v>
      </c>
      <c r="S59">
        <f t="shared" ref="S59" si="273">R59/100000</f>
        <v>-485.89445830891884</v>
      </c>
      <c r="T59">
        <f t="shared" ref="T59" si="274">S59/1000</f>
        <v>-0.48589445830891886</v>
      </c>
    </row>
    <row r="60" spans="1:20" x14ac:dyDescent="0.25">
      <c r="A60" s="5">
        <v>44533</v>
      </c>
      <c r="B60">
        <v>2.2839999999999998</v>
      </c>
      <c r="C60">
        <v>2.306</v>
      </c>
      <c r="D60">
        <v>2.0070000000000001</v>
      </c>
      <c r="E60">
        <v>2.129</v>
      </c>
      <c r="F60">
        <v>7313323.4000000004</v>
      </c>
      <c r="G60">
        <v>2.129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-0.18394648829431495</v>
      </c>
      <c r="Q60">
        <f t="shared" ref="Q60" si="276">F60*P60</f>
        <v>-1345260.1571906398</v>
      </c>
      <c r="R60">
        <f t="shared" ref="R60" si="277">R61+Q60</f>
        <v>-48941508.720039494</v>
      </c>
      <c r="S60">
        <f t="shared" ref="S60" si="278">R60/100000</f>
        <v>-489.41508720039496</v>
      </c>
      <c r="T60">
        <f t="shared" ref="T60" si="279">S60/1000</f>
        <v>-0.48941508720039495</v>
      </c>
    </row>
    <row r="61" spans="1:20" x14ac:dyDescent="0.25">
      <c r="A61" s="5">
        <v>44532</v>
      </c>
      <c r="B61">
        <v>2.5979999999999999</v>
      </c>
      <c r="C61">
        <v>2.66</v>
      </c>
      <c r="D61">
        <v>2.2709999999999999</v>
      </c>
      <c r="E61">
        <v>2.2839999999999998</v>
      </c>
      <c r="F61">
        <v>19708666</v>
      </c>
      <c r="G61">
        <v>2.2839999999999998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-0.93316195372750699</v>
      </c>
      <c r="Q61">
        <f t="shared" ref="Q61" si="281">F61*P61</f>
        <v>-18391377.26992289</v>
      </c>
      <c r="R61">
        <f t="shared" ref="R61" si="282">R62+Q61</f>
        <v>-47596248.562848851</v>
      </c>
      <c r="S61">
        <f t="shared" ref="S61" si="283">R61/100000</f>
        <v>-475.96248562848854</v>
      </c>
      <c r="T61">
        <f t="shared" ref="T61" si="284">S61/1000</f>
        <v>-0.47596248562848853</v>
      </c>
    </row>
    <row r="62" spans="1:20" x14ac:dyDescent="0.25">
      <c r="A62" s="5">
        <v>44531</v>
      </c>
      <c r="B62">
        <v>1.8640000000000001</v>
      </c>
      <c r="C62">
        <v>3.28</v>
      </c>
      <c r="D62">
        <v>1.8380000000000001</v>
      </c>
      <c r="E62">
        <v>2.5960000000000001</v>
      </c>
      <c r="F62">
        <v>101960435.28</v>
      </c>
      <c r="G62">
        <v>2.5960000000000001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5.1317614424410747E-2</v>
      </c>
      <c r="Q62">
        <f t="shared" ref="Q62" si="286">F62*P62</f>
        <v>5232366.3042441262</v>
      </c>
      <c r="R62">
        <f t="shared" ref="R62" si="287">R63+Q62</f>
        <v>-29204871.292925958</v>
      </c>
      <c r="S62">
        <f t="shared" ref="S62" si="288">R62/100000</f>
        <v>-292.04871292925958</v>
      </c>
      <c r="T62">
        <f t="shared" ref="T62" si="289">S62/1000</f>
        <v>-0.2920487129292596</v>
      </c>
    </row>
    <row r="63" spans="1:20" x14ac:dyDescent="0.25">
      <c r="A63" s="5">
        <v>44530</v>
      </c>
      <c r="B63">
        <v>1.7090000000000001</v>
      </c>
      <c r="C63">
        <v>1.9119999999999999</v>
      </c>
      <c r="D63">
        <v>1.6339999999999999</v>
      </c>
      <c r="E63">
        <v>1.8640000000000001</v>
      </c>
      <c r="F63">
        <v>4994015.2</v>
      </c>
      <c r="G63">
        <v>1.8640000000000001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0.65467625899280713</v>
      </c>
      <c r="Q63">
        <f t="shared" ref="Q63" si="291">F63*P63</f>
        <v>3269463.1884892154</v>
      </c>
      <c r="R63">
        <f t="shared" ref="R63" si="292">R64+Q63</f>
        <v>-34437237.597170085</v>
      </c>
      <c r="S63">
        <f t="shared" ref="S63" si="293">R63/100000</f>
        <v>-344.37237597170082</v>
      </c>
      <c r="T63">
        <f t="shared" ref="T63" si="294">S63/1000</f>
        <v>-0.34437237597170084</v>
      </c>
    </row>
    <row r="64" spans="1:20" x14ac:dyDescent="0.25">
      <c r="A64" s="5">
        <v>44529</v>
      </c>
      <c r="B64">
        <v>1.679</v>
      </c>
      <c r="C64">
        <v>1.7330000000000001</v>
      </c>
      <c r="D64">
        <v>1.6379999999999999</v>
      </c>
      <c r="E64">
        <v>1.71</v>
      </c>
      <c r="F64">
        <v>1806618</v>
      </c>
      <c r="G64">
        <v>1.71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0.5157894736842088</v>
      </c>
      <c r="Q64">
        <f t="shared" ref="Q64" si="296">F64*P64</f>
        <v>931834.54736841796</v>
      </c>
      <c r="R64">
        <f t="shared" ref="R64" si="297">R65+Q64</f>
        <v>-37706700.785659298</v>
      </c>
      <c r="S64">
        <f t="shared" ref="S64" si="298">R64/100000</f>
        <v>-377.06700785659297</v>
      </c>
      <c r="T64">
        <f t="shared" ref="T64" si="299">S64/1000</f>
        <v>-0.37706700785659297</v>
      </c>
    </row>
    <row r="65" spans="1:20" x14ac:dyDescent="0.25">
      <c r="A65" s="5">
        <v>44528</v>
      </c>
      <c r="B65">
        <v>1.6639999999999999</v>
      </c>
      <c r="C65">
        <v>1.6850000000000001</v>
      </c>
      <c r="D65">
        <v>1.55</v>
      </c>
      <c r="E65">
        <v>1.679</v>
      </c>
      <c r="F65">
        <v>2179266.4</v>
      </c>
      <c r="G65">
        <v>1.679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0.91111111111111098</v>
      </c>
      <c r="Q65">
        <f t="shared" ref="Q65" si="301">F65*P65</f>
        <v>1985553.8311111107</v>
      </c>
      <c r="R65">
        <f t="shared" ref="R65" si="302">R66+Q65</f>
        <v>-38638535.333027713</v>
      </c>
      <c r="S65">
        <f t="shared" ref="S65" si="303">R65/100000</f>
        <v>-386.38535333027716</v>
      </c>
      <c r="T65">
        <f t="shared" ref="T65" si="304">S65/1000</f>
        <v>-0.38638535333027718</v>
      </c>
    </row>
    <row r="66" spans="1:20" x14ac:dyDescent="0.25">
      <c r="A66" s="5">
        <v>44527</v>
      </c>
      <c r="B66">
        <v>1.6779999999999999</v>
      </c>
      <c r="C66">
        <v>1.7509999999999999</v>
      </c>
      <c r="D66">
        <v>1.6419999999999999</v>
      </c>
      <c r="E66">
        <v>1.6659999999999999</v>
      </c>
      <c r="F66">
        <v>2325862.7000000002</v>
      </c>
      <c r="G66">
        <v>1.6659999999999999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-0.55963302752293531</v>
      </c>
      <c r="Q66">
        <f t="shared" ref="Q66" si="306">F66*P66</f>
        <v>-1301629.5844036688</v>
      </c>
      <c r="R66">
        <f t="shared" ref="R66" si="307">R67+Q66</f>
        <v>-40624089.164138824</v>
      </c>
      <c r="S66">
        <f t="shared" ref="S66" si="308">R66/100000</f>
        <v>-406.24089164138826</v>
      </c>
      <c r="T66">
        <f t="shared" ref="T66" si="309">S66/1000</f>
        <v>-0.40624089164138827</v>
      </c>
    </row>
    <row r="67" spans="1:20" x14ac:dyDescent="0.25">
      <c r="A67" s="5">
        <v>44526</v>
      </c>
      <c r="B67">
        <v>1.8320000000000001</v>
      </c>
      <c r="C67">
        <v>1.913</v>
      </c>
      <c r="D67">
        <v>1.6060000000000001</v>
      </c>
      <c r="E67">
        <v>1.6779999999999999</v>
      </c>
      <c r="F67">
        <v>3341380.1</v>
      </c>
      <c r="G67">
        <v>1.6779999999999999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-0.53094462540716703</v>
      </c>
      <c r="Q67">
        <f t="shared" ref="Q67" si="311">F67*P67</f>
        <v>-1774087.8055374622</v>
      </c>
      <c r="R67">
        <f t="shared" ref="R67" si="312">R68+Q67</f>
        <v>-39322459.579735152</v>
      </c>
      <c r="S67">
        <f t="shared" ref="S67" si="313">R67/100000</f>
        <v>-393.22459579735153</v>
      </c>
      <c r="T67">
        <f t="shared" ref="T67" si="314">S67/1000</f>
        <v>-0.39322459579735153</v>
      </c>
    </row>
    <row r="68" spans="1:20" x14ac:dyDescent="0.25">
      <c r="A68" s="5">
        <v>44525</v>
      </c>
      <c r="B68">
        <v>1.7390000000000001</v>
      </c>
      <c r="C68">
        <v>1.893</v>
      </c>
      <c r="D68">
        <v>1.73</v>
      </c>
      <c r="E68">
        <v>1.833</v>
      </c>
      <c r="F68">
        <v>2958719.2</v>
      </c>
      <c r="G68">
        <v>1.833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0.26380368098159457</v>
      </c>
      <c r="Q68">
        <f t="shared" ref="Q68" si="316">F68*P68</f>
        <v>780521.01595091878</v>
      </c>
      <c r="R68">
        <f t="shared" ref="R68" si="317">R69+Q68</f>
        <v>-37548371.77419769</v>
      </c>
      <c r="S68">
        <f t="shared" ref="S68" si="318">R68/100000</f>
        <v>-375.48371774197688</v>
      </c>
      <c r="T68">
        <f t="shared" ref="T68" si="319">S68/1000</f>
        <v>-0.37548371774197686</v>
      </c>
    </row>
    <row r="69" spans="1:20" x14ac:dyDescent="0.25">
      <c r="A69" s="5">
        <v>44524</v>
      </c>
      <c r="B69">
        <v>1.7529999999999999</v>
      </c>
      <c r="C69">
        <v>1.766</v>
      </c>
      <c r="D69">
        <v>1.7</v>
      </c>
      <c r="E69">
        <v>1.7370000000000001</v>
      </c>
      <c r="F69">
        <v>624212.69999999995</v>
      </c>
      <c r="G69">
        <v>1.7370000000000001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0.12121212121212457</v>
      </c>
      <c r="Q69">
        <f t="shared" ref="Q69" si="321">F69*P69</f>
        <v>75662.145454547543</v>
      </c>
      <c r="R69">
        <f t="shared" ref="R69" si="322">R70+Q69</f>
        <v>-38328892.790148608</v>
      </c>
      <c r="S69">
        <f t="shared" ref="S69" si="323">R69/100000</f>
        <v>-383.28892790148609</v>
      </c>
      <c r="T69">
        <f t="shared" ref="T69" si="324">S69/1000</f>
        <v>-0.38328892790148611</v>
      </c>
    </row>
    <row r="70" spans="1:20" x14ac:dyDescent="0.25">
      <c r="A70" s="5">
        <v>44523</v>
      </c>
      <c r="B70">
        <v>1.6879999999999999</v>
      </c>
      <c r="C70">
        <v>1.8</v>
      </c>
      <c r="D70">
        <v>1.673</v>
      </c>
      <c r="E70">
        <v>1.7509999999999999</v>
      </c>
      <c r="F70">
        <v>2693560.3</v>
      </c>
      <c r="G70">
        <v>1.7509999999999999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0.22834645669291095</v>
      </c>
      <c r="Q70">
        <f t="shared" ref="Q70" si="326">F70*P70</f>
        <v>615064.95039369422</v>
      </c>
      <c r="R70">
        <f t="shared" ref="R70" si="327">R71+Q70</f>
        <v>-38404554.935603157</v>
      </c>
      <c r="S70">
        <f t="shared" ref="S70" si="328">R70/100000</f>
        <v>-384.04554935603159</v>
      </c>
      <c r="T70">
        <f t="shared" ref="T70" si="329">S70/1000</f>
        <v>-0.38404554935603158</v>
      </c>
    </row>
    <row r="71" spans="1:20" x14ac:dyDescent="0.25">
      <c r="A71" s="5">
        <v>44522</v>
      </c>
      <c r="B71">
        <v>1.75</v>
      </c>
      <c r="C71">
        <v>1.76</v>
      </c>
      <c r="D71">
        <v>1.64</v>
      </c>
      <c r="E71">
        <v>1.6870000000000001</v>
      </c>
      <c r="F71">
        <v>2067436</v>
      </c>
      <c r="G71">
        <v>1.6870000000000001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-0.21666666666666481</v>
      </c>
      <c r="Q71">
        <f t="shared" ref="Q71" si="331">F71*P71</f>
        <v>-447944.46666666283</v>
      </c>
      <c r="R71">
        <f t="shared" ref="R71" si="332">R72+Q71</f>
        <v>-39019619.885996848</v>
      </c>
      <c r="S71">
        <f t="shared" ref="S71" si="333">R71/100000</f>
        <v>-390.19619885996849</v>
      </c>
      <c r="T71">
        <f t="shared" ref="T71" si="334">S71/1000</f>
        <v>-0.39019619885996848</v>
      </c>
    </row>
    <row r="72" spans="1:20" x14ac:dyDescent="0.25">
      <c r="A72" s="5">
        <v>44521</v>
      </c>
      <c r="B72">
        <v>1.7509999999999999</v>
      </c>
      <c r="C72">
        <v>1.893</v>
      </c>
      <c r="D72">
        <v>1.716</v>
      </c>
      <c r="E72">
        <v>1.7529999999999999</v>
      </c>
      <c r="F72">
        <v>5090218.7</v>
      </c>
      <c r="G72">
        <v>1.7529999999999999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-0.58192090395480323</v>
      </c>
      <c r="Q72">
        <f t="shared" ref="Q72" si="336">F72*P72</f>
        <v>-2962104.6672316436</v>
      </c>
      <c r="R72">
        <f t="shared" ref="R72" si="337">R73+Q72</f>
        <v>-38571675.419330187</v>
      </c>
      <c r="S72">
        <f t="shared" ref="S72" si="338">R72/100000</f>
        <v>-385.71675419330188</v>
      </c>
      <c r="T72">
        <f t="shared" ref="T72" si="339">S72/1000</f>
        <v>-0.38571675419330187</v>
      </c>
    </row>
    <row r="73" spans="1:20" x14ac:dyDescent="0.25">
      <c r="A73" s="5">
        <v>44520</v>
      </c>
      <c r="B73">
        <v>1.679</v>
      </c>
      <c r="C73">
        <v>1.7749999999999999</v>
      </c>
      <c r="D73">
        <v>1.6579999999999999</v>
      </c>
      <c r="E73">
        <v>1.7509999999999999</v>
      </c>
      <c r="F73">
        <v>2365122.2999999998</v>
      </c>
      <c r="G73">
        <v>1.7509999999999999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0.58974358974358931</v>
      </c>
      <c r="Q73">
        <f t="shared" ref="Q73" si="341">F73*P73</f>
        <v>1394815.7153846142</v>
      </c>
      <c r="R73">
        <f t="shared" ref="R73" si="342">R74+Q73</f>
        <v>-35609570.752098545</v>
      </c>
      <c r="S73">
        <f t="shared" ref="S73" si="343">R73/100000</f>
        <v>-356.09570752098546</v>
      </c>
      <c r="T73">
        <f t="shared" ref="T73" si="344">S73/1000</f>
        <v>-0.35609570752098546</v>
      </c>
    </row>
    <row r="74" spans="1:20" x14ac:dyDescent="0.25">
      <c r="A74" s="5">
        <v>44519</v>
      </c>
      <c r="B74">
        <v>1.587</v>
      </c>
      <c r="C74">
        <v>1.6970000000000001</v>
      </c>
      <c r="D74">
        <v>1.5289999999999999</v>
      </c>
      <c r="E74">
        <v>1.681</v>
      </c>
      <c r="F74">
        <v>1855570.8</v>
      </c>
      <c r="G74">
        <v>1.681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0.80952380952380953</v>
      </c>
      <c r="Q74">
        <f t="shared" ref="Q74" si="346">F74*P74</f>
        <v>1502128.7428571428</v>
      </c>
      <c r="R74">
        <f t="shared" ref="R74" si="347">R75+Q74</f>
        <v>-37004386.467483163</v>
      </c>
      <c r="S74">
        <f t="shared" ref="S74" si="348">R74/100000</f>
        <v>-370.04386467483164</v>
      </c>
      <c r="T74">
        <f t="shared" ref="T74" si="349">S74/1000</f>
        <v>-0.37004386467483164</v>
      </c>
    </row>
    <row r="75" spans="1:20" x14ac:dyDescent="0.25">
      <c r="A75" s="5">
        <v>44518</v>
      </c>
      <c r="B75">
        <v>1.7130000000000001</v>
      </c>
      <c r="C75">
        <v>1.734</v>
      </c>
      <c r="D75">
        <v>1.504</v>
      </c>
      <c r="E75">
        <v>1.5860000000000001</v>
      </c>
      <c r="F75">
        <v>2425423.7000000002</v>
      </c>
      <c r="G75">
        <v>1.5860000000000001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-0.28695652173912972</v>
      </c>
      <c r="Q75">
        <f t="shared" ref="Q75" si="351">F75*P75</f>
        <v>-695991.14869565051</v>
      </c>
      <c r="R75">
        <f t="shared" ref="R75" si="352">R76+Q75</f>
        <v>-38506515.210340306</v>
      </c>
      <c r="S75">
        <f t="shared" ref="S75" si="353">R75/100000</f>
        <v>-385.06515210340308</v>
      </c>
      <c r="T75">
        <f t="shared" ref="T75" si="354">S75/1000</f>
        <v>-0.38506515210340309</v>
      </c>
    </row>
    <row r="76" spans="1:20" x14ac:dyDescent="0.25">
      <c r="A76" s="5">
        <v>44517</v>
      </c>
      <c r="B76">
        <v>1.6950000000000001</v>
      </c>
      <c r="C76">
        <v>1.7370000000000001</v>
      </c>
      <c r="D76">
        <v>1.6319999999999999</v>
      </c>
      <c r="E76">
        <v>1.71</v>
      </c>
      <c r="F76">
        <v>2600272.5</v>
      </c>
      <c r="G76">
        <v>1.71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0.48571428571428416</v>
      </c>
      <c r="Q76">
        <f t="shared" ref="Q76" si="356">F76*P76</f>
        <v>1262989.499999996</v>
      </c>
      <c r="R76">
        <f t="shared" ref="R76" si="357">R77+Q76</f>
        <v>-37810524.061644658</v>
      </c>
      <c r="S76">
        <f t="shared" ref="S76" si="358">R76/100000</f>
        <v>-378.10524061644657</v>
      </c>
      <c r="T76">
        <f t="shared" ref="T76" si="359">S76/1000</f>
        <v>-0.37810524061644657</v>
      </c>
    </row>
    <row r="77" spans="1:20" x14ac:dyDescent="0.25">
      <c r="A77" s="5">
        <v>44516</v>
      </c>
      <c r="B77">
        <v>1.9119999999999999</v>
      </c>
      <c r="C77">
        <v>1.915</v>
      </c>
      <c r="D77">
        <v>1.5660000000000001</v>
      </c>
      <c r="E77">
        <v>1.6970000000000001</v>
      </c>
      <c r="F77">
        <v>4213168.7</v>
      </c>
      <c r="G77">
        <v>1.6970000000000001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-0.24928366762177642</v>
      </c>
      <c r="Q77">
        <f t="shared" ref="Q77" si="361">F77*P77</f>
        <v>-1050274.1458452719</v>
      </c>
      <c r="R77">
        <f t="shared" ref="R77" si="362">R78+Q77</f>
        <v>-39073513.561644651</v>
      </c>
      <c r="S77">
        <f t="shared" ref="S77" si="363">R77/100000</f>
        <v>-390.73513561644648</v>
      </c>
      <c r="T77">
        <f t="shared" ref="T77" si="364">S77/1000</f>
        <v>-0.39073513561644646</v>
      </c>
    </row>
    <row r="78" spans="1:20" x14ac:dyDescent="0.25">
      <c r="A78" s="5">
        <v>44515</v>
      </c>
      <c r="B78">
        <v>1.925</v>
      </c>
      <c r="C78">
        <v>2.0289999999999999</v>
      </c>
      <c r="D78">
        <v>1.871</v>
      </c>
      <c r="E78">
        <v>1.91</v>
      </c>
      <c r="F78">
        <v>2651066.4</v>
      </c>
      <c r="G78">
        <v>1.91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-0.50632911392405133</v>
      </c>
      <c r="Q78">
        <f t="shared" ref="Q78" si="366">F78*P78</f>
        <v>-1342312.1012658246</v>
      </c>
      <c r="R78">
        <f t="shared" ref="R78" si="367">R79+Q78</f>
        <v>-38023239.415799379</v>
      </c>
      <c r="S78">
        <f t="shared" ref="S78" si="368">R78/100000</f>
        <v>-380.23239415799378</v>
      </c>
      <c r="T78">
        <f t="shared" ref="T78" si="369">S78/1000</f>
        <v>-0.38023239415799376</v>
      </c>
    </row>
    <row r="79" spans="1:20" x14ac:dyDescent="0.25">
      <c r="A79" s="5">
        <v>44514</v>
      </c>
      <c r="B79">
        <v>1.9159999999999999</v>
      </c>
      <c r="C79">
        <v>1.96</v>
      </c>
      <c r="D79">
        <v>1.871</v>
      </c>
      <c r="E79">
        <v>1.923</v>
      </c>
      <c r="F79">
        <v>1883619</v>
      </c>
      <c r="G79">
        <v>1.923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0.1685393258426981</v>
      </c>
      <c r="Q79">
        <f t="shared" ref="Q79" si="371">F79*P79</f>
        <v>317463.87640449713</v>
      </c>
      <c r="R79">
        <f t="shared" ref="R79" si="372">R80+Q79</f>
        <v>-36680927.314533554</v>
      </c>
      <c r="S79">
        <f t="shared" ref="S79" si="373">R79/100000</f>
        <v>-366.80927314533557</v>
      </c>
      <c r="T79">
        <f t="shared" ref="T79" si="374">S79/1000</f>
        <v>-0.36680927314533557</v>
      </c>
    </row>
    <row r="80" spans="1:20" x14ac:dyDescent="0.25">
      <c r="A80" s="5">
        <v>44513</v>
      </c>
      <c r="B80">
        <v>1.893</v>
      </c>
      <c r="C80">
        <v>1.9490000000000001</v>
      </c>
      <c r="D80">
        <v>1.859</v>
      </c>
      <c r="E80">
        <v>1.9159999999999999</v>
      </c>
      <c r="F80">
        <v>2747030.1</v>
      </c>
      <c r="G80">
        <v>1.9159999999999999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0.26666666666666422</v>
      </c>
      <c r="Q80">
        <f t="shared" ref="Q80" si="376">F80*P80</f>
        <v>732541.35999999335</v>
      </c>
      <c r="R80">
        <f t="shared" ref="R80" si="377">R81+Q80</f>
        <v>-36998391.190938048</v>
      </c>
      <c r="S80">
        <f t="shared" ref="S80" si="378">R80/100000</f>
        <v>-369.98391190938048</v>
      </c>
      <c r="T80">
        <f t="shared" ref="T80" si="379">S80/1000</f>
        <v>-0.36998391190938046</v>
      </c>
    </row>
    <row r="81" spans="1:20" x14ac:dyDescent="0.25">
      <c r="A81" s="5">
        <v>44512</v>
      </c>
      <c r="B81">
        <v>1.8879999999999999</v>
      </c>
      <c r="C81">
        <v>1.964</v>
      </c>
      <c r="D81">
        <v>1.8009999999999999</v>
      </c>
      <c r="E81">
        <v>1.8919999999999999</v>
      </c>
      <c r="F81">
        <v>3194427.2</v>
      </c>
      <c r="G81">
        <v>1.8919999999999999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0.11656441717791351</v>
      </c>
      <c r="Q81">
        <f t="shared" ref="Q81" si="381">F81*P81</f>
        <v>372356.54478527419</v>
      </c>
      <c r="R81">
        <f t="shared" ref="R81" si="382">R82+Q81</f>
        <v>-37730932.55093804</v>
      </c>
      <c r="S81">
        <f t="shared" ref="S81" si="383">R81/100000</f>
        <v>-377.30932550938041</v>
      </c>
      <c r="T81">
        <f t="shared" ref="T81" si="384">S81/1000</f>
        <v>-0.3773093255093804</v>
      </c>
    </row>
    <row r="82" spans="1:20" x14ac:dyDescent="0.25">
      <c r="A82" s="5">
        <v>44511</v>
      </c>
      <c r="B82">
        <v>1.83</v>
      </c>
      <c r="C82">
        <v>1.9370000000000001</v>
      </c>
      <c r="D82">
        <v>1.8</v>
      </c>
      <c r="E82">
        <v>1.89</v>
      </c>
      <c r="F82">
        <v>3537500.7</v>
      </c>
      <c r="G82">
        <v>1.89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0.31386861313868397</v>
      </c>
      <c r="Q82">
        <f t="shared" ref="Q82" si="386">F82*P82</f>
        <v>1110310.4386861238</v>
      </c>
      <c r="R82">
        <f t="shared" ref="R82" si="387">R83+Q82</f>
        <v>-38103289.095723316</v>
      </c>
      <c r="S82">
        <f t="shared" ref="S82" si="388">R82/100000</f>
        <v>-381.03289095723318</v>
      </c>
      <c r="T82">
        <f t="shared" ref="T82" si="389">S82/1000</f>
        <v>-0.38103289095723319</v>
      </c>
    </row>
    <row r="83" spans="1:20" x14ac:dyDescent="0.25">
      <c r="A83" s="5">
        <v>44510</v>
      </c>
      <c r="B83">
        <v>2.048</v>
      </c>
      <c r="C83">
        <v>2.1480000000000001</v>
      </c>
      <c r="D83">
        <v>1.6859999999999999</v>
      </c>
      <c r="E83">
        <v>1.83</v>
      </c>
      <c r="F83">
        <v>6232761</v>
      </c>
      <c r="G83">
        <v>1.83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-0.3766233766233763</v>
      </c>
      <c r="Q83">
        <f t="shared" ref="Q83" si="391">F83*P83</f>
        <v>-2347403.4935064916</v>
      </c>
      <c r="R83">
        <f t="shared" ref="R83" si="392">R84+Q83</f>
        <v>-39213599.534409441</v>
      </c>
      <c r="S83">
        <f t="shared" ref="S83" si="393">R83/100000</f>
        <v>-392.1359953440944</v>
      </c>
      <c r="T83">
        <f t="shared" ref="T83" si="394">S83/1000</f>
        <v>-0.39213599534409438</v>
      </c>
    </row>
    <row r="84" spans="1:20" x14ac:dyDescent="0.25">
      <c r="A84" s="5">
        <v>44509</v>
      </c>
      <c r="B84">
        <v>2.1280000000000001</v>
      </c>
      <c r="C84">
        <v>2.1469999999999998</v>
      </c>
      <c r="D84">
        <v>2.024</v>
      </c>
      <c r="E84">
        <v>2.0489999999999999</v>
      </c>
      <c r="F84">
        <v>2971671.2</v>
      </c>
      <c r="G84">
        <v>2.0489999999999999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-0.59349593495935027</v>
      </c>
      <c r="Q84">
        <f t="shared" ref="Q84" si="396">F84*P84</f>
        <v>-1763674.7772357746</v>
      </c>
      <c r="R84">
        <f t="shared" ref="R84" si="397">R85+Q84</f>
        <v>-36866196.04090295</v>
      </c>
      <c r="S84">
        <f t="shared" ref="S84" si="398">R84/100000</f>
        <v>-368.66196040902952</v>
      </c>
      <c r="T84">
        <f t="shared" ref="T84" si="399">S84/1000</f>
        <v>-0.36866196040902954</v>
      </c>
    </row>
    <row r="85" spans="1:20" x14ac:dyDescent="0.25">
      <c r="A85" s="5">
        <v>44508</v>
      </c>
      <c r="B85">
        <v>2.153</v>
      </c>
      <c r="C85">
        <v>2.1560000000000001</v>
      </c>
      <c r="D85">
        <v>2.0859999999999999</v>
      </c>
      <c r="E85">
        <v>2.125</v>
      </c>
      <c r="F85">
        <v>1523466.9</v>
      </c>
      <c r="G85">
        <v>2.125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0.11428571428571392</v>
      </c>
      <c r="Q85">
        <f t="shared" ref="Q85" si="401">F85*P85</f>
        <v>174110.5028571423</v>
      </c>
      <c r="R85">
        <f t="shared" ref="R85" si="402">R86+Q85</f>
        <v>-35102521.263667174</v>
      </c>
      <c r="S85">
        <f t="shared" ref="S85" si="403">R85/100000</f>
        <v>-351.02521263667171</v>
      </c>
      <c r="T85">
        <f t="shared" ref="T85" si="404">S85/1000</f>
        <v>-0.35102521263667169</v>
      </c>
    </row>
    <row r="86" spans="1:20" x14ac:dyDescent="0.25">
      <c r="A86" s="5">
        <v>44507</v>
      </c>
      <c r="B86">
        <v>2.0640000000000001</v>
      </c>
      <c r="C86">
        <v>2.1659999999999999</v>
      </c>
      <c r="D86">
        <v>2.0449999999999999</v>
      </c>
      <c r="E86">
        <v>2.1520000000000001</v>
      </c>
      <c r="F86">
        <v>2192243.9</v>
      </c>
      <c r="G86">
        <v>2.1520000000000001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0.76859504132231748</v>
      </c>
      <c r="Q86">
        <f t="shared" ref="Q86" si="406">F86*P86</f>
        <v>1684947.7909090985</v>
      </c>
      <c r="R86">
        <f t="shared" ref="R86" si="407">R87+Q86</f>
        <v>-35276631.766524315</v>
      </c>
      <c r="S86">
        <f t="shared" ref="S86" si="408">R86/100000</f>
        <v>-352.76631766524315</v>
      </c>
      <c r="T86">
        <f t="shared" ref="T86" si="409">S86/1000</f>
        <v>-0.35276631766524313</v>
      </c>
    </row>
    <row r="87" spans="1:20" x14ac:dyDescent="0.25">
      <c r="A87" s="5">
        <v>44506</v>
      </c>
      <c r="B87">
        <v>2.1059999999999999</v>
      </c>
      <c r="C87">
        <v>2.1779999999999999</v>
      </c>
      <c r="D87">
        <v>2.0049999999999999</v>
      </c>
      <c r="E87">
        <v>2.0659999999999998</v>
      </c>
      <c r="F87">
        <v>2568648.7000000002</v>
      </c>
      <c r="G87">
        <v>2.0659999999999998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-0.29479768786127253</v>
      </c>
      <c r="Q87">
        <f t="shared" ref="Q87" si="411">F87*P87</f>
        <v>-757231.69768786349</v>
      </c>
      <c r="R87">
        <f t="shared" ref="R87" si="412">R88+Q87</f>
        <v>-36961579.557433411</v>
      </c>
      <c r="S87">
        <f t="shared" ref="S87" si="413">R87/100000</f>
        <v>-369.61579557433413</v>
      </c>
      <c r="T87">
        <f t="shared" ref="T87" si="414">S87/1000</f>
        <v>-0.36961579557433411</v>
      </c>
    </row>
    <row r="88" spans="1:20" x14ac:dyDescent="0.25">
      <c r="A88" s="5">
        <v>44505</v>
      </c>
      <c r="B88">
        <v>2.1139999999999999</v>
      </c>
      <c r="C88">
        <v>2.306</v>
      </c>
      <c r="D88">
        <v>2.0649999999999999</v>
      </c>
      <c r="E88">
        <v>2.1040000000000001</v>
      </c>
      <c r="F88">
        <v>4403803.5</v>
      </c>
      <c r="G88">
        <v>2.1040000000000001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-0.67634854771784125</v>
      </c>
      <c r="Q88">
        <f t="shared" ref="Q88" si="416">F88*P88</f>
        <v>-2978506.1016597464</v>
      </c>
      <c r="R88">
        <f t="shared" ref="R88" si="417">R89+Q88</f>
        <v>-36204347.859745547</v>
      </c>
      <c r="S88">
        <f t="shared" ref="S88" si="418">R88/100000</f>
        <v>-362.04347859745548</v>
      </c>
      <c r="T88">
        <f t="shared" ref="T88" si="419">S88/1000</f>
        <v>-0.36204347859745545</v>
      </c>
    </row>
    <row r="89" spans="1:20" x14ac:dyDescent="0.25">
      <c r="A89" s="5">
        <v>44504</v>
      </c>
      <c r="B89">
        <v>2.1539999999999999</v>
      </c>
      <c r="C89">
        <v>2.2109999999999999</v>
      </c>
      <c r="D89">
        <v>2.0150000000000001</v>
      </c>
      <c r="E89">
        <v>2.1160000000000001</v>
      </c>
      <c r="F89">
        <v>2914946.9</v>
      </c>
      <c r="G89">
        <v>2.1160000000000001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3.0612244897960387E-2</v>
      </c>
      <c r="Q89">
        <f t="shared" ref="Q89" si="421">F89*P89</f>
        <v>89233.068367350439</v>
      </c>
      <c r="R89">
        <f t="shared" ref="R89" si="422">R90+Q89</f>
        <v>-33225841.758085798</v>
      </c>
      <c r="S89">
        <f t="shared" ref="S89" si="423">R89/100000</f>
        <v>-332.25841758085801</v>
      </c>
      <c r="T89">
        <f t="shared" ref="T89" si="424">S89/1000</f>
        <v>-0.332258417580858</v>
      </c>
    </row>
    <row r="90" spans="1:20" x14ac:dyDescent="0.25">
      <c r="A90" s="5">
        <v>44503</v>
      </c>
      <c r="B90">
        <v>2.0720000000000001</v>
      </c>
      <c r="C90">
        <v>2.2799999999999998</v>
      </c>
      <c r="D90">
        <v>2.0350000000000001</v>
      </c>
      <c r="E90">
        <v>2.1539999999999999</v>
      </c>
      <c r="F90">
        <v>6884486.7999999998</v>
      </c>
      <c r="G90">
        <v>2.1539999999999999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-2.8571428571429091E-2</v>
      </c>
      <c r="Q90">
        <f t="shared" ref="Q90" si="426">F90*P90</f>
        <v>-196699.62285714643</v>
      </c>
      <c r="R90">
        <f t="shared" ref="R90" si="427">R91+Q90</f>
        <v>-33315074.826453149</v>
      </c>
      <c r="S90">
        <f t="shared" ref="S90" si="428">R90/100000</f>
        <v>-333.1507482645315</v>
      </c>
      <c r="T90">
        <f t="shared" ref="T90" si="429">S90/1000</f>
        <v>-0.3331507482645315</v>
      </c>
    </row>
    <row r="91" spans="1:20" x14ac:dyDescent="0.25">
      <c r="A91" s="5">
        <v>44502</v>
      </c>
      <c r="B91">
        <v>1.9870000000000001</v>
      </c>
      <c r="C91">
        <v>2.1960000000000002</v>
      </c>
      <c r="D91">
        <v>1.956</v>
      </c>
      <c r="E91">
        <v>2.0710000000000002</v>
      </c>
      <c r="F91">
        <v>4307106.0999999996</v>
      </c>
      <c r="G91">
        <v>2.0710000000000002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-4.1666666666665741E-2</v>
      </c>
      <c r="Q91">
        <f t="shared" ref="Q91" si="431">F91*P91</f>
        <v>-179462.75416666266</v>
      </c>
      <c r="R91">
        <f t="shared" ref="R91" si="432">R92+Q91</f>
        <v>-33118375.203596003</v>
      </c>
      <c r="S91">
        <f t="shared" ref="S91" si="433">R91/100000</f>
        <v>-331.18375203596003</v>
      </c>
      <c r="T91">
        <f t="shared" ref="T91" si="434">S91/1000</f>
        <v>-0.33118375203596001</v>
      </c>
    </row>
    <row r="92" spans="1:20" x14ac:dyDescent="0.25">
      <c r="A92" s="5">
        <v>44501</v>
      </c>
      <c r="B92">
        <v>1.952</v>
      </c>
      <c r="C92">
        <v>2.08</v>
      </c>
      <c r="D92">
        <v>1.855</v>
      </c>
      <c r="E92">
        <v>1.9870000000000001</v>
      </c>
      <c r="F92">
        <v>3963752.7</v>
      </c>
      <c r="G92">
        <v>1.9870000000000001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0.17333333333333392</v>
      </c>
      <c r="Q92">
        <f t="shared" ref="Q92" si="436">F92*P92</f>
        <v>687050.46800000232</v>
      </c>
      <c r="R92">
        <f t="shared" ref="R92" si="437">R93+Q92</f>
        <v>-32938912.449429341</v>
      </c>
      <c r="S92">
        <f t="shared" ref="S92" si="438">R92/100000</f>
        <v>-329.38912449429341</v>
      </c>
      <c r="T92">
        <f t="shared" ref="T92" si="439">S92/1000</f>
        <v>-0.32938912449429342</v>
      </c>
    </row>
    <row r="93" spans="1:20" x14ac:dyDescent="0.25">
      <c r="A93" s="5">
        <v>44500</v>
      </c>
      <c r="B93">
        <v>1.8640000000000001</v>
      </c>
      <c r="C93">
        <v>1.994</v>
      </c>
      <c r="D93">
        <v>1.8440000000000001</v>
      </c>
      <c r="E93">
        <v>1.9510000000000001</v>
      </c>
      <c r="F93">
        <v>4565635.4000000004</v>
      </c>
      <c r="G93">
        <v>1.9510000000000001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0.4266666666666673</v>
      </c>
      <c r="Q93">
        <f t="shared" ref="Q93" si="441">F93*P93</f>
        <v>1948004.4373333363</v>
      </c>
      <c r="R93">
        <f t="shared" ref="R93" si="442">R94+Q93</f>
        <v>-33625962.917429343</v>
      </c>
      <c r="S93">
        <f t="shared" ref="S93" si="443">R93/100000</f>
        <v>-336.25962917429342</v>
      </c>
      <c r="T93">
        <f t="shared" ref="T93" si="444">S93/1000</f>
        <v>-0.33625962917429342</v>
      </c>
    </row>
    <row r="94" spans="1:20" x14ac:dyDescent="0.25">
      <c r="A94" s="5">
        <v>44499</v>
      </c>
      <c r="B94">
        <v>1.8759999999999999</v>
      </c>
      <c r="C94">
        <v>1.9059999999999999</v>
      </c>
      <c r="D94">
        <v>1.78</v>
      </c>
      <c r="E94">
        <v>1.8620000000000001</v>
      </c>
      <c r="F94">
        <v>4295458.0999999996</v>
      </c>
      <c r="G94">
        <v>1.8620000000000001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0.3015873015873039</v>
      </c>
      <c r="Q94">
        <f t="shared" ref="Q94" si="446">F94*P94</f>
        <v>1295455.6174603272</v>
      </c>
      <c r="R94">
        <f t="shared" ref="R94" si="447">R95+Q94</f>
        <v>-35573967.354762681</v>
      </c>
      <c r="S94">
        <f t="shared" ref="S94" si="448">R94/100000</f>
        <v>-355.73967354762681</v>
      </c>
      <c r="T94">
        <f t="shared" ref="T94" si="449">S94/1000</f>
        <v>-0.35573967354762681</v>
      </c>
    </row>
    <row r="95" spans="1:20" x14ac:dyDescent="0.25">
      <c r="A95" s="5">
        <v>44498</v>
      </c>
      <c r="B95">
        <v>1.8440000000000001</v>
      </c>
      <c r="C95">
        <v>1.9319999999999999</v>
      </c>
      <c r="D95">
        <v>1.8340000000000001</v>
      </c>
      <c r="E95">
        <v>1.875</v>
      </c>
      <c r="F95">
        <v>4176629.1</v>
      </c>
      <c r="G95">
        <v>1.875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-0.16326530612244936</v>
      </c>
      <c r="Q95">
        <f t="shared" ref="Q95" si="451">F95*P95</f>
        <v>-681898.6285714301</v>
      </c>
      <c r="R95">
        <f t="shared" ref="R95" si="452">R96+Q95</f>
        <v>-36869422.972223006</v>
      </c>
      <c r="S95">
        <f t="shared" ref="S95" si="453">R95/100000</f>
        <v>-368.69422972223003</v>
      </c>
      <c r="T95">
        <f t="shared" ref="T95" si="454">S95/1000</f>
        <v>-0.36869422972223004</v>
      </c>
    </row>
    <row r="96" spans="1:20" x14ac:dyDescent="0.25">
      <c r="A96" s="5">
        <v>44497</v>
      </c>
      <c r="B96">
        <v>1.8169999999999999</v>
      </c>
      <c r="C96">
        <v>1.9219999999999999</v>
      </c>
      <c r="D96">
        <v>1.802</v>
      </c>
      <c r="E96">
        <v>1.8480000000000001</v>
      </c>
      <c r="F96">
        <v>4307594.7</v>
      </c>
      <c r="G96">
        <v>1.8480000000000001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-0.23333333333333192</v>
      </c>
      <c r="Q96">
        <f t="shared" ref="Q96" si="456">F96*P96</f>
        <v>-1005105.429999994</v>
      </c>
      <c r="R96">
        <f t="shared" ref="R96" si="457">R97+Q96</f>
        <v>-36187524.343651578</v>
      </c>
      <c r="S96">
        <f t="shared" ref="S96" si="458">R96/100000</f>
        <v>-361.8752434365158</v>
      </c>
      <c r="T96">
        <f t="shared" ref="T96" si="459">S96/1000</f>
        <v>-0.36187524343651578</v>
      </c>
    </row>
    <row r="97" spans="1:20" x14ac:dyDescent="0.25">
      <c r="A97" s="5">
        <v>44496</v>
      </c>
      <c r="B97">
        <v>2.2229999999999999</v>
      </c>
      <c r="C97">
        <v>2.226</v>
      </c>
      <c r="D97">
        <v>1.748</v>
      </c>
      <c r="E97">
        <v>1.8160000000000001</v>
      </c>
      <c r="F97">
        <v>5652914.4000000004</v>
      </c>
      <c r="G97">
        <v>1.8160000000000001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-0.71548117154811686</v>
      </c>
      <c r="Q97">
        <f t="shared" ref="Q97" si="461">F97*P97</f>
        <v>-4044553.8175732205</v>
      </c>
      <c r="R97">
        <f t="shared" ref="R97" si="462">R98+Q97</f>
        <v>-35182418.913651586</v>
      </c>
      <c r="S97">
        <f t="shared" ref="S97" si="463">R97/100000</f>
        <v>-351.82418913651588</v>
      </c>
      <c r="T97">
        <f t="shared" ref="T97" si="464">S97/1000</f>
        <v>-0.35182418913651586</v>
      </c>
    </row>
    <row r="98" spans="1:20" x14ac:dyDescent="0.25">
      <c r="A98" s="5">
        <v>44495</v>
      </c>
      <c r="B98">
        <v>2.073</v>
      </c>
      <c r="C98">
        <v>2.2970000000000002</v>
      </c>
      <c r="D98">
        <v>2.0550000000000002</v>
      </c>
      <c r="E98">
        <v>2.2229999999999999</v>
      </c>
      <c r="F98">
        <v>6807202</v>
      </c>
      <c r="G98">
        <v>2.2229999999999999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0.3884297520661133</v>
      </c>
      <c r="Q98">
        <f t="shared" ref="Q98" si="466">F98*P98</f>
        <v>2644119.7851239508</v>
      </c>
      <c r="R98">
        <f t="shared" ref="R98" si="467">R99+Q98</f>
        <v>-31137865.096078366</v>
      </c>
      <c r="S98">
        <f t="shared" ref="S98" si="468">R98/100000</f>
        <v>-311.37865096078366</v>
      </c>
      <c r="T98">
        <f t="shared" ref="T98" si="469">S98/1000</f>
        <v>-0.31137865096078365</v>
      </c>
    </row>
    <row r="99" spans="1:20" x14ac:dyDescent="0.25">
      <c r="A99" s="5">
        <v>44494</v>
      </c>
      <c r="B99">
        <v>1.946</v>
      </c>
      <c r="C99">
        <v>2.149</v>
      </c>
      <c r="D99">
        <v>1.9339999999999999</v>
      </c>
      <c r="E99">
        <v>2.073</v>
      </c>
      <c r="F99">
        <v>6102414.7000000002</v>
      </c>
      <c r="G99">
        <v>2.073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0.29302325581395311</v>
      </c>
      <c r="Q99">
        <f t="shared" ref="Q99" si="471">F99*P99</f>
        <v>1788149.4237209279</v>
      </c>
      <c r="R99">
        <f t="shared" ref="R99" si="472">R100+Q99</f>
        <v>-33781984.881202318</v>
      </c>
      <c r="S99">
        <f t="shared" ref="S99" si="473">R99/100000</f>
        <v>-337.81984881202317</v>
      </c>
      <c r="T99">
        <f t="shared" ref="T99" si="474">S99/1000</f>
        <v>-0.33781984881202315</v>
      </c>
    </row>
    <row r="100" spans="1:20" x14ac:dyDescent="0.25">
      <c r="A100" s="5">
        <v>44493</v>
      </c>
      <c r="B100">
        <v>1.9970000000000001</v>
      </c>
      <c r="C100">
        <v>2.1280000000000001</v>
      </c>
      <c r="D100">
        <v>1.9350000000000001</v>
      </c>
      <c r="E100">
        <v>1.946</v>
      </c>
      <c r="F100">
        <v>4480812.4000000004</v>
      </c>
      <c r="G100">
        <v>1.946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-0.88601036269430156</v>
      </c>
      <c r="Q100">
        <f t="shared" ref="Q100" si="476">F100*P100</f>
        <v>-3970046.2196891243</v>
      </c>
      <c r="R100">
        <f t="shared" ref="R100" si="477">R101+Q100</f>
        <v>-35570134.304923244</v>
      </c>
      <c r="S100">
        <f t="shared" ref="S100" si="478">R100/100000</f>
        <v>-355.70134304923243</v>
      </c>
      <c r="T100">
        <f t="shared" ref="T100" si="479">S100/1000</f>
        <v>-0.35570134304923245</v>
      </c>
    </row>
    <row r="101" spans="1:20" x14ac:dyDescent="0.25">
      <c r="A101" s="5">
        <v>44492</v>
      </c>
      <c r="B101">
        <v>2.0009999999999999</v>
      </c>
      <c r="C101">
        <v>2.0409999999999999</v>
      </c>
      <c r="D101">
        <v>1.9550000000000001</v>
      </c>
      <c r="E101">
        <v>1.996</v>
      </c>
      <c r="F101">
        <v>1405160.2</v>
      </c>
      <c r="G101">
        <v>1.996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-4.6511627906976862E-2</v>
      </c>
      <c r="Q101">
        <f t="shared" ref="Q101" si="481">F101*P101</f>
        <v>-65356.288372093186</v>
      </c>
      <c r="R101">
        <f t="shared" ref="R101" si="482">R102+Q101</f>
        <v>-31600088.085234117</v>
      </c>
      <c r="S101">
        <f t="shared" ref="S101" si="483">R101/100000</f>
        <v>-316.00088085234114</v>
      </c>
      <c r="T101">
        <f t="shared" ref="T101" si="484">S101/1000</f>
        <v>-0.31600088085234113</v>
      </c>
    </row>
    <row r="102" spans="1:20" x14ac:dyDescent="0.25">
      <c r="A102" s="5">
        <v>44491</v>
      </c>
      <c r="B102">
        <v>1.9139999999999999</v>
      </c>
      <c r="C102">
        <v>2.085</v>
      </c>
      <c r="D102">
        <v>1.913</v>
      </c>
      <c r="E102">
        <v>2.0009999999999999</v>
      </c>
      <c r="F102">
        <v>4453462.5</v>
      </c>
      <c r="G102">
        <v>2.0009999999999999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2.3255813953487112E-2</v>
      </c>
      <c r="Q102">
        <f t="shared" ref="Q102" si="486">F102*P102</f>
        <v>103568.8953488316</v>
      </c>
      <c r="R102">
        <f t="shared" ref="R102" si="487">R103+Q102</f>
        <v>-31534731.796862025</v>
      </c>
      <c r="S102">
        <f t="shared" ref="S102" si="488">R102/100000</f>
        <v>-315.34731796862025</v>
      </c>
      <c r="T102">
        <f t="shared" ref="T102" si="489">S102/1000</f>
        <v>-0.31534731796862026</v>
      </c>
    </row>
    <row r="103" spans="1:20" x14ac:dyDescent="0.25">
      <c r="A103" s="5">
        <v>44490</v>
      </c>
      <c r="B103">
        <v>2.0230000000000001</v>
      </c>
      <c r="C103">
        <v>2.0920000000000001</v>
      </c>
      <c r="D103">
        <v>1.899</v>
      </c>
      <c r="E103">
        <v>1.9139999999999999</v>
      </c>
      <c r="F103">
        <v>3673650</v>
      </c>
      <c r="G103">
        <v>1.9139999999999999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-0.84455958549222909</v>
      </c>
      <c r="Q103">
        <f t="shared" ref="Q103" si="491">F103*P103</f>
        <v>-3102616.3212435273</v>
      </c>
      <c r="R103">
        <f t="shared" ref="R103" si="492">R104+Q103</f>
        <v>-31638300.692210857</v>
      </c>
      <c r="S103">
        <f t="shared" ref="S103" si="493">R103/100000</f>
        <v>-316.38300692210856</v>
      </c>
      <c r="T103">
        <f t="shared" ref="T103" si="494">S103/1000</f>
        <v>-0.31638300692210858</v>
      </c>
    </row>
    <row r="104" spans="1:20" x14ac:dyDescent="0.25">
      <c r="A104" s="5">
        <v>44489</v>
      </c>
      <c r="B104">
        <v>2.0150000000000001</v>
      </c>
      <c r="C104">
        <v>2.0699999999999998</v>
      </c>
      <c r="D104">
        <v>1.958</v>
      </c>
      <c r="E104">
        <v>2.0230000000000001</v>
      </c>
      <c r="F104">
        <v>2229974.2999999998</v>
      </c>
      <c r="G104">
        <v>2.0230000000000001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0.16071428571429</v>
      </c>
      <c r="Q104">
        <f t="shared" ref="Q104" si="496">F104*P104</f>
        <v>358388.72678572382</v>
      </c>
      <c r="R104">
        <f t="shared" ref="R104" si="497">R105+Q104</f>
        <v>-28535684.370967329</v>
      </c>
      <c r="S104">
        <f t="shared" ref="S104" si="498">R104/100000</f>
        <v>-285.35684370967329</v>
      </c>
      <c r="T104">
        <f t="shared" ref="T104" si="499">S104/1000</f>
        <v>-0.28535684370967329</v>
      </c>
    </row>
    <row r="105" spans="1:20" x14ac:dyDescent="0.25">
      <c r="A105" s="5">
        <v>44488</v>
      </c>
      <c r="B105">
        <v>2.0830000000000002</v>
      </c>
      <c r="C105">
        <v>2.13</v>
      </c>
      <c r="D105">
        <v>1.9870000000000001</v>
      </c>
      <c r="E105">
        <v>2.0169999999999999</v>
      </c>
      <c r="F105">
        <v>2942850.8</v>
      </c>
      <c r="G105">
        <v>2.0169999999999999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-0.58041958041958253</v>
      </c>
      <c r="Q105">
        <f t="shared" ref="Q105" si="501">F105*P105</f>
        <v>-1708088.2265734326</v>
      </c>
      <c r="R105">
        <f t="shared" ref="R105" si="502">R106+Q105</f>
        <v>-28894073.097753052</v>
      </c>
      <c r="S105">
        <f t="shared" ref="S105" si="503">R105/100000</f>
        <v>-288.94073097753051</v>
      </c>
      <c r="T105">
        <f t="shared" ref="T105" si="504">S105/1000</f>
        <v>-0.28894073097753048</v>
      </c>
    </row>
    <row r="106" spans="1:20" x14ac:dyDescent="0.25">
      <c r="A106" s="5">
        <v>44487</v>
      </c>
      <c r="B106">
        <v>2.133</v>
      </c>
      <c r="C106">
        <v>2.1720000000000002</v>
      </c>
      <c r="D106">
        <v>2.0110000000000001</v>
      </c>
      <c r="E106">
        <v>2.081</v>
      </c>
      <c r="F106">
        <v>4169222.8</v>
      </c>
      <c r="G106">
        <v>2.081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-0.13043478260869781</v>
      </c>
      <c r="Q106">
        <f t="shared" ref="Q106" si="506">F106*P106</f>
        <v>-543811.66956522642</v>
      </c>
      <c r="R106">
        <f t="shared" ref="R106" si="507">R107+Q106</f>
        <v>-27185984.871179618</v>
      </c>
      <c r="S106">
        <f t="shared" ref="S106" si="508">R106/100000</f>
        <v>-271.85984871179619</v>
      </c>
      <c r="T106">
        <f t="shared" ref="T106" si="509">S106/1000</f>
        <v>-0.27185984871179619</v>
      </c>
    </row>
    <row r="107" spans="1:20" x14ac:dyDescent="0.25">
      <c r="A107" s="5">
        <v>44486</v>
      </c>
      <c r="B107">
        <v>2.06</v>
      </c>
      <c r="C107">
        <v>2.1949999999999998</v>
      </c>
      <c r="D107">
        <v>1.98</v>
      </c>
      <c r="E107">
        <v>2.1320000000000001</v>
      </c>
      <c r="F107">
        <v>4749590.5999999996</v>
      </c>
      <c r="G107">
        <v>2.1320000000000001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0.41395348837209522</v>
      </c>
      <c r="Q107">
        <f t="shared" ref="Q107" si="511">F107*P107</f>
        <v>1966109.5972093127</v>
      </c>
      <c r="R107">
        <f t="shared" ref="R107" si="512">R108+Q107</f>
        <v>-26642173.201614391</v>
      </c>
      <c r="S107">
        <f t="shared" ref="S107" si="513">R107/100000</f>
        <v>-266.42173201614389</v>
      </c>
      <c r="T107">
        <f t="shared" ref="T107" si="514">S107/1000</f>
        <v>-0.26642173201614389</v>
      </c>
    </row>
    <row r="108" spans="1:20" x14ac:dyDescent="0.25">
      <c r="A108" s="5">
        <v>44485</v>
      </c>
      <c r="B108">
        <v>1.964</v>
      </c>
      <c r="C108">
        <v>2.218</v>
      </c>
      <c r="D108">
        <v>1.9430000000000001</v>
      </c>
      <c r="E108">
        <v>2.06</v>
      </c>
      <c r="F108">
        <v>9614270.9000000004</v>
      </c>
      <c r="G108">
        <v>2.06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-0.14909090909090886</v>
      </c>
      <c r="Q108">
        <f t="shared" ref="Q108" si="516">F108*P108</f>
        <v>-1433400.3887272705</v>
      </c>
      <c r="R108">
        <f t="shared" ref="R108" si="517">R109+Q108</f>
        <v>-28608282.798823703</v>
      </c>
      <c r="S108">
        <f t="shared" ref="S108" si="518">R108/100000</f>
        <v>-286.08282798823706</v>
      </c>
      <c r="T108">
        <f t="shared" ref="T108" si="519">S108/1000</f>
        <v>-0.28608282798823703</v>
      </c>
    </row>
    <row r="109" spans="1:20" x14ac:dyDescent="0.25">
      <c r="A109" s="5">
        <v>44484</v>
      </c>
      <c r="B109">
        <v>1.9650000000000001</v>
      </c>
      <c r="C109">
        <v>1.9950000000000001</v>
      </c>
      <c r="D109">
        <v>1.837</v>
      </c>
      <c r="E109">
        <v>1.96</v>
      </c>
      <c r="F109">
        <v>4758791.8</v>
      </c>
      <c r="G109">
        <v>1.96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0.55696202531645433</v>
      </c>
      <c r="Q109">
        <f t="shared" ref="Q109" si="521">F109*P109</f>
        <v>2650466.3189873351</v>
      </c>
      <c r="R109">
        <f t="shared" ref="R109" si="522">R110+Q109</f>
        <v>-27174882.410096433</v>
      </c>
      <c r="S109">
        <f t="shared" ref="S109" si="523">R109/100000</f>
        <v>-271.74882410096433</v>
      </c>
      <c r="T109">
        <f t="shared" ref="T109" si="524">S109/1000</f>
        <v>-0.27174882410096435</v>
      </c>
    </row>
    <row r="110" spans="1:20" x14ac:dyDescent="0.25">
      <c r="A110" s="5">
        <v>44483</v>
      </c>
      <c r="B110">
        <v>1.86</v>
      </c>
      <c r="C110">
        <v>2.1549999999999998</v>
      </c>
      <c r="D110">
        <v>1.85</v>
      </c>
      <c r="E110">
        <v>1.964</v>
      </c>
      <c r="F110">
        <v>8051282.4000000004</v>
      </c>
      <c r="G110">
        <v>1.964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-0.2524590163934427</v>
      </c>
      <c r="Q110">
        <f t="shared" ref="Q110" si="526">F110*P110</f>
        <v>-2032618.8354098368</v>
      </c>
      <c r="R110">
        <f t="shared" ref="R110" si="527">R111+Q110</f>
        <v>-29825348.729083769</v>
      </c>
      <c r="S110">
        <f t="shared" ref="S110" si="528">R110/100000</f>
        <v>-298.25348729083771</v>
      </c>
      <c r="T110">
        <f t="shared" ref="T110" si="529">S110/1000</f>
        <v>-0.29825348729083773</v>
      </c>
    </row>
    <row r="111" spans="1:20" x14ac:dyDescent="0.25">
      <c r="A111" s="5">
        <v>44482</v>
      </c>
      <c r="B111">
        <v>1.794</v>
      </c>
      <c r="C111">
        <v>1.946</v>
      </c>
      <c r="D111">
        <v>1.71</v>
      </c>
      <c r="E111">
        <v>1.859</v>
      </c>
      <c r="F111">
        <v>4355508.5</v>
      </c>
      <c r="G111">
        <v>1.859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0.2627118644067799</v>
      </c>
      <c r="Q111">
        <f t="shared" ref="Q111" si="531">F111*P111</f>
        <v>1144243.7584745772</v>
      </c>
      <c r="R111">
        <f t="shared" ref="R111" si="532">R112+Q111</f>
        <v>-27792729.89367393</v>
      </c>
      <c r="S111">
        <f t="shared" ref="S111" si="533">R111/100000</f>
        <v>-277.92729893673931</v>
      </c>
      <c r="T111">
        <f t="shared" ref="T111" si="534">S111/1000</f>
        <v>-0.27792729893673929</v>
      </c>
    </row>
    <row r="112" spans="1:20" x14ac:dyDescent="0.25">
      <c r="A112" s="5">
        <v>44481</v>
      </c>
      <c r="B112">
        <v>1.7789999999999999</v>
      </c>
      <c r="C112">
        <v>1.804</v>
      </c>
      <c r="D112">
        <v>1.639</v>
      </c>
      <c r="E112">
        <v>1.792</v>
      </c>
      <c r="F112">
        <v>2935042.7</v>
      </c>
      <c r="G112">
        <v>1.792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0.8545454545454545</v>
      </c>
      <c r="Q112">
        <f t="shared" ref="Q112" si="536">F112*P112</f>
        <v>2508127.3981818184</v>
      </c>
      <c r="R112">
        <f t="shared" ref="R112" si="537">R113+Q112</f>
        <v>-28936973.652148508</v>
      </c>
      <c r="S112">
        <f t="shared" ref="S112" si="538">R112/100000</f>
        <v>-289.36973652148509</v>
      </c>
      <c r="T112">
        <f t="shared" ref="T112" si="539">S112/1000</f>
        <v>-0.28936973652148512</v>
      </c>
    </row>
    <row r="113" spans="1:20" x14ac:dyDescent="0.25">
      <c r="A113" s="5">
        <v>44480</v>
      </c>
      <c r="B113">
        <v>1.798</v>
      </c>
      <c r="C113">
        <v>1.893</v>
      </c>
      <c r="D113">
        <v>1.724</v>
      </c>
      <c r="E113">
        <v>1.78</v>
      </c>
      <c r="F113">
        <v>2312275.4</v>
      </c>
      <c r="G113">
        <v>1.78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-0.3372781065088753</v>
      </c>
      <c r="Q113">
        <f t="shared" ref="Q113" si="541">F113*P113</f>
        <v>-779879.86863905215</v>
      </c>
      <c r="R113">
        <f t="shared" ref="R113" si="542">R114+Q113</f>
        <v>-31445101.050330326</v>
      </c>
      <c r="S113">
        <f t="shared" ref="S113" si="543">R113/100000</f>
        <v>-314.45101050330328</v>
      </c>
      <c r="T113">
        <f t="shared" ref="T113" si="544">S113/1000</f>
        <v>-0.31445101050330326</v>
      </c>
    </row>
    <row r="114" spans="1:20" x14ac:dyDescent="0.25">
      <c r="A114" s="5">
        <v>44479</v>
      </c>
      <c r="B114">
        <v>1.9219999999999999</v>
      </c>
      <c r="C114">
        <v>1.9430000000000001</v>
      </c>
      <c r="D114">
        <v>1.7809999999999999</v>
      </c>
      <c r="E114">
        <v>1.798</v>
      </c>
      <c r="F114">
        <v>2014334.8</v>
      </c>
      <c r="G114">
        <v>1.798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-0.79012345679012208</v>
      </c>
      <c r="Q114">
        <f t="shared" ref="Q114" si="546">F114*P114</f>
        <v>-1591573.1753086392</v>
      </c>
      <c r="R114">
        <f t="shared" ref="R114" si="547">R115+Q114</f>
        <v>-30665221.181691274</v>
      </c>
      <c r="S114">
        <f t="shared" ref="S114" si="548">R114/100000</f>
        <v>-306.65221181691277</v>
      </c>
      <c r="T114">
        <f t="shared" ref="T114" si="549">S114/1000</f>
        <v>-0.30665221181691277</v>
      </c>
    </row>
    <row r="115" spans="1:20" x14ac:dyDescent="0.25">
      <c r="A115" s="5">
        <v>44478</v>
      </c>
      <c r="B115">
        <v>1.9410000000000001</v>
      </c>
      <c r="C115">
        <v>1.964</v>
      </c>
      <c r="D115">
        <v>1.891</v>
      </c>
      <c r="E115">
        <v>1.921</v>
      </c>
      <c r="F115">
        <v>1330121.5</v>
      </c>
      <c r="G115">
        <v>1.921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-0.17808219178082066</v>
      </c>
      <c r="Q115">
        <f t="shared" ref="Q115" si="551">F115*P115</f>
        <v>-236870.95205479284</v>
      </c>
      <c r="R115">
        <f t="shared" ref="R115" si="552">R116+Q115</f>
        <v>-29073648.006382637</v>
      </c>
      <c r="S115">
        <f t="shared" ref="S115" si="553">R115/100000</f>
        <v>-290.73648006382638</v>
      </c>
      <c r="T115">
        <f t="shared" ref="T115" si="554">S115/1000</f>
        <v>-0.29073648006382635</v>
      </c>
    </row>
    <row r="116" spans="1:20" x14ac:dyDescent="0.25">
      <c r="A116" s="5">
        <v>44477</v>
      </c>
      <c r="B116">
        <v>2.0539999999999998</v>
      </c>
      <c r="C116">
        <v>2.0870000000000002</v>
      </c>
      <c r="D116">
        <v>1.92</v>
      </c>
      <c r="E116">
        <v>1.94</v>
      </c>
      <c r="F116">
        <v>2339363.7000000002</v>
      </c>
      <c r="G116">
        <v>1.94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-0.76047904191616778</v>
      </c>
      <c r="Q116">
        <f t="shared" ref="Q116" si="556">F116*P116</f>
        <v>-1779037.0652694614</v>
      </c>
      <c r="R116">
        <f t="shared" ref="R116" si="557">R117+Q116</f>
        <v>-28836777.054327846</v>
      </c>
      <c r="S116">
        <f t="shared" ref="S116" si="558">R116/100000</f>
        <v>-288.36777054327848</v>
      </c>
      <c r="T116">
        <f t="shared" ref="T116" si="559">S116/1000</f>
        <v>-0.2883677705432785</v>
      </c>
    </row>
    <row r="117" spans="1:20" x14ac:dyDescent="0.25">
      <c r="A117" s="5">
        <v>44476</v>
      </c>
      <c r="B117">
        <v>2.0630000000000002</v>
      </c>
      <c r="C117">
        <v>2.2269999999999999</v>
      </c>
      <c r="D117">
        <v>1.9590000000000001</v>
      </c>
      <c r="E117">
        <v>2.056</v>
      </c>
      <c r="F117">
        <v>3364458.9</v>
      </c>
      <c r="G117">
        <v>2.056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-0.27611940298507426</v>
      </c>
      <c r="Q117">
        <f t="shared" ref="Q117" si="561">F117*P117</f>
        <v>-928992.38283581962</v>
      </c>
      <c r="R117">
        <f t="shared" ref="R117" si="562">R118+Q117</f>
        <v>-27057739.989058383</v>
      </c>
      <c r="S117">
        <f t="shared" ref="S117" si="563">R117/100000</f>
        <v>-270.57739989058382</v>
      </c>
      <c r="T117">
        <f t="shared" ref="T117" si="564">S117/1000</f>
        <v>-0.27057739989058383</v>
      </c>
    </row>
    <row r="118" spans="1:20" x14ac:dyDescent="0.25">
      <c r="A118" s="5">
        <v>44475</v>
      </c>
      <c r="B118">
        <v>2.0339999999999998</v>
      </c>
      <c r="C118">
        <v>2.1320000000000001</v>
      </c>
      <c r="D118">
        <v>1.885</v>
      </c>
      <c r="E118">
        <v>2.0640000000000001</v>
      </c>
      <c r="F118">
        <v>4711210.9000000004</v>
      </c>
      <c r="G118">
        <v>2.0640000000000001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0.44939271255060703</v>
      </c>
      <c r="Q118">
        <f t="shared" ref="Q118" si="566">F118*P118</f>
        <v>2117183.845748987</v>
      </c>
      <c r="R118">
        <f t="shared" ref="R118" si="567">R119+Q118</f>
        <v>-26128747.606222562</v>
      </c>
      <c r="S118">
        <f t="shared" ref="S118" si="568">R118/100000</f>
        <v>-261.28747606222561</v>
      </c>
      <c r="T118">
        <f t="shared" ref="T118" si="569">S118/1000</f>
        <v>-0.26128747606222563</v>
      </c>
    </row>
    <row r="119" spans="1:20" x14ac:dyDescent="0.25">
      <c r="A119" s="5">
        <v>44474</v>
      </c>
      <c r="B119">
        <v>1.8740000000000001</v>
      </c>
      <c r="C119">
        <v>2.2229999999999999</v>
      </c>
      <c r="D119">
        <v>1.861</v>
      </c>
      <c r="E119">
        <v>2.0329999999999999</v>
      </c>
      <c r="F119">
        <v>6344561.2000000002</v>
      </c>
      <c r="G119">
        <v>2.0329999999999999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-4.9723756906077408E-2</v>
      </c>
      <c r="Q119">
        <f t="shared" ref="Q119" si="571">F119*P119</f>
        <v>-315475.41878453078</v>
      </c>
      <c r="R119">
        <f t="shared" ref="R119" si="572">R120+Q119</f>
        <v>-28245931.45197155</v>
      </c>
      <c r="S119">
        <f t="shared" ref="S119" si="573">R119/100000</f>
        <v>-282.45931451971552</v>
      </c>
      <c r="T119">
        <f t="shared" ref="T119" si="574">S119/1000</f>
        <v>-0.28245931451971551</v>
      </c>
    </row>
    <row r="120" spans="1:20" x14ac:dyDescent="0.25">
      <c r="A120" s="5">
        <v>44473</v>
      </c>
      <c r="B120">
        <v>1.9159999999999999</v>
      </c>
      <c r="C120">
        <v>1.9390000000000001</v>
      </c>
      <c r="D120">
        <v>1.744</v>
      </c>
      <c r="E120">
        <v>1.8839999999999999</v>
      </c>
      <c r="F120">
        <v>2882049.9</v>
      </c>
      <c r="G120">
        <v>1.8839999999999999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0.43589743589743446</v>
      </c>
      <c r="Q120">
        <f t="shared" ref="Q120" si="576">F120*P120</f>
        <v>1256278.1615384573</v>
      </c>
      <c r="R120">
        <f t="shared" ref="R120" si="577">R121+Q120</f>
        <v>-27930456.033187021</v>
      </c>
      <c r="S120">
        <f t="shared" ref="S120" si="578">R120/100000</f>
        <v>-279.30456033187022</v>
      </c>
      <c r="T120">
        <f t="shared" ref="T120" si="579">S120/1000</f>
        <v>-0.27930456033187023</v>
      </c>
    </row>
    <row r="121" spans="1:20" x14ac:dyDescent="0.25">
      <c r="A121" s="5">
        <v>44472</v>
      </c>
      <c r="B121">
        <v>1.79</v>
      </c>
      <c r="C121">
        <v>1.982</v>
      </c>
      <c r="D121">
        <v>1.728</v>
      </c>
      <c r="E121">
        <v>1.905</v>
      </c>
      <c r="F121">
        <v>4939374.3</v>
      </c>
      <c r="G121">
        <v>1.905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0.39370078740157516</v>
      </c>
      <c r="Q121">
        <f t="shared" ref="Q121" si="581">F121*P121</f>
        <v>1944635.551181104</v>
      </c>
      <c r="R121">
        <f t="shared" ref="R121" si="582">R122+Q121</f>
        <v>-29186734.194725476</v>
      </c>
      <c r="S121">
        <f t="shared" ref="S121" si="583">R121/100000</f>
        <v>-291.86734194725477</v>
      </c>
      <c r="T121">
        <f t="shared" ref="T121" si="584">S121/1000</f>
        <v>-0.29186734194725478</v>
      </c>
    </row>
    <row r="122" spans="1:20" x14ac:dyDescent="0.25">
      <c r="A122" s="5">
        <v>44471</v>
      </c>
      <c r="B122">
        <v>1.8109999999999999</v>
      </c>
      <c r="C122">
        <v>1.954</v>
      </c>
      <c r="D122">
        <v>1.766</v>
      </c>
      <c r="E122">
        <v>1.788</v>
      </c>
      <c r="F122">
        <v>5865946.5999999996</v>
      </c>
      <c r="G122">
        <v>1.788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-0.76595744680851041</v>
      </c>
      <c r="Q122">
        <f t="shared" ref="Q122" si="586">F122*P122</f>
        <v>-4493065.4808510626</v>
      </c>
      <c r="R122">
        <f t="shared" ref="R122" si="587">R123+Q122</f>
        <v>-31131369.74590658</v>
      </c>
      <c r="S122">
        <f t="shared" ref="S122" si="588">R122/100000</f>
        <v>-311.31369745906579</v>
      </c>
      <c r="T122">
        <f t="shared" ref="T122" si="589">S122/1000</f>
        <v>-0.31131369745906579</v>
      </c>
    </row>
    <row r="123" spans="1:20" x14ac:dyDescent="0.25">
      <c r="A123" s="5">
        <v>44470</v>
      </c>
      <c r="B123">
        <v>1.51</v>
      </c>
      <c r="C123">
        <v>1.8240000000000001</v>
      </c>
      <c r="D123">
        <v>1.484</v>
      </c>
      <c r="E123">
        <v>1.81</v>
      </c>
      <c r="F123">
        <v>5308079.2</v>
      </c>
      <c r="G123">
        <v>1.81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0.91764705882352937</v>
      </c>
      <c r="Q123">
        <f t="shared" ref="Q123" si="591">F123*P123</f>
        <v>4870943.2658823533</v>
      </c>
      <c r="R123">
        <f t="shared" ref="R123" si="592">R124+Q123</f>
        <v>-26638304.265055519</v>
      </c>
      <c r="S123">
        <f t="shared" ref="S123" si="593">R123/100000</f>
        <v>-266.38304265055518</v>
      </c>
      <c r="T123">
        <f t="shared" ref="T123" si="594">S123/1000</f>
        <v>-0.26638304265055518</v>
      </c>
    </row>
    <row r="124" spans="1:20" x14ac:dyDescent="0.25">
      <c r="A124" s="5">
        <v>44469</v>
      </c>
      <c r="B124">
        <v>1.4139999999999999</v>
      </c>
      <c r="C124">
        <v>1.526</v>
      </c>
      <c r="D124">
        <v>1.405</v>
      </c>
      <c r="E124">
        <v>1.51</v>
      </c>
      <c r="F124">
        <v>4149952.6</v>
      </c>
      <c r="G124">
        <v>1.51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0.7355371900826444</v>
      </c>
      <c r="Q124">
        <f t="shared" ref="Q124" si="596">F124*P124</f>
        <v>3052444.4743801644</v>
      </c>
      <c r="R124">
        <f t="shared" ref="R124" si="597">R125+Q124</f>
        <v>-31509247.530937873</v>
      </c>
      <c r="S124">
        <f t="shared" ref="S124" si="598">R124/100000</f>
        <v>-315.09247530937876</v>
      </c>
      <c r="T124">
        <f t="shared" ref="T124" si="599">S124/1000</f>
        <v>-0.31509247530937878</v>
      </c>
    </row>
    <row r="125" spans="1:20" x14ac:dyDescent="0.25">
      <c r="A125" s="5">
        <v>44468</v>
      </c>
      <c r="B125">
        <v>1.3979999999999999</v>
      </c>
      <c r="C125">
        <v>1.5649999999999999</v>
      </c>
      <c r="D125">
        <v>1.3859999999999999</v>
      </c>
      <c r="E125">
        <v>1.4159999999999999</v>
      </c>
      <c r="F125">
        <v>4201321.4000000004</v>
      </c>
      <c r="G125">
        <v>1.4159999999999999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-0.66480446927374282</v>
      </c>
      <c r="Q125">
        <f t="shared" ref="Q125" si="601">F125*P125</f>
        <v>-2793057.2435754184</v>
      </c>
      <c r="R125">
        <f t="shared" ref="R125" si="602">R126+Q125</f>
        <v>-34561692.005318038</v>
      </c>
      <c r="S125">
        <f t="shared" ref="S125" si="603">R125/100000</f>
        <v>-345.61692005318037</v>
      </c>
      <c r="T125">
        <f t="shared" ref="T125" si="604">S125/1000</f>
        <v>-0.34561692005318034</v>
      </c>
    </row>
    <row r="126" spans="1:20" x14ac:dyDescent="0.25">
      <c r="A126" s="5">
        <v>44467</v>
      </c>
      <c r="B126">
        <v>1.512</v>
      </c>
      <c r="C126">
        <v>1.5429999999999999</v>
      </c>
      <c r="D126">
        <v>1.391</v>
      </c>
      <c r="E126">
        <v>1.399</v>
      </c>
      <c r="F126">
        <v>3036840.2</v>
      </c>
      <c r="G126">
        <v>1.399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-0.89473684210526305</v>
      </c>
      <c r="Q126">
        <f t="shared" ref="Q126" si="606">F126*P126</f>
        <v>-2717172.8105263156</v>
      </c>
      <c r="R126">
        <f t="shared" ref="R126" si="607">R127+Q126</f>
        <v>-31768634.761742622</v>
      </c>
      <c r="S126">
        <f t="shared" ref="S126" si="608">R126/100000</f>
        <v>-317.68634761742624</v>
      </c>
      <c r="T126">
        <f t="shared" ref="T126" si="609">S126/1000</f>
        <v>-0.31768634761742626</v>
      </c>
    </row>
    <row r="127" spans="1:20" x14ac:dyDescent="0.25">
      <c r="A127" s="5">
        <v>44466</v>
      </c>
      <c r="B127">
        <v>1.5149999999999999</v>
      </c>
      <c r="C127">
        <v>1.698</v>
      </c>
      <c r="D127">
        <v>1.4870000000000001</v>
      </c>
      <c r="E127">
        <v>1.512</v>
      </c>
      <c r="F127">
        <v>3521430.7</v>
      </c>
      <c r="G127">
        <v>1.512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-0.7630331753554509</v>
      </c>
      <c r="Q127">
        <f t="shared" ref="Q127" si="611">F127*P127</f>
        <v>-2686968.4488151683</v>
      </c>
      <c r="R127">
        <f t="shared" ref="R127" si="612">R128+Q127</f>
        <v>-29051461.951216307</v>
      </c>
      <c r="S127">
        <f t="shared" ref="S127" si="613">R127/100000</f>
        <v>-290.51461951216305</v>
      </c>
      <c r="T127">
        <f t="shared" ref="T127" si="614">S127/1000</f>
        <v>-0.29051461951216306</v>
      </c>
    </row>
    <row r="128" spans="1:20" x14ac:dyDescent="0.25">
      <c r="A128" s="5">
        <v>44465</v>
      </c>
      <c r="B128">
        <v>1.569</v>
      </c>
      <c r="C128">
        <v>1.5760000000000001</v>
      </c>
      <c r="D128">
        <v>1.401</v>
      </c>
      <c r="E128">
        <v>1.5149999999999999</v>
      </c>
      <c r="F128">
        <v>3805263.4</v>
      </c>
      <c r="G128">
        <v>1.5149999999999999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0.30285714285714116</v>
      </c>
      <c r="Q128">
        <f t="shared" ref="Q128" si="616">F128*P128</f>
        <v>1152451.2011428506</v>
      </c>
      <c r="R128">
        <f t="shared" ref="R128" si="617">R129+Q128</f>
        <v>-26364493.50240114</v>
      </c>
      <c r="S128">
        <f t="shared" ref="S128" si="618">R128/100000</f>
        <v>-263.64493502401137</v>
      </c>
      <c r="T128">
        <f t="shared" ref="T128" si="619">S128/1000</f>
        <v>-0.26364493502401137</v>
      </c>
    </row>
    <row r="129" spans="1:20" x14ac:dyDescent="0.25">
      <c r="A129" s="5">
        <v>44464</v>
      </c>
      <c r="B129">
        <v>1.6259999999999999</v>
      </c>
      <c r="C129">
        <v>1.6739999999999999</v>
      </c>
      <c r="D129">
        <v>1.5409999999999999</v>
      </c>
      <c r="E129">
        <v>1.57</v>
      </c>
      <c r="F129">
        <v>5670499.2999999998</v>
      </c>
      <c r="G129">
        <v>1.57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-0.56390977443608814</v>
      </c>
      <c r="Q129">
        <f t="shared" ref="Q129" si="621">F129*P129</f>
        <v>-3197649.9812029954</v>
      </c>
      <c r="R129">
        <f t="shared" ref="R129" si="622">R130+Q129</f>
        <v>-27516944.703543991</v>
      </c>
      <c r="S129">
        <f t="shared" ref="S129" si="623">R129/100000</f>
        <v>-275.16944703543993</v>
      </c>
      <c r="T129">
        <f t="shared" ref="T129" si="624">S129/1000</f>
        <v>-0.27516944703543994</v>
      </c>
    </row>
    <row r="130" spans="1:20" x14ac:dyDescent="0.25">
      <c r="A130" s="5">
        <v>44463</v>
      </c>
      <c r="B130">
        <v>1.8320000000000001</v>
      </c>
      <c r="C130">
        <v>1.9670000000000001</v>
      </c>
      <c r="D130">
        <v>1.552</v>
      </c>
      <c r="E130">
        <v>1.625</v>
      </c>
      <c r="F130">
        <v>6806452.5</v>
      </c>
      <c r="G130">
        <v>1.625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-0.64819277108433759</v>
      </c>
      <c r="Q130">
        <f t="shared" ref="Q130" si="626">F130*P130</f>
        <v>-4411893.3072289173</v>
      </c>
      <c r="R130">
        <f t="shared" ref="R130" si="627">R131+Q130</f>
        <v>-24319294.722340994</v>
      </c>
      <c r="S130">
        <f t="shared" ref="S130" si="628">R130/100000</f>
        <v>-243.19294722340993</v>
      </c>
      <c r="T130">
        <f t="shared" ref="T130" si="629">S130/1000</f>
        <v>-0.24319294722340992</v>
      </c>
    </row>
    <row r="131" spans="1:20" x14ac:dyDescent="0.25">
      <c r="A131" s="5">
        <v>44462</v>
      </c>
      <c r="B131">
        <v>1.75</v>
      </c>
      <c r="C131">
        <v>1.855</v>
      </c>
      <c r="D131">
        <v>1.69</v>
      </c>
      <c r="E131">
        <v>1.833</v>
      </c>
      <c r="F131">
        <v>2853368.9</v>
      </c>
      <c r="G131">
        <v>1.833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0.73333333333333317</v>
      </c>
      <c r="Q131">
        <f t="shared" ref="Q131" si="631">F131*P131</f>
        <v>2092470.5266666661</v>
      </c>
      <c r="R131">
        <f t="shared" ref="R131" si="632">R132+Q131</f>
        <v>-19907401.415112078</v>
      </c>
      <c r="S131">
        <f t="shared" ref="S131" si="633">R131/100000</f>
        <v>-199.07401415112079</v>
      </c>
      <c r="T131">
        <f t="shared" ref="T131" si="634">S131/1000</f>
        <v>-0.1990740141511208</v>
      </c>
    </row>
    <row r="132" spans="1:20" x14ac:dyDescent="0.25">
      <c r="A132" s="5">
        <v>44461</v>
      </c>
      <c r="B132">
        <v>1.53</v>
      </c>
      <c r="C132">
        <v>1.786</v>
      </c>
      <c r="D132">
        <v>1.506</v>
      </c>
      <c r="E132">
        <v>1.7509999999999999</v>
      </c>
      <c r="F132">
        <v>3065953.2</v>
      </c>
      <c r="G132">
        <v>1.7509999999999999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0.749999999999999</v>
      </c>
      <c r="Q132">
        <f t="shared" ref="Q132" si="636">F132*P132</f>
        <v>2299464.8999999971</v>
      </c>
      <c r="R132">
        <f t="shared" ref="R132" si="637">R133+Q132</f>
        <v>-21999871.941778746</v>
      </c>
      <c r="S132">
        <f t="shared" ref="S132" si="638">R132/100000</f>
        <v>-219.99871941778744</v>
      </c>
      <c r="T132">
        <f t="shared" ref="T132" si="639">S132/1000</f>
        <v>-0.21999871941778745</v>
      </c>
    </row>
    <row r="133" spans="1:20" x14ac:dyDescent="0.25">
      <c r="A133" s="5">
        <v>44460</v>
      </c>
      <c r="B133">
        <v>1.6890000000000001</v>
      </c>
      <c r="C133">
        <v>1.7649999999999999</v>
      </c>
      <c r="D133">
        <v>1.4850000000000001</v>
      </c>
      <c r="E133">
        <v>1.5309999999999999</v>
      </c>
      <c r="F133">
        <v>4568969.3099999996</v>
      </c>
      <c r="G133">
        <v>1.5309999999999999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-0.67142857142857248</v>
      </c>
      <c r="Q133">
        <f t="shared" ref="Q133" si="641">F133*P133</f>
        <v>-3067736.5367142903</v>
      </c>
      <c r="R133">
        <f t="shared" ref="R133" si="642">R134+Q133</f>
        <v>-24299336.841778744</v>
      </c>
      <c r="S133">
        <f t="shared" ref="S133" si="643">R133/100000</f>
        <v>-242.99336841778745</v>
      </c>
      <c r="T133">
        <f t="shared" ref="T133" si="644">S133/1000</f>
        <v>-0.24299336841778746</v>
      </c>
    </row>
    <row r="134" spans="1:20" x14ac:dyDescent="0.25">
      <c r="A134" s="5">
        <v>44459</v>
      </c>
      <c r="B134">
        <v>1.9550000000000001</v>
      </c>
      <c r="C134">
        <v>1.9610000000000001</v>
      </c>
      <c r="D134">
        <v>1.7549999999999999</v>
      </c>
      <c r="E134">
        <v>1.792</v>
      </c>
      <c r="F134">
        <v>3164250.3</v>
      </c>
      <c r="G134">
        <v>1.792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-0.64077669902912515</v>
      </c>
      <c r="Q134">
        <f t="shared" ref="Q134" si="646">F134*P134</f>
        <v>-2027577.8621359188</v>
      </c>
      <c r="R134">
        <f t="shared" ref="R134" si="647">R135+Q134</f>
        <v>-21231600.305064455</v>
      </c>
      <c r="S134">
        <f t="shared" ref="S134" si="648">R134/100000</f>
        <v>-212.31600305064455</v>
      </c>
      <c r="T134">
        <f t="shared" ref="T134" si="649">S134/1000</f>
        <v>-0.21231600305064455</v>
      </c>
    </row>
    <row r="135" spans="1:20" x14ac:dyDescent="0.25">
      <c r="A135" s="5">
        <v>44458</v>
      </c>
      <c r="B135">
        <v>2.0609999999999999</v>
      </c>
      <c r="C135">
        <v>2.1509999999999998</v>
      </c>
      <c r="D135">
        <v>1.9179999999999999</v>
      </c>
      <c r="E135">
        <v>1.9570000000000001</v>
      </c>
      <c r="F135">
        <v>2510347.9</v>
      </c>
      <c r="G135">
        <v>1.9570000000000001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-0.66523605150214449</v>
      </c>
      <c r="Q135">
        <f t="shared" ref="Q135" si="651">F135*P135</f>
        <v>-1669973.9248927003</v>
      </c>
      <c r="R135">
        <f t="shared" ref="R135" si="652">R136+Q135</f>
        <v>-19204022.442928538</v>
      </c>
      <c r="S135">
        <f t="shared" ref="S135" si="653">R135/100000</f>
        <v>-192.04022442928539</v>
      </c>
      <c r="T135">
        <f t="shared" ref="T135" si="654">S135/1000</f>
        <v>-0.19204022442928539</v>
      </c>
    </row>
    <row r="136" spans="1:20" x14ac:dyDescent="0.25">
      <c r="A136" s="5">
        <v>44457</v>
      </c>
      <c r="B136">
        <v>2.024</v>
      </c>
      <c r="C136">
        <v>2.15</v>
      </c>
      <c r="D136">
        <v>1.974</v>
      </c>
      <c r="E136">
        <v>2.0590000000000002</v>
      </c>
      <c r="F136">
        <v>2602197.1</v>
      </c>
      <c r="G136">
        <v>2.0590000000000002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-3.4090909090906611E-2</v>
      </c>
      <c r="Q136">
        <f t="shared" ref="Q136" si="656">F136*P136</f>
        <v>-88711.264772720824</v>
      </c>
      <c r="R136">
        <f t="shared" ref="R136" si="657">R137+Q136</f>
        <v>-17534048.518035837</v>
      </c>
      <c r="S136">
        <f t="shared" ref="S136" si="658">R136/100000</f>
        <v>-175.34048518035837</v>
      </c>
      <c r="T136">
        <f t="shared" ref="T136" si="659">S136/1000</f>
        <v>-0.17534048518035836</v>
      </c>
    </row>
    <row r="137" spans="1:20" x14ac:dyDescent="0.25">
      <c r="A137" s="5">
        <v>44456</v>
      </c>
      <c r="B137">
        <v>2.036</v>
      </c>
      <c r="C137">
        <v>2.09</v>
      </c>
      <c r="D137">
        <v>1.88</v>
      </c>
      <c r="E137">
        <v>2.024</v>
      </c>
      <c r="F137">
        <v>5028616.5999999996</v>
      </c>
      <c r="G137">
        <v>2.024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0.37142857142857288</v>
      </c>
      <c r="Q137">
        <f t="shared" ref="Q137" si="661">F137*P137</f>
        <v>1867771.8800000071</v>
      </c>
      <c r="R137">
        <f t="shared" ref="R137" si="662">R138+Q137</f>
        <v>-17445337.253263116</v>
      </c>
      <c r="S137">
        <f t="shared" ref="S137" si="663">R137/100000</f>
        <v>-174.45337253263116</v>
      </c>
      <c r="T137">
        <f t="shared" ref="T137" si="664">S137/1000</f>
        <v>-0.17445337253263116</v>
      </c>
    </row>
    <row r="138" spans="1:20" x14ac:dyDescent="0.25">
      <c r="A138" s="5">
        <v>44455</v>
      </c>
      <c r="B138">
        <v>2.137</v>
      </c>
      <c r="C138">
        <v>2.2000000000000002</v>
      </c>
      <c r="D138">
        <v>1.98</v>
      </c>
      <c r="E138">
        <v>2.0350000000000001</v>
      </c>
      <c r="F138">
        <v>3989429.5</v>
      </c>
      <c r="G138">
        <v>2.0350000000000001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-0.499999999999999</v>
      </c>
      <c r="Q138">
        <f t="shared" ref="Q138" si="666">F138*P138</f>
        <v>-1994714.749999996</v>
      </c>
      <c r="R138">
        <f t="shared" ref="R138" si="667">R139+Q138</f>
        <v>-19313109.133263122</v>
      </c>
      <c r="S138">
        <f t="shared" ref="S138" si="668">R138/100000</f>
        <v>-193.13109133263123</v>
      </c>
      <c r="T138">
        <f t="shared" ref="T138" si="669">S138/1000</f>
        <v>-0.19313109133263123</v>
      </c>
    </row>
    <row r="139" spans="1:20" x14ac:dyDescent="0.25">
      <c r="A139" s="5">
        <v>44454</v>
      </c>
      <c r="B139">
        <v>2.0219999999999998</v>
      </c>
      <c r="C139">
        <v>2.1480000000000001</v>
      </c>
      <c r="D139">
        <v>1.972</v>
      </c>
      <c r="E139">
        <v>2.1349999999999998</v>
      </c>
      <c r="F139">
        <v>2986817.4</v>
      </c>
      <c r="G139">
        <v>2.1349999999999998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0.85227272727272352</v>
      </c>
      <c r="Q139">
        <f t="shared" ref="Q139" si="671">F139*P139</f>
        <v>2545583.0113636251</v>
      </c>
      <c r="R139">
        <f t="shared" ref="R139" si="672">R140+Q139</f>
        <v>-17318394.383263126</v>
      </c>
      <c r="S139">
        <f t="shared" ref="S139" si="673">R139/100000</f>
        <v>-173.18394383263126</v>
      </c>
      <c r="T139">
        <f t="shared" ref="T139" si="674">S139/1000</f>
        <v>-0.17318394383263125</v>
      </c>
    </row>
    <row r="140" spans="1:20" x14ac:dyDescent="0.25">
      <c r="A140" s="5">
        <v>44453</v>
      </c>
      <c r="B140">
        <v>1.956</v>
      </c>
      <c r="C140">
        <v>2.04</v>
      </c>
      <c r="D140">
        <v>1.8979999999999999</v>
      </c>
      <c r="E140">
        <v>2.0230000000000001</v>
      </c>
      <c r="F140">
        <v>4289126.2</v>
      </c>
      <c r="G140">
        <v>2.0230000000000001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0.76056338028169168</v>
      </c>
      <c r="Q140">
        <f t="shared" ref="Q140" si="676">F140*P140</f>
        <v>3262152.3211267674</v>
      </c>
      <c r="R140">
        <f t="shared" ref="R140" si="677">R141+Q140</f>
        <v>-19863977.394626752</v>
      </c>
      <c r="S140">
        <f t="shared" ref="S140" si="678">R140/100000</f>
        <v>-198.63977394626752</v>
      </c>
      <c r="T140">
        <f t="shared" ref="T140" si="679">S140/1000</f>
        <v>-0.19863977394626753</v>
      </c>
    </row>
    <row r="141" spans="1:20" x14ac:dyDescent="0.25">
      <c r="A141" s="5">
        <v>44452</v>
      </c>
      <c r="B141">
        <v>2.153</v>
      </c>
      <c r="C141">
        <v>2.17</v>
      </c>
      <c r="D141">
        <v>1.827</v>
      </c>
      <c r="E141">
        <v>1.9570000000000001</v>
      </c>
      <c r="F141">
        <v>4847965.5999999996</v>
      </c>
      <c r="G141">
        <v>1.9570000000000001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-0.241982507288629</v>
      </c>
      <c r="Q141">
        <f t="shared" ref="Q141" si="681">F141*P141</f>
        <v>-1173122.8711370225</v>
      </c>
      <c r="R141">
        <f t="shared" ref="R141" si="682">R142+Q141</f>
        <v>-23126129.715753518</v>
      </c>
      <c r="S141">
        <f t="shared" ref="S141" si="683">R141/100000</f>
        <v>-231.26129715753518</v>
      </c>
      <c r="T141">
        <f t="shared" ref="T141" si="684">S141/1000</f>
        <v>-0.23126129715753518</v>
      </c>
    </row>
    <row r="142" spans="1:20" x14ac:dyDescent="0.25">
      <c r="A142" s="5">
        <v>44451</v>
      </c>
      <c r="B142">
        <v>2.125</v>
      </c>
      <c r="C142">
        <v>2.258</v>
      </c>
      <c r="D142">
        <v>2.0649999999999999</v>
      </c>
      <c r="E142">
        <v>2.1509999999999998</v>
      </c>
      <c r="F142">
        <v>4260177.8</v>
      </c>
      <c r="G142">
        <v>2.1509999999999998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-0.1088082901554422</v>
      </c>
      <c r="Q142">
        <f t="shared" ref="Q142" si="686">F142*P142</f>
        <v>-463542.66217617341</v>
      </c>
      <c r="R142">
        <f t="shared" ref="R142" si="687">R143+Q142</f>
        <v>-21953006.844616495</v>
      </c>
      <c r="S142">
        <f t="shared" ref="S142" si="688">R142/100000</f>
        <v>-219.53006844616496</v>
      </c>
      <c r="T142">
        <f t="shared" ref="T142" si="689">S142/1000</f>
        <v>-0.21953006844616496</v>
      </c>
    </row>
    <row r="143" spans="1:20" x14ac:dyDescent="0.25">
      <c r="A143" s="5">
        <v>44450</v>
      </c>
      <c r="B143">
        <v>2.1339999999999999</v>
      </c>
      <c r="C143">
        <v>2.2330000000000001</v>
      </c>
      <c r="D143">
        <v>2.0550000000000002</v>
      </c>
      <c r="E143">
        <v>2.1259999999999999</v>
      </c>
      <c r="F143">
        <v>3773352.4</v>
      </c>
      <c r="G143">
        <v>2.1259999999999999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-0.2022471910112387</v>
      </c>
      <c r="Q143">
        <f t="shared" ref="Q143" si="691">F143*P143</f>
        <v>-763149.92359551589</v>
      </c>
      <c r="R143">
        <f t="shared" ref="R143" si="692">R144+Q143</f>
        <v>-21489464.182440322</v>
      </c>
      <c r="S143">
        <f t="shared" ref="S143" si="693">R143/100000</f>
        <v>-214.89464182440321</v>
      </c>
      <c r="T143">
        <f t="shared" ref="T143" si="694">S143/1000</f>
        <v>-0.21489464182440321</v>
      </c>
    </row>
    <row r="144" spans="1:20" x14ac:dyDescent="0.25">
      <c r="A144" s="5">
        <v>44449</v>
      </c>
      <c r="B144">
        <v>2.214</v>
      </c>
      <c r="C144">
        <v>2.363</v>
      </c>
      <c r="D144">
        <v>2.0169999999999999</v>
      </c>
      <c r="E144">
        <v>2.1320000000000001</v>
      </c>
      <c r="F144">
        <v>5444884.9000000004</v>
      </c>
      <c r="G144">
        <v>2.1320000000000001</v>
      </c>
      <c r="L144" t="s">
        <v>7</v>
      </c>
      <c r="M144" t="s">
        <v>8</v>
      </c>
      <c r="N144" t="s">
        <v>8</v>
      </c>
      <c r="P144">
        <f t="shared" ref="P144" si="695">IF(C144=D144,0,((E144-D144)-(C144-E144))/(C144-D144))</f>
        <v>-0.33526011560693536</v>
      </c>
      <c r="Q144">
        <f t="shared" ref="Q144" si="696">F144*P144</f>
        <v>-1825452.7410404568</v>
      </c>
      <c r="R144">
        <f t="shared" ref="R144" si="697">R145+Q144</f>
        <v>-20726314.258844808</v>
      </c>
      <c r="S144">
        <f t="shared" ref="S144" si="698">R144/100000</f>
        <v>-207.26314258844809</v>
      </c>
      <c r="T144">
        <f t="shared" ref="T144" si="699">S144/1000</f>
        <v>-0.20726314258844808</v>
      </c>
    </row>
    <row r="145" spans="1:20" x14ac:dyDescent="0.25">
      <c r="A145" s="5">
        <v>44448</v>
      </c>
      <c r="B145">
        <v>2.028</v>
      </c>
      <c r="C145">
        <v>2.3849999999999998</v>
      </c>
      <c r="D145">
        <v>2.0049999999999999</v>
      </c>
      <c r="E145">
        <v>2.2109999999999999</v>
      </c>
      <c r="F145">
        <v>7356988.4000000004</v>
      </c>
      <c r="G145">
        <v>2.2109999999999999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8.4210526315789569E-2</v>
      </c>
      <c r="Q145">
        <f t="shared" ref="Q145" si="701">F145*P145</f>
        <v>619535.86526315857</v>
      </c>
      <c r="R145">
        <f t="shared" ref="R145" si="702">R146+Q145</f>
        <v>-18900861.517804351</v>
      </c>
      <c r="S145">
        <f t="shared" ref="S145" si="703">R145/100000</f>
        <v>-189.0086151780435</v>
      </c>
      <c r="T145">
        <f t="shared" ref="T145" si="704">S145/1000</f>
        <v>-0.18900861517804349</v>
      </c>
    </row>
    <row r="146" spans="1:20" x14ac:dyDescent="0.25">
      <c r="A146" s="5">
        <v>44447</v>
      </c>
      <c r="B146">
        <v>2.1040000000000001</v>
      </c>
      <c r="C146">
        <v>2.129</v>
      </c>
      <c r="D146">
        <v>1.7929999999999999</v>
      </c>
      <c r="E146">
        <v>2.0209999999999999</v>
      </c>
      <c r="F146">
        <v>8850053.1999999993</v>
      </c>
      <c r="G146">
        <v>2.0209999999999999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0.35714285714285671</v>
      </c>
      <c r="Q146">
        <f t="shared" ref="Q146" si="706">F146*P146</f>
        <v>3160733.2857142817</v>
      </c>
      <c r="R146">
        <f t="shared" ref="R146" si="707">R147+Q146</f>
        <v>-19520397.383067511</v>
      </c>
      <c r="S146">
        <f t="shared" ref="S146" si="708">R146/100000</f>
        <v>-195.2039738306751</v>
      </c>
      <c r="T146">
        <f t="shared" ref="T146" si="709">S146/1000</f>
        <v>-0.19520397383067509</v>
      </c>
    </row>
    <row r="147" spans="1:20" x14ac:dyDescent="0.25">
      <c r="A147" s="5">
        <v>44446</v>
      </c>
      <c r="B147">
        <v>2.7890000000000001</v>
      </c>
      <c r="C147">
        <v>2.82</v>
      </c>
      <c r="D147">
        <v>1.6639999999999999</v>
      </c>
      <c r="E147">
        <v>2.1040000000000001</v>
      </c>
      <c r="F147">
        <v>12020293.859999999</v>
      </c>
      <c r="G147">
        <v>2.1040000000000001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-0.23875432525951523</v>
      </c>
      <c r="Q147">
        <f t="shared" ref="Q147" si="711">F147*P147</f>
        <v>-2869897.1499653938</v>
      </c>
      <c r="R147">
        <f t="shared" ref="R147" si="712">R148+Q147</f>
        <v>-22681130.668781795</v>
      </c>
      <c r="S147">
        <f t="shared" ref="S147" si="713">R147/100000</f>
        <v>-226.81130668781793</v>
      </c>
      <c r="T147">
        <f t="shared" ref="T147" si="714">S147/1000</f>
        <v>-0.22681130668781793</v>
      </c>
    </row>
    <row r="148" spans="1:20" x14ac:dyDescent="0.25">
      <c r="A148" s="5">
        <v>44445</v>
      </c>
      <c r="B148">
        <v>2.8650000000000002</v>
      </c>
      <c r="C148">
        <v>3</v>
      </c>
      <c r="D148">
        <v>2.6</v>
      </c>
      <c r="E148">
        <v>2.7890000000000001</v>
      </c>
      <c r="F148">
        <v>7436419.7999999998</v>
      </c>
      <c r="G148">
        <v>2.7890000000000001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-5.4999999999999508E-2</v>
      </c>
      <c r="Q148">
        <f t="shared" ref="Q148" si="716">F148*P148</f>
        <v>-409003.08899999631</v>
      </c>
      <c r="R148">
        <f t="shared" ref="R148" si="717">R149+Q148</f>
        <v>-19811233.5188164</v>
      </c>
      <c r="S148">
        <f t="shared" ref="S148" si="718">R148/100000</f>
        <v>-198.112335188164</v>
      </c>
      <c r="T148">
        <f t="shared" ref="T148" si="719">S148/1000</f>
        <v>-0.19811233518816398</v>
      </c>
    </row>
    <row r="149" spans="1:20" x14ac:dyDescent="0.25">
      <c r="A149" s="5">
        <v>44444</v>
      </c>
      <c r="B149">
        <v>2.7189999999999999</v>
      </c>
      <c r="C149">
        <v>2.919</v>
      </c>
      <c r="D149">
        <v>2.68</v>
      </c>
      <c r="E149">
        <v>2.8650000000000002</v>
      </c>
      <c r="F149">
        <v>3833683.1</v>
      </c>
      <c r="G149">
        <v>2.8650000000000002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0.54811715481171674</v>
      </c>
      <c r="Q149">
        <f t="shared" ref="Q149" si="721">F149*P149</f>
        <v>2101307.4732217621</v>
      </c>
      <c r="R149">
        <f t="shared" ref="R149" si="722">R150+Q149</f>
        <v>-19402230.429816402</v>
      </c>
      <c r="S149">
        <f t="shared" ref="S149" si="723">R149/100000</f>
        <v>-194.02230429816402</v>
      </c>
      <c r="T149">
        <f t="shared" ref="T149" si="724">S149/1000</f>
        <v>-0.19402230429816403</v>
      </c>
    </row>
    <row r="150" spans="1:20" x14ac:dyDescent="0.25">
      <c r="A150" s="5">
        <v>44443</v>
      </c>
      <c r="B150">
        <v>2.7589999999999999</v>
      </c>
      <c r="C150">
        <v>2.8570000000000002</v>
      </c>
      <c r="D150">
        <v>2.6309999999999998</v>
      </c>
      <c r="E150">
        <v>2.714</v>
      </c>
      <c r="F150">
        <v>3495062.1</v>
      </c>
      <c r="G150">
        <v>2.714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-0.26548672566371656</v>
      </c>
      <c r="Q150">
        <f t="shared" ref="Q150" si="726">F150*P150</f>
        <v>-927892.59292035317</v>
      </c>
      <c r="R150">
        <f t="shared" ref="R150" si="727">R151+Q150</f>
        <v>-21503537.903038166</v>
      </c>
      <c r="S150">
        <f t="shared" ref="S150" si="728">R150/100000</f>
        <v>-215.03537903038168</v>
      </c>
      <c r="T150">
        <f t="shared" ref="T150" si="729">S150/1000</f>
        <v>-0.21503537903038167</v>
      </c>
    </row>
    <row r="151" spans="1:20" x14ac:dyDescent="0.25">
      <c r="A151" s="5">
        <v>44442</v>
      </c>
      <c r="B151">
        <v>2.67</v>
      </c>
      <c r="C151">
        <v>2.8439999999999999</v>
      </c>
      <c r="D151">
        <v>2.5739999999999998</v>
      </c>
      <c r="E151">
        <v>2.758</v>
      </c>
      <c r="F151">
        <v>4673794.0999999996</v>
      </c>
      <c r="G151">
        <v>2.758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0.3629629629629641</v>
      </c>
      <c r="Q151">
        <f t="shared" ref="Q151" si="731">F151*P151</f>
        <v>1696414.15481482</v>
      </c>
      <c r="R151">
        <f t="shared" ref="R151" si="732">R152+Q151</f>
        <v>-20575645.310117815</v>
      </c>
      <c r="S151">
        <f t="shared" ref="S151" si="733">R151/100000</f>
        <v>-205.75645310117815</v>
      </c>
      <c r="T151">
        <f t="shared" ref="T151" si="734">S151/1000</f>
        <v>-0.20575645310117816</v>
      </c>
    </row>
    <row r="152" spans="1:20" x14ac:dyDescent="0.25">
      <c r="A152" s="5">
        <v>44441</v>
      </c>
      <c r="B152">
        <v>2.7149999999999999</v>
      </c>
      <c r="C152">
        <v>2.97</v>
      </c>
      <c r="D152">
        <v>2.6659999999999999</v>
      </c>
      <c r="E152">
        <v>2.67</v>
      </c>
      <c r="F152">
        <v>7714791.1100000003</v>
      </c>
      <c r="G152">
        <v>2.67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-0.97368421052631582</v>
      </c>
      <c r="Q152">
        <f t="shared" ref="Q152" si="736">F152*P152</f>
        <v>-7511770.2913157903</v>
      </c>
      <c r="R152">
        <f t="shared" ref="R152" si="737">R153+Q152</f>
        <v>-22272059.464932635</v>
      </c>
      <c r="S152">
        <f t="shared" ref="S152" si="738">R152/100000</f>
        <v>-222.72059464932636</v>
      </c>
      <c r="T152">
        <f t="shared" ref="T152" si="739">S152/1000</f>
        <v>-0.22272059464932636</v>
      </c>
    </row>
    <row r="153" spans="1:20" x14ac:dyDescent="0.25">
      <c r="A153" s="5">
        <v>44440</v>
      </c>
      <c r="B153">
        <v>2.5030000000000001</v>
      </c>
      <c r="C153">
        <v>2.73</v>
      </c>
      <c r="D153">
        <v>2.395</v>
      </c>
      <c r="E153">
        <v>2.7210000000000001</v>
      </c>
      <c r="F153">
        <v>5412634.4000000004</v>
      </c>
      <c r="G153">
        <v>2.7210000000000001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0.94626865671641847</v>
      </c>
      <c r="Q153">
        <f t="shared" ref="Q153" si="741">F153*P153</f>
        <v>5121806.2829850782</v>
      </c>
      <c r="R153">
        <f t="shared" ref="R153" si="742">R154+Q153</f>
        <v>-14760289.173616843</v>
      </c>
      <c r="S153">
        <f t="shared" ref="S153" si="743">R153/100000</f>
        <v>-147.60289173616843</v>
      </c>
      <c r="T153">
        <f t="shared" ref="T153" si="744">S153/1000</f>
        <v>-0.14760289173616842</v>
      </c>
    </row>
    <row r="154" spans="1:20" x14ac:dyDescent="0.25">
      <c r="A154" s="5">
        <v>44439</v>
      </c>
      <c r="B154">
        <v>2.3170000000000002</v>
      </c>
      <c r="C154">
        <v>2.8679999999999999</v>
      </c>
      <c r="D154">
        <v>2.278</v>
      </c>
      <c r="E154">
        <v>2.5049999999999999</v>
      </c>
      <c r="F154">
        <v>16969934.539999999</v>
      </c>
      <c r="G154">
        <v>2.5049999999999999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-0.23050847457627144</v>
      </c>
      <c r="Q154">
        <f t="shared" ref="Q154" si="746">F154*P154</f>
        <v>-3911713.7244745805</v>
      </c>
      <c r="R154">
        <f t="shared" ref="R154" si="747">R155+Q154</f>
        <v>-19882095.456601921</v>
      </c>
      <c r="S154">
        <f t="shared" ref="S154" si="748">R154/100000</f>
        <v>-198.82095456601922</v>
      </c>
      <c r="T154">
        <f t="shared" ref="T154" si="749">S154/1000</f>
        <v>-0.19882095456601923</v>
      </c>
    </row>
    <row r="155" spans="1:20" x14ac:dyDescent="0.25">
      <c r="A155" s="5">
        <v>44438</v>
      </c>
      <c r="B155">
        <v>2.395</v>
      </c>
      <c r="C155">
        <v>2.597</v>
      </c>
      <c r="D155">
        <v>2.2839999999999998</v>
      </c>
      <c r="E155">
        <v>2.3180000000000001</v>
      </c>
      <c r="F155">
        <v>8226784.8600000003</v>
      </c>
      <c r="G155">
        <v>2.3180000000000001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-0.78274760383386432</v>
      </c>
      <c r="Q155">
        <f t="shared" ref="Q155" si="751">F155*P155</f>
        <v>-6439496.136421713</v>
      </c>
      <c r="R155">
        <f t="shared" ref="R155" si="752">R156+Q155</f>
        <v>-15970381.732127342</v>
      </c>
      <c r="S155">
        <f t="shared" ref="S155" si="753">R155/100000</f>
        <v>-159.70381732127342</v>
      </c>
      <c r="T155">
        <f t="shared" ref="T155" si="754">S155/1000</f>
        <v>-0.15970381732127342</v>
      </c>
    </row>
    <row r="156" spans="1:20" x14ac:dyDescent="0.25">
      <c r="A156" s="5">
        <v>44437</v>
      </c>
      <c r="B156">
        <v>2.2970000000000002</v>
      </c>
      <c r="C156">
        <v>2.5110000000000001</v>
      </c>
      <c r="D156">
        <v>2.1850000000000001</v>
      </c>
      <c r="E156">
        <v>2.3969999999999998</v>
      </c>
      <c r="F156">
        <v>7710509.4400000004</v>
      </c>
      <c r="G156">
        <v>2.3969999999999998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0.30061349693251349</v>
      </c>
      <c r="Q156">
        <f t="shared" ref="Q156" si="756">F156*P156</f>
        <v>2317883.2058895566</v>
      </c>
      <c r="R156">
        <f t="shared" ref="R156" si="757">R157+Q156</f>
        <v>-9530885.5957056284</v>
      </c>
      <c r="S156">
        <f t="shared" ref="S156" si="758">R156/100000</f>
        <v>-95.308855957056281</v>
      </c>
      <c r="T156">
        <f t="shared" ref="T156" si="759">S156/1000</f>
        <v>-9.5308855957056279E-2</v>
      </c>
    </row>
    <row r="157" spans="1:20" x14ac:dyDescent="0.25">
      <c r="A157" s="5">
        <v>44436</v>
      </c>
      <c r="B157">
        <v>2.4279999999999999</v>
      </c>
      <c r="C157">
        <v>2.4329999999999998</v>
      </c>
      <c r="D157">
        <v>2.278</v>
      </c>
      <c r="E157">
        <v>2.2959999999999998</v>
      </c>
      <c r="F157">
        <v>4662499.3</v>
      </c>
      <c r="G157">
        <v>2.2959999999999998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-0.76774193548387337</v>
      </c>
      <c r="Q157">
        <f t="shared" ref="Q157" si="761">F157*P157</f>
        <v>-3579596.2367742048</v>
      </c>
      <c r="R157">
        <f t="shared" ref="R157" si="762">R158+Q157</f>
        <v>-11848768.801595185</v>
      </c>
      <c r="S157">
        <f t="shared" ref="S157" si="763">R157/100000</f>
        <v>-118.48768801595185</v>
      </c>
      <c r="T157">
        <f t="shared" ref="T157" si="764">S157/1000</f>
        <v>-0.11848768801595184</v>
      </c>
    </row>
    <row r="158" spans="1:20" x14ac:dyDescent="0.25">
      <c r="A158" s="5">
        <v>44435</v>
      </c>
      <c r="B158">
        <v>2.351</v>
      </c>
      <c r="C158">
        <v>2.4550000000000001</v>
      </c>
      <c r="D158">
        <v>2.1440000000000001</v>
      </c>
      <c r="E158">
        <v>2.4300000000000002</v>
      </c>
      <c r="F158">
        <v>10394965.27</v>
      </c>
      <c r="G158">
        <v>2.4300000000000002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0.83922829581993619</v>
      </c>
      <c r="Q158">
        <f t="shared" ref="Q158" si="766">F158*P158</f>
        <v>8723748.9886495229</v>
      </c>
      <c r="R158">
        <f t="shared" ref="R158" si="767">R159+Q158</f>
        <v>-8269172.5648209807</v>
      </c>
      <c r="S158">
        <f t="shared" ref="S158" si="768">R158/100000</f>
        <v>-82.691725648209811</v>
      </c>
      <c r="T158">
        <f t="shared" ref="T158" si="769">S158/1000</f>
        <v>-8.2691725648209813E-2</v>
      </c>
    </row>
    <row r="159" spans="1:20" x14ac:dyDescent="0.25">
      <c r="A159" s="5">
        <v>44434</v>
      </c>
      <c r="B159">
        <v>2.6227999999999998</v>
      </c>
      <c r="C159">
        <v>2.6573000000000002</v>
      </c>
      <c r="D159">
        <v>2.3330000000000002</v>
      </c>
      <c r="E159">
        <v>2.36</v>
      </c>
      <c r="F159">
        <v>6574843.3799999999</v>
      </c>
      <c r="G159">
        <v>2.36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-0.8334875115633692</v>
      </c>
      <c r="Q159">
        <f t="shared" ref="Q159" si="771">F159*P159</f>
        <v>-5480049.847715091</v>
      </c>
      <c r="R159">
        <f t="shared" ref="R159" si="772">R160+Q159</f>
        <v>-16992921.553470504</v>
      </c>
      <c r="S159">
        <f t="shared" ref="S159" si="773">R159/100000</f>
        <v>-169.92921553470504</v>
      </c>
      <c r="T159">
        <f t="shared" ref="T159" si="774">S159/1000</f>
        <v>-0.16992921553470502</v>
      </c>
    </row>
    <row r="160" spans="1:20" x14ac:dyDescent="0.25">
      <c r="A160" s="5">
        <v>44433</v>
      </c>
      <c r="B160">
        <v>2.7764000000000002</v>
      </c>
      <c r="C160">
        <v>3.085</v>
      </c>
      <c r="D160">
        <v>2.5335999999999999</v>
      </c>
      <c r="E160">
        <v>2.6229</v>
      </c>
      <c r="F160">
        <v>17737016.75</v>
      </c>
      <c r="G160">
        <v>2.6229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-0.67609720710917609</v>
      </c>
      <c r="Q160">
        <f t="shared" ref="Q160" si="776">F160*P160</f>
        <v>-11991947.487123676</v>
      </c>
      <c r="R160">
        <f t="shared" ref="R160" si="777">R161+Q160</f>
        <v>-11512871.705755413</v>
      </c>
      <c r="S160">
        <f t="shared" ref="S160" si="778">R160/100000</f>
        <v>-115.12871705755413</v>
      </c>
      <c r="T160">
        <f t="shared" ref="T160" si="779">S160/1000</f>
        <v>-0.11512871705755413</v>
      </c>
    </row>
    <row r="161" spans="1:20" x14ac:dyDescent="0.25">
      <c r="A161" s="5">
        <v>44432</v>
      </c>
      <c r="B161">
        <v>2.2682000000000002</v>
      </c>
      <c r="C161">
        <v>2.8433999999999999</v>
      </c>
      <c r="D161">
        <v>2.1755</v>
      </c>
      <c r="E161">
        <v>2.7719</v>
      </c>
      <c r="F161">
        <v>18174319.719999999</v>
      </c>
      <c r="G161">
        <v>2.7719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0.78589609222937595</v>
      </c>
      <c r="Q161">
        <f t="shared" ref="Q161" si="781">F161*P161</f>
        <v>14283126.846875286</v>
      </c>
      <c r="R161">
        <f t="shared" ref="R161" si="782">R162+Q161</f>
        <v>479075.78136826307</v>
      </c>
      <c r="S161">
        <f t="shared" ref="S161" si="783">R161/100000</f>
        <v>4.7907578136826308</v>
      </c>
      <c r="T161">
        <f t="shared" ref="T161" si="784">S161/1000</f>
        <v>4.7907578136826305E-3</v>
      </c>
    </row>
    <row r="162" spans="1:20" x14ac:dyDescent="0.25">
      <c r="A162" s="5">
        <v>44431</v>
      </c>
      <c r="B162">
        <v>2.2126000000000001</v>
      </c>
      <c r="C162">
        <v>2.39</v>
      </c>
      <c r="D162">
        <v>2.1917</v>
      </c>
      <c r="E162">
        <v>2.2684000000000002</v>
      </c>
      <c r="F162">
        <v>6805895.2400000002</v>
      </c>
      <c r="G162">
        <v>2.2684000000000002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-0.22642460917801152</v>
      </c>
      <c r="Q162">
        <f t="shared" ref="Q162" si="786">F162*P162</f>
        <v>-1541022.1698234889</v>
      </c>
      <c r="R162">
        <f t="shared" ref="R162" si="787">R163+Q162</f>
        <v>-13804051.065507023</v>
      </c>
      <c r="S162">
        <f t="shared" ref="S162" si="788">R162/100000</f>
        <v>-138.04051065507022</v>
      </c>
      <c r="T162">
        <f t="shared" ref="T162" si="789">S162/1000</f>
        <v>-0.13804051065507023</v>
      </c>
    </row>
    <row r="163" spans="1:20" x14ac:dyDescent="0.25">
      <c r="A163" s="5">
        <v>44430</v>
      </c>
      <c r="B163">
        <v>2.3712</v>
      </c>
      <c r="C163">
        <v>2.4773000000000001</v>
      </c>
      <c r="D163">
        <v>2.2065000000000001</v>
      </c>
      <c r="E163">
        <v>2.2233999999999998</v>
      </c>
      <c r="F163">
        <v>3705833.01</v>
      </c>
      <c r="G163">
        <v>2.2233999999999998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-0.87518463810930802</v>
      </c>
      <c r="Q163">
        <f t="shared" ref="Q163" si="791">F163*P163</f>
        <v>-3243288.1217503776</v>
      </c>
      <c r="R163">
        <f t="shared" ref="R163" si="792">R164+Q163</f>
        <v>-12263028.895683534</v>
      </c>
      <c r="S163">
        <f t="shared" ref="S163" si="793">R163/100000</f>
        <v>-122.63028895683534</v>
      </c>
      <c r="T163">
        <f t="shared" ref="T163" si="794">S163/1000</f>
        <v>-0.12263028895683534</v>
      </c>
    </row>
    <row r="164" spans="1:20" x14ac:dyDescent="0.25">
      <c r="A164" s="5">
        <v>44429</v>
      </c>
      <c r="B164">
        <v>2.1471</v>
      </c>
      <c r="C164">
        <v>2.4226000000000001</v>
      </c>
      <c r="D164">
        <v>2.0379999999999998</v>
      </c>
      <c r="E164">
        <v>2.3740999999999999</v>
      </c>
      <c r="F164">
        <v>9065081.25</v>
      </c>
      <c r="G164">
        <v>2.3740999999999999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0.74778991159646291</v>
      </c>
      <c r="Q164">
        <f t="shared" ref="Q164" si="796">F164*P164</f>
        <v>6778776.3065522537</v>
      </c>
      <c r="R164">
        <f t="shared" ref="R164" si="797">R165+Q164</f>
        <v>-9019740.7739331573</v>
      </c>
      <c r="S164">
        <f t="shared" ref="S164" si="798">R164/100000</f>
        <v>-90.197407739331567</v>
      </c>
      <c r="T164">
        <f t="shared" ref="T164" si="799">S164/1000</f>
        <v>-9.0197407739331562E-2</v>
      </c>
    </row>
    <row r="165" spans="1:20" x14ac:dyDescent="0.25">
      <c r="A165" s="5">
        <v>44428</v>
      </c>
      <c r="B165">
        <v>1.948</v>
      </c>
      <c r="C165">
        <v>2.2092999999999998</v>
      </c>
      <c r="D165">
        <v>1.948</v>
      </c>
      <c r="E165">
        <v>2.1471</v>
      </c>
      <c r="F165">
        <v>7947544.5599999996</v>
      </c>
      <c r="G165">
        <v>2.1471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0.52391886720245051</v>
      </c>
      <c r="Q165">
        <f t="shared" ref="Q165" si="801">F165*P165</f>
        <v>4163868.5429161978</v>
      </c>
      <c r="R165">
        <f t="shared" ref="R165" si="802">R166+Q165</f>
        <v>-15798517.080485411</v>
      </c>
      <c r="S165">
        <f t="shared" ref="S165" si="803">R165/100000</f>
        <v>-157.98517080485411</v>
      </c>
      <c r="T165">
        <f t="shared" ref="T165" si="804">S165/1000</f>
        <v>-0.15798517080485411</v>
      </c>
    </row>
    <row r="166" spans="1:20" x14ac:dyDescent="0.25">
      <c r="A166" s="5">
        <v>44427</v>
      </c>
      <c r="B166">
        <v>1.8586</v>
      </c>
      <c r="C166">
        <v>2.0989</v>
      </c>
      <c r="D166">
        <v>1.8376999999999999</v>
      </c>
      <c r="E166">
        <v>1.9480999999999999</v>
      </c>
      <c r="F166">
        <v>13214368.710000001</v>
      </c>
      <c r="G166">
        <v>1.9480999999999999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-0.1546707503828483</v>
      </c>
      <c r="Q166">
        <f t="shared" ref="Q166" si="806">F166*P166</f>
        <v>-2043876.3242113313</v>
      </c>
      <c r="R166">
        <f t="shared" ref="R166" si="807">R167+Q166</f>
        <v>-19962385.623401608</v>
      </c>
      <c r="S166">
        <f t="shared" ref="S166" si="808">R166/100000</f>
        <v>-199.62385623401607</v>
      </c>
      <c r="T166">
        <f t="shared" ref="T166" si="809">S166/1000</f>
        <v>-0.19962385623401607</v>
      </c>
    </row>
    <row r="167" spans="1:20" x14ac:dyDescent="0.25">
      <c r="A167" s="5">
        <v>44426</v>
      </c>
      <c r="B167">
        <v>1.7528999999999999</v>
      </c>
      <c r="C167">
        <v>1.9097999999999999</v>
      </c>
      <c r="D167">
        <v>1.6505000000000001</v>
      </c>
      <c r="E167">
        <v>1.8519000000000001</v>
      </c>
      <c r="F167">
        <v>11861233.609999999</v>
      </c>
      <c r="G167">
        <v>1.8519000000000001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0.55341303509448614</v>
      </c>
      <c r="Q167">
        <f t="shared" ref="Q167" si="811">F167*P167</f>
        <v>6564161.2920748284</v>
      </c>
      <c r="R167">
        <f t="shared" ref="R167" si="812">R168+Q167</f>
        <v>-17918509.299190275</v>
      </c>
      <c r="S167">
        <f t="shared" ref="S167" si="813">R167/100000</f>
        <v>-179.18509299190276</v>
      </c>
      <c r="T167">
        <f t="shared" ref="T167" si="814">S167/1000</f>
        <v>-0.17918509299190277</v>
      </c>
    </row>
    <row r="168" spans="1:20" x14ac:dyDescent="0.25">
      <c r="A168" s="5">
        <v>44425</v>
      </c>
      <c r="B168">
        <v>1.5556000000000001</v>
      </c>
      <c r="C168">
        <v>2.1880999999999999</v>
      </c>
      <c r="D168">
        <v>1.4985999999999999</v>
      </c>
      <c r="E168">
        <v>1.7527999999999999</v>
      </c>
      <c r="F168">
        <v>34773936.899999999</v>
      </c>
      <c r="G168">
        <v>1.7527999999999999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-0.26265409717186372</v>
      </c>
      <c r="Q168">
        <f t="shared" ref="Q168" si="816">F168*P168</f>
        <v>-9133517.0015808567</v>
      </c>
      <c r="R168">
        <f t="shared" ref="R168" si="817">R169+Q168</f>
        <v>-24482670.591265105</v>
      </c>
      <c r="S168">
        <f t="shared" ref="S168" si="818">R168/100000</f>
        <v>-244.82670591265105</v>
      </c>
      <c r="T168">
        <f t="shared" ref="T168" si="819">S168/1000</f>
        <v>-0.24482670591265104</v>
      </c>
    </row>
    <row r="169" spans="1:20" x14ac:dyDescent="0.25">
      <c r="A169" s="5">
        <v>44424</v>
      </c>
      <c r="B169">
        <v>1.7041999999999999</v>
      </c>
      <c r="C169">
        <v>1.7130000000000001</v>
      </c>
      <c r="D169">
        <v>1.5111000000000001</v>
      </c>
      <c r="E169">
        <v>1.5569</v>
      </c>
      <c r="F169">
        <v>7163179.79</v>
      </c>
      <c r="G169">
        <v>1.5569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-0.54631005448241854</v>
      </c>
      <c r="Q169">
        <f t="shared" ref="Q169" si="821">F169*P169</f>
        <v>-3913317.1413422595</v>
      </c>
      <c r="R169">
        <f t="shared" ref="R169" si="822">R170+Q169</f>
        <v>-15349153.589684248</v>
      </c>
      <c r="S169">
        <f t="shared" ref="S169" si="823">R169/100000</f>
        <v>-153.49153589684249</v>
      </c>
      <c r="T169">
        <f t="shared" ref="T169" si="824">S169/1000</f>
        <v>-0.1534915358968425</v>
      </c>
    </row>
    <row r="170" spans="1:20" x14ac:dyDescent="0.25">
      <c r="A170" s="5">
        <v>44423</v>
      </c>
      <c r="B170">
        <v>1.6216999999999999</v>
      </c>
      <c r="C170">
        <v>1.7256</v>
      </c>
      <c r="D170">
        <v>1.5235000000000001</v>
      </c>
      <c r="E170">
        <v>1.7041999999999999</v>
      </c>
      <c r="F170">
        <v>6243509.6200000001</v>
      </c>
      <c r="G170">
        <v>1.7041999999999999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0.78822365165759434</v>
      </c>
      <c r="Q170">
        <f t="shared" ref="Q170" si="826">F170*P170</f>
        <v>4921281.9518357189</v>
      </c>
      <c r="R170">
        <f t="shared" ref="R170" si="827">R171+Q170</f>
        <v>-11435836.448341988</v>
      </c>
      <c r="S170">
        <f t="shared" ref="S170" si="828">R170/100000</f>
        <v>-114.35836448341988</v>
      </c>
      <c r="T170">
        <f t="shared" ref="T170" si="829">S170/1000</f>
        <v>-0.11435836448341988</v>
      </c>
    </row>
    <row r="171" spans="1:20" x14ac:dyDescent="0.25">
      <c r="A171" s="5">
        <v>44422</v>
      </c>
      <c r="B171">
        <v>1.7293000000000001</v>
      </c>
      <c r="C171">
        <v>1.7392000000000001</v>
      </c>
      <c r="D171">
        <v>1.5343</v>
      </c>
      <c r="E171">
        <v>1.619</v>
      </c>
      <c r="F171">
        <v>9348524.1400000006</v>
      </c>
      <c r="G171">
        <v>1.619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-0.17325524646168899</v>
      </c>
      <c r="Q171">
        <f t="shared" ref="Q171" si="831">F171*P171</f>
        <v>-1619680.8539287492</v>
      </c>
      <c r="R171">
        <f t="shared" ref="R171" si="832">R172+Q171</f>
        <v>-16357118.400177706</v>
      </c>
      <c r="S171">
        <f t="shared" ref="S171" si="833">R171/100000</f>
        <v>-163.57118400177706</v>
      </c>
      <c r="T171">
        <f t="shared" ref="T171" si="834">S171/1000</f>
        <v>-0.16357118400177706</v>
      </c>
    </row>
    <row r="172" spans="1:20" x14ac:dyDescent="0.25">
      <c r="A172" s="5">
        <v>44421</v>
      </c>
      <c r="B172">
        <v>1.4298</v>
      </c>
      <c r="C172">
        <v>1.7927</v>
      </c>
      <c r="D172">
        <v>1.3952</v>
      </c>
      <c r="E172">
        <v>1.7265999999999999</v>
      </c>
      <c r="F172">
        <v>15875630.1</v>
      </c>
      <c r="G172">
        <v>1.7265999999999999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0.66742138364779846</v>
      </c>
      <c r="Q172">
        <f t="shared" ref="Q172" si="836">F172*P172</f>
        <v>10595735.007622637</v>
      </c>
      <c r="R172">
        <f t="shared" ref="R172" si="837">R173+Q172</f>
        <v>-14737437.546248958</v>
      </c>
      <c r="S172">
        <f t="shared" ref="S172" si="838">R172/100000</f>
        <v>-147.37437546248958</v>
      </c>
      <c r="T172">
        <f t="shared" ref="T172" si="839">S172/1000</f>
        <v>-0.14737437546248958</v>
      </c>
    </row>
    <row r="173" spans="1:20" x14ac:dyDescent="0.25">
      <c r="A173" s="5">
        <v>44420</v>
      </c>
      <c r="B173">
        <v>1.4983</v>
      </c>
      <c r="C173">
        <v>1.605</v>
      </c>
      <c r="D173">
        <v>1.3623000000000001</v>
      </c>
      <c r="E173">
        <v>1.4312</v>
      </c>
      <c r="F173">
        <v>9202863.5899999999</v>
      </c>
      <c r="G173">
        <v>1.4312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-0.43222084878450773</v>
      </c>
      <c r="Q173">
        <f t="shared" ref="Q173" si="841">F173*P173</f>
        <v>-3977669.5121178417</v>
      </c>
      <c r="R173">
        <f t="shared" ref="R173" si="842">R174+Q173</f>
        <v>-25333172.553871594</v>
      </c>
      <c r="S173">
        <f t="shared" ref="S173" si="843">R173/100000</f>
        <v>-253.33172553871594</v>
      </c>
      <c r="T173">
        <f t="shared" ref="T173" si="844">S173/1000</f>
        <v>-0.25333172553871597</v>
      </c>
    </row>
    <row r="174" spans="1:20" x14ac:dyDescent="0.25">
      <c r="A174" s="5">
        <v>44419</v>
      </c>
      <c r="B174">
        <v>1.3207</v>
      </c>
      <c r="C174">
        <v>1.5972999999999999</v>
      </c>
      <c r="D174">
        <v>1.3138000000000001</v>
      </c>
      <c r="E174">
        <v>1.5003</v>
      </c>
      <c r="F174">
        <v>12569207.460000001</v>
      </c>
      <c r="G174">
        <v>1.5003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0.31569664902998223</v>
      </c>
      <c r="Q174">
        <f t="shared" ref="Q174" si="846">F174*P174</f>
        <v>3968056.6760846549</v>
      </c>
      <c r="R174">
        <f t="shared" ref="R174" si="847">R175+Q174</f>
        <v>-21355503.041753754</v>
      </c>
      <c r="S174">
        <f t="shared" ref="S174" si="848">R174/100000</f>
        <v>-213.55503041753755</v>
      </c>
      <c r="T174">
        <f t="shared" ref="T174" si="849">S174/1000</f>
        <v>-0.21355503041753754</v>
      </c>
    </row>
    <row r="175" spans="1:20" x14ac:dyDescent="0.25">
      <c r="A175" s="5">
        <v>44418</v>
      </c>
      <c r="B175">
        <v>1.3046</v>
      </c>
      <c r="C175">
        <v>1.37</v>
      </c>
      <c r="D175">
        <v>1.2548999999999999</v>
      </c>
      <c r="E175">
        <v>1.3205</v>
      </c>
      <c r="F175">
        <v>5577689.0199999996</v>
      </c>
      <c r="G175">
        <v>1.3205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0.13987836663770611</v>
      </c>
      <c r="Q175">
        <f t="shared" ref="Q175" si="851">F175*P175</f>
        <v>780198.02973066759</v>
      </c>
      <c r="R175">
        <f t="shared" ref="R175" si="852">R176+Q175</f>
        <v>-25323559.71783841</v>
      </c>
      <c r="S175">
        <f t="shared" ref="S175" si="853">R175/100000</f>
        <v>-253.2355971783841</v>
      </c>
      <c r="T175">
        <f t="shared" ref="T175" si="854">S175/1000</f>
        <v>-0.25323559717838412</v>
      </c>
    </row>
    <row r="176" spans="1:20" x14ac:dyDescent="0.25">
      <c r="A176" s="5">
        <v>44417</v>
      </c>
      <c r="B176">
        <v>1.2029000000000001</v>
      </c>
      <c r="C176">
        <v>1.335</v>
      </c>
      <c r="D176">
        <v>1.1557999999999999</v>
      </c>
      <c r="E176">
        <v>1.3041</v>
      </c>
      <c r="F176">
        <v>6225455.1600000001</v>
      </c>
      <c r="G176">
        <v>1.3041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0.65513392857142938</v>
      </c>
      <c r="Q176">
        <f t="shared" ref="Q176" si="856">F176*P176</f>
        <v>4078506.8961160765</v>
      </c>
      <c r="R176">
        <f t="shared" ref="R176" si="857">R177+Q176</f>
        <v>-26103757.747569077</v>
      </c>
      <c r="S176">
        <f t="shared" ref="S176" si="858">R176/100000</f>
        <v>-261.03757747569074</v>
      </c>
      <c r="T176">
        <f t="shared" ref="T176" si="859">S176/1000</f>
        <v>-0.26103757747569073</v>
      </c>
    </row>
    <row r="177" spans="1:20" x14ac:dyDescent="0.25">
      <c r="A177" s="5">
        <v>44416</v>
      </c>
      <c r="B177">
        <v>1.3032999999999999</v>
      </c>
      <c r="C177">
        <v>1.3258000000000001</v>
      </c>
      <c r="D177">
        <v>1.1870000000000001</v>
      </c>
      <c r="E177">
        <v>1.2011000000000001</v>
      </c>
      <c r="F177">
        <v>5376006.1799999997</v>
      </c>
      <c r="G177">
        <v>1.2011000000000001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-0.79682997118155618</v>
      </c>
      <c r="Q177">
        <f t="shared" ref="Q177" si="861">F177*P177</f>
        <v>-4283762.8494812679</v>
      </c>
      <c r="R177">
        <f t="shared" ref="R177" si="862">R178+Q177</f>
        <v>-30182264.643685155</v>
      </c>
      <c r="S177">
        <f t="shared" ref="S177" si="863">R177/100000</f>
        <v>-301.82264643685153</v>
      </c>
      <c r="T177">
        <f t="shared" ref="T177" si="864">S177/1000</f>
        <v>-0.30182264643685153</v>
      </c>
    </row>
    <row r="178" spans="1:20" x14ac:dyDescent="0.25">
      <c r="A178" s="5">
        <v>44415</v>
      </c>
      <c r="B178">
        <v>1.3191999999999999</v>
      </c>
      <c r="C178">
        <v>1.3868</v>
      </c>
      <c r="D178">
        <v>1.2719</v>
      </c>
      <c r="E178">
        <v>1.3029999999999999</v>
      </c>
      <c r="F178">
        <v>5438568.7400000002</v>
      </c>
      <c r="G178">
        <v>1.3029999999999999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-0.45865970409051515</v>
      </c>
      <c r="Q178">
        <f t="shared" ref="Q178" si="866">F178*P178</f>
        <v>-2494452.3289643261</v>
      </c>
      <c r="R178">
        <f t="shared" ref="R178" si="867">R179+Q178</f>
        <v>-25898501.794203889</v>
      </c>
      <c r="S178">
        <f t="shared" ref="S178" si="868">R178/100000</f>
        <v>-258.98501794203889</v>
      </c>
      <c r="T178">
        <f t="shared" ref="T178" si="869">S178/1000</f>
        <v>-0.25898501794203888</v>
      </c>
    </row>
    <row r="179" spans="1:20" x14ac:dyDescent="0.25">
      <c r="A179" s="5">
        <v>44414</v>
      </c>
      <c r="B179">
        <v>1.3265</v>
      </c>
      <c r="C179">
        <v>1.38</v>
      </c>
      <c r="D179">
        <v>1.2968</v>
      </c>
      <c r="E179">
        <v>1.3174999999999999</v>
      </c>
      <c r="F179">
        <v>6514108.0499999998</v>
      </c>
      <c r="G179">
        <v>1.3174999999999999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-0.50240384615384726</v>
      </c>
      <c r="Q179">
        <f t="shared" ref="Q179" si="871">F179*P179</f>
        <v>-3272712.9385817377</v>
      </c>
      <c r="R179">
        <f t="shared" ref="R179" si="872">R180+Q179</f>
        <v>-23404049.465239562</v>
      </c>
      <c r="S179">
        <f t="shared" ref="S179" si="873">R179/100000</f>
        <v>-234.04049465239561</v>
      </c>
      <c r="T179">
        <f t="shared" ref="T179" si="874">S179/1000</f>
        <v>-0.2340404946523956</v>
      </c>
    </row>
    <row r="180" spans="1:20" x14ac:dyDescent="0.25">
      <c r="A180" s="5">
        <v>44413</v>
      </c>
      <c r="B180">
        <v>1.2596000000000001</v>
      </c>
      <c r="C180">
        <v>1.3526</v>
      </c>
      <c r="D180">
        <v>1.2273000000000001</v>
      </c>
      <c r="E180">
        <v>1.3265</v>
      </c>
      <c r="F180">
        <v>9286236.0999999996</v>
      </c>
      <c r="G180">
        <v>1.3265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0.58339984038308035</v>
      </c>
      <c r="Q180">
        <f t="shared" ref="Q180" si="876">F180*P180</f>
        <v>5417588.6584995985</v>
      </c>
      <c r="R180">
        <f t="shared" ref="R180" si="877">R181+Q180</f>
        <v>-20131336.526657823</v>
      </c>
      <c r="S180">
        <f t="shared" ref="S180" si="878">R180/100000</f>
        <v>-201.31336526657824</v>
      </c>
      <c r="T180">
        <f t="shared" ref="T180" si="879">S180/1000</f>
        <v>-0.20131336526657825</v>
      </c>
    </row>
    <row r="181" spans="1:20" x14ac:dyDescent="0.25">
      <c r="A181" s="5">
        <v>44412</v>
      </c>
      <c r="B181">
        <v>1.2238</v>
      </c>
      <c r="C181">
        <v>1.3018000000000001</v>
      </c>
      <c r="D181">
        <v>1.1740999999999999</v>
      </c>
      <c r="E181">
        <v>1.2578</v>
      </c>
      <c r="F181">
        <v>8134015.7800000003</v>
      </c>
      <c r="G181">
        <v>1.2578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0.31088488645262352</v>
      </c>
      <c r="Q181">
        <f t="shared" ref="Q181" si="881">F181*P181</f>
        <v>2528742.5721691479</v>
      </c>
      <c r="R181">
        <f t="shared" ref="R181" si="882">R182+Q181</f>
        <v>-25548925.185157422</v>
      </c>
      <c r="S181">
        <f t="shared" ref="S181" si="883">R181/100000</f>
        <v>-255.48925185157421</v>
      </c>
      <c r="T181">
        <f t="shared" ref="T181" si="884">S181/1000</f>
        <v>-0.25548925185157423</v>
      </c>
    </row>
    <row r="182" spans="1:20" x14ac:dyDescent="0.25">
      <c r="A182" s="5">
        <v>44411</v>
      </c>
      <c r="B182">
        <v>1.2105999999999999</v>
      </c>
      <c r="C182">
        <v>1.2645999999999999</v>
      </c>
      <c r="D182">
        <v>1.1275999999999999</v>
      </c>
      <c r="E182">
        <v>1.2248000000000001</v>
      </c>
      <c r="F182">
        <v>8631030.2400000002</v>
      </c>
      <c r="G182">
        <v>1.2248000000000001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0.41897810218978349</v>
      </c>
      <c r="Q182">
        <f t="shared" ref="Q182" si="886">F182*P182</f>
        <v>3616212.6698978315</v>
      </c>
      <c r="R182">
        <f t="shared" ref="R182" si="887">R183+Q182</f>
        <v>-28077667.757326569</v>
      </c>
      <c r="S182">
        <f t="shared" ref="S182" si="888">R182/100000</f>
        <v>-280.77667757326572</v>
      </c>
      <c r="T182">
        <f t="shared" ref="T182" si="889">S182/1000</f>
        <v>-0.28077667757326574</v>
      </c>
    </row>
    <row r="183" spans="1:20" x14ac:dyDescent="0.25">
      <c r="A183" s="5">
        <v>44410</v>
      </c>
      <c r="B183">
        <v>1.1044</v>
      </c>
      <c r="C183">
        <v>1.2450000000000001</v>
      </c>
      <c r="D183">
        <v>1.0709</v>
      </c>
      <c r="E183">
        <v>1.2096</v>
      </c>
      <c r="F183">
        <v>9170754.8100000005</v>
      </c>
      <c r="G183">
        <v>1.2096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0.5933371625502577</v>
      </c>
      <c r="Q183">
        <f t="shared" ref="Q183" si="891">F183*P183</f>
        <v>5441349.6374095278</v>
      </c>
      <c r="R183">
        <f t="shared" ref="R183" si="892">R184+Q183</f>
        <v>-31693880.427224401</v>
      </c>
      <c r="S183">
        <f t="shared" ref="S183" si="893">R183/100000</f>
        <v>-316.938804272244</v>
      </c>
      <c r="T183">
        <f t="shared" ref="T183" si="894">S183/1000</f>
        <v>-0.31693880427224402</v>
      </c>
    </row>
    <row r="184" spans="1:20" x14ac:dyDescent="0.25">
      <c r="A184" s="5">
        <v>44409</v>
      </c>
      <c r="B184">
        <v>1.0933999999999999</v>
      </c>
      <c r="C184">
        <v>1.2197</v>
      </c>
      <c r="D184">
        <v>1.0825</v>
      </c>
      <c r="E184">
        <v>1.1017999999999999</v>
      </c>
      <c r="F184">
        <v>11298231.279999999</v>
      </c>
      <c r="G184">
        <v>1.1017999999999999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-0.71865889212828171</v>
      </c>
      <c r="Q184">
        <f t="shared" ref="Q184" si="896">F184*P184</f>
        <v>-8119574.3746938976</v>
      </c>
      <c r="R184">
        <f t="shared" ref="R184" si="897">R185+Q184</f>
        <v>-37135230.064633928</v>
      </c>
      <c r="S184">
        <f t="shared" ref="S184" si="898">R184/100000</f>
        <v>-371.3523006463393</v>
      </c>
      <c r="T184">
        <f t="shared" ref="T184" si="899">S184/1000</f>
        <v>-0.37135230064633928</v>
      </c>
    </row>
    <row r="185" spans="1:20" x14ac:dyDescent="0.25">
      <c r="A185" s="5">
        <v>44408</v>
      </c>
      <c r="B185">
        <v>1.1264000000000001</v>
      </c>
      <c r="C185">
        <v>1.1580999999999999</v>
      </c>
      <c r="D185">
        <v>1.0745</v>
      </c>
      <c r="E185">
        <v>1.0945</v>
      </c>
      <c r="F185">
        <v>6622865.46</v>
      </c>
      <c r="G185">
        <v>1.0945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-0.52153110047846785</v>
      </c>
      <c r="Q185">
        <f t="shared" ref="Q185" si="901">F185*P185</f>
        <v>-3454030.311674634</v>
      </c>
      <c r="R185">
        <f t="shared" ref="R185" si="902">R186+Q185</f>
        <v>-29015655.689940028</v>
      </c>
      <c r="S185">
        <f t="shared" ref="S185" si="903">R185/100000</f>
        <v>-290.1565568994003</v>
      </c>
      <c r="T185">
        <f t="shared" ref="T185" si="904">S185/1000</f>
        <v>-0.29015655689940029</v>
      </c>
    </row>
    <row r="186" spans="1:20" x14ac:dyDescent="0.25">
      <c r="A186" s="5">
        <v>44407</v>
      </c>
      <c r="B186">
        <v>1.0423</v>
      </c>
      <c r="C186">
        <v>1.1399999999999999</v>
      </c>
      <c r="D186">
        <v>0.995</v>
      </c>
      <c r="E186">
        <v>1.1253</v>
      </c>
      <c r="F186">
        <v>8952045.4900000002</v>
      </c>
      <c r="G186">
        <v>1.1253</v>
      </c>
      <c r="L186" t="s">
        <v>8</v>
      </c>
      <c r="M186" t="s">
        <v>7</v>
      </c>
      <c r="N186" t="s">
        <v>7</v>
      </c>
      <c r="P186">
        <f t="shared" ref="P186" si="905">IF(C186=D186,0,((E186-D186)-(C186-E186))/(C186-D186))</f>
        <v>0.79724137931034555</v>
      </c>
      <c r="Q186">
        <f t="shared" ref="Q186" si="906">F186*P186</f>
        <v>7136941.0940965582</v>
      </c>
      <c r="R186">
        <f t="shared" ref="R186" si="907">R187+Q186</f>
        <v>-25561625.378265396</v>
      </c>
      <c r="S186">
        <f t="shared" ref="S186" si="908">R186/100000</f>
        <v>-255.61625378265396</v>
      </c>
      <c r="T186">
        <f t="shared" ref="T186" si="909">S186/1000</f>
        <v>-0.25561625378265396</v>
      </c>
    </row>
    <row r="187" spans="1:20" x14ac:dyDescent="0.25">
      <c r="A187" s="5">
        <v>44406</v>
      </c>
      <c r="B187">
        <v>1.0114000000000001</v>
      </c>
      <c r="C187">
        <v>1.0571999999999999</v>
      </c>
      <c r="D187">
        <v>0.9788</v>
      </c>
      <c r="E187">
        <v>1.0425</v>
      </c>
      <c r="F187">
        <v>5668658.1799999997</v>
      </c>
      <c r="G187">
        <v>1.0425</v>
      </c>
      <c r="L187" t="s">
        <v>7</v>
      </c>
      <c r="M187" t="s">
        <v>7</v>
      </c>
      <c r="N187" t="s">
        <v>7</v>
      </c>
      <c r="P187">
        <f t="shared" ref="P187" si="910">IF(C187=D187,0,((E187-D187)-(C187-E187))/(C187-D187))</f>
        <v>0.62500000000000122</v>
      </c>
      <c r="Q187">
        <f t="shared" ref="Q187" si="911">F187*P187</f>
        <v>3542911.3625000068</v>
      </c>
      <c r="R187">
        <f t="shared" ref="R187" si="912">R188+Q187</f>
        <v>-32698566.472361956</v>
      </c>
      <c r="S187">
        <f t="shared" ref="S187" si="913">R187/100000</f>
        <v>-326.98566472361955</v>
      </c>
      <c r="T187">
        <f t="shared" ref="T187" si="914">S187/1000</f>
        <v>-0.32698566472361956</v>
      </c>
    </row>
    <row r="188" spans="1:20" x14ac:dyDescent="0.25">
      <c r="A188" s="5">
        <v>44405</v>
      </c>
      <c r="B188">
        <v>1.0395000000000001</v>
      </c>
      <c r="C188">
        <v>1.0787</v>
      </c>
      <c r="D188">
        <v>1.002</v>
      </c>
      <c r="E188">
        <v>1.0113000000000001</v>
      </c>
      <c r="F188">
        <v>5206041.7699999996</v>
      </c>
      <c r="G188">
        <v>1.0113000000000001</v>
      </c>
      <c r="L188" t="s">
        <v>8</v>
      </c>
      <c r="M188" t="s">
        <v>7</v>
      </c>
      <c r="N188" t="s">
        <v>7</v>
      </c>
      <c r="P188">
        <f t="shared" ref="P188" si="915">IF(C188=D188,0,((E188-D188)-(C188-E188))/(C188-D188))</f>
        <v>-0.75749674054758576</v>
      </c>
      <c r="Q188">
        <f t="shared" ref="Q188" si="916">F188*P188</f>
        <v>-3943559.6719295839</v>
      </c>
      <c r="R188">
        <f t="shared" ref="R188" si="917">R189+Q188</f>
        <v>-36241477.834861964</v>
      </c>
      <c r="S188">
        <f t="shared" ref="S188" si="918">R188/100000</f>
        <v>-362.41477834861962</v>
      </c>
      <c r="T188">
        <f t="shared" ref="T188" si="919">S188/1000</f>
        <v>-0.36241477834861963</v>
      </c>
    </row>
    <row r="189" spans="1:20" x14ac:dyDescent="0.25">
      <c r="A189" s="5">
        <v>44404</v>
      </c>
      <c r="B189">
        <v>1.0230999999999999</v>
      </c>
      <c r="C189">
        <v>1.0674999999999999</v>
      </c>
      <c r="D189">
        <v>0.96499999999999997</v>
      </c>
      <c r="E189">
        <v>1.0395000000000001</v>
      </c>
      <c r="F189">
        <v>8370183.5700000003</v>
      </c>
      <c r="G189">
        <v>1.0395000000000001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0.45365853658536931</v>
      </c>
      <c r="Q189">
        <f t="shared" ref="Q189" si="921">F189*P189</f>
        <v>3797205.2293171021</v>
      </c>
      <c r="R189">
        <f t="shared" ref="R189" si="922">R190+Q189</f>
        <v>-32297918.162932377</v>
      </c>
      <c r="S189">
        <f t="shared" ref="S189" si="923">R189/100000</f>
        <v>-322.97918162932376</v>
      </c>
      <c r="T189">
        <f t="shared" ref="T189" si="924">S189/1000</f>
        <v>-0.32297918162932376</v>
      </c>
    </row>
    <row r="190" spans="1:20" x14ac:dyDescent="0.25">
      <c r="A190" s="5">
        <v>44403</v>
      </c>
      <c r="B190">
        <v>1.0945</v>
      </c>
      <c r="C190">
        <v>1.19</v>
      </c>
      <c r="D190">
        <v>1.0201</v>
      </c>
      <c r="E190">
        <v>1.024</v>
      </c>
      <c r="F190">
        <v>10386345.109999999</v>
      </c>
      <c r="G190">
        <v>1.024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-0.95409064155385503</v>
      </c>
      <c r="Q190">
        <f t="shared" ref="Q190" si="926">F190*P190</f>
        <v>-9909514.6693996452</v>
      </c>
      <c r="R190">
        <f t="shared" ref="R190" si="927">R191+Q190</f>
        <v>-36095123.39224948</v>
      </c>
      <c r="S190">
        <f t="shared" ref="S190" si="928">R190/100000</f>
        <v>-360.95123392249479</v>
      </c>
      <c r="T190">
        <f t="shared" ref="T190" si="929">S190/1000</f>
        <v>-0.36095123392249479</v>
      </c>
    </row>
    <row r="191" spans="1:20" x14ac:dyDescent="0.25">
      <c r="A191" s="5">
        <v>44402</v>
      </c>
      <c r="B191">
        <v>1.0423</v>
      </c>
      <c r="C191">
        <v>1.1168</v>
      </c>
      <c r="D191">
        <v>1.0112000000000001</v>
      </c>
      <c r="E191">
        <v>1.0929</v>
      </c>
      <c r="F191">
        <v>6384485.6799999997</v>
      </c>
      <c r="G191">
        <v>1.0929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0.54734848484848386</v>
      </c>
      <c r="Q191">
        <f t="shared" ref="Q191" si="931">F191*P191</f>
        <v>3494538.563484842</v>
      </c>
      <c r="R191">
        <f t="shared" ref="R191" si="932">R192+Q191</f>
        <v>-26185608.722849838</v>
      </c>
      <c r="S191">
        <f t="shared" ref="S191" si="933">R191/100000</f>
        <v>-261.85608722849838</v>
      </c>
      <c r="T191">
        <f t="shared" ref="T191:T197" si="934">S191/1000</f>
        <v>-0.2618560872284984</v>
      </c>
    </row>
    <row r="192" spans="1:20" x14ac:dyDescent="0.25">
      <c r="A192" s="5">
        <v>44401</v>
      </c>
      <c r="B192">
        <v>1.0641</v>
      </c>
      <c r="C192">
        <v>1.1605000000000001</v>
      </c>
      <c r="D192">
        <v>1.0266</v>
      </c>
      <c r="E192">
        <v>1.0434000000000001</v>
      </c>
      <c r="F192">
        <v>7435436.2699999996</v>
      </c>
      <c r="G192">
        <v>1.0434000000000001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-0.74906646751306749</v>
      </c>
      <c r="Q192">
        <f t="shared" ref="Q192" si="936">F192*P192</f>
        <v>-5569635.9811874386</v>
      </c>
      <c r="R192">
        <f t="shared" ref="R192" si="937">R193+Q192</f>
        <v>-29680147.286334679</v>
      </c>
      <c r="S192">
        <f t="shared" ref="S192" si="938">R192/100000</f>
        <v>-296.80147286334676</v>
      </c>
      <c r="T192">
        <f t="shared" si="934"/>
        <v>-0.29680147286334674</v>
      </c>
    </row>
    <row r="193" spans="1:20" x14ac:dyDescent="0.25">
      <c r="A193" s="5">
        <v>44400</v>
      </c>
      <c r="B193">
        <v>1.044</v>
      </c>
      <c r="C193">
        <v>1.0940000000000001</v>
      </c>
      <c r="D193">
        <v>1.0112000000000001</v>
      </c>
      <c r="E193">
        <v>1.0641</v>
      </c>
      <c r="F193">
        <v>4732930.78</v>
      </c>
      <c r="G193">
        <v>1.0641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0.27777777777777674</v>
      </c>
      <c r="Q193">
        <f t="shared" ref="Q193" si="940">F193*P193</f>
        <v>1314702.9944444397</v>
      </c>
      <c r="R193">
        <f t="shared" ref="R193" si="941">R194+Q193</f>
        <v>-24110511.305147238</v>
      </c>
      <c r="S193">
        <f t="shared" ref="S193" si="942">R193/100000</f>
        <v>-241.10511305147239</v>
      </c>
      <c r="T193">
        <f t="shared" si="934"/>
        <v>-0.24110511305147239</v>
      </c>
    </row>
    <row r="194" spans="1:20" x14ac:dyDescent="0.25">
      <c r="A194" s="5">
        <v>44399</v>
      </c>
      <c r="B194">
        <v>1.0005999999999999</v>
      </c>
      <c r="C194">
        <v>1.0649</v>
      </c>
      <c r="D194">
        <v>0.97119999999999995</v>
      </c>
      <c r="E194">
        <v>1.044</v>
      </c>
      <c r="F194">
        <v>4873169.7300000004</v>
      </c>
      <c r="G194">
        <v>1.044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0.55389541088580752</v>
      </c>
      <c r="Q194">
        <f t="shared" ref="Q194" si="944">F194*P194</f>
        <v>2699226.3499146299</v>
      </c>
      <c r="R194">
        <f t="shared" ref="R194" si="945">R195+Q194</f>
        <v>-25425214.299591679</v>
      </c>
      <c r="S194">
        <f t="shared" ref="S194" si="946">R194/100000</f>
        <v>-254.25214299591678</v>
      </c>
      <c r="T194">
        <f t="shared" si="934"/>
        <v>-0.25425214299591681</v>
      </c>
    </row>
    <row r="195" spans="1:20" x14ac:dyDescent="0.25">
      <c r="A195" s="5">
        <v>44398</v>
      </c>
      <c r="B195">
        <v>0.91930000000000001</v>
      </c>
      <c r="C195">
        <v>1.0470999999999999</v>
      </c>
      <c r="D195">
        <v>0.88690000000000002</v>
      </c>
      <c r="E195">
        <v>1.0004</v>
      </c>
      <c r="F195">
        <v>4357991.03</v>
      </c>
      <c r="G195">
        <v>1.0004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0.4169787765293384</v>
      </c>
      <c r="Q195">
        <f t="shared" ref="Q195" si="948">F195*P195</f>
        <v>1817189.7678152313</v>
      </c>
      <c r="R195">
        <f t="shared" ref="R195" si="949">R196+Q195</f>
        <v>-28124440.649506308</v>
      </c>
      <c r="S195">
        <f t="shared" ref="S195" si="950">R195/100000</f>
        <v>-281.24440649506306</v>
      </c>
      <c r="T195">
        <f t="shared" si="934"/>
        <v>-0.28124440649506305</v>
      </c>
    </row>
    <row r="196" spans="1:20" x14ac:dyDescent="0.25">
      <c r="A196" s="5">
        <v>44397</v>
      </c>
      <c r="B196">
        <v>0.98450000000000004</v>
      </c>
      <c r="C196">
        <v>1.0013000000000001</v>
      </c>
      <c r="D196">
        <v>0.88370000000000004</v>
      </c>
      <c r="E196">
        <v>0.91869999999999996</v>
      </c>
      <c r="F196">
        <v>4573030.97</v>
      </c>
      <c r="G196">
        <v>0.91869999999999996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-0.40476190476190632</v>
      </c>
      <c r="Q196">
        <f t="shared" ref="Q196" si="952">F196*P196</f>
        <v>-1850988.725952388</v>
      </c>
      <c r="R196">
        <f t="shared" ref="R196" si="953">R197+Q196</f>
        <v>-29941630.41732154</v>
      </c>
      <c r="S196">
        <f t="shared" ref="S196" si="954">R196/100000</f>
        <v>-299.41630417321539</v>
      </c>
      <c r="T196">
        <f t="shared" si="934"/>
        <v>-0.29941630417321541</v>
      </c>
    </row>
    <row r="197" spans="1:20" x14ac:dyDescent="0.25">
      <c r="A197" s="5">
        <v>44396</v>
      </c>
      <c r="B197">
        <v>1.0772999999999999</v>
      </c>
      <c r="C197">
        <v>1.0846</v>
      </c>
      <c r="D197">
        <v>0.97570000000000001</v>
      </c>
      <c r="E197">
        <v>0.98450000000000004</v>
      </c>
      <c r="F197">
        <v>8160449.5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-0.83838383838383779</v>
      </c>
      <c r="Q197">
        <f t="shared" ref="Q197" si="956">F197*P197</f>
        <v>-6841588.9747474696</v>
      </c>
      <c r="R197">
        <f t="shared" ref="R197" si="957">R198+Q197</f>
        <v>-28090641.691369154</v>
      </c>
      <c r="S197">
        <f t="shared" ref="S197" si="958">R197/100000</f>
        <v>-280.90641691369154</v>
      </c>
      <c r="T197">
        <f t="shared" si="934"/>
        <v>-0.28090641691369156</v>
      </c>
    </row>
    <row r="198" spans="1:20" x14ac:dyDescent="0.25">
      <c r="A198" s="5">
        <v>44395</v>
      </c>
      <c r="B198">
        <v>1.026</v>
      </c>
      <c r="C198">
        <v>1.17</v>
      </c>
      <c r="D198">
        <v>1.0224</v>
      </c>
      <c r="E198">
        <v>1.0772999999999999</v>
      </c>
      <c r="F198">
        <v>8944732.5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-0.25609756097561021</v>
      </c>
      <c r="Q198">
        <f t="shared" ref="Q198:Q261" si="960">F198*P198</f>
        <v>-2290724.1768292724</v>
      </c>
      <c r="R198">
        <f t="shared" ref="R198:R261" si="961">R199+Q198</f>
        <v>-21249052.716621682</v>
      </c>
      <c r="S198">
        <f t="shared" ref="S198:S261" si="962">R198/100000</f>
        <v>-212.49052716621682</v>
      </c>
      <c r="T198">
        <f t="shared" ref="T198:T261" si="963">S198/1000</f>
        <v>-0.21249052716621683</v>
      </c>
    </row>
    <row r="199" spans="1:20" x14ac:dyDescent="0.25">
      <c r="A199" s="5">
        <v>44394</v>
      </c>
      <c r="B199">
        <v>1.0754999999999999</v>
      </c>
      <c r="C199">
        <v>1.087</v>
      </c>
      <c r="D199">
        <v>1.0105999999999999</v>
      </c>
      <c r="E199">
        <v>1.0253000000000001</v>
      </c>
      <c r="F199">
        <v>2634508.64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-0.61518324607329444</v>
      </c>
      <c r="Q199">
        <f t="shared" si="960"/>
        <v>-1620705.5769633404</v>
      </c>
      <c r="R199">
        <f t="shared" si="961"/>
        <v>-18958328.539792411</v>
      </c>
      <c r="S199">
        <f t="shared" si="962"/>
        <v>-189.5832853979241</v>
      </c>
      <c r="T199">
        <f t="shared" si="963"/>
        <v>-0.1895832853979241</v>
      </c>
    </row>
    <row r="200" spans="1:20" x14ac:dyDescent="0.25">
      <c r="A200" s="5">
        <v>44393</v>
      </c>
      <c r="B200">
        <v>1.2129000000000001</v>
      </c>
      <c r="C200">
        <v>1.28</v>
      </c>
      <c r="D200">
        <v>1.0726</v>
      </c>
      <c r="E200">
        <v>1.0734999999999999</v>
      </c>
      <c r="F200">
        <v>7296972.3399999999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-0.99132111861137995</v>
      </c>
      <c r="Q200">
        <f t="shared" si="960"/>
        <v>-7233642.7825650983</v>
      </c>
      <c r="R200">
        <f t="shared" si="961"/>
        <v>-17337622.962829072</v>
      </c>
      <c r="S200">
        <f t="shared" si="962"/>
        <v>-173.37622962829073</v>
      </c>
      <c r="T200">
        <f t="shared" si="963"/>
        <v>-0.17337622962829072</v>
      </c>
    </row>
    <row r="201" spans="1:20" x14ac:dyDescent="0.25">
      <c r="A201" s="5">
        <v>44392</v>
      </c>
      <c r="B201">
        <v>1.0528</v>
      </c>
      <c r="C201">
        <v>1.266</v>
      </c>
      <c r="D201">
        <v>1.0330999999999999</v>
      </c>
      <c r="E201">
        <v>1.2162999999999999</v>
      </c>
      <c r="F201">
        <v>8915994.7699999996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0.57320738514383807</v>
      </c>
      <c r="Q201">
        <f t="shared" si="960"/>
        <v>5110714.0480678361</v>
      </c>
      <c r="R201">
        <f t="shared" si="961"/>
        <v>-10103980.180263974</v>
      </c>
      <c r="S201">
        <f t="shared" si="962"/>
        <v>-101.03980180263974</v>
      </c>
      <c r="T201">
        <f t="shared" si="963"/>
        <v>-0.10103980180263974</v>
      </c>
    </row>
    <row r="202" spans="1:20" x14ac:dyDescent="0.25">
      <c r="A202" s="5">
        <v>44391</v>
      </c>
      <c r="B202">
        <v>1.0143</v>
      </c>
      <c r="C202">
        <v>1.1371</v>
      </c>
      <c r="D202">
        <v>0.9325</v>
      </c>
      <c r="E202">
        <v>1.0541</v>
      </c>
      <c r="F202">
        <v>5805649.2300000004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0.18866080156402776</v>
      </c>
      <c r="Q202">
        <f t="shared" si="960"/>
        <v>1095298.4373313806</v>
      </c>
      <c r="R202">
        <f t="shared" si="961"/>
        <v>-15214694.22833181</v>
      </c>
      <c r="S202">
        <f t="shared" si="962"/>
        <v>-152.14694228331811</v>
      </c>
      <c r="T202">
        <f t="shared" si="963"/>
        <v>-0.1521469422833181</v>
      </c>
    </row>
    <row r="203" spans="1:20" x14ac:dyDescent="0.25">
      <c r="A203" s="5">
        <v>44390</v>
      </c>
      <c r="B203">
        <v>1.0041</v>
      </c>
      <c r="C203">
        <v>1.0214000000000001</v>
      </c>
      <c r="D203">
        <v>0.96760000000000002</v>
      </c>
      <c r="E203">
        <v>1.0144</v>
      </c>
      <c r="F203">
        <v>1543541.9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0.7397769516728584</v>
      </c>
      <c r="Q203">
        <f t="shared" si="960"/>
        <v>1141876.721561332</v>
      </c>
      <c r="R203">
        <f t="shared" si="961"/>
        <v>-16309992.66566319</v>
      </c>
      <c r="S203">
        <f t="shared" si="962"/>
        <v>-163.09992665663191</v>
      </c>
      <c r="T203">
        <f t="shared" si="963"/>
        <v>-0.16309992665663192</v>
      </c>
    </row>
    <row r="204" spans="1:20" x14ac:dyDescent="0.25">
      <c r="A204" s="5">
        <v>44389</v>
      </c>
      <c r="B204">
        <v>1.0613999999999999</v>
      </c>
      <c r="C204">
        <v>1.1102000000000001</v>
      </c>
      <c r="D204">
        <v>0.98170000000000002</v>
      </c>
      <c r="E204">
        <v>1.0065</v>
      </c>
      <c r="F204">
        <v>2806196.26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-0.61400778210116858</v>
      </c>
      <c r="Q204">
        <f t="shared" si="960"/>
        <v>-1723026.341743194</v>
      </c>
      <c r="R204">
        <f t="shared" si="961"/>
        <v>-17451869.387224521</v>
      </c>
      <c r="S204">
        <f t="shared" si="962"/>
        <v>-174.51869387224522</v>
      </c>
      <c r="T204">
        <f t="shared" si="963"/>
        <v>-0.17451869387224522</v>
      </c>
    </row>
    <row r="205" spans="1:20" x14ac:dyDescent="0.25">
      <c r="A205" s="5">
        <v>44388</v>
      </c>
      <c r="B205">
        <v>1.0058</v>
      </c>
      <c r="C205">
        <v>1.1200000000000001</v>
      </c>
      <c r="D205">
        <v>0.99560000000000004</v>
      </c>
      <c r="E205">
        <v>1.0606</v>
      </c>
      <c r="F205">
        <v>3775806.31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4.5016077170416592E-2</v>
      </c>
      <c r="Q205">
        <f t="shared" si="960"/>
        <v>169971.98823150591</v>
      </c>
      <c r="R205">
        <f t="shared" si="961"/>
        <v>-15728843.045481326</v>
      </c>
      <c r="S205">
        <f t="shared" si="962"/>
        <v>-157.28843045481327</v>
      </c>
      <c r="T205">
        <f t="shared" si="963"/>
        <v>-0.15728843045481328</v>
      </c>
    </row>
    <row r="206" spans="1:20" x14ac:dyDescent="0.25">
      <c r="A206" s="5">
        <v>44387</v>
      </c>
      <c r="B206">
        <v>1.0192000000000001</v>
      </c>
      <c r="C206">
        <v>1.0443</v>
      </c>
      <c r="D206">
        <v>0.97850000000000004</v>
      </c>
      <c r="E206">
        <v>1.0049999999999999</v>
      </c>
      <c r="F206">
        <v>1288219.9099999999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-0.19452887537994318</v>
      </c>
      <c r="Q206">
        <f t="shared" si="960"/>
        <v>-250595.97033435159</v>
      </c>
      <c r="R206">
        <f t="shared" si="961"/>
        <v>-15898815.033712832</v>
      </c>
      <c r="S206">
        <f t="shared" si="962"/>
        <v>-158.98815033712833</v>
      </c>
      <c r="T206">
        <f t="shared" si="963"/>
        <v>-0.15898815033712832</v>
      </c>
    </row>
    <row r="207" spans="1:20" x14ac:dyDescent="0.25">
      <c r="A207" s="5">
        <v>44386</v>
      </c>
      <c r="B207">
        <v>1.0281</v>
      </c>
      <c r="C207">
        <v>1.0369999999999999</v>
      </c>
      <c r="D207">
        <v>0.97509999999999997</v>
      </c>
      <c r="E207">
        <v>1.02</v>
      </c>
      <c r="F207">
        <v>2284155.6800000002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0.45072697899838721</v>
      </c>
      <c r="Q207">
        <f t="shared" si="960"/>
        <v>1029530.589208407</v>
      </c>
      <c r="R207">
        <f t="shared" si="961"/>
        <v>-15648219.063378481</v>
      </c>
      <c r="S207">
        <f t="shared" si="962"/>
        <v>-156.48219063378482</v>
      </c>
      <c r="T207">
        <f t="shared" si="963"/>
        <v>-0.15648219063378482</v>
      </c>
    </row>
    <row r="208" spans="1:20" x14ac:dyDescent="0.25">
      <c r="A208" s="5">
        <v>44385</v>
      </c>
      <c r="B208">
        <v>1.1331</v>
      </c>
      <c r="C208">
        <v>1.1417999999999999</v>
      </c>
      <c r="D208">
        <v>1.0036</v>
      </c>
      <c r="E208">
        <v>1.0282</v>
      </c>
      <c r="F208">
        <v>3630966.38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-0.64399421128798873</v>
      </c>
      <c r="Q208">
        <f t="shared" si="960"/>
        <v>-2338321.3301013033</v>
      </c>
      <c r="R208">
        <f t="shared" si="961"/>
        <v>-16677749.652586889</v>
      </c>
      <c r="S208">
        <f t="shared" si="962"/>
        <v>-166.77749652586888</v>
      </c>
      <c r="T208">
        <f t="shared" si="963"/>
        <v>-0.16677749652586887</v>
      </c>
    </row>
    <row r="209" spans="1:20" x14ac:dyDescent="0.25">
      <c r="A209" s="5">
        <v>44384</v>
      </c>
      <c r="B209">
        <v>1.1384000000000001</v>
      </c>
      <c r="C209">
        <v>1.1916</v>
      </c>
      <c r="D209">
        <v>1.1286</v>
      </c>
      <c r="E209">
        <v>1.1328</v>
      </c>
      <c r="F209">
        <v>2687358.12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-0.86666666666666714</v>
      </c>
      <c r="Q209">
        <f t="shared" si="960"/>
        <v>-2329043.7040000013</v>
      </c>
      <c r="R209">
        <f t="shared" si="961"/>
        <v>-14339428.322485585</v>
      </c>
      <c r="S209">
        <f t="shared" si="962"/>
        <v>-143.39428322485585</v>
      </c>
      <c r="T209">
        <f t="shared" si="963"/>
        <v>-0.14339428322485587</v>
      </c>
    </row>
    <row r="210" spans="1:20" x14ac:dyDescent="0.25">
      <c r="A210" s="5">
        <v>44383</v>
      </c>
      <c r="B210">
        <v>1.1263000000000001</v>
      </c>
      <c r="C210">
        <v>1.1949000000000001</v>
      </c>
      <c r="D210">
        <v>1.1163000000000001</v>
      </c>
      <c r="E210">
        <v>1.1393</v>
      </c>
      <c r="F210">
        <v>2149820.8199999998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-0.4147582697201041</v>
      </c>
      <c r="Q210">
        <f t="shared" si="960"/>
        <v>-891655.96351145534</v>
      </c>
      <c r="R210">
        <f t="shared" si="961"/>
        <v>-12010384.618485583</v>
      </c>
      <c r="S210">
        <f t="shared" si="962"/>
        <v>-120.10384618485583</v>
      </c>
      <c r="T210">
        <f t="shared" si="963"/>
        <v>-0.12010384618485583</v>
      </c>
    </row>
    <row r="211" spans="1:20" x14ac:dyDescent="0.25">
      <c r="A211" s="5">
        <v>44382</v>
      </c>
      <c r="B211">
        <v>1.1986000000000001</v>
      </c>
      <c r="C211">
        <v>1.2063999999999999</v>
      </c>
      <c r="D211">
        <v>1.103</v>
      </c>
      <c r="E211">
        <v>1.1246</v>
      </c>
      <c r="F211">
        <v>2909539.9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-0.58220502901353821</v>
      </c>
      <c r="Q211">
        <f t="shared" si="960"/>
        <v>-1693948.7618955469</v>
      </c>
      <c r="R211">
        <f t="shared" si="961"/>
        <v>-11118728.654974127</v>
      </c>
      <c r="S211">
        <f t="shared" si="962"/>
        <v>-111.18728654974127</v>
      </c>
      <c r="T211">
        <f t="shared" si="963"/>
        <v>-0.11118728654974128</v>
      </c>
    </row>
    <row r="212" spans="1:20" x14ac:dyDescent="0.25">
      <c r="A212" s="5">
        <v>44381</v>
      </c>
      <c r="B212">
        <v>1.1677999999999999</v>
      </c>
      <c r="C212">
        <v>1.2750999999999999</v>
      </c>
      <c r="D212">
        <v>1.1263000000000001</v>
      </c>
      <c r="E212">
        <v>1.1989000000000001</v>
      </c>
      <c r="F212">
        <v>2932101.09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-2.4193548387095632E-2</v>
      </c>
      <c r="Q212">
        <f t="shared" si="960"/>
        <v>-70937.929596770846</v>
      </c>
      <c r="R212">
        <f t="shared" si="961"/>
        <v>-9424779.8930785805</v>
      </c>
      <c r="S212">
        <f t="shared" si="962"/>
        <v>-94.247798930785805</v>
      </c>
      <c r="T212">
        <f t="shared" si="963"/>
        <v>-9.4247798930785803E-2</v>
      </c>
    </row>
    <row r="213" spans="1:20" x14ac:dyDescent="0.25">
      <c r="A213" s="5">
        <v>44380</v>
      </c>
      <c r="B213">
        <v>1.1821999999999999</v>
      </c>
      <c r="C213">
        <v>1.2168000000000001</v>
      </c>
      <c r="D213">
        <v>1.1412</v>
      </c>
      <c r="E213">
        <v>1.1664000000000001</v>
      </c>
      <c r="F213">
        <v>2410123.02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-0.33333333333333137</v>
      </c>
      <c r="Q213">
        <f t="shared" si="960"/>
        <v>-803374.33999999531</v>
      </c>
      <c r="R213">
        <f t="shared" si="961"/>
        <v>-9353841.9634818099</v>
      </c>
      <c r="S213">
        <f t="shared" si="962"/>
        <v>-93.538419634818098</v>
      </c>
      <c r="T213">
        <f t="shared" si="963"/>
        <v>-9.3538419634818099E-2</v>
      </c>
    </row>
    <row r="214" spans="1:20" x14ac:dyDescent="0.25">
      <c r="A214" s="5">
        <v>44379</v>
      </c>
      <c r="B214">
        <v>1.1792</v>
      </c>
      <c r="C214">
        <v>1.1999</v>
      </c>
      <c r="D214">
        <v>1.0948</v>
      </c>
      <c r="E214">
        <v>1.1808000000000001</v>
      </c>
      <c r="F214">
        <v>5023000.43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0.63653663177925979</v>
      </c>
      <c r="Q214">
        <f t="shared" si="960"/>
        <v>3197323.7751379735</v>
      </c>
      <c r="R214">
        <f t="shared" si="961"/>
        <v>-8550467.6234818138</v>
      </c>
      <c r="S214">
        <f t="shared" si="962"/>
        <v>-85.504676234818135</v>
      </c>
      <c r="T214">
        <f t="shared" si="963"/>
        <v>-8.5504676234818139E-2</v>
      </c>
    </row>
    <row r="215" spans="1:20" x14ac:dyDescent="0.25">
      <c r="A215" s="5">
        <v>44378</v>
      </c>
      <c r="B215">
        <v>0.97560000000000002</v>
      </c>
      <c r="C215">
        <v>1.2231000000000001</v>
      </c>
      <c r="D215">
        <v>0.95779999999999998</v>
      </c>
      <c r="E215">
        <v>1.1801999999999999</v>
      </c>
      <c r="F215">
        <v>17974054.109999999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0.67659253675084696</v>
      </c>
      <c r="Q215">
        <f t="shared" si="960"/>
        <v>12161110.865981886</v>
      </c>
      <c r="R215">
        <f t="shared" si="961"/>
        <v>-11747791.398619788</v>
      </c>
      <c r="S215">
        <f t="shared" si="962"/>
        <v>-117.47791398619788</v>
      </c>
      <c r="T215">
        <f t="shared" si="963"/>
        <v>-0.11747791398619788</v>
      </c>
    </row>
    <row r="216" spans="1:20" x14ac:dyDescent="0.25">
      <c r="A216" s="5">
        <v>44377</v>
      </c>
      <c r="B216">
        <v>0.96760000000000002</v>
      </c>
      <c r="C216">
        <v>1.0229999999999999</v>
      </c>
      <c r="D216">
        <v>0.91469999999999996</v>
      </c>
      <c r="E216">
        <v>0.97699999999999998</v>
      </c>
      <c r="F216">
        <v>1674652.6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0.15050784856879132</v>
      </c>
      <c r="Q216">
        <f t="shared" si="960"/>
        <v>252048.35992613269</v>
      </c>
      <c r="R216">
        <f t="shared" si="961"/>
        <v>-23908902.264601674</v>
      </c>
      <c r="S216">
        <f t="shared" si="962"/>
        <v>-239.08902264601673</v>
      </c>
      <c r="T216">
        <f t="shared" si="963"/>
        <v>-0.23908902264601672</v>
      </c>
    </row>
    <row r="217" spans="1:20" x14ac:dyDescent="0.25">
      <c r="A217" s="5">
        <v>44376</v>
      </c>
      <c r="B217">
        <v>0.91800000000000004</v>
      </c>
      <c r="C217">
        <v>0.99280000000000002</v>
      </c>
      <c r="D217">
        <v>0.91679999999999995</v>
      </c>
      <c r="E217">
        <v>0.96679999999999999</v>
      </c>
      <c r="F217">
        <v>1568909.51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0.31578947368421051</v>
      </c>
      <c r="Q217">
        <f t="shared" si="960"/>
        <v>495445.10842105263</v>
      </c>
      <c r="R217">
        <f t="shared" si="961"/>
        <v>-24160950.624527808</v>
      </c>
      <c r="S217">
        <f t="shared" si="962"/>
        <v>-241.60950624527808</v>
      </c>
      <c r="T217">
        <f t="shared" si="963"/>
        <v>-0.24160950624527808</v>
      </c>
    </row>
    <row r="218" spans="1:20" x14ac:dyDescent="0.25">
      <c r="A218" s="5">
        <v>44375</v>
      </c>
      <c r="B218">
        <v>0.90920000000000001</v>
      </c>
      <c r="C218">
        <v>0.93959999999999999</v>
      </c>
      <c r="D218">
        <v>0.88500000000000001</v>
      </c>
      <c r="E218">
        <v>0.91810000000000003</v>
      </c>
      <c r="F218">
        <v>1459332.15</v>
      </c>
      <c r="G218">
        <v>0</v>
      </c>
      <c r="L218" t="s">
        <v>7</v>
      </c>
      <c r="M218" t="s">
        <v>8</v>
      </c>
      <c r="N218" t="s">
        <v>7</v>
      </c>
      <c r="P218">
        <f t="shared" si="959"/>
        <v>0.21245421245421353</v>
      </c>
      <c r="Q218">
        <f t="shared" si="960"/>
        <v>310041.26263736421</v>
      </c>
      <c r="R218">
        <f t="shared" si="961"/>
        <v>-24656395.732948862</v>
      </c>
      <c r="S218">
        <f t="shared" si="962"/>
        <v>-246.56395732948863</v>
      </c>
      <c r="T218">
        <f t="shared" si="963"/>
        <v>-0.24656395732948863</v>
      </c>
    </row>
    <row r="219" spans="1:20" x14ac:dyDescent="0.25">
      <c r="A219" s="5">
        <v>44374</v>
      </c>
      <c r="B219">
        <v>0.87139999999999995</v>
      </c>
      <c r="C219">
        <v>0.95</v>
      </c>
      <c r="D219">
        <v>0.8448</v>
      </c>
      <c r="E219">
        <v>0.91090000000000004</v>
      </c>
      <c r="F219">
        <v>2151029.5099999998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0.25665399239543862</v>
      </c>
      <c r="Q219">
        <f t="shared" si="960"/>
        <v>552070.31150190404</v>
      </c>
      <c r="R219">
        <f t="shared" si="961"/>
        <v>-24966436.995586228</v>
      </c>
      <c r="S219">
        <f t="shared" si="962"/>
        <v>-249.66436995586227</v>
      </c>
      <c r="T219">
        <f t="shared" si="963"/>
        <v>-0.24966436995586228</v>
      </c>
    </row>
    <row r="220" spans="1:20" x14ac:dyDescent="0.25">
      <c r="A220" s="5">
        <v>44373</v>
      </c>
      <c r="B220">
        <v>0.82609999999999995</v>
      </c>
      <c r="C220">
        <v>0.87190000000000001</v>
      </c>
      <c r="D220">
        <v>0.78300000000000003</v>
      </c>
      <c r="E220">
        <v>0.87170000000000003</v>
      </c>
      <c r="F220">
        <v>2131652.15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0.99550056242969676</v>
      </c>
      <c r="Q220">
        <f t="shared" si="960"/>
        <v>2122060.9142294722</v>
      </c>
      <c r="R220">
        <f t="shared" si="961"/>
        <v>-25518507.307088133</v>
      </c>
      <c r="S220">
        <f t="shared" si="962"/>
        <v>-255.18507307088132</v>
      </c>
      <c r="T220">
        <f t="shared" si="963"/>
        <v>-0.25518507307088134</v>
      </c>
    </row>
    <row r="221" spans="1:20" x14ac:dyDescent="0.25">
      <c r="A221" s="5">
        <v>44372</v>
      </c>
      <c r="B221">
        <v>0.93720000000000003</v>
      </c>
      <c r="C221">
        <v>0.95660000000000001</v>
      </c>
      <c r="D221">
        <v>0.81679999999999997</v>
      </c>
      <c r="E221">
        <v>0.82869999999999999</v>
      </c>
      <c r="F221">
        <v>2030617.92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-0.82975679542203118</v>
      </c>
      <c r="Q221">
        <f t="shared" si="960"/>
        <v>-1684919.0180257505</v>
      </c>
      <c r="R221">
        <f t="shared" si="961"/>
        <v>-27640568.221317604</v>
      </c>
      <c r="S221">
        <f t="shared" si="962"/>
        <v>-276.40568221317602</v>
      </c>
      <c r="T221">
        <f t="shared" si="963"/>
        <v>-0.27640568221317602</v>
      </c>
    </row>
    <row r="222" spans="1:20" x14ac:dyDescent="0.25">
      <c r="A222" s="5">
        <v>44371</v>
      </c>
      <c r="B222">
        <v>0.92290000000000005</v>
      </c>
      <c r="C222">
        <v>0.99</v>
      </c>
      <c r="D222">
        <v>0.87209999999999999</v>
      </c>
      <c r="E222">
        <v>0.93689999999999996</v>
      </c>
      <c r="F222">
        <v>1939750.95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9.9236641221373476E-2</v>
      </c>
      <c r="Q222">
        <f t="shared" si="960"/>
        <v>192494.36908396834</v>
      </c>
      <c r="R222">
        <f t="shared" si="961"/>
        <v>-25955649.203291852</v>
      </c>
      <c r="S222">
        <f t="shared" si="962"/>
        <v>-259.55649203291853</v>
      </c>
      <c r="T222">
        <f t="shared" si="963"/>
        <v>-0.25955649203291853</v>
      </c>
    </row>
    <row r="223" spans="1:20" x14ac:dyDescent="0.25">
      <c r="A223" s="5">
        <v>44370</v>
      </c>
      <c r="B223">
        <v>0.87739999999999996</v>
      </c>
      <c r="C223">
        <v>0.96930000000000005</v>
      </c>
      <c r="D223">
        <v>0.83250000000000002</v>
      </c>
      <c r="E223">
        <v>0.92169999999999996</v>
      </c>
      <c r="F223">
        <v>2277027.15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0.30409356725146086</v>
      </c>
      <c r="Q223">
        <f t="shared" si="960"/>
        <v>692429.30877192726</v>
      </c>
      <c r="R223">
        <f t="shared" si="961"/>
        <v>-26148143.572375819</v>
      </c>
      <c r="S223">
        <f t="shared" si="962"/>
        <v>-261.48143572375818</v>
      </c>
      <c r="T223">
        <f t="shared" si="963"/>
        <v>-0.2614814357237582</v>
      </c>
    </row>
    <row r="224" spans="1:20" x14ac:dyDescent="0.25">
      <c r="A224" s="5">
        <v>44369</v>
      </c>
      <c r="B224">
        <v>0.89029999999999998</v>
      </c>
      <c r="C224">
        <v>0.95899999999999996</v>
      </c>
      <c r="D224">
        <v>0.75</v>
      </c>
      <c r="E224">
        <v>0.87860000000000005</v>
      </c>
      <c r="F224">
        <v>3053255.83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0.23062200956937867</v>
      </c>
      <c r="Q224">
        <f t="shared" si="960"/>
        <v>704147.99524402129</v>
      </c>
      <c r="R224">
        <f t="shared" si="961"/>
        <v>-26840572.881147746</v>
      </c>
      <c r="S224">
        <f t="shared" si="962"/>
        <v>-268.40572881147745</v>
      </c>
      <c r="T224">
        <f t="shared" si="963"/>
        <v>-0.26840572881147745</v>
      </c>
    </row>
    <row r="225" spans="1:20" x14ac:dyDescent="0.25">
      <c r="A225" s="5">
        <v>44368</v>
      </c>
      <c r="B225">
        <v>1.1519999999999999</v>
      </c>
      <c r="C225">
        <v>1.1785000000000001</v>
      </c>
      <c r="D225">
        <v>0.88749999999999996</v>
      </c>
      <c r="E225">
        <v>0.88900000000000001</v>
      </c>
      <c r="F225">
        <v>3210474.97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-0.98969072164948413</v>
      </c>
      <c r="Q225">
        <f t="shared" si="960"/>
        <v>-3177377.2898969059</v>
      </c>
      <c r="R225">
        <f t="shared" si="961"/>
        <v>-27544720.876391768</v>
      </c>
      <c r="S225">
        <f t="shared" si="962"/>
        <v>-275.44720876391767</v>
      </c>
      <c r="T225">
        <f t="shared" si="963"/>
        <v>-0.27544720876391765</v>
      </c>
    </row>
    <row r="226" spans="1:20" x14ac:dyDescent="0.25">
      <c r="A226" s="5">
        <v>44367</v>
      </c>
      <c r="B226">
        <v>1.1433</v>
      </c>
      <c r="C226">
        <v>1.1927000000000001</v>
      </c>
      <c r="D226">
        <v>1.0900000000000001</v>
      </c>
      <c r="E226">
        <v>1.1503000000000001</v>
      </c>
      <c r="F226">
        <v>1998100.62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0.17429406037000997</v>
      </c>
      <c r="Q226">
        <f t="shared" si="960"/>
        <v>348257.07008763438</v>
      </c>
      <c r="R226">
        <f t="shared" si="961"/>
        <v>-24367343.586494863</v>
      </c>
      <c r="S226">
        <f t="shared" si="962"/>
        <v>-243.67343586494863</v>
      </c>
      <c r="T226">
        <f t="shared" si="963"/>
        <v>-0.24367343586494863</v>
      </c>
    </row>
    <row r="227" spans="1:20" x14ac:dyDescent="0.25">
      <c r="A227" s="5">
        <v>44366</v>
      </c>
      <c r="B227">
        <v>1.1680999999999999</v>
      </c>
      <c r="C227">
        <v>1.2067000000000001</v>
      </c>
      <c r="D227">
        <v>1.1222000000000001</v>
      </c>
      <c r="E227">
        <v>1.1443000000000001</v>
      </c>
      <c r="F227">
        <v>1326500.76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-0.47692307692307684</v>
      </c>
      <c r="Q227">
        <f t="shared" si="960"/>
        <v>-632638.82399999991</v>
      </c>
      <c r="R227">
        <f t="shared" si="961"/>
        <v>-24715600.656582497</v>
      </c>
      <c r="S227">
        <f t="shared" si="962"/>
        <v>-247.15600656582498</v>
      </c>
      <c r="T227">
        <f t="shared" si="963"/>
        <v>-0.24715600656582498</v>
      </c>
    </row>
    <row r="228" spans="1:20" x14ac:dyDescent="0.25">
      <c r="A228" s="5">
        <v>44365</v>
      </c>
      <c r="B228">
        <v>1.3163</v>
      </c>
      <c r="C228">
        <v>1.3201000000000001</v>
      </c>
      <c r="D228">
        <v>1.1336999999999999</v>
      </c>
      <c r="E228">
        <v>1.1680999999999999</v>
      </c>
      <c r="F228">
        <v>1897315.26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-0.63090128755364849</v>
      </c>
      <c r="Q228">
        <f t="shared" si="960"/>
        <v>-1197018.6404291855</v>
      </c>
      <c r="R228">
        <f t="shared" si="961"/>
        <v>-24082961.832582496</v>
      </c>
      <c r="S228">
        <f t="shared" si="962"/>
        <v>-240.82961832582495</v>
      </c>
      <c r="T228">
        <f t="shared" si="963"/>
        <v>-0.24082961832582495</v>
      </c>
    </row>
    <row r="229" spans="1:20" x14ac:dyDescent="0.25">
      <c r="A229" s="5">
        <v>44364</v>
      </c>
      <c r="B229">
        <v>1.2306999999999999</v>
      </c>
      <c r="C229">
        <v>1.355</v>
      </c>
      <c r="D229">
        <v>1.2262</v>
      </c>
      <c r="E229">
        <v>1.3172999999999999</v>
      </c>
      <c r="F229">
        <v>23032911.140000001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0.41459627329192456</v>
      </c>
      <c r="Q229">
        <f t="shared" si="960"/>
        <v>9549359.1217080541</v>
      </c>
      <c r="R229">
        <f t="shared" si="961"/>
        <v>-22885943.192153312</v>
      </c>
      <c r="S229">
        <f t="shared" si="962"/>
        <v>-228.85943192153312</v>
      </c>
      <c r="T229">
        <f t="shared" si="963"/>
        <v>-0.2288594319215331</v>
      </c>
    </row>
    <row r="230" spans="1:20" x14ac:dyDescent="0.25">
      <c r="A230" s="5">
        <v>44363</v>
      </c>
      <c r="B230">
        <v>1.3130999999999999</v>
      </c>
      <c r="C230">
        <v>1.3468</v>
      </c>
      <c r="D230">
        <v>1.2113</v>
      </c>
      <c r="E230">
        <v>1.2323999999999999</v>
      </c>
      <c r="F230">
        <v>3072761.23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-0.68856088560885753</v>
      </c>
      <c r="Q230">
        <f t="shared" si="960"/>
        <v>-2115783.1937933625</v>
      </c>
      <c r="R230">
        <f t="shared" si="961"/>
        <v>-32435302.313861366</v>
      </c>
      <c r="S230">
        <f t="shared" si="962"/>
        <v>-324.35302313861365</v>
      </c>
      <c r="T230">
        <f t="shared" si="963"/>
        <v>-0.32435302313861364</v>
      </c>
    </row>
    <row r="231" spans="1:20" x14ac:dyDescent="0.25">
      <c r="A231" s="5">
        <v>44362</v>
      </c>
      <c r="B231">
        <v>1.26</v>
      </c>
      <c r="C231">
        <v>1.4443999999999999</v>
      </c>
      <c r="D231">
        <v>1.2313000000000001</v>
      </c>
      <c r="E231">
        <v>1.3128</v>
      </c>
      <c r="F231">
        <v>5331977.84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-0.23510089160018804</v>
      </c>
      <c r="Q231">
        <f t="shared" si="960"/>
        <v>-1253552.7441764448</v>
      </c>
      <c r="R231">
        <f t="shared" si="961"/>
        <v>-30319519.120068002</v>
      </c>
      <c r="S231">
        <f t="shared" si="962"/>
        <v>-303.19519120068003</v>
      </c>
      <c r="T231">
        <f t="shared" si="963"/>
        <v>-0.30319519120068</v>
      </c>
    </row>
    <row r="232" spans="1:20" x14ac:dyDescent="0.25">
      <c r="A232" s="5">
        <v>44361</v>
      </c>
      <c r="B232">
        <v>1.21</v>
      </c>
      <c r="C232">
        <v>1.3098000000000001</v>
      </c>
      <c r="D232">
        <v>1.2094</v>
      </c>
      <c r="E232">
        <v>1.2611000000000001</v>
      </c>
      <c r="F232">
        <v>2555452.1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2.9880478087650521E-2</v>
      </c>
      <c r="Q232">
        <f t="shared" si="960"/>
        <v>76358.130478090505</v>
      </c>
      <c r="R232">
        <f t="shared" si="961"/>
        <v>-29065966.375891559</v>
      </c>
      <c r="S232">
        <f t="shared" si="962"/>
        <v>-290.6596637589156</v>
      </c>
      <c r="T232">
        <f t="shared" si="963"/>
        <v>-0.29065966375891561</v>
      </c>
    </row>
    <row r="233" spans="1:20" x14ac:dyDescent="0.25">
      <c r="A233" s="5">
        <v>44360</v>
      </c>
      <c r="B233">
        <v>1.093</v>
      </c>
      <c r="C233">
        <v>1.2166999999999999</v>
      </c>
      <c r="D233">
        <v>1.0699000000000001</v>
      </c>
      <c r="E233">
        <v>1.206</v>
      </c>
      <c r="F233">
        <v>1623341.87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0.8542234332425076</v>
      </c>
      <c r="Q233">
        <f t="shared" si="960"/>
        <v>1386696.6655177125</v>
      </c>
      <c r="R233">
        <f t="shared" si="961"/>
        <v>-29142324.50636965</v>
      </c>
      <c r="S233">
        <f t="shared" si="962"/>
        <v>-291.42324506369653</v>
      </c>
      <c r="T233">
        <f t="shared" si="963"/>
        <v>-0.29142324506369655</v>
      </c>
    </row>
    <row r="234" spans="1:20" x14ac:dyDescent="0.25">
      <c r="A234" s="5">
        <v>44359</v>
      </c>
      <c r="B234">
        <v>1.1424000000000001</v>
      </c>
      <c r="C234">
        <v>1.1575</v>
      </c>
      <c r="D234">
        <v>1.0489999999999999</v>
      </c>
      <c r="E234">
        <v>1.0909</v>
      </c>
      <c r="F234">
        <v>2074897.39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-0.22764976958525285</v>
      </c>
      <c r="Q234">
        <f t="shared" si="960"/>
        <v>-472349.91274654248</v>
      </c>
      <c r="R234">
        <f t="shared" si="961"/>
        <v>-30529021.171887364</v>
      </c>
      <c r="S234">
        <f t="shared" si="962"/>
        <v>-305.29021171887365</v>
      </c>
      <c r="T234">
        <f t="shared" si="963"/>
        <v>-0.30529021171887366</v>
      </c>
    </row>
    <row r="235" spans="1:20" x14ac:dyDescent="0.25">
      <c r="A235" s="5">
        <v>44358</v>
      </c>
      <c r="B235">
        <v>1.2170000000000001</v>
      </c>
      <c r="C235">
        <v>1.2701</v>
      </c>
      <c r="D235">
        <v>1.1220000000000001</v>
      </c>
      <c r="E235">
        <v>1.1415999999999999</v>
      </c>
      <c r="F235">
        <v>3825660.4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-0.73531397704254076</v>
      </c>
      <c r="Q235">
        <f t="shared" si="960"/>
        <v>-2813061.5635381574</v>
      </c>
      <c r="R235">
        <f t="shared" si="961"/>
        <v>-30056671.259140823</v>
      </c>
      <c r="S235">
        <f t="shared" si="962"/>
        <v>-300.56671259140825</v>
      </c>
      <c r="T235">
        <f t="shared" si="963"/>
        <v>-0.30056671259140827</v>
      </c>
    </row>
    <row r="236" spans="1:20" x14ac:dyDescent="0.25">
      <c r="A236" s="5">
        <v>44357</v>
      </c>
      <c r="B236">
        <v>1.1996</v>
      </c>
      <c r="C236">
        <v>1.2250000000000001</v>
      </c>
      <c r="D236">
        <v>1.1355</v>
      </c>
      <c r="E236">
        <v>1.2170000000000001</v>
      </c>
      <c r="F236">
        <v>2694597.37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0.82122905027932969</v>
      </c>
      <c r="Q236">
        <f t="shared" si="960"/>
        <v>2212881.6390502797</v>
      </c>
      <c r="R236">
        <f t="shared" si="961"/>
        <v>-27243609.695602667</v>
      </c>
      <c r="S236">
        <f t="shared" si="962"/>
        <v>-272.43609695602669</v>
      </c>
      <c r="T236">
        <f t="shared" si="963"/>
        <v>-0.27243609695602666</v>
      </c>
    </row>
    <row r="237" spans="1:20" x14ac:dyDescent="0.25">
      <c r="A237" s="5">
        <v>44356</v>
      </c>
      <c r="B237">
        <v>1.1355999999999999</v>
      </c>
      <c r="C237">
        <v>1.2599</v>
      </c>
      <c r="D237">
        <v>1.0799000000000001</v>
      </c>
      <c r="E237">
        <v>1.1977</v>
      </c>
      <c r="F237">
        <v>4022810.9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0.30888888888888827</v>
      </c>
      <c r="Q237">
        <f t="shared" si="960"/>
        <v>1242601.5891111086</v>
      </c>
      <c r="R237">
        <f t="shared" si="961"/>
        <v>-29456491.334652945</v>
      </c>
      <c r="S237">
        <f t="shared" si="962"/>
        <v>-294.56491334652947</v>
      </c>
      <c r="T237">
        <f t="shared" si="963"/>
        <v>-0.29456491334652946</v>
      </c>
    </row>
    <row r="238" spans="1:20" x14ac:dyDescent="0.25">
      <c r="A238" s="5">
        <v>44355</v>
      </c>
      <c r="B238">
        <v>1.1567000000000001</v>
      </c>
      <c r="C238">
        <v>1.1903999999999999</v>
      </c>
      <c r="D238">
        <v>1.0443</v>
      </c>
      <c r="E238">
        <v>1.1398999999999999</v>
      </c>
      <c r="F238">
        <v>2151796.58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0.30869267624914409</v>
      </c>
      <c r="Q238">
        <f t="shared" si="960"/>
        <v>664243.84502395557</v>
      </c>
      <c r="R238">
        <f t="shared" si="961"/>
        <v>-30699092.923764054</v>
      </c>
      <c r="S238">
        <f t="shared" si="962"/>
        <v>-306.99092923764056</v>
      </c>
      <c r="T238">
        <f t="shared" si="963"/>
        <v>-0.30699092923764054</v>
      </c>
    </row>
    <row r="239" spans="1:20" x14ac:dyDescent="0.25">
      <c r="A239" s="5">
        <v>44354</v>
      </c>
      <c r="B239">
        <v>1.2729999999999999</v>
      </c>
      <c r="C239">
        <v>1.3922000000000001</v>
      </c>
      <c r="D239">
        <v>1.1308</v>
      </c>
      <c r="E239">
        <v>1.1571</v>
      </c>
      <c r="F239">
        <v>3759096.96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-0.79877582249426182</v>
      </c>
      <c r="Q239">
        <f t="shared" si="960"/>
        <v>-3002675.766059679</v>
      </c>
      <c r="R239">
        <f t="shared" si="961"/>
        <v>-31363336.76878801</v>
      </c>
      <c r="S239">
        <f t="shared" si="962"/>
        <v>-313.63336768788008</v>
      </c>
      <c r="T239">
        <f t="shared" si="963"/>
        <v>-0.31363336768788008</v>
      </c>
    </row>
    <row r="240" spans="1:20" x14ac:dyDescent="0.25">
      <c r="A240" s="5">
        <v>44353</v>
      </c>
      <c r="B240">
        <v>1.2474000000000001</v>
      </c>
      <c r="C240">
        <v>1.2899</v>
      </c>
      <c r="D240">
        <v>1.2117</v>
      </c>
      <c r="E240">
        <v>1.2707999999999999</v>
      </c>
      <c r="F240">
        <v>1610363.2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0.51150895140664687</v>
      </c>
      <c r="Q240">
        <f t="shared" si="960"/>
        <v>823715.1918158523</v>
      </c>
      <c r="R240">
        <f t="shared" si="961"/>
        <v>-28360661.002728332</v>
      </c>
      <c r="S240">
        <f t="shared" si="962"/>
        <v>-283.6066100272833</v>
      </c>
      <c r="T240">
        <f t="shared" si="963"/>
        <v>-0.28360661002728327</v>
      </c>
    </row>
    <row r="241" spans="1:20" x14ac:dyDescent="0.25">
      <c r="A241" s="5">
        <v>44352</v>
      </c>
      <c r="B241">
        <v>1.2527999999999999</v>
      </c>
      <c r="C241">
        <v>1.3754999999999999</v>
      </c>
      <c r="D241">
        <v>1.1951000000000001</v>
      </c>
      <c r="E241">
        <v>1.2444</v>
      </c>
      <c r="F241">
        <v>3178228.36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-0.45343680709534445</v>
      </c>
      <c r="Q241">
        <f t="shared" si="960"/>
        <v>-1441125.7197782728</v>
      </c>
      <c r="R241">
        <f t="shared" si="961"/>
        <v>-29184376.194544185</v>
      </c>
      <c r="S241">
        <f t="shared" si="962"/>
        <v>-291.84376194544183</v>
      </c>
      <c r="T241">
        <f t="shared" si="963"/>
        <v>-0.29184376194544182</v>
      </c>
    </row>
    <row r="242" spans="1:20" x14ac:dyDescent="0.25">
      <c r="A242" s="5">
        <v>44351</v>
      </c>
      <c r="B242">
        <v>1.4568000000000001</v>
      </c>
      <c r="C242">
        <v>1.4616</v>
      </c>
      <c r="D242">
        <v>1.1934</v>
      </c>
      <c r="E242">
        <v>1.2517</v>
      </c>
      <c r="F242">
        <v>3847943.91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-0.56524981357196102</v>
      </c>
      <c r="Q242">
        <f t="shared" si="960"/>
        <v>-2175049.5777628627</v>
      </c>
      <c r="R242">
        <f t="shared" si="961"/>
        <v>-27743250.474765912</v>
      </c>
      <c r="S242">
        <f t="shared" si="962"/>
        <v>-277.4325047476591</v>
      </c>
      <c r="T242">
        <f t="shared" si="963"/>
        <v>-0.27743250474765907</v>
      </c>
    </row>
    <row r="243" spans="1:20" x14ac:dyDescent="0.25">
      <c r="A243" s="5">
        <v>44350</v>
      </c>
      <c r="B243">
        <v>1.4374</v>
      </c>
      <c r="C243">
        <v>1.536</v>
      </c>
      <c r="D243">
        <v>1.4051</v>
      </c>
      <c r="E243">
        <v>1.4554</v>
      </c>
      <c r="F243">
        <v>4535094.8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-0.2314744079449961</v>
      </c>
      <c r="Q243">
        <f t="shared" si="960"/>
        <v>-1049758.3838044305</v>
      </c>
      <c r="R243">
        <f t="shared" si="961"/>
        <v>-25568200.897003051</v>
      </c>
      <c r="S243">
        <f t="shared" si="962"/>
        <v>-255.68200897003049</v>
      </c>
      <c r="T243">
        <f t="shared" si="963"/>
        <v>-0.25568200897003052</v>
      </c>
    </row>
    <row r="244" spans="1:20" x14ac:dyDescent="0.25">
      <c r="A244" s="5">
        <v>44349</v>
      </c>
      <c r="B244">
        <v>1.3097000000000001</v>
      </c>
      <c r="C244">
        <v>1.5823</v>
      </c>
      <c r="D244">
        <v>1.2808999999999999</v>
      </c>
      <c r="E244">
        <v>1.4371</v>
      </c>
      <c r="F244">
        <v>6772085.3799999999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3.6496350364963889E-2</v>
      </c>
      <c r="Q244">
        <f t="shared" si="960"/>
        <v>247156.40072992962</v>
      </c>
      <c r="R244">
        <f t="shared" si="961"/>
        <v>-24518442.513198622</v>
      </c>
      <c r="S244">
        <f t="shared" si="962"/>
        <v>-245.18442513198622</v>
      </c>
      <c r="T244">
        <f t="shared" si="963"/>
        <v>-0.24518442513198621</v>
      </c>
    </row>
    <row r="245" spans="1:20" x14ac:dyDescent="0.25">
      <c r="A245" s="5">
        <v>44348</v>
      </c>
      <c r="B245">
        <v>1.3360000000000001</v>
      </c>
      <c r="C245">
        <v>1.351</v>
      </c>
      <c r="D245">
        <v>1.2493000000000001</v>
      </c>
      <c r="E245">
        <v>1.3073999999999999</v>
      </c>
      <c r="F245">
        <v>3205216.31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0.14257620452310471</v>
      </c>
      <c r="Q245">
        <f t="shared" si="960"/>
        <v>456987.57615535101</v>
      </c>
      <c r="R245">
        <f t="shared" si="961"/>
        <v>-24765598.91392855</v>
      </c>
      <c r="S245">
        <f t="shared" si="962"/>
        <v>-247.65598913928551</v>
      </c>
      <c r="T245">
        <f t="shared" si="963"/>
        <v>-0.24765598913928552</v>
      </c>
    </row>
    <row r="246" spans="1:20" x14ac:dyDescent="0.25">
      <c r="A246" s="5">
        <v>44347</v>
      </c>
      <c r="B246">
        <v>1.2604</v>
      </c>
      <c r="C246">
        <v>1.4167000000000001</v>
      </c>
      <c r="D246">
        <v>1.1943999999999999</v>
      </c>
      <c r="E246">
        <v>1.3358000000000001</v>
      </c>
      <c r="F246">
        <v>3862981.93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0.27215474583895716</v>
      </c>
      <c r="Q246">
        <f t="shared" si="960"/>
        <v>1051328.8653396342</v>
      </c>
      <c r="R246">
        <f t="shared" si="961"/>
        <v>-25222586.490083899</v>
      </c>
      <c r="S246">
        <f t="shared" si="962"/>
        <v>-252.22586490083899</v>
      </c>
      <c r="T246">
        <f t="shared" si="963"/>
        <v>-0.25222586490083898</v>
      </c>
    </row>
    <row r="247" spans="1:20" x14ac:dyDescent="0.25">
      <c r="A247" s="5">
        <v>44346</v>
      </c>
      <c r="B247">
        <v>1.0871</v>
      </c>
      <c r="C247">
        <v>1.35</v>
      </c>
      <c r="D247">
        <v>1.0136000000000001</v>
      </c>
      <c r="E247">
        <v>1.2634000000000001</v>
      </c>
      <c r="F247">
        <v>6936187.6299999999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0.48513674197384066</v>
      </c>
      <c r="Q247">
        <f t="shared" si="960"/>
        <v>3364999.4685374554</v>
      </c>
      <c r="R247">
        <f t="shared" si="961"/>
        <v>-26273915.355423532</v>
      </c>
      <c r="S247">
        <f t="shared" si="962"/>
        <v>-262.73915355423532</v>
      </c>
      <c r="T247">
        <f t="shared" si="963"/>
        <v>-0.26273915355423533</v>
      </c>
    </row>
    <row r="248" spans="1:20" x14ac:dyDescent="0.25">
      <c r="A248" s="5">
        <v>44345</v>
      </c>
      <c r="B248">
        <v>1.2021999999999999</v>
      </c>
      <c r="C248">
        <v>1.2538</v>
      </c>
      <c r="D248">
        <v>1.0394000000000001</v>
      </c>
      <c r="E248">
        <v>1.0868</v>
      </c>
      <c r="F248">
        <v>1667181.24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-0.5578358208955233</v>
      </c>
      <c r="Q248">
        <f t="shared" si="960"/>
        <v>-930013.41559701646</v>
      </c>
      <c r="R248">
        <f t="shared" si="961"/>
        <v>-29638914.823960986</v>
      </c>
      <c r="S248">
        <f t="shared" si="962"/>
        <v>-296.38914823960988</v>
      </c>
      <c r="T248">
        <f t="shared" si="963"/>
        <v>-0.29638914823960988</v>
      </c>
    </row>
    <row r="249" spans="1:20" x14ac:dyDescent="0.25">
      <c r="A249" s="5">
        <v>44344</v>
      </c>
      <c r="B249">
        <v>1.409</v>
      </c>
      <c r="C249">
        <v>1.4283999999999999</v>
      </c>
      <c r="D249">
        <v>1.1254</v>
      </c>
      <c r="E249">
        <v>1.2001999999999999</v>
      </c>
      <c r="F249">
        <v>2584173.39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-0.50627062706270631</v>
      </c>
      <c r="Q249">
        <f t="shared" si="960"/>
        <v>-1308291.0825940596</v>
      </c>
      <c r="R249">
        <f t="shared" si="961"/>
        <v>-28708901.408363968</v>
      </c>
      <c r="S249">
        <f t="shared" si="962"/>
        <v>-287.08901408363965</v>
      </c>
      <c r="T249">
        <f t="shared" si="963"/>
        <v>-0.28708901408363963</v>
      </c>
    </row>
    <row r="250" spans="1:20" x14ac:dyDescent="0.25">
      <c r="A250" s="5">
        <v>44343</v>
      </c>
      <c r="B250">
        <v>1.4570000000000001</v>
      </c>
      <c r="C250">
        <v>1.4991000000000001</v>
      </c>
      <c r="D250">
        <v>1.2930999999999999</v>
      </c>
      <c r="E250">
        <v>1.4077</v>
      </c>
      <c r="F250">
        <v>2080164.99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0.11262135922330033</v>
      </c>
      <c r="Q250">
        <f t="shared" si="960"/>
        <v>234271.00858252292</v>
      </c>
      <c r="R250">
        <f t="shared" si="961"/>
        <v>-27400610.325769909</v>
      </c>
      <c r="S250">
        <f t="shared" si="962"/>
        <v>-274.00610325769907</v>
      </c>
      <c r="T250">
        <f t="shared" si="963"/>
        <v>-0.27400610325769909</v>
      </c>
    </row>
    <row r="251" spans="1:20" x14ac:dyDescent="0.25">
      <c r="A251" s="5">
        <v>44342</v>
      </c>
      <c r="B251">
        <v>1.3161</v>
      </c>
      <c r="C251">
        <v>1.4722</v>
      </c>
      <c r="D251">
        <v>1.2888999999999999</v>
      </c>
      <c r="E251">
        <v>1.4570000000000001</v>
      </c>
      <c r="F251">
        <v>2254646.08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0.83415166393889928</v>
      </c>
      <c r="Q251">
        <f t="shared" si="960"/>
        <v>1880716.7792253166</v>
      </c>
      <c r="R251">
        <f t="shared" si="961"/>
        <v>-27634881.33435243</v>
      </c>
      <c r="S251">
        <f t="shared" si="962"/>
        <v>-276.34881334352428</v>
      </c>
      <c r="T251">
        <f t="shared" si="963"/>
        <v>-0.27634881334352429</v>
      </c>
    </row>
    <row r="252" spans="1:20" x14ac:dyDescent="0.25">
      <c r="A252" s="5">
        <v>44341</v>
      </c>
      <c r="B252">
        <v>1.3024</v>
      </c>
      <c r="C252">
        <v>1.3655999999999999</v>
      </c>
      <c r="D252">
        <v>1.1325000000000001</v>
      </c>
      <c r="E252">
        <v>1.3184</v>
      </c>
      <c r="F252">
        <v>3247689.42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0.59502359502359559</v>
      </c>
      <c r="Q252">
        <f t="shared" si="960"/>
        <v>1932451.8342084959</v>
      </c>
      <c r="R252">
        <f t="shared" si="961"/>
        <v>-29515598.113577746</v>
      </c>
      <c r="S252">
        <f t="shared" si="962"/>
        <v>-295.15598113577744</v>
      </c>
      <c r="T252">
        <f t="shared" si="963"/>
        <v>-0.29515598113577746</v>
      </c>
    </row>
    <row r="253" spans="1:20" x14ac:dyDescent="0.25">
      <c r="A253" s="5">
        <v>44340</v>
      </c>
      <c r="B253">
        <v>1.1076999999999999</v>
      </c>
      <c r="C253">
        <v>1.3152999999999999</v>
      </c>
      <c r="D253">
        <v>1.0718000000000001</v>
      </c>
      <c r="E253">
        <v>1.3001</v>
      </c>
      <c r="F253">
        <v>3546381.15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0.87515400410677713</v>
      </c>
      <c r="Q253">
        <f t="shared" si="960"/>
        <v>3103629.6635112967</v>
      </c>
      <c r="R253">
        <f t="shared" si="961"/>
        <v>-31448049.947786242</v>
      </c>
      <c r="S253">
        <f t="shared" si="962"/>
        <v>-314.48049947786239</v>
      </c>
      <c r="T253">
        <f t="shared" si="963"/>
        <v>-0.31448049947786239</v>
      </c>
    </row>
    <row r="254" spans="1:20" x14ac:dyDescent="0.25">
      <c r="A254" s="5">
        <v>44339</v>
      </c>
      <c r="B254">
        <v>1.22</v>
      </c>
      <c r="C254">
        <v>1.2838000000000001</v>
      </c>
      <c r="D254">
        <v>0.89319999999999999</v>
      </c>
      <c r="E254">
        <v>1.1151</v>
      </c>
      <c r="F254">
        <v>7297382.8300000001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0.13620071684587789</v>
      </c>
      <c r="Q254">
        <f t="shared" si="960"/>
        <v>993908.77254480112</v>
      </c>
      <c r="R254">
        <f t="shared" si="961"/>
        <v>-34551679.61129754</v>
      </c>
      <c r="S254">
        <f t="shared" si="962"/>
        <v>-345.51679611297538</v>
      </c>
      <c r="T254">
        <f t="shared" si="963"/>
        <v>-0.34551679611297537</v>
      </c>
    </row>
    <row r="255" spans="1:20" x14ac:dyDescent="0.25">
      <c r="A255" s="5">
        <v>44338</v>
      </c>
      <c r="B255">
        <v>1.2171000000000001</v>
      </c>
      <c r="C255">
        <v>1.3307</v>
      </c>
      <c r="D255">
        <v>1.0548999999999999</v>
      </c>
      <c r="E255">
        <v>1.22</v>
      </c>
      <c r="F255">
        <v>4095450.06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0.19724437998549671</v>
      </c>
      <c r="Q255">
        <f t="shared" si="960"/>
        <v>807804.50784626533</v>
      </c>
      <c r="R255">
        <f t="shared" si="961"/>
        <v>-35545588.383842342</v>
      </c>
      <c r="S255">
        <f t="shared" si="962"/>
        <v>-355.4558838384234</v>
      </c>
      <c r="T255">
        <f t="shared" si="963"/>
        <v>-0.35545588383842341</v>
      </c>
    </row>
    <row r="256" spans="1:20" x14ac:dyDescent="0.25">
      <c r="A256" s="5">
        <v>44337</v>
      </c>
      <c r="B256">
        <v>1.4678</v>
      </c>
      <c r="C256">
        <v>1.5367999999999999</v>
      </c>
      <c r="D256">
        <v>1.0269999999999999</v>
      </c>
      <c r="E256">
        <v>1.2172000000000001</v>
      </c>
      <c r="F256">
        <v>5365302.75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-0.25382502942330271</v>
      </c>
      <c r="Q256">
        <f t="shared" si="960"/>
        <v>-1361848.128383677</v>
      </c>
      <c r="R256">
        <f t="shared" si="961"/>
        <v>-36353392.891688608</v>
      </c>
      <c r="S256">
        <f t="shared" si="962"/>
        <v>-363.53392891688605</v>
      </c>
      <c r="T256">
        <f t="shared" si="963"/>
        <v>-0.36353392891688607</v>
      </c>
    </row>
    <row r="257" spans="1:20" x14ac:dyDescent="0.25">
      <c r="A257" s="5">
        <v>44336</v>
      </c>
      <c r="B257">
        <v>1.2298</v>
      </c>
      <c r="C257">
        <v>1.6619999999999999</v>
      </c>
      <c r="D257">
        <v>1.1001000000000001</v>
      </c>
      <c r="E257">
        <v>1.4715</v>
      </c>
      <c r="F257">
        <v>7419399.7000000002</v>
      </c>
      <c r="G257">
        <v>0</v>
      </c>
      <c r="L257" t="s">
        <v>7</v>
      </c>
      <c r="M257" t="s">
        <v>7</v>
      </c>
      <c r="N257" t="s">
        <v>8</v>
      </c>
      <c r="P257">
        <f t="shared" si="959"/>
        <v>0.32194340630005358</v>
      </c>
      <c r="Q257">
        <f t="shared" si="960"/>
        <v>2388626.8121195957</v>
      </c>
      <c r="R257">
        <f t="shared" si="961"/>
        <v>-34991544.763304934</v>
      </c>
      <c r="S257">
        <f t="shared" si="962"/>
        <v>-349.91544763304933</v>
      </c>
      <c r="T257">
        <f t="shared" si="963"/>
        <v>-0.34991544763304933</v>
      </c>
    </row>
    <row r="258" spans="1:20" x14ac:dyDescent="0.25">
      <c r="A258" s="5">
        <v>44335</v>
      </c>
      <c r="B258">
        <v>1.9777</v>
      </c>
      <c r="C258">
        <v>2.0259</v>
      </c>
      <c r="D258">
        <v>1.1639999999999999</v>
      </c>
      <c r="E258">
        <v>1.2297</v>
      </c>
      <c r="F258">
        <v>9062883.1199999992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-0.84754611903933152</v>
      </c>
      <c r="Q258">
        <f t="shared" si="960"/>
        <v>-7681211.4156630673</v>
      </c>
      <c r="R258">
        <f t="shared" si="961"/>
        <v>-37380171.57542453</v>
      </c>
      <c r="S258">
        <f t="shared" si="962"/>
        <v>-373.80171575424532</v>
      </c>
      <c r="T258">
        <f t="shared" si="963"/>
        <v>-0.37380171575424531</v>
      </c>
    </row>
    <row r="259" spans="1:20" x14ac:dyDescent="0.25">
      <c r="A259" s="5">
        <v>44334</v>
      </c>
      <c r="B259">
        <v>1.9596</v>
      </c>
      <c r="C259">
        <v>2.1425000000000001</v>
      </c>
      <c r="D259">
        <v>1.9286000000000001</v>
      </c>
      <c r="E259">
        <v>1.978</v>
      </c>
      <c r="F259">
        <v>2797350.81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-0.53810191678354469</v>
      </c>
      <c r="Q259">
        <f t="shared" si="960"/>
        <v>-1505259.8327770014</v>
      </c>
      <c r="R259">
        <f t="shared" si="961"/>
        <v>-29698960.159761462</v>
      </c>
      <c r="S259">
        <f t="shared" si="962"/>
        <v>-296.98960159761464</v>
      </c>
      <c r="T259">
        <f t="shared" si="963"/>
        <v>-0.29698960159761462</v>
      </c>
    </row>
    <row r="260" spans="1:20" x14ac:dyDescent="0.25">
      <c r="A260" s="5">
        <v>44333</v>
      </c>
      <c r="B260">
        <v>2.17</v>
      </c>
      <c r="C260">
        <v>2.1714000000000002</v>
      </c>
      <c r="D260">
        <v>1.8712</v>
      </c>
      <c r="E260">
        <v>1.9550000000000001</v>
      </c>
      <c r="F260">
        <v>3441306.78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-0.44170552964690185</v>
      </c>
      <c r="Q260">
        <f t="shared" si="960"/>
        <v>-1520044.2339373743</v>
      </c>
      <c r="R260">
        <f t="shared" si="961"/>
        <v>-28193700.326984461</v>
      </c>
      <c r="S260">
        <f t="shared" si="962"/>
        <v>-281.93700326984464</v>
      </c>
      <c r="T260">
        <f t="shared" si="963"/>
        <v>-0.28193700326984461</v>
      </c>
    </row>
    <row r="261" spans="1:20" x14ac:dyDescent="0.25">
      <c r="A261" s="5">
        <v>44332</v>
      </c>
      <c r="B261">
        <v>2.0960999999999999</v>
      </c>
      <c r="C261">
        <v>2.2999999999999998</v>
      </c>
      <c r="D261">
        <v>2.0001000000000002</v>
      </c>
      <c r="E261">
        <v>2.1688000000000001</v>
      </c>
      <c r="F261">
        <v>2569734.5699999998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0.12504168056018719</v>
      </c>
      <c r="Q261">
        <f t="shared" si="960"/>
        <v>321323.92922640999</v>
      </c>
      <c r="R261">
        <f t="shared" si="961"/>
        <v>-26673656.093047086</v>
      </c>
      <c r="S261">
        <f t="shared" si="962"/>
        <v>-266.73656093047089</v>
      </c>
      <c r="T261">
        <f t="shared" si="963"/>
        <v>-0.26673656093047088</v>
      </c>
    </row>
    <row r="262" spans="1:20" x14ac:dyDescent="0.25">
      <c r="A262" s="5">
        <v>44331</v>
      </c>
      <c r="B262">
        <v>2.3279999999999998</v>
      </c>
      <c r="C262">
        <v>2.3845000000000001</v>
      </c>
      <c r="D262">
        <v>2.0451999999999999</v>
      </c>
      <c r="E262">
        <v>2.0981000000000001</v>
      </c>
      <c r="F262">
        <v>2704187.13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-0.68818155025051486</v>
      </c>
      <c r="Q262">
        <f t="shared" ref="Q262:Q325" si="965">F262*P262</f>
        <v>-1860971.6912908906</v>
      </c>
      <c r="R262">
        <f t="shared" ref="R262:R325" si="966">R263+Q262</f>
        <v>-26994980.022273496</v>
      </c>
      <c r="S262">
        <f t="shared" ref="S262:S325" si="967">R262/100000</f>
        <v>-269.94980022273495</v>
      </c>
      <c r="T262">
        <f t="shared" ref="T262:T325" si="968">S262/1000</f>
        <v>-0.26994980022273496</v>
      </c>
    </row>
    <row r="263" spans="1:20" x14ac:dyDescent="0.25">
      <c r="A263" s="5">
        <v>44330</v>
      </c>
      <c r="B263">
        <v>2.2214</v>
      </c>
      <c r="C263">
        <v>2.3885000000000001</v>
      </c>
      <c r="D263">
        <v>2.21</v>
      </c>
      <c r="E263">
        <v>2.3277999999999999</v>
      </c>
      <c r="F263">
        <v>2269637.17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0.31988795518207103</v>
      </c>
      <c r="Q263">
        <f t="shared" si="965"/>
        <v>726029.59331652254</v>
      </c>
      <c r="R263">
        <f t="shared" si="966"/>
        <v>-25134008.330982607</v>
      </c>
      <c r="S263">
        <f t="shared" si="967"/>
        <v>-251.34008330982607</v>
      </c>
      <c r="T263">
        <f t="shared" si="968"/>
        <v>-0.25134008330982605</v>
      </c>
    </row>
    <row r="264" spans="1:20" x14ac:dyDescent="0.25">
      <c r="A264" s="5">
        <v>44329</v>
      </c>
      <c r="B264">
        <v>2.1315</v>
      </c>
      <c r="C264">
        <v>2.407</v>
      </c>
      <c r="D264">
        <v>2.0211999999999999</v>
      </c>
      <c r="E264">
        <v>2.2214</v>
      </c>
      <c r="F264">
        <v>4397556.26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3.7843442198030493E-2</v>
      </c>
      <c r="Q264">
        <f t="shared" si="965"/>
        <v>166418.66613789715</v>
      </c>
      <c r="R264">
        <f t="shared" si="966"/>
        <v>-25860037.924299128</v>
      </c>
      <c r="S264">
        <f t="shared" si="967"/>
        <v>-258.60037924299127</v>
      </c>
      <c r="T264">
        <f t="shared" si="968"/>
        <v>-0.25860037924299129</v>
      </c>
    </row>
    <row r="265" spans="1:20" x14ac:dyDescent="0.25">
      <c r="A265" s="5">
        <v>44328</v>
      </c>
      <c r="B265">
        <v>2.6920999999999999</v>
      </c>
      <c r="C265">
        <v>2.8258000000000001</v>
      </c>
      <c r="D265">
        <v>2.0798999999999999</v>
      </c>
      <c r="E265">
        <v>2.1358999999999999</v>
      </c>
      <c r="F265">
        <v>4458298.97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-0.84984582383697538</v>
      </c>
      <c r="Q265">
        <f t="shared" si="965"/>
        <v>-3788866.7610711884</v>
      </c>
      <c r="R265">
        <f t="shared" si="966"/>
        <v>-26026456.590437025</v>
      </c>
      <c r="S265">
        <f t="shared" si="967"/>
        <v>-260.26456590437027</v>
      </c>
      <c r="T265">
        <f t="shared" si="968"/>
        <v>-0.26026456590437025</v>
      </c>
    </row>
    <row r="266" spans="1:20" x14ac:dyDescent="0.25">
      <c r="A266" s="5">
        <v>44327</v>
      </c>
      <c r="B266">
        <v>2.5916999999999999</v>
      </c>
      <c r="C266">
        <v>2.8378000000000001</v>
      </c>
      <c r="D266">
        <v>2.5202</v>
      </c>
      <c r="E266">
        <v>2.6928000000000001</v>
      </c>
      <c r="F266">
        <v>4352164.05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8.6901763224181555E-2</v>
      </c>
      <c r="Q266">
        <f t="shared" si="965"/>
        <v>378210.72978589503</v>
      </c>
      <c r="R266">
        <f t="shared" si="966"/>
        <v>-22237589.829365838</v>
      </c>
      <c r="S266">
        <f t="shared" si="967"/>
        <v>-222.37589829365839</v>
      </c>
      <c r="T266">
        <f t="shared" si="968"/>
        <v>-0.22237589829365839</v>
      </c>
    </row>
    <row r="267" spans="1:20" x14ac:dyDescent="0.25">
      <c r="A267" s="5">
        <v>44326</v>
      </c>
      <c r="B267">
        <v>3.1036000000000001</v>
      </c>
      <c r="C267">
        <v>3.1850000000000001</v>
      </c>
      <c r="D267">
        <v>2.3065000000000002</v>
      </c>
      <c r="E267">
        <v>2.593</v>
      </c>
      <c r="F267">
        <v>5505297.7800000003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-0.34775184974388207</v>
      </c>
      <c r="Q267">
        <f t="shared" si="965"/>
        <v>-1914477.4863858877</v>
      </c>
      <c r="R267">
        <f t="shared" si="966"/>
        <v>-22615800.559151735</v>
      </c>
      <c r="S267">
        <f t="shared" si="967"/>
        <v>-226.15800559151734</v>
      </c>
      <c r="T267">
        <f t="shared" si="968"/>
        <v>-0.22615800559151733</v>
      </c>
    </row>
    <row r="268" spans="1:20" x14ac:dyDescent="0.25">
      <c r="A268" s="5">
        <v>44325</v>
      </c>
      <c r="B268">
        <v>3.1730999999999998</v>
      </c>
      <c r="C268">
        <v>3.2536</v>
      </c>
      <c r="D268">
        <v>2.9338000000000002</v>
      </c>
      <c r="E268">
        <v>3.1015999999999999</v>
      </c>
      <c r="F268">
        <v>4489533.9000000004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4.9405878674170102E-2</v>
      </c>
      <c r="Q268">
        <f t="shared" si="965"/>
        <v>221809.36716697374</v>
      </c>
      <c r="R268">
        <f t="shared" si="966"/>
        <v>-20701323.072765846</v>
      </c>
      <c r="S268">
        <f t="shared" si="967"/>
        <v>-207.01323072765845</v>
      </c>
      <c r="T268">
        <f t="shared" si="968"/>
        <v>-0.20701323072765845</v>
      </c>
    </row>
    <row r="269" spans="1:20" x14ac:dyDescent="0.25">
      <c r="A269" s="5">
        <v>44324</v>
      </c>
      <c r="B269">
        <v>2.9197000000000002</v>
      </c>
      <c r="C269">
        <v>3.4405999999999999</v>
      </c>
      <c r="D269">
        <v>2.8734000000000002</v>
      </c>
      <c r="E269">
        <v>3.1734</v>
      </c>
      <c r="F269">
        <v>8418947.3200000003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5.7827926657263676E-2</v>
      </c>
      <c r="Q269">
        <f t="shared" si="965"/>
        <v>486850.26815232658</v>
      </c>
      <c r="R269">
        <f t="shared" si="966"/>
        <v>-20923132.439932819</v>
      </c>
      <c r="S269">
        <f t="shared" si="967"/>
        <v>-209.2313243993282</v>
      </c>
      <c r="T269">
        <f t="shared" si="968"/>
        <v>-0.20923132439932821</v>
      </c>
    </row>
    <row r="270" spans="1:20" x14ac:dyDescent="0.25">
      <c r="A270" s="5">
        <v>44323</v>
      </c>
      <c r="B270">
        <v>2.9773000000000001</v>
      </c>
      <c r="C270">
        <v>3.2</v>
      </c>
      <c r="D270">
        <v>2.8126000000000002</v>
      </c>
      <c r="E270">
        <v>2.9169999999999998</v>
      </c>
      <c r="F270">
        <v>4748352.58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-0.46102219927723481</v>
      </c>
      <c r="Q270">
        <f t="shared" si="965"/>
        <v>-2189095.9493753319</v>
      </c>
      <c r="R270">
        <f t="shared" si="966"/>
        <v>-21409982.708085146</v>
      </c>
      <c r="S270">
        <f t="shared" si="967"/>
        <v>-214.09982708085147</v>
      </c>
      <c r="T270">
        <f t="shared" si="968"/>
        <v>-0.21409982708085146</v>
      </c>
    </row>
    <row r="271" spans="1:20" x14ac:dyDescent="0.25">
      <c r="A271" s="5">
        <v>44322</v>
      </c>
      <c r="B271">
        <v>3.0135000000000001</v>
      </c>
      <c r="C271">
        <v>3.26</v>
      </c>
      <c r="D271">
        <v>2.7593999999999999</v>
      </c>
      <c r="E271">
        <v>2.9744999999999999</v>
      </c>
      <c r="F271">
        <v>6996504.0599999996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-0.14063124250898881</v>
      </c>
      <c r="Q271">
        <f t="shared" si="965"/>
        <v>-983927.05917698471</v>
      </c>
      <c r="R271">
        <f t="shared" si="966"/>
        <v>-19220886.758709814</v>
      </c>
      <c r="S271">
        <f t="shared" si="967"/>
        <v>-192.20886758709815</v>
      </c>
      <c r="T271">
        <f t="shared" si="968"/>
        <v>-0.19220886758709815</v>
      </c>
    </row>
    <row r="272" spans="1:20" x14ac:dyDescent="0.25">
      <c r="A272" s="5">
        <v>44321</v>
      </c>
      <c r="B272">
        <v>2.6097999999999999</v>
      </c>
      <c r="C272">
        <v>3.2130000000000001</v>
      </c>
      <c r="D272">
        <v>2.5903999999999998</v>
      </c>
      <c r="E272">
        <v>3.0135000000000001</v>
      </c>
      <c r="F272">
        <v>7729016.96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0.35913909412142653</v>
      </c>
      <c r="Q272">
        <f t="shared" si="965"/>
        <v>2775792.1494635418</v>
      </c>
      <c r="R272">
        <f t="shared" si="966"/>
        <v>-18236959.699532829</v>
      </c>
      <c r="S272">
        <f t="shared" si="967"/>
        <v>-182.36959699532829</v>
      </c>
      <c r="T272">
        <f t="shared" si="968"/>
        <v>-0.18236959699532829</v>
      </c>
    </row>
    <row r="273" spans="1:20" x14ac:dyDescent="0.25">
      <c r="A273" s="5">
        <v>44320</v>
      </c>
      <c r="B273">
        <v>2.8822999999999999</v>
      </c>
      <c r="C273">
        <v>2.9946000000000002</v>
      </c>
      <c r="D273">
        <v>2.6</v>
      </c>
      <c r="E273">
        <v>2.6093000000000002</v>
      </c>
      <c r="F273">
        <v>7612166.8700000001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-0.95286365940192552</v>
      </c>
      <c r="Q273">
        <f t="shared" si="965"/>
        <v>-7253357.1797263017</v>
      </c>
      <c r="R273">
        <f t="shared" si="966"/>
        <v>-21012751.848996371</v>
      </c>
      <c r="S273">
        <f t="shared" si="967"/>
        <v>-210.12751848996371</v>
      </c>
      <c r="T273">
        <f t="shared" si="968"/>
        <v>-0.21012751848996369</v>
      </c>
    </row>
    <row r="274" spans="1:20" x14ac:dyDescent="0.25">
      <c r="A274" s="5">
        <v>44319</v>
      </c>
      <c r="B274">
        <v>2.6597</v>
      </c>
      <c r="C274">
        <v>3.2290000000000001</v>
      </c>
      <c r="D274">
        <v>2.6579000000000002</v>
      </c>
      <c r="E274">
        <v>2.8815</v>
      </c>
      <c r="F274">
        <v>13647026.970000001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-0.21694974610401044</v>
      </c>
      <c r="Q274">
        <f t="shared" si="965"/>
        <v>-2960719.036216083</v>
      </c>
      <c r="R274">
        <f t="shared" si="966"/>
        <v>-13759394.669270068</v>
      </c>
      <c r="S274">
        <f t="shared" si="967"/>
        <v>-137.59394669270068</v>
      </c>
      <c r="T274">
        <f t="shared" si="968"/>
        <v>-0.1375939466927007</v>
      </c>
    </row>
    <row r="275" spans="1:20" x14ac:dyDescent="0.25">
      <c r="A275" s="5">
        <v>44318</v>
      </c>
      <c r="B275">
        <v>2.4963000000000002</v>
      </c>
      <c r="C275">
        <v>2.6877</v>
      </c>
      <c r="D275">
        <v>2.2999999999999998</v>
      </c>
      <c r="E275">
        <v>2.6577999999999999</v>
      </c>
      <c r="F275">
        <v>6249765.5099999998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0.84575702863038416</v>
      </c>
      <c r="Q275">
        <f t="shared" si="965"/>
        <v>5285783.1073742574</v>
      </c>
      <c r="R275">
        <f t="shared" si="966"/>
        <v>-10798675.633053984</v>
      </c>
      <c r="S275">
        <f t="shared" si="967"/>
        <v>-107.98675633053985</v>
      </c>
      <c r="T275">
        <f t="shared" si="968"/>
        <v>-0.10798675633053985</v>
      </c>
    </row>
    <row r="276" spans="1:20" x14ac:dyDescent="0.25">
      <c r="A276" s="5">
        <v>44317</v>
      </c>
      <c r="B276">
        <v>2.4980000000000002</v>
      </c>
      <c r="C276">
        <v>2.5539000000000001</v>
      </c>
      <c r="D276">
        <v>2.3875999999999999</v>
      </c>
      <c r="E276">
        <v>2.4971999999999999</v>
      </c>
      <c r="F276">
        <v>2426469.39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0.318099819603125</v>
      </c>
      <c r="Q276">
        <f t="shared" si="965"/>
        <v>771859.47523150477</v>
      </c>
      <c r="R276">
        <f t="shared" si="966"/>
        <v>-16084458.740428241</v>
      </c>
      <c r="S276">
        <f t="shared" si="967"/>
        <v>-160.84458740428241</v>
      </c>
      <c r="T276">
        <f t="shared" si="968"/>
        <v>-0.1608445874042824</v>
      </c>
    </row>
    <row r="277" spans="1:20" x14ac:dyDescent="0.25">
      <c r="A277" s="5">
        <v>44316</v>
      </c>
      <c r="B277">
        <v>2.4401999999999999</v>
      </c>
      <c r="C277">
        <v>2.5581</v>
      </c>
      <c r="D277">
        <v>2.4</v>
      </c>
      <c r="E277">
        <v>2.4990999999999999</v>
      </c>
      <c r="F277">
        <v>3895496.27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0.25363693864642484</v>
      </c>
      <c r="Q277">
        <f t="shared" si="965"/>
        <v>988041.74843136675</v>
      </c>
      <c r="R277">
        <f t="shared" si="966"/>
        <v>-16856318.215659745</v>
      </c>
      <c r="S277">
        <f t="shared" si="967"/>
        <v>-168.56318215659746</v>
      </c>
      <c r="T277">
        <f t="shared" si="968"/>
        <v>-0.16856318215659746</v>
      </c>
    </row>
    <row r="278" spans="1:20" x14ac:dyDescent="0.25">
      <c r="A278" s="5">
        <v>44315</v>
      </c>
      <c r="B278">
        <v>2.5724999999999998</v>
      </c>
      <c r="C278">
        <v>2.6494</v>
      </c>
      <c r="D278">
        <v>2.3689</v>
      </c>
      <c r="E278">
        <v>2.4392999999999998</v>
      </c>
      <c r="F278">
        <v>4338955.04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-0.4980392156862759</v>
      </c>
      <c r="Q278">
        <f t="shared" si="965"/>
        <v>-2160969.7650196138</v>
      </c>
      <c r="R278">
        <f t="shared" si="966"/>
        <v>-17844359.964091111</v>
      </c>
      <c r="S278">
        <f t="shared" si="967"/>
        <v>-178.44359964091112</v>
      </c>
      <c r="T278">
        <f t="shared" si="968"/>
        <v>-0.17844359964091111</v>
      </c>
    </row>
    <row r="279" spans="1:20" x14ac:dyDescent="0.25">
      <c r="A279" s="5">
        <v>44314</v>
      </c>
      <c r="B279">
        <v>2.7589000000000001</v>
      </c>
      <c r="C279">
        <v>2.7884000000000002</v>
      </c>
      <c r="D279">
        <v>2.4337</v>
      </c>
      <c r="E279">
        <v>2.5739999999999998</v>
      </c>
      <c r="F279">
        <v>4021887.64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-0.20890893712997025</v>
      </c>
      <c r="Q279">
        <f t="shared" si="965"/>
        <v>-840208.27212856442</v>
      </c>
      <c r="R279">
        <f t="shared" si="966"/>
        <v>-15683390.199071499</v>
      </c>
      <c r="S279">
        <f t="shared" si="967"/>
        <v>-156.83390199071499</v>
      </c>
      <c r="T279">
        <f t="shared" si="968"/>
        <v>-0.15683390199071498</v>
      </c>
    </row>
    <row r="280" spans="1:20" x14ac:dyDescent="0.25">
      <c r="A280" s="5">
        <v>44313</v>
      </c>
      <c r="B280">
        <v>2.4180000000000001</v>
      </c>
      <c r="C280">
        <v>2.9184000000000001</v>
      </c>
      <c r="D280">
        <v>2.3161999999999998</v>
      </c>
      <c r="E280">
        <v>2.76</v>
      </c>
      <c r="F280">
        <v>8670107.9600000009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0.473928927266688</v>
      </c>
      <c r="Q280">
        <f t="shared" si="965"/>
        <v>4109014.9647691729</v>
      </c>
      <c r="R280">
        <f t="shared" si="966"/>
        <v>-14843181.926942933</v>
      </c>
      <c r="S280">
        <f t="shared" si="967"/>
        <v>-148.43181926942933</v>
      </c>
      <c r="T280">
        <f t="shared" si="968"/>
        <v>-0.14843181926942933</v>
      </c>
    </row>
    <row r="281" spans="1:20" x14ac:dyDescent="0.25">
      <c r="A281" s="5">
        <v>44312</v>
      </c>
      <c r="B281">
        <v>2.2654999999999998</v>
      </c>
      <c r="C281">
        <v>2.6215999999999999</v>
      </c>
      <c r="D281">
        <v>2.2465000000000002</v>
      </c>
      <c r="E281">
        <v>2.4180000000000001</v>
      </c>
      <c r="F281">
        <v>4650253.16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-8.5577179418821162E-2</v>
      </c>
      <c r="Q281">
        <f t="shared" si="965"/>
        <v>-397955.54901626008</v>
      </c>
      <c r="R281">
        <f t="shared" si="966"/>
        <v>-18952196.891712107</v>
      </c>
      <c r="S281">
        <f t="shared" si="967"/>
        <v>-189.52196891712106</v>
      </c>
      <c r="T281">
        <f t="shared" si="968"/>
        <v>-0.18952196891712106</v>
      </c>
    </row>
    <row r="282" spans="1:20" x14ac:dyDescent="0.25">
      <c r="A282" s="5">
        <v>44311</v>
      </c>
      <c r="B282">
        <v>2.4510999999999998</v>
      </c>
      <c r="C282">
        <v>2.5529000000000002</v>
      </c>
      <c r="D282">
        <v>2.1627999999999998</v>
      </c>
      <c r="E282">
        <v>2.2669999999999999</v>
      </c>
      <c r="F282">
        <v>3028504.5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-0.46577800563957972</v>
      </c>
      <c r="Q282">
        <f t="shared" si="965"/>
        <v>-1410610.7860804927</v>
      </c>
      <c r="R282">
        <f t="shared" si="966"/>
        <v>-18554241.342695847</v>
      </c>
      <c r="S282">
        <f t="shared" si="967"/>
        <v>-185.54241342695846</v>
      </c>
      <c r="T282">
        <f t="shared" si="968"/>
        <v>-0.18554241342695846</v>
      </c>
    </row>
    <row r="283" spans="1:20" x14ac:dyDescent="0.25">
      <c r="A283" s="5">
        <v>44310</v>
      </c>
      <c r="B283">
        <v>2.1623999999999999</v>
      </c>
      <c r="C283">
        <v>2.59</v>
      </c>
      <c r="D283">
        <v>2.0592000000000001</v>
      </c>
      <c r="E283">
        <v>2.452</v>
      </c>
      <c r="F283">
        <v>6793679.5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0.48003014318010562</v>
      </c>
      <c r="Q283">
        <f t="shared" si="965"/>
        <v>3261170.9431047481</v>
      </c>
      <c r="R283">
        <f t="shared" si="966"/>
        <v>-17143630.556615356</v>
      </c>
      <c r="S283">
        <f t="shared" si="967"/>
        <v>-171.43630556615355</v>
      </c>
      <c r="T283">
        <f t="shared" si="968"/>
        <v>-0.17143630556615355</v>
      </c>
    </row>
    <row r="284" spans="1:20" x14ac:dyDescent="0.25">
      <c r="A284" s="5">
        <v>44309</v>
      </c>
      <c r="B284">
        <v>2.2155999999999998</v>
      </c>
      <c r="C284">
        <v>2.2875000000000001</v>
      </c>
      <c r="D284">
        <v>1.8262</v>
      </c>
      <c r="E284">
        <v>2.1596000000000002</v>
      </c>
      <c r="F284">
        <v>4594882.99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0.44548016475178892</v>
      </c>
      <c r="Q284">
        <f t="shared" si="965"/>
        <v>2046929.2314003925</v>
      </c>
      <c r="R284">
        <f t="shared" si="966"/>
        <v>-20404801.499720104</v>
      </c>
      <c r="S284">
        <f t="shared" si="967"/>
        <v>-204.04801499720105</v>
      </c>
      <c r="T284">
        <f t="shared" si="968"/>
        <v>-0.20404801499720104</v>
      </c>
    </row>
    <row r="285" spans="1:20" x14ac:dyDescent="0.25">
      <c r="A285" s="5">
        <v>44308</v>
      </c>
      <c r="B285">
        <v>2.1463000000000001</v>
      </c>
      <c r="C285">
        <v>2.59</v>
      </c>
      <c r="D285">
        <v>2.1055000000000001</v>
      </c>
      <c r="E285">
        <v>2.2159</v>
      </c>
      <c r="F285">
        <v>5695123.0899999999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-0.54427244582043388</v>
      </c>
      <c r="Q285">
        <f t="shared" si="965"/>
        <v>-3099698.5734427269</v>
      </c>
      <c r="R285">
        <f t="shared" si="966"/>
        <v>-22451730.731120497</v>
      </c>
      <c r="S285">
        <f t="shared" si="967"/>
        <v>-224.51730731120497</v>
      </c>
      <c r="T285">
        <f t="shared" si="968"/>
        <v>-0.22451730731120498</v>
      </c>
    </row>
    <row r="286" spans="1:20" x14ac:dyDescent="0.25">
      <c r="A286" s="5">
        <v>44307</v>
      </c>
      <c r="B286">
        <v>2.3174000000000001</v>
      </c>
      <c r="C286">
        <v>2.3586</v>
      </c>
      <c r="D286">
        <v>2.1345999999999998</v>
      </c>
      <c r="E286">
        <v>2.1456</v>
      </c>
      <c r="F286">
        <v>2495134.6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-0.9017857142857133</v>
      </c>
      <c r="Q286">
        <f t="shared" si="965"/>
        <v>-2250076.7374999975</v>
      </c>
      <c r="R286">
        <f t="shared" si="966"/>
        <v>-19352032.15767777</v>
      </c>
      <c r="S286">
        <f t="shared" si="967"/>
        <v>-193.52032157677769</v>
      </c>
      <c r="T286">
        <f t="shared" si="968"/>
        <v>-0.19352032157677768</v>
      </c>
    </row>
    <row r="287" spans="1:20" x14ac:dyDescent="0.25">
      <c r="A287" s="5">
        <v>44306</v>
      </c>
      <c r="B287">
        <v>2.1880999999999999</v>
      </c>
      <c r="C287">
        <v>2.3999000000000001</v>
      </c>
      <c r="D287">
        <v>1.9540999999999999</v>
      </c>
      <c r="E287">
        <v>2.3178000000000001</v>
      </c>
      <c r="F287">
        <v>3930455.3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0.63167339614176754</v>
      </c>
      <c r="Q287">
        <f t="shared" si="965"/>
        <v>2482764.0477344096</v>
      </c>
      <c r="R287">
        <f t="shared" si="966"/>
        <v>-17101955.420177773</v>
      </c>
      <c r="S287">
        <f t="shared" si="967"/>
        <v>-171.01955420177774</v>
      </c>
      <c r="T287">
        <f t="shared" si="968"/>
        <v>-0.17101955420177772</v>
      </c>
    </row>
    <row r="288" spans="1:20" x14ac:dyDescent="0.25">
      <c r="A288" s="5">
        <v>44305</v>
      </c>
      <c r="B288">
        <v>2.5156000000000001</v>
      </c>
      <c r="C288">
        <v>2.6371000000000002</v>
      </c>
      <c r="D288">
        <v>2.1440999999999999</v>
      </c>
      <c r="E288">
        <v>2.1873999999999998</v>
      </c>
      <c r="F288">
        <v>4776318.04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-0.82434077079107559</v>
      </c>
      <c r="Q288">
        <f t="shared" si="965"/>
        <v>-3937313.6946369195</v>
      </c>
      <c r="R288">
        <f t="shared" si="966"/>
        <v>-19584719.467912182</v>
      </c>
      <c r="S288">
        <f t="shared" si="967"/>
        <v>-195.84719467912183</v>
      </c>
      <c r="T288">
        <f t="shared" si="968"/>
        <v>-0.19584719467912182</v>
      </c>
    </row>
    <row r="289" spans="1:20" x14ac:dyDescent="0.25">
      <c r="A289" s="5">
        <v>44304</v>
      </c>
      <c r="B289">
        <v>3.0615000000000001</v>
      </c>
      <c r="C289">
        <v>3.0828000000000002</v>
      </c>
      <c r="D289">
        <v>1.9000999999999999</v>
      </c>
      <c r="E289">
        <v>2.5150999999999999</v>
      </c>
      <c r="F289">
        <v>7000593.1900000004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3.9993235816352127E-2</v>
      </c>
      <c r="Q289">
        <f t="shared" si="965"/>
        <v>279976.37430201878</v>
      </c>
      <c r="R289">
        <f t="shared" si="966"/>
        <v>-15647405.773275264</v>
      </c>
      <c r="S289">
        <f t="shared" si="967"/>
        <v>-156.47405773275264</v>
      </c>
      <c r="T289">
        <f t="shared" si="968"/>
        <v>-0.15647405773275264</v>
      </c>
    </row>
    <row r="290" spans="1:20" x14ac:dyDescent="0.25">
      <c r="A290" s="5">
        <v>44303</v>
      </c>
      <c r="B290">
        <v>3.0752000000000002</v>
      </c>
      <c r="C290">
        <v>3.1991000000000001</v>
      </c>
      <c r="D290">
        <v>3.0478000000000001</v>
      </c>
      <c r="E290">
        <v>3.0626000000000002</v>
      </c>
      <c r="F290">
        <v>2176768.94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-0.8043621943159267</v>
      </c>
      <c r="Q290">
        <f t="shared" si="965"/>
        <v>-1750910.6410971538</v>
      </c>
      <c r="R290">
        <f t="shared" si="966"/>
        <v>-15927382.147577282</v>
      </c>
      <c r="S290">
        <f t="shared" si="967"/>
        <v>-159.27382147577282</v>
      </c>
      <c r="T290">
        <f t="shared" si="968"/>
        <v>-0.15927382147577282</v>
      </c>
    </row>
    <row r="291" spans="1:20" x14ac:dyDescent="0.25">
      <c r="A291" s="5">
        <v>44302</v>
      </c>
      <c r="B291">
        <v>3.3544999999999998</v>
      </c>
      <c r="C291">
        <v>3.3752</v>
      </c>
      <c r="D291">
        <v>3.0209999999999999</v>
      </c>
      <c r="E291">
        <v>3.0754000000000001</v>
      </c>
      <c r="F291">
        <v>2215957.4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-0.69282891022021331</v>
      </c>
      <c r="Q291">
        <f t="shared" si="965"/>
        <v>-1535279.3505364172</v>
      </c>
      <c r="R291">
        <f t="shared" si="966"/>
        <v>-14176471.506480128</v>
      </c>
      <c r="S291">
        <f t="shared" si="967"/>
        <v>-141.76471506480127</v>
      </c>
      <c r="T291">
        <f t="shared" si="968"/>
        <v>-0.14176471506480126</v>
      </c>
    </row>
    <row r="292" spans="1:20" x14ac:dyDescent="0.25">
      <c r="A292" s="5">
        <v>44301</v>
      </c>
      <c r="B292">
        <v>3.1756000000000002</v>
      </c>
      <c r="C292">
        <v>3.4931999999999999</v>
      </c>
      <c r="D292">
        <v>3.1181000000000001</v>
      </c>
      <c r="E292">
        <v>3.3530000000000002</v>
      </c>
      <c r="F292">
        <v>2925840.16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0.25246600906425087</v>
      </c>
      <c r="Q292">
        <f t="shared" si="965"/>
        <v>738675.18835510931</v>
      </c>
      <c r="R292">
        <f t="shared" si="966"/>
        <v>-12641192.15594371</v>
      </c>
      <c r="S292">
        <f t="shared" si="967"/>
        <v>-126.4119215594371</v>
      </c>
      <c r="T292">
        <f t="shared" si="968"/>
        <v>-0.12641192155943709</v>
      </c>
    </row>
    <row r="293" spans="1:20" x14ac:dyDescent="0.25">
      <c r="A293" s="5">
        <v>44300</v>
      </c>
      <c r="B293">
        <v>3.2433000000000001</v>
      </c>
      <c r="C293">
        <v>3.3003999999999998</v>
      </c>
      <c r="D293">
        <v>3.0135999999999998</v>
      </c>
      <c r="E293">
        <v>3.1783999999999999</v>
      </c>
      <c r="F293">
        <v>1967779.95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0.14923291492329213</v>
      </c>
      <c r="Q293">
        <f t="shared" si="965"/>
        <v>293657.53786611004</v>
      </c>
      <c r="R293">
        <f t="shared" si="966"/>
        <v>-13379867.344298819</v>
      </c>
      <c r="S293">
        <f t="shared" si="967"/>
        <v>-133.79867344298819</v>
      </c>
      <c r="T293">
        <f t="shared" si="968"/>
        <v>-0.13379867344298818</v>
      </c>
    </row>
    <row r="294" spans="1:20" x14ac:dyDescent="0.25">
      <c r="A294" s="5">
        <v>44299</v>
      </c>
      <c r="B294">
        <v>3.2292000000000001</v>
      </c>
      <c r="C294">
        <v>3.3471000000000002</v>
      </c>
      <c r="D294">
        <v>3.0659000000000001</v>
      </c>
      <c r="E294">
        <v>3.2440000000000002</v>
      </c>
      <c r="F294">
        <v>2618725.7599999998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0.26671408250355672</v>
      </c>
      <c r="Q294">
        <f t="shared" si="965"/>
        <v>698451.03840682923</v>
      </c>
      <c r="R294">
        <f t="shared" si="966"/>
        <v>-13673524.882164929</v>
      </c>
      <c r="S294">
        <f t="shared" si="967"/>
        <v>-136.73524882164929</v>
      </c>
      <c r="T294">
        <f t="shared" si="968"/>
        <v>-0.13673524882164928</v>
      </c>
    </row>
    <row r="295" spans="1:20" x14ac:dyDescent="0.25">
      <c r="A295" s="5">
        <v>44298</v>
      </c>
      <c r="B295">
        <v>3.4192</v>
      </c>
      <c r="C295">
        <v>3.4329999999999998</v>
      </c>
      <c r="D295">
        <v>3.1633</v>
      </c>
      <c r="E295">
        <v>3.2298</v>
      </c>
      <c r="F295">
        <v>2369864.94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-0.50685947348906157</v>
      </c>
      <c r="Q295">
        <f t="shared" si="965"/>
        <v>-1201188.4957285866</v>
      </c>
      <c r="R295">
        <f t="shared" si="966"/>
        <v>-14371975.920571757</v>
      </c>
      <c r="S295">
        <f t="shared" si="967"/>
        <v>-143.71975920571757</v>
      </c>
      <c r="T295">
        <f t="shared" si="968"/>
        <v>-0.14371975920571756</v>
      </c>
    </row>
    <row r="296" spans="1:20" x14ac:dyDescent="0.25">
      <c r="A296" s="5">
        <v>44297</v>
      </c>
      <c r="B296">
        <v>3.3689</v>
      </c>
      <c r="C296">
        <v>3.5592000000000001</v>
      </c>
      <c r="D296">
        <v>3.2917999999999998</v>
      </c>
      <c r="E296">
        <v>3.4211999999999998</v>
      </c>
      <c r="F296">
        <v>2446344.52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-3.2161555721766551E-2</v>
      </c>
      <c r="Q296">
        <f t="shared" si="965"/>
        <v>-78678.245594618245</v>
      </c>
      <c r="R296">
        <f t="shared" si="966"/>
        <v>-13170787.424843172</v>
      </c>
      <c r="S296">
        <f t="shared" si="967"/>
        <v>-131.70787424843172</v>
      </c>
      <c r="T296">
        <f t="shared" si="968"/>
        <v>-0.13170787424843172</v>
      </c>
    </row>
    <row r="297" spans="1:20" x14ac:dyDescent="0.25">
      <c r="A297" s="5">
        <v>44296</v>
      </c>
      <c r="B297">
        <v>3.5543</v>
      </c>
      <c r="C297">
        <v>3.6</v>
      </c>
      <c r="D297">
        <v>3.2866</v>
      </c>
      <c r="E297">
        <v>3.3691</v>
      </c>
      <c r="F297">
        <v>2404932.42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-0.47351627313337596</v>
      </c>
      <c r="Q297">
        <f t="shared" si="965"/>
        <v>-1138774.6366560308</v>
      </c>
      <c r="R297">
        <f t="shared" si="966"/>
        <v>-13092109.179248553</v>
      </c>
      <c r="S297">
        <f t="shared" si="967"/>
        <v>-130.92109179248553</v>
      </c>
      <c r="T297">
        <f t="shared" si="968"/>
        <v>-0.13092109179248554</v>
      </c>
    </row>
    <row r="298" spans="1:20" x14ac:dyDescent="0.25">
      <c r="A298" s="5">
        <v>44295</v>
      </c>
      <c r="B298">
        <v>3.4058000000000002</v>
      </c>
      <c r="C298">
        <v>3.64</v>
      </c>
      <c r="D298">
        <v>3.3271000000000002</v>
      </c>
      <c r="E298">
        <v>3.5533999999999999</v>
      </c>
      <c r="F298">
        <v>3895303.85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0.44646852029402206</v>
      </c>
      <c r="Q298">
        <f t="shared" si="965"/>
        <v>1739130.5460051072</v>
      </c>
      <c r="R298">
        <f t="shared" si="966"/>
        <v>-11953334.542592522</v>
      </c>
      <c r="S298">
        <f t="shared" si="967"/>
        <v>-119.53334542592522</v>
      </c>
      <c r="T298">
        <f t="shared" si="968"/>
        <v>-0.11953334542592522</v>
      </c>
    </row>
    <row r="299" spans="1:20" x14ac:dyDescent="0.25">
      <c r="A299" s="5">
        <v>44294</v>
      </c>
      <c r="B299">
        <v>3.2545999999999999</v>
      </c>
      <c r="C299">
        <v>3.65</v>
      </c>
      <c r="D299">
        <v>3.2231999999999998</v>
      </c>
      <c r="E299">
        <v>3.4060999999999999</v>
      </c>
      <c r="F299">
        <v>5773569.4400000004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-0.14292408622305514</v>
      </c>
      <c r="Q299">
        <f t="shared" si="965"/>
        <v>-825182.13645735616</v>
      </c>
      <c r="R299">
        <f t="shared" si="966"/>
        <v>-13692465.088597629</v>
      </c>
      <c r="S299">
        <f t="shared" si="967"/>
        <v>-136.92465088597629</v>
      </c>
      <c r="T299">
        <f t="shared" si="968"/>
        <v>-0.1369246508859763</v>
      </c>
    </row>
    <row r="300" spans="1:20" x14ac:dyDescent="0.25">
      <c r="A300" s="5">
        <v>44293</v>
      </c>
      <c r="B300">
        <v>3.7810000000000001</v>
      </c>
      <c r="C300">
        <v>3.9302000000000001</v>
      </c>
      <c r="D300">
        <v>3.01</v>
      </c>
      <c r="E300">
        <v>3.2545999999999999</v>
      </c>
      <c r="F300">
        <v>6468895.9199999999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-0.4683764399043685</v>
      </c>
      <c r="Q300">
        <f t="shared" si="965"/>
        <v>-3029878.4411214944</v>
      </c>
      <c r="R300">
        <f t="shared" si="966"/>
        <v>-12867282.952140274</v>
      </c>
      <c r="S300">
        <f t="shared" si="967"/>
        <v>-128.67282952140275</v>
      </c>
      <c r="T300">
        <f t="shared" si="968"/>
        <v>-0.12867282952140274</v>
      </c>
    </row>
    <row r="301" spans="1:20" x14ac:dyDescent="0.25">
      <c r="A301" s="5">
        <v>44292</v>
      </c>
      <c r="B301">
        <v>3.4969999999999999</v>
      </c>
      <c r="C301">
        <v>3.9687999999999999</v>
      </c>
      <c r="D301">
        <v>3.4731999999999998</v>
      </c>
      <c r="E301">
        <v>3.7848999999999999</v>
      </c>
      <c r="F301">
        <v>6506792.7800000003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0.25786924939467337</v>
      </c>
      <c r="Q301">
        <f t="shared" si="965"/>
        <v>1677901.7701452801</v>
      </c>
      <c r="R301">
        <f t="shared" si="966"/>
        <v>-9837404.5110187791</v>
      </c>
      <c r="S301">
        <f t="shared" si="967"/>
        <v>-98.374045110187794</v>
      </c>
      <c r="T301">
        <f t="shared" si="968"/>
        <v>-9.8374045110187797E-2</v>
      </c>
    </row>
    <row r="302" spans="1:20" x14ac:dyDescent="0.25">
      <c r="A302" s="5">
        <v>44291</v>
      </c>
      <c r="B302">
        <v>3.5573000000000001</v>
      </c>
      <c r="C302">
        <v>3.7949999999999999</v>
      </c>
      <c r="D302">
        <v>3.25</v>
      </c>
      <c r="E302">
        <v>3.4964</v>
      </c>
      <c r="F302">
        <v>5524058.96</v>
      </c>
      <c r="G302">
        <v>0</v>
      </c>
      <c r="L302" t="s">
        <v>7</v>
      </c>
      <c r="M302" t="s">
        <v>8</v>
      </c>
      <c r="N302" t="s">
        <v>8</v>
      </c>
      <c r="P302">
        <f t="shared" si="964"/>
        <v>-9.5779816513761523E-2</v>
      </c>
      <c r="Q302">
        <f t="shared" si="965"/>
        <v>-529093.35360000026</v>
      </c>
      <c r="R302">
        <f t="shared" si="966"/>
        <v>-11515306.281164059</v>
      </c>
      <c r="S302">
        <f t="shared" si="967"/>
        <v>-115.15306281164059</v>
      </c>
      <c r="T302">
        <f t="shared" si="968"/>
        <v>-0.11515306281164059</v>
      </c>
    </row>
    <row r="303" spans="1:20" x14ac:dyDescent="0.25">
      <c r="A303" s="5">
        <v>44290</v>
      </c>
      <c r="B303">
        <v>3.3816000000000002</v>
      </c>
      <c r="C303">
        <v>3.6</v>
      </c>
      <c r="D303">
        <v>3.2850000000000001</v>
      </c>
      <c r="E303">
        <v>3.5550000000000002</v>
      </c>
      <c r="F303">
        <v>4232089.1500000004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0.71428571428571463</v>
      </c>
      <c r="Q303">
        <f t="shared" si="965"/>
        <v>3022920.8214285732</v>
      </c>
      <c r="R303">
        <f t="shared" si="966"/>
        <v>-10986212.927564058</v>
      </c>
      <c r="S303">
        <f t="shared" si="967"/>
        <v>-109.86212927564058</v>
      </c>
      <c r="T303">
        <f t="shared" si="968"/>
        <v>-0.10986212927564058</v>
      </c>
    </row>
    <row r="304" spans="1:20" x14ac:dyDescent="0.25">
      <c r="A304" s="5">
        <v>44289</v>
      </c>
      <c r="B304">
        <v>3.0122</v>
      </c>
      <c r="C304">
        <v>3.835</v>
      </c>
      <c r="D304">
        <v>2.9853999999999998</v>
      </c>
      <c r="E304">
        <v>3.383</v>
      </c>
      <c r="F304">
        <v>12782921.640000001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-6.4030131826741735E-2</v>
      </c>
      <c r="Q304">
        <f t="shared" si="965"/>
        <v>-818492.15774010972</v>
      </c>
      <c r="R304">
        <f t="shared" si="966"/>
        <v>-14009133.748992631</v>
      </c>
      <c r="S304">
        <f t="shared" si="967"/>
        <v>-140.0913374899263</v>
      </c>
      <c r="T304">
        <f t="shared" si="968"/>
        <v>-0.1400913374899263</v>
      </c>
    </row>
    <row r="305" spans="1:20" x14ac:dyDescent="0.25">
      <c r="A305" s="5">
        <v>44288</v>
      </c>
      <c r="B305">
        <v>3.1446999999999998</v>
      </c>
      <c r="C305">
        <v>3.2119</v>
      </c>
      <c r="D305">
        <v>2.9137</v>
      </c>
      <c r="E305">
        <v>3.0114000000000001</v>
      </c>
      <c r="F305">
        <v>3647858.15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-0.34473507712944257</v>
      </c>
      <c r="Q305">
        <f t="shared" si="965"/>
        <v>-1257544.6606975156</v>
      </c>
      <c r="R305">
        <f t="shared" si="966"/>
        <v>-13190641.591252521</v>
      </c>
      <c r="S305">
        <f t="shared" si="967"/>
        <v>-131.9064159125252</v>
      </c>
      <c r="T305">
        <f t="shared" si="968"/>
        <v>-0.13190641591252519</v>
      </c>
    </row>
    <row r="306" spans="1:20" x14ac:dyDescent="0.25">
      <c r="A306" s="5">
        <v>44287</v>
      </c>
      <c r="B306">
        <v>2.7389999999999999</v>
      </c>
      <c r="C306">
        <v>3.2517</v>
      </c>
      <c r="D306">
        <v>2.61</v>
      </c>
      <c r="E306">
        <v>3.1446999999999998</v>
      </c>
      <c r="F306">
        <v>5917919.6200000001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0.66651083060620175</v>
      </c>
      <c r="Q306">
        <f t="shared" si="965"/>
        <v>3944357.5213869377</v>
      </c>
      <c r="R306">
        <f t="shared" si="966"/>
        <v>-11933096.930555005</v>
      </c>
      <c r="S306">
        <f t="shared" si="967"/>
        <v>-119.33096930555004</v>
      </c>
      <c r="T306">
        <f t="shared" si="968"/>
        <v>-0.11933096930555004</v>
      </c>
    </row>
    <row r="307" spans="1:20" x14ac:dyDescent="0.25">
      <c r="A307" s="5">
        <v>44286</v>
      </c>
      <c r="B307">
        <v>2.8481000000000001</v>
      </c>
      <c r="C307">
        <v>2.9746999999999999</v>
      </c>
      <c r="D307">
        <v>2.5484</v>
      </c>
      <c r="E307">
        <v>2.7382</v>
      </c>
      <c r="F307">
        <v>3855806.91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-0.10954726718273511</v>
      </c>
      <c r="Q307">
        <f t="shared" si="965"/>
        <v>-422393.1097748063</v>
      </c>
      <c r="R307">
        <f t="shared" si="966"/>
        <v>-15877454.451941943</v>
      </c>
      <c r="S307">
        <f t="shared" si="967"/>
        <v>-158.77454451941944</v>
      </c>
      <c r="T307">
        <f t="shared" si="968"/>
        <v>-0.15877454451941944</v>
      </c>
    </row>
    <row r="308" spans="1:20" x14ac:dyDescent="0.25">
      <c r="A308" s="5">
        <v>44285</v>
      </c>
      <c r="B308">
        <v>2.7684000000000002</v>
      </c>
      <c r="C308">
        <v>2.9746999999999999</v>
      </c>
      <c r="D308">
        <v>2.6554000000000002</v>
      </c>
      <c r="E308">
        <v>2.8473999999999999</v>
      </c>
      <c r="F308">
        <v>4613238.34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0.20263075477607209</v>
      </c>
      <c r="Q308">
        <f t="shared" si="965"/>
        <v>934783.96679611388</v>
      </c>
      <c r="R308">
        <f t="shared" si="966"/>
        <v>-15455061.342167137</v>
      </c>
      <c r="S308">
        <f t="shared" si="967"/>
        <v>-154.55061342167139</v>
      </c>
      <c r="T308">
        <f t="shared" si="968"/>
        <v>-0.1545506134216714</v>
      </c>
    </row>
    <row r="309" spans="1:20" x14ac:dyDescent="0.25">
      <c r="A309" s="5">
        <v>44284</v>
      </c>
      <c r="B309">
        <v>2.6743999999999999</v>
      </c>
      <c r="C309">
        <v>2.99</v>
      </c>
      <c r="D309">
        <v>2.6</v>
      </c>
      <c r="E309">
        <v>2.77</v>
      </c>
      <c r="F309">
        <v>4406898.88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-0.12820512820512886</v>
      </c>
      <c r="Q309">
        <f t="shared" si="965"/>
        <v>-564987.03589743876</v>
      </c>
      <c r="R309">
        <f t="shared" si="966"/>
        <v>-16389845.30896325</v>
      </c>
      <c r="S309">
        <f t="shared" si="967"/>
        <v>-163.89845308963251</v>
      </c>
      <c r="T309">
        <f t="shared" si="968"/>
        <v>-0.16389845308963252</v>
      </c>
    </row>
    <row r="310" spans="1:20" x14ac:dyDescent="0.25">
      <c r="A310" s="5">
        <v>44283</v>
      </c>
      <c r="B310">
        <v>2.3687999999999998</v>
      </c>
      <c r="C310">
        <v>2.8908</v>
      </c>
      <c r="D310">
        <v>2.3302</v>
      </c>
      <c r="E310">
        <v>2.6747000000000001</v>
      </c>
      <c r="F310">
        <v>6441151.8300000001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0.22904031394934013</v>
      </c>
      <c r="Q310">
        <f t="shared" si="965"/>
        <v>1475283.4373385666</v>
      </c>
      <c r="R310">
        <f t="shared" si="966"/>
        <v>-15824858.273065811</v>
      </c>
      <c r="S310">
        <f t="shared" si="967"/>
        <v>-158.24858273065811</v>
      </c>
      <c r="T310">
        <f t="shared" si="968"/>
        <v>-0.15824858273065812</v>
      </c>
    </row>
    <row r="311" spans="1:20" x14ac:dyDescent="0.25">
      <c r="A311" s="5">
        <v>44282</v>
      </c>
      <c r="B311">
        <v>2.3052000000000001</v>
      </c>
      <c r="C311">
        <v>2.4</v>
      </c>
      <c r="D311">
        <v>2.1869999999999998</v>
      </c>
      <c r="E311">
        <v>2.3690000000000002</v>
      </c>
      <c r="F311">
        <v>2887662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0.70892018779343025</v>
      </c>
      <c r="Q311">
        <f t="shared" si="965"/>
        <v>2047121.8873239523</v>
      </c>
      <c r="R311">
        <f t="shared" si="966"/>
        <v>-17300141.710404377</v>
      </c>
      <c r="S311">
        <f t="shared" si="967"/>
        <v>-173.00141710404378</v>
      </c>
      <c r="T311">
        <f t="shared" si="968"/>
        <v>-0.17300141710404379</v>
      </c>
    </row>
    <row r="312" spans="1:20" x14ac:dyDescent="0.25">
      <c r="A312" s="5">
        <v>44281</v>
      </c>
      <c r="B312">
        <v>1.9854000000000001</v>
      </c>
      <c r="C312">
        <v>2.395</v>
      </c>
      <c r="D312">
        <v>1.9854000000000001</v>
      </c>
      <c r="E312">
        <v>2.3043999999999998</v>
      </c>
      <c r="F312">
        <v>4039806.93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0.55761718749999878</v>
      </c>
      <c r="Q312">
        <f t="shared" si="965"/>
        <v>2252665.7783496045</v>
      </c>
      <c r="R312">
        <f t="shared" si="966"/>
        <v>-19347263.597728331</v>
      </c>
      <c r="S312">
        <f t="shared" si="967"/>
        <v>-193.47263597728332</v>
      </c>
      <c r="T312">
        <f t="shared" si="968"/>
        <v>-0.19347263597728331</v>
      </c>
    </row>
    <row r="313" spans="1:20" x14ac:dyDescent="0.25">
      <c r="A313" s="5">
        <v>44280</v>
      </c>
      <c r="B313">
        <v>2.1031</v>
      </c>
      <c r="C313">
        <v>2.1637</v>
      </c>
      <c r="D313">
        <v>1.94</v>
      </c>
      <c r="E313">
        <v>1.9859</v>
      </c>
      <c r="F313">
        <v>4140227.53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-0.58962896736700898</v>
      </c>
      <c r="Q313">
        <f t="shared" si="965"/>
        <v>-2441198.0831783619</v>
      </c>
      <c r="R313">
        <f t="shared" si="966"/>
        <v>-21599929.376077935</v>
      </c>
      <c r="S313">
        <f t="shared" si="967"/>
        <v>-215.99929376077935</v>
      </c>
      <c r="T313">
        <f t="shared" si="968"/>
        <v>-0.21599929376077937</v>
      </c>
    </row>
    <row r="314" spans="1:20" x14ac:dyDescent="0.25">
      <c r="A314" s="5">
        <v>44279</v>
      </c>
      <c r="B314">
        <v>2.3752</v>
      </c>
      <c r="C314">
        <v>2.56</v>
      </c>
      <c r="D314">
        <v>2.0348000000000002</v>
      </c>
      <c r="E314">
        <v>2.1048</v>
      </c>
      <c r="F314">
        <v>3514123.77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-0.73343488194973394</v>
      </c>
      <c r="Q314">
        <f t="shared" si="965"/>
        <v>-2577380.952406704</v>
      </c>
      <c r="R314">
        <f t="shared" si="966"/>
        <v>-19158731.292899575</v>
      </c>
      <c r="S314">
        <f t="shared" si="967"/>
        <v>-191.58731292899574</v>
      </c>
      <c r="T314">
        <f t="shared" si="968"/>
        <v>-0.19158731292899575</v>
      </c>
    </row>
    <row r="315" spans="1:20" x14ac:dyDescent="0.25">
      <c r="A315" s="5">
        <v>44278</v>
      </c>
      <c r="B315">
        <v>2.6067999999999998</v>
      </c>
      <c r="C315">
        <v>2.7073</v>
      </c>
      <c r="D315">
        <v>2.3067000000000002</v>
      </c>
      <c r="E315">
        <v>2.3752</v>
      </c>
      <c r="F315">
        <v>3514751.08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-0.65801298052920709</v>
      </c>
      <c r="Q315">
        <f t="shared" si="965"/>
        <v>-2312751.8339690496</v>
      </c>
      <c r="R315">
        <f t="shared" si="966"/>
        <v>-16581350.340492873</v>
      </c>
      <c r="S315">
        <f t="shared" si="967"/>
        <v>-165.81350340492872</v>
      </c>
      <c r="T315">
        <f t="shared" si="968"/>
        <v>-0.16581350340492873</v>
      </c>
    </row>
    <row r="316" spans="1:20" x14ac:dyDescent="0.25">
      <c r="A316" s="5">
        <v>44277</v>
      </c>
      <c r="B316">
        <v>2.4546999999999999</v>
      </c>
      <c r="C316">
        <v>2.86</v>
      </c>
      <c r="D316">
        <v>2.3624999999999998</v>
      </c>
      <c r="E316">
        <v>2.6042999999999998</v>
      </c>
      <c r="F316">
        <v>4717570.26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-2.7939698492462355E-2</v>
      </c>
      <c r="Q316">
        <f t="shared" si="965"/>
        <v>-131807.49068140725</v>
      </c>
      <c r="R316">
        <f t="shared" si="966"/>
        <v>-14268598.506523823</v>
      </c>
      <c r="S316">
        <f t="shared" si="967"/>
        <v>-142.68598506523824</v>
      </c>
      <c r="T316">
        <f t="shared" si="968"/>
        <v>-0.14268598506523825</v>
      </c>
    </row>
    <row r="317" spans="1:20" x14ac:dyDescent="0.25">
      <c r="A317" s="5">
        <v>44276</v>
      </c>
      <c r="B317">
        <v>2.52</v>
      </c>
      <c r="C317">
        <v>2.5796999999999999</v>
      </c>
      <c r="D317">
        <v>2.3759000000000001</v>
      </c>
      <c r="E317">
        <v>2.4546000000000001</v>
      </c>
      <c r="F317">
        <v>2245181.09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-0.22767419038272732</v>
      </c>
      <c r="Q317">
        <f t="shared" si="965"/>
        <v>-511169.78692835919</v>
      </c>
      <c r="R317">
        <f t="shared" si="966"/>
        <v>-14136791.015842415</v>
      </c>
      <c r="S317">
        <f t="shared" si="967"/>
        <v>-141.36791015842417</v>
      </c>
      <c r="T317">
        <f t="shared" si="968"/>
        <v>-0.14136791015842418</v>
      </c>
    </row>
    <row r="318" spans="1:20" x14ac:dyDescent="0.25">
      <c r="A318" s="5">
        <v>44275</v>
      </c>
      <c r="B318">
        <v>2.7309000000000001</v>
      </c>
      <c r="C318">
        <v>2.8500999999999999</v>
      </c>
      <c r="D318">
        <v>2.5097</v>
      </c>
      <c r="E318">
        <v>2.52</v>
      </c>
      <c r="F318">
        <v>2506653.09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-0.93948296122209174</v>
      </c>
      <c r="Q318">
        <f t="shared" si="965"/>
        <v>-2354957.8677497064</v>
      </c>
      <c r="R318">
        <f t="shared" si="966"/>
        <v>-13625621.228914056</v>
      </c>
      <c r="S318">
        <f t="shared" si="967"/>
        <v>-136.25621228914056</v>
      </c>
      <c r="T318">
        <f t="shared" si="968"/>
        <v>-0.13625621228914056</v>
      </c>
    </row>
    <row r="319" spans="1:20" x14ac:dyDescent="0.25">
      <c r="A319" s="5">
        <v>44274</v>
      </c>
      <c r="B319">
        <v>2.5842000000000001</v>
      </c>
      <c r="C319">
        <v>2.7846000000000002</v>
      </c>
      <c r="D319">
        <v>2.4573</v>
      </c>
      <c r="E319">
        <v>2.7309000000000001</v>
      </c>
      <c r="F319">
        <v>2846598.51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0.67186067827680995</v>
      </c>
      <c r="Q319">
        <f t="shared" si="965"/>
        <v>1912517.6057103565</v>
      </c>
      <c r="R319">
        <f t="shared" si="966"/>
        <v>-11270663.36116435</v>
      </c>
      <c r="S319">
        <f t="shared" si="967"/>
        <v>-112.7066336116435</v>
      </c>
      <c r="T319">
        <f t="shared" si="968"/>
        <v>-0.1127066336116435</v>
      </c>
    </row>
    <row r="320" spans="1:20" x14ac:dyDescent="0.25">
      <c r="A320" s="5">
        <v>44273</v>
      </c>
      <c r="B320">
        <v>2.5112000000000001</v>
      </c>
      <c r="C320">
        <v>2.7</v>
      </c>
      <c r="D320">
        <v>2.4689000000000001</v>
      </c>
      <c r="E320">
        <v>2.5842000000000001</v>
      </c>
      <c r="F320">
        <v>3819165.46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-2.1635655560370698E-3</v>
      </c>
      <c r="Q320">
        <f t="shared" si="965"/>
        <v>-8263.0148420624719</v>
      </c>
      <c r="R320">
        <f t="shared" si="966"/>
        <v>-13183180.966874706</v>
      </c>
      <c r="S320">
        <f t="shared" si="967"/>
        <v>-131.83180966874707</v>
      </c>
      <c r="T320">
        <f t="shared" si="968"/>
        <v>-0.13183180966874708</v>
      </c>
    </row>
    <row r="321" spans="1:20" x14ac:dyDescent="0.25">
      <c r="A321" s="5">
        <v>44272</v>
      </c>
      <c r="B321">
        <v>2.4912999999999998</v>
      </c>
      <c r="C321">
        <v>2.6419999999999999</v>
      </c>
      <c r="D321">
        <v>2.31</v>
      </c>
      <c r="E321">
        <v>2.5095999999999998</v>
      </c>
      <c r="F321">
        <v>3984574.03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0.20240963855421606</v>
      </c>
      <c r="Q321">
        <f t="shared" si="965"/>
        <v>806516.18920481601</v>
      </c>
      <c r="R321">
        <f t="shared" si="966"/>
        <v>-13174917.952032642</v>
      </c>
      <c r="S321">
        <f t="shared" si="967"/>
        <v>-131.74917952032644</v>
      </c>
      <c r="T321">
        <f t="shared" si="968"/>
        <v>-0.13174917952032644</v>
      </c>
    </row>
    <row r="322" spans="1:20" x14ac:dyDescent="0.25">
      <c r="A322" s="5">
        <v>44271</v>
      </c>
      <c r="B322">
        <v>2.5626000000000002</v>
      </c>
      <c r="C322">
        <v>2.5851999999999999</v>
      </c>
      <c r="D322">
        <v>2.3098000000000001</v>
      </c>
      <c r="E322">
        <v>2.4910000000000001</v>
      </c>
      <c r="F322">
        <v>4636627.96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0.31590413943355206</v>
      </c>
      <c r="Q322">
        <f t="shared" si="965"/>
        <v>1464729.965577346</v>
      </c>
      <c r="R322">
        <f t="shared" si="966"/>
        <v>-13981434.141237458</v>
      </c>
      <c r="S322">
        <f t="shared" si="967"/>
        <v>-139.81434141237457</v>
      </c>
      <c r="T322">
        <f t="shared" si="968"/>
        <v>-0.13981434141237459</v>
      </c>
    </row>
    <row r="323" spans="1:20" x14ac:dyDescent="0.25">
      <c r="A323" s="5">
        <v>44270</v>
      </c>
      <c r="B323">
        <v>2.39</v>
      </c>
      <c r="C323">
        <v>2.9455</v>
      </c>
      <c r="D323">
        <v>2.2000000000000002</v>
      </c>
      <c r="E323">
        <v>2.5653000000000001</v>
      </c>
      <c r="F323">
        <v>12059728.359999999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-1.9986586183769171E-2</v>
      </c>
      <c r="Q323">
        <f t="shared" si="965"/>
        <v>-241032.80021998522</v>
      </c>
      <c r="R323">
        <f t="shared" si="966"/>
        <v>-15446164.106814804</v>
      </c>
      <c r="S323">
        <f t="shared" si="967"/>
        <v>-154.46164106814803</v>
      </c>
      <c r="T323">
        <f t="shared" si="968"/>
        <v>-0.15446164106814803</v>
      </c>
    </row>
    <row r="324" spans="1:20" x14ac:dyDescent="0.25">
      <c r="A324" s="5">
        <v>44269</v>
      </c>
      <c r="B324">
        <v>2.5926</v>
      </c>
      <c r="C324">
        <v>2.6962000000000002</v>
      </c>
      <c r="D324">
        <v>2.3694999999999999</v>
      </c>
      <c r="E324">
        <v>2.39</v>
      </c>
      <c r="F324">
        <v>3801178.68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-0.87450260177532801</v>
      </c>
      <c r="Q324">
        <f t="shared" si="965"/>
        <v>-3324140.645472907</v>
      </c>
      <c r="R324">
        <f t="shared" si="966"/>
        <v>-15205131.306594819</v>
      </c>
      <c r="S324">
        <f t="shared" si="967"/>
        <v>-152.05131306594819</v>
      </c>
      <c r="T324">
        <f t="shared" si="968"/>
        <v>-0.15205131306594818</v>
      </c>
    </row>
    <row r="325" spans="1:20" x14ac:dyDescent="0.25">
      <c r="A325" s="5">
        <v>44268</v>
      </c>
      <c r="B325">
        <v>2.2423000000000002</v>
      </c>
      <c r="C325">
        <v>2.81</v>
      </c>
      <c r="D325">
        <v>2.1172</v>
      </c>
      <c r="E325">
        <v>2.5926</v>
      </c>
      <c r="F325">
        <v>8175365.7999999998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0.37240184757505768</v>
      </c>
      <c r="Q325">
        <f t="shared" si="965"/>
        <v>3044521.3285219395</v>
      </c>
      <c r="R325">
        <f t="shared" si="966"/>
        <v>-11880990.661121912</v>
      </c>
      <c r="S325">
        <f t="shared" si="967"/>
        <v>-118.80990661121912</v>
      </c>
      <c r="T325">
        <f t="shared" si="968"/>
        <v>-0.11880990661121912</v>
      </c>
    </row>
    <row r="326" spans="1:20" x14ac:dyDescent="0.25">
      <c r="A326" s="5">
        <v>44267</v>
      </c>
      <c r="B326">
        <v>2.1871999999999998</v>
      </c>
      <c r="C326">
        <v>2.54</v>
      </c>
      <c r="D326">
        <v>2.1480999999999999</v>
      </c>
      <c r="E326">
        <v>2.2423000000000002</v>
      </c>
      <c r="F326">
        <v>5846015.1399999997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-0.5192651186527163</v>
      </c>
      <c r="Q326">
        <f t="shared" ref="Q326:Q389" si="970">F326*P326</f>
        <v>-3035631.7453176756</v>
      </c>
      <c r="R326">
        <f t="shared" ref="R326:R389" si="971">R327+Q326</f>
        <v>-14925511.989643851</v>
      </c>
      <c r="S326">
        <f t="shared" ref="S326:S389" si="972">R326/100000</f>
        <v>-149.25511989643852</v>
      </c>
      <c r="T326">
        <f t="shared" ref="T326:T389" si="973">S326/1000</f>
        <v>-0.14925511989643853</v>
      </c>
    </row>
    <row r="327" spans="1:20" x14ac:dyDescent="0.25">
      <c r="A327" s="5">
        <v>44266</v>
      </c>
      <c r="B327">
        <v>2.1232000000000002</v>
      </c>
      <c r="C327">
        <v>2.35</v>
      </c>
      <c r="D327">
        <v>2.0209999999999999</v>
      </c>
      <c r="E327">
        <v>2.1842999999999999</v>
      </c>
      <c r="F327">
        <v>4039254.62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-7.294832826748263E-3</v>
      </c>
      <c r="Q327">
        <f t="shared" si="970"/>
        <v>-29465.68719757058</v>
      </c>
      <c r="R327">
        <f t="shared" si="971"/>
        <v>-11889880.244326176</v>
      </c>
      <c r="S327">
        <f t="shared" si="972"/>
        <v>-118.89880244326176</v>
      </c>
      <c r="T327">
        <f t="shared" si="973"/>
        <v>-0.11889880244326176</v>
      </c>
    </row>
    <row r="328" spans="1:20" x14ac:dyDescent="0.25">
      <c r="A328" s="5">
        <v>44265</v>
      </c>
      <c r="B328">
        <v>2.2355999999999998</v>
      </c>
      <c r="C328">
        <v>2.38</v>
      </c>
      <c r="D328">
        <v>2.0222000000000002</v>
      </c>
      <c r="E328">
        <v>2.1232000000000002</v>
      </c>
      <c r="F328">
        <v>3893393.03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-0.43543879262157592</v>
      </c>
      <c r="Q328">
        <f t="shared" si="970"/>
        <v>-1695334.360184459</v>
      </c>
      <c r="R328">
        <f t="shared" si="971"/>
        <v>-11860414.557128606</v>
      </c>
      <c r="S328">
        <f t="shared" si="972"/>
        <v>-118.60414557128607</v>
      </c>
      <c r="T328">
        <f t="shared" si="973"/>
        <v>-0.11860414557128607</v>
      </c>
    </row>
    <row r="329" spans="1:20" x14ac:dyDescent="0.25">
      <c r="A329" s="5">
        <v>44264</v>
      </c>
      <c r="B329">
        <v>2.0941999999999998</v>
      </c>
      <c r="C329">
        <v>2.2999999999999998</v>
      </c>
      <c r="D329">
        <v>2.0560999999999998</v>
      </c>
      <c r="E329">
        <v>2.2343999999999999</v>
      </c>
      <c r="F329">
        <v>3605461.85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0.46207462074620848</v>
      </c>
      <c r="Q329">
        <f t="shared" si="970"/>
        <v>1665992.4169536731</v>
      </c>
      <c r="R329">
        <f t="shared" si="971"/>
        <v>-10165080.196944147</v>
      </c>
      <c r="S329">
        <f t="shared" si="972"/>
        <v>-101.65080196944147</v>
      </c>
      <c r="T329">
        <f t="shared" si="973"/>
        <v>-0.10165080196944147</v>
      </c>
    </row>
    <row r="330" spans="1:20" x14ac:dyDescent="0.25">
      <c r="A330" s="5">
        <v>44263</v>
      </c>
      <c r="B330">
        <v>2.1564999999999999</v>
      </c>
      <c r="C330">
        <v>2.1989999999999998</v>
      </c>
      <c r="D330">
        <v>1.9487000000000001</v>
      </c>
      <c r="E330">
        <v>2.0931999999999999</v>
      </c>
      <c r="F330">
        <v>2986828.58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0.1546144626448262</v>
      </c>
      <c r="Q330">
        <f t="shared" si="970"/>
        <v>461806.89590890927</v>
      </c>
      <c r="R330">
        <f t="shared" si="971"/>
        <v>-11831072.613897821</v>
      </c>
      <c r="S330">
        <f t="shared" si="972"/>
        <v>-118.31072613897821</v>
      </c>
      <c r="T330">
        <f t="shared" si="973"/>
        <v>-0.11831072613897821</v>
      </c>
    </row>
    <row r="331" spans="1:20" x14ac:dyDescent="0.25">
      <c r="A331" s="5">
        <v>44262</v>
      </c>
      <c r="B331">
        <v>1.8331999999999999</v>
      </c>
      <c r="C331">
        <v>2.1747999999999998</v>
      </c>
      <c r="D331">
        <v>1.8301000000000001</v>
      </c>
      <c r="E331">
        <v>2.1543999999999999</v>
      </c>
      <c r="F331">
        <v>5273491.72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0.88163620539599663</v>
      </c>
      <c r="Q331">
        <f t="shared" si="970"/>
        <v>4649301.2292080075</v>
      </c>
      <c r="R331">
        <f t="shared" si="971"/>
        <v>-12292879.50980673</v>
      </c>
      <c r="S331">
        <f t="shared" si="972"/>
        <v>-122.9287950980673</v>
      </c>
      <c r="T331">
        <f t="shared" si="973"/>
        <v>-0.1229287950980673</v>
      </c>
    </row>
    <row r="332" spans="1:20" x14ac:dyDescent="0.25">
      <c r="A332" s="5">
        <v>44261</v>
      </c>
      <c r="B332">
        <v>1.7156</v>
      </c>
      <c r="C332">
        <v>1.8653</v>
      </c>
      <c r="D332">
        <v>1.6993</v>
      </c>
      <c r="E332">
        <v>1.8309</v>
      </c>
      <c r="F332">
        <v>2563638.67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0.58554216867469877</v>
      </c>
      <c r="Q332">
        <f t="shared" si="970"/>
        <v>1501118.5465301203</v>
      </c>
      <c r="R332">
        <f t="shared" si="971"/>
        <v>-16942180.739014737</v>
      </c>
      <c r="S332">
        <f t="shared" si="972"/>
        <v>-169.42180739014736</v>
      </c>
      <c r="T332">
        <f t="shared" si="973"/>
        <v>-0.16942180739014737</v>
      </c>
    </row>
    <row r="333" spans="1:20" x14ac:dyDescent="0.25">
      <c r="A333" s="5">
        <v>44260</v>
      </c>
      <c r="B333">
        <v>1.8673</v>
      </c>
      <c r="C333">
        <v>1.9195</v>
      </c>
      <c r="D333">
        <v>1.6591</v>
      </c>
      <c r="E333">
        <v>1.7144999999999999</v>
      </c>
      <c r="F333">
        <v>2848005.28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-0.57450076804915595</v>
      </c>
      <c r="Q333">
        <f t="shared" si="970"/>
        <v>-1636181.2207680512</v>
      </c>
      <c r="R333">
        <f t="shared" si="971"/>
        <v>-18443299.285544857</v>
      </c>
      <c r="S333">
        <f t="shared" si="972"/>
        <v>-184.43299285544856</v>
      </c>
      <c r="T333">
        <f t="shared" si="973"/>
        <v>-0.18443299285544856</v>
      </c>
    </row>
    <row r="334" spans="1:20" x14ac:dyDescent="0.25">
      <c r="A334" s="5">
        <v>44259</v>
      </c>
      <c r="B334">
        <v>1.7655000000000001</v>
      </c>
      <c r="C334">
        <v>1.9500999999999999</v>
      </c>
      <c r="D334">
        <v>1.7333000000000001</v>
      </c>
      <c r="E334">
        <v>1.8675999999999999</v>
      </c>
      <c r="F334">
        <v>4390500.1399999997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0.23892988929889242</v>
      </c>
      <c r="Q334">
        <f t="shared" si="970"/>
        <v>1049021.7124169716</v>
      </c>
      <c r="R334">
        <f t="shared" si="971"/>
        <v>-16807118.064776804</v>
      </c>
      <c r="S334">
        <f t="shared" si="972"/>
        <v>-168.07118064776805</v>
      </c>
      <c r="T334">
        <f t="shared" si="973"/>
        <v>-0.16807118064776805</v>
      </c>
    </row>
    <row r="335" spans="1:20" x14ac:dyDescent="0.25">
      <c r="A335" s="5">
        <v>44258</v>
      </c>
      <c r="B335">
        <v>1.7770999999999999</v>
      </c>
      <c r="C335">
        <v>1.8698999999999999</v>
      </c>
      <c r="D335">
        <v>1.7153</v>
      </c>
      <c r="E335">
        <v>1.7658</v>
      </c>
      <c r="F335">
        <v>1996593.16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-0.34670116429495423</v>
      </c>
      <c r="Q335">
        <f t="shared" si="970"/>
        <v>-692221.17319534183</v>
      </c>
      <c r="R335">
        <f t="shared" si="971"/>
        <v>-17856139.777193777</v>
      </c>
      <c r="S335">
        <f t="shared" si="972"/>
        <v>-178.56139777193778</v>
      </c>
      <c r="T335">
        <f t="shared" si="973"/>
        <v>-0.17856139777193777</v>
      </c>
    </row>
    <row r="336" spans="1:20" x14ac:dyDescent="0.25">
      <c r="A336" s="5">
        <v>44257</v>
      </c>
      <c r="B336">
        <v>1.7134</v>
      </c>
      <c r="C336">
        <v>1.8080000000000001</v>
      </c>
      <c r="D336">
        <v>1.6220000000000001</v>
      </c>
      <c r="E336">
        <v>1.7774000000000001</v>
      </c>
      <c r="F336">
        <v>3236164.47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0.67096774193548414</v>
      </c>
      <c r="Q336">
        <f t="shared" si="970"/>
        <v>2171361.9669677429</v>
      </c>
      <c r="R336">
        <f t="shared" si="971"/>
        <v>-17163918.603998434</v>
      </c>
      <c r="S336">
        <f t="shared" si="972"/>
        <v>-171.63918603998434</v>
      </c>
      <c r="T336">
        <f t="shared" si="973"/>
        <v>-0.17163918603998435</v>
      </c>
    </row>
    <row r="337" spans="1:20" x14ac:dyDescent="0.25">
      <c r="A337" s="5">
        <v>44256</v>
      </c>
      <c r="B337">
        <v>1.5612999999999999</v>
      </c>
      <c r="C337">
        <v>1.734</v>
      </c>
      <c r="D337">
        <v>1.5573999999999999</v>
      </c>
      <c r="E337">
        <v>1.7125999999999999</v>
      </c>
      <c r="F337">
        <v>1829160.3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0.75764439411098439</v>
      </c>
      <c r="Q337">
        <f t="shared" si="970"/>
        <v>1385853.0472253666</v>
      </c>
      <c r="R337">
        <f t="shared" si="971"/>
        <v>-19335280.570966177</v>
      </c>
      <c r="S337">
        <f t="shared" si="972"/>
        <v>-193.35280570966177</v>
      </c>
      <c r="T337">
        <f t="shared" si="973"/>
        <v>-0.19335280570966176</v>
      </c>
    </row>
    <row r="338" spans="1:20" x14ac:dyDescent="0.25">
      <c r="A338" s="5">
        <v>44255</v>
      </c>
      <c r="B338">
        <v>1.6748000000000001</v>
      </c>
      <c r="C338">
        <v>1.6932</v>
      </c>
      <c r="D338">
        <v>1.4378</v>
      </c>
      <c r="E338">
        <v>1.5623</v>
      </c>
      <c r="F338">
        <v>2489771.44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-2.5058731401722628E-2</v>
      </c>
      <c r="Q338">
        <f t="shared" si="970"/>
        <v>-62390.513766640164</v>
      </c>
      <c r="R338">
        <f t="shared" si="971"/>
        <v>-20721133.618191544</v>
      </c>
      <c r="S338">
        <f t="shared" si="972"/>
        <v>-207.21133618191544</v>
      </c>
      <c r="T338">
        <f t="shared" si="973"/>
        <v>-0.20721133618191545</v>
      </c>
    </row>
    <row r="339" spans="1:20" x14ac:dyDescent="0.25">
      <c r="A339" s="5">
        <v>44254</v>
      </c>
      <c r="B339">
        <v>1.6424000000000001</v>
      </c>
      <c r="C339">
        <v>1.8</v>
      </c>
      <c r="D339">
        <v>1.6309</v>
      </c>
      <c r="E339">
        <v>1.6734</v>
      </c>
      <c r="F339">
        <v>2085496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-0.49733885274985246</v>
      </c>
      <c r="Q339">
        <f t="shared" si="970"/>
        <v>-1037198.1880544063</v>
      </c>
      <c r="R339">
        <f t="shared" si="971"/>
        <v>-20658743.104424905</v>
      </c>
      <c r="S339">
        <f t="shared" si="972"/>
        <v>-206.58743104424906</v>
      </c>
      <c r="T339">
        <f t="shared" si="973"/>
        <v>-0.20658743104424906</v>
      </c>
    </row>
    <row r="340" spans="1:20" x14ac:dyDescent="0.25">
      <c r="A340" s="5">
        <v>44253</v>
      </c>
      <c r="B340">
        <v>1.6811</v>
      </c>
      <c r="C340">
        <v>1.78</v>
      </c>
      <c r="D340">
        <v>1.4736</v>
      </c>
      <c r="E340">
        <v>1.6444000000000001</v>
      </c>
      <c r="F340">
        <v>4816101.58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0.11488250652741554</v>
      </c>
      <c r="Q340">
        <f t="shared" si="970"/>
        <v>553285.82120104635</v>
      </c>
      <c r="R340">
        <f t="shared" si="971"/>
        <v>-19621544.9163705</v>
      </c>
      <c r="S340">
        <f t="shared" si="972"/>
        <v>-196.21544916370499</v>
      </c>
      <c r="T340">
        <f t="shared" si="973"/>
        <v>-0.19621544916370498</v>
      </c>
    </row>
    <row r="341" spans="1:20" x14ac:dyDescent="0.25">
      <c r="A341" s="5">
        <v>44252</v>
      </c>
      <c r="B341">
        <v>1.7382</v>
      </c>
      <c r="C341">
        <v>1.9415</v>
      </c>
      <c r="D341">
        <v>1.6598999999999999</v>
      </c>
      <c r="E341">
        <v>1.6818</v>
      </c>
      <c r="F341">
        <v>4603191.8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-0.84446022727272707</v>
      </c>
      <c r="Q341">
        <f t="shared" si="970"/>
        <v>-3887212.3936079536</v>
      </c>
      <c r="R341">
        <f t="shared" si="971"/>
        <v>-20174830.737571545</v>
      </c>
      <c r="S341">
        <f t="shared" si="972"/>
        <v>-201.74830737571546</v>
      </c>
      <c r="T341">
        <f t="shared" si="973"/>
        <v>-0.20174830737571545</v>
      </c>
    </row>
    <row r="342" spans="1:20" x14ac:dyDescent="0.25">
      <c r="A342" s="5">
        <v>44251</v>
      </c>
      <c r="B342">
        <v>1.6021000000000001</v>
      </c>
      <c r="C342">
        <v>1.8301000000000001</v>
      </c>
      <c r="D342">
        <v>1.4837</v>
      </c>
      <c r="E342">
        <v>1.7382</v>
      </c>
      <c r="F342">
        <v>4474470.46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0.46939953810623508</v>
      </c>
      <c r="Q342">
        <f t="shared" si="970"/>
        <v>2100314.3671939932</v>
      </c>
      <c r="R342">
        <f t="shared" si="971"/>
        <v>-16287618.34396359</v>
      </c>
      <c r="S342">
        <f t="shared" si="972"/>
        <v>-162.87618343963589</v>
      </c>
      <c r="T342">
        <f t="shared" si="973"/>
        <v>-0.16287618343963589</v>
      </c>
    </row>
    <row r="343" spans="1:20" x14ac:dyDescent="0.25">
      <c r="A343" s="5">
        <v>44250</v>
      </c>
      <c r="B343">
        <v>1.9218</v>
      </c>
      <c r="C343">
        <v>1.9367000000000001</v>
      </c>
      <c r="D343">
        <v>1.28</v>
      </c>
      <c r="E343">
        <v>1.6035999999999999</v>
      </c>
      <c r="F343">
        <v>7989433.2599999998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-1.4466270747678218E-2</v>
      </c>
      <c r="Q343">
        <f t="shared" si="970"/>
        <v>-115577.30465966542</v>
      </c>
      <c r="R343">
        <f t="shared" si="971"/>
        <v>-18387932.711157583</v>
      </c>
      <c r="S343">
        <f t="shared" si="972"/>
        <v>-183.87932711157583</v>
      </c>
      <c r="T343">
        <f t="shared" si="973"/>
        <v>-0.18387932711157584</v>
      </c>
    </row>
    <row r="344" spans="1:20" x14ac:dyDescent="0.25">
      <c r="A344" s="5">
        <v>44249</v>
      </c>
      <c r="B344">
        <v>2.1192000000000002</v>
      </c>
      <c r="C344">
        <v>2.1263000000000001</v>
      </c>
      <c r="D344">
        <v>1.5</v>
      </c>
      <c r="E344">
        <v>1.9218999999999999</v>
      </c>
      <c r="F344">
        <v>6524223.5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0.34727766246207853</v>
      </c>
      <c r="Q344">
        <f t="shared" si="970"/>
        <v>2265717.0864601606</v>
      </c>
      <c r="R344">
        <f t="shared" si="971"/>
        <v>-18272355.406497918</v>
      </c>
      <c r="S344">
        <f t="shared" si="972"/>
        <v>-182.72355406497917</v>
      </c>
      <c r="T344">
        <f t="shared" si="973"/>
        <v>-0.18272355406497917</v>
      </c>
    </row>
    <row r="345" spans="1:20" x14ac:dyDescent="0.25">
      <c r="A345" s="5">
        <v>44248</v>
      </c>
      <c r="B345">
        <v>2.1101999999999999</v>
      </c>
      <c r="C345">
        <v>2.2890999999999999</v>
      </c>
      <c r="D345">
        <v>2</v>
      </c>
      <c r="E345">
        <v>2.1177000000000001</v>
      </c>
      <c r="F345">
        <v>5056013.84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-0.18574887582151384</v>
      </c>
      <c r="Q345">
        <f t="shared" si="970"/>
        <v>-939148.88691801531</v>
      </c>
      <c r="R345">
        <f t="shared" si="971"/>
        <v>-20538072.49295808</v>
      </c>
      <c r="S345">
        <f t="shared" si="972"/>
        <v>-205.38072492958079</v>
      </c>
      <c r="T345">
        <f t="shared" si="973"/>
        <v>-0.20538072492958079</v>
      </c>
    </row>
    <row r="346" spans="1:20" x14ac:dyDescent="0.25">
      <c r="A346" s="5">
        <v>44247</v>
      </c>
      <c r="B346">
        <v>2.6947999999999999</v>
      </c>
      <c r="C346">
        <v>2.73</v>
      </c>
      <c r="D346">
        <v>1.8649</v>
      </c>
      <c r="E346">
        <v>2.1101999999999999</v>
      </c>
      <c r="F346">
        <v>6167758.8499999996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-0.43289793087504369</v>
      </c>
      <c r="Q346">
        <f t="shared" si="970"/>
        <v>-2670010.0443012388</v>
      </c>
      <c r="R346">
        <f t="shared" si="971"/>
        <v>-19598923.606040064</v>
      </c>
      <c r="S346">
        <f t="shared" si="972"/>
        <v>-195.98923606040063</v>
      </c>
      <c r="T346">
        <f t="shared" si="973"/>
        <v>-0.19598923606040064</v>
      </c>
    </row>
    <row r="347" spans="1:20" x14ac:dyDescent="0.25">
      <c r="A347" s="5">
        <v>44246</v>
      </c>
      <c r="B347">
        <v>2.2406999999999999</v>
      </c>
      <c r="C347">
        <v>2.7</v>
      </c>
      <c r="D347">
        <v>2.1109</v>
      </c>
      <c r="E347">
        <v>2.6941999999999999</v>
      </c>
      <c r="F347">
        <v>6834306.4000000004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0.98030894584960027</v>
      </c>
      <c r="Q347">
        <f t="shared" si="970"/>
        <v>6699731.7025971767</v>
      </c>
      <c r="R347">
        <f t="shared" si="971"/>
        <v>-16928913.561738826</v>
      </c>
      <c r="S347">
        <f t="shared" si="972"/>
        <v>-169.28913561738827</v>
      </c>
      <c r="T347">
        <f t="shared" si="973"/>
        <v>-0.16928913561738826</v>
      </c>
    </row>
    <row r="348" spans="1:20" x14ac:dyDescent="0.25">
      <c r="A348" s="5">
        <v>44245</v>
      </c>
      <c r="B348">
        <v>2.1966999999999999</v>
      </c>
      <c r="C348">
        <v>2.3332999999999999</v>
      </c>
      <c r="D348">
        <v>2.0179999999999998</v>
      </c>
      <c r="E348">
        <v>2.2387000000000001</v>
      </c>
      <c r="F348">
        <v>5196749.28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0.39993656834760699</v>
      </c>
      <c r="Q348">
        <f t="shared" si="970"/>
        <v>2078370.0736060976</v>
      </c>
      <c r="R348">
        <f t="shared" si="971"/>
        <v>-23628645.264336005</v>
      </c>
      <c r="S348">
        <f t="shared" si="972"/>
        <v>-236.28645264336004</v>
      </c>
      <c r="T348">
        <f t="shared" si="973"/>
        <v>-0.23628645264336004</v>
      </c>
    </row>
    <row r="349" spans="1:20" x14ac:dyDescent="0.25">
      <c r="A349" s="5">
        <v>44244</v>
      </c>
      <c r="B349">
        <v>1.8664000000000001</v>
      </c>
      <c r="C349">
        <v>2.33</v>
      </c>
      <c r="D349">
        <v>1.6584000000000001</v>
      </c>
      <c r="E349">
        <v>2.1934</v>
      </c>
      <c r="F349">
        <v>6238250.8899999997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0.59321024419297186</v>
      </c>
      <c r="Q349">
        <f t="shared" si="970"/>
        <v>3700594.3337939237</v>
      </c>
      <c r="R349">
        <f t="shared" si="971"/>
        <v>-25707015.337942101</v>
      </c>
      <c r="S349">
        <f t="shared" si="972"/>
        <v>-257.07015337942101</v>
      </c>
      <c r="T349">
        <f t="shared" si="973"/>
        <v>-0.25707015337942102</v>
      </c>
    </row>
    <row r="350" spans="1:20" x14ac:dyDescent="0.25">
      <c r="A350" s="5">
        <v>44243</v>
      </c>
      <c r="B350">
        <v>1.8867</v>
      </c>
      <c r="C350">
        <v>2</v>
      </c>
      <c r="D350">
        <v>1.7466999999999999</v>
      </c>
      <c r="E350">
        <v>1.8647</v>
      </c>
      <c r="F350">
        <v>3264106.12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-6.8298460323726273E-2</v>
      </c>
      <c r="Q350">
        <f t="shared" si="970"/>
        <v>-222933.42232925212</v>
      </c>
      <c r="R350">
        <f t="shared" si="971"/>
        <v>-29407609.671736024</v>
      </c>
      <c r="S350">
        <f t="shared" si="972"/>
        <v>-294.07609671736026</v>
      </c>
      <c r="T350">
        <f t="shared" si="973"/>
        <v>-0.29407609671736024</v>
      </c>
    </row>
    <row r="351" spans="1:20" x14ac:dyDescent="0.25">
      <c r="A351" s="5">
        <v>44242</v>
      </c>
      <c r="B351">
        <v>2.0821999999999998</v>
      </c>
      <c r="C351">
        <v>2.1486999999999998</v>
      </c>
      <c r="D351">
        <v>1.4601999999999999</v>
      </c>
      <c r="E351">
        <v>1.8867</v>
      </c>
      <c r="F351">
        <v>9505463.4299999997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0.23892519970951392</v>
      </c>
      <c r="Q351">
        <f t="shared" si="970"/>
        <v>2271094.7483442309</v>
      </c>
      <c r="R351">
        <f t="shared" si="971"/>
        <v>-29184676.249406774</v>
      </c>
      <c r="S351">
        <f t="shared" si="972"/>
        <v>-291.84676249406772</v>
      </c>
      <c r="T351">
        <f t="shared" si="973"/>
        <v>-0.29184676249406771</v>
      </c>
    </row>
    <row r="352" spans="1:20" x14ac:dyDescent="0.25">
      <c r="A352" s="5">
        <v>44241</v>
      </c>
      <c r="B352">
        <v>2.3746</v>
      </c>
      <c r="C352">
        <v>2.5</v>
      </c>
      <c r="D352">
        <v>2.0045999999999999</v>
      </c>
      <c r="E352">
        <v>2.0834000000000001</v>
      </c>
      <c r="F352">
        <v>5468540.5599999996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-0.6818732337505039</v>
      </c>
      <c r="Q352">
        <f t="shared" si="970"/>
        <v>-3728851.4355429914</v>
      </c>
      <c r="R352">
        <f t="shared" si="971"/>
        <v>-31455770.997751005</v>
      </c>
      <c r="S352">
        <f t="shared" si="972"/>
        <v>-314.55770997751006</v>
      </c>
      <c r="T352">
        <f t="shared" si="973"/>
        <v>-0.31455770997751004</v>
      </c>
    </row>
    <row r="353" spans="1:20" x14ac:dyDescent="0.25">
      <c r="A353" s="5">
        <v>44240</v>
      </c>
      <c r="B353">
        <v>2.3125</v>
      </c>
      <c r="C353">
        <v>2.5659999999999998</v>
      </c>
      <c r="D353">
        <v>2.1</v>
      </c>
      <c r="E353">
        <v>2.3708</v>
      </c>
      <c r="F353">
        <v>7898413.96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0.16223175965665268</v>
      </c>
      <c r="Q353">
        <f t="shared" si="970"/>
        <v>1281373.5952274704</v>
      </c>
      <c r="R353">
        <f t="shared" si="971"/>
        <v>-27726919.562208012</v>
      </c>
      <c r="S353">
        <f t="shared" si="972"/>
        <v>-277.26919562208013</v>
      </c>
      <c r="T353">
        <f t="shared" si="973"/>
        <v>-0.27726919562208013</v>
      </c>
    </row>
    <row r="354" spans="1:20" x14ac:dyDescent="0.25">
      <c r="A354" s="5">
        <v>44239</v>
      </c>
      <c r="B354">
        <v>2.1131000000000002</v>
      </c>
      <c r="C354">
        <v>2.5668000000000002</v>
      </c>
      <c r="D354">
        <v>2.0550000000000002</v>
      </c>
      <c r="E354">
        <v>2.3092000000000001</v>
      </c>
      <c r="F354">
        <v>7462597.4800000004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-6.6432200078156882E-3</v>
      </c>
      <c r="Q354">
        <f t="shared" si="970"/>
        <v>-49575.676889410941</v>
      </c>
      <c r="R354">
        <f t="shared" si="971"/>
        <v>-29008293.157435481</v>
      </c>
      <c r="S354">
        <f t="shared" si="972"/>
        <v>-290.0829315743548</v>
      </c>
      <c r="T354">
        <f t="shared" si="973"/>
        <v>-0.29008293157435483</v>
      </c>
    </row>
    <row r="355" spans="1:20" x14ac:dyDescent="0.25">
      <c r="A355" s="5">
        <v>44238</v>
      </c>
      <c r="B355">
        <v>2.2121</v>
      </c>
      <c r="C355">
        <v>2.4500000000000002</v>
      </c>
      <c r="D355">
        <v>1.98</v>
      </c>
      <c r="E355">
        <v>2.1097999999999999</v>
      </c>
      <c r="F355">
        <v>7529478.4299999997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-0.44765957446808569</v>
      </c>
      <c r="Q355">
        <f t="shared" si="970"/>
        <v>-3370643.1099404297</v>
      </c>
      <c r="R355">
        <f t="shared" si="971"/>
        <v>-28958717.480546068</v>
      </c>
      <c r="S355">
        <f t="shared" si="972"/>
        <v>-289.58717480546068</v>
      </c>
      <c r="T355">
        <f t="shared" si="973"/>
        <v>-0.2895871748054607</v>
      </c>
    </row>
    <row r="356" spans="1:20" x14ac:dyDescent="0.25">
      <c r="A356" s="5">
        <v>44237</v>
      </c>
      <c r="B356">
        <v>1.7907999999999999</v>
      </c>
      <c r="C356">
        <v>2.4</v>
      </c>
      <c r="D356">
        <v>1.7</v>
      </c>
      <c r="E356">
        <v>2.2151000000000001</v>
      </c>
      <c r="F356">
        <v>18178781.649999999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0.47171428571428614</v>
      </c>
      <c r="Q356">
        <f t="shared" si="970"/>
        <v>8575191.0011857208</v>
      </c>
      <c r="R356">
        <f t="shared" si="971"/>
        <v>-25588074.37060564</v>
      </c>
      <c r="S356">
        <f t="shared" si="972"/>
        <v>-255.88074370605639</v>
      </c>
      <c r="T356">
        <f t="shared" si="973"/>
        <v>-0.2558807437060564</v>
      </c>
    </row>
    <row r="357" spans="1:20" x14ac:dyDescent="0.25">
      <c r="A357" s="5">
        <v>44236</v>
      </c>
      <c r="B357">
        <v>1.7257</v>
      </c>
      <c r="C357">
        <v>1.9512</v>
      </c>
      <c r="D357">
        <v>1.6357999999999999</v>
      </c>
      <c r="E357">
        <v>1.792</v>
      </c>
      <c r="F357">
        <v>11310136.23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-9.5117311350662349E-3</v>
      </c>
      <c r="Q357">
        <f t="shared" si="970"/>
        <v>-107578.97492073165</v>
      </c>
      <c r="R357">
        <f t="shared" si="971"/>
        <v>-34163265.371791363</v>
      </c>
      <c r="S357">
        <f t="shared" si="972"/>
        <v>-341.63265371791363</v>
      </c>
      <c r="T357">
        <f t="shared" si="973"/>
        <v>-0.34163265371791363</v>
      </c>
    </row>
    <row r="358" spans="1:20" x14ac:dyDescent="0.25">
      <c r="A358" s="5">
        <v>44235</v>
      </c>
      <c r="B358">
        <v>1.2594000000000001</v>
      </c>
      <c r="C358">
        <v>1.84</v>
      </c>
      <c r="D358">
        <v>1.2457</v>
      </c>
      <c r="E358">
        <v>1.7245999999999999</v>
      </c>
      <c r="F358">
        <v>13009997.17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0.6116439508665652</v>
      </c>
      <c r="Q358">
        <f t="shared" si="970"/>
        <v>7957486.0698216325</v>
      </c>
      <c r="R358">
        <f t="shared" si="971"/>
        <v>-34055686.396870628</v>
      </c>
      <c r="S358">
        <f t="shared" si="972"/>
        <v>-340.5568639687063</v>
      </c>
      <c r="T358">
        <f t="shared" si="973"/>
        <v>-0.34055686396870627</v>
      </c>
    </row>
    <row r="359" spans="1:20" x14ac:dyDescent="0.25">
      <c r="A359" s="5">
        <v>44234</v>
      </c>
      <c r="B359">
        <v>1.1664000000000001</v>
      </c>
      <c r="C359">
        <v>1.32</v>
      </c>
      <c r="D359">
        <v>1.1202000000000001</v>
      </c>
      <c r="E359">
        <v>1.2601</v>
      </c>
      <c r="F359">
        <v>7243280.9800000004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0.4004004004003997</v>
      </c>
      <c r="Q359">
        <f t="shared" si="970"/>
        <v>2900212.6046045995</v>
      </c>
      <c r="R359">
        <f t="shared" si="971"/>
        <v>-42013172.466692261</v>
      </c>
      <c r="S359">
        <f t="shared" si="972"/>
        <v>-420.13172466692259</v>
      </c>
      <c r="T359">
        <f t="shared" si="973"/>
        <v>-0.42013172466692261</v>
      </c>
    </row>
    <row r="360" spans="1:20" x14ac:dyDescent="0.25">
      <c r="A360" s="5">
        <v>44233</v>
      </c>
      <c r="B360">
        <v>1.1998</v>
      </c>
      <c r="C360">
        <v>1.22</v>
      </c>
      <c r="D360">
        <v>1.05</v>
      </c>
      <c r="E360">
        <v>1.1659999999999999</v>
      </c>
      <c r="F360">
        <v>5411700.7699999996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0.36470588235294032</v>
      </c>
      <c r="Q360">
        <f t="shared" si="970"/>
        <v>1973679.1043529364</v>
      </c>
      <c r="R360">
        <f t="shared" si="971"/>
        <v>-44913385.071296863</v>
      </c>
      <c r="S360">
        <f t="shared" si="972"/>
        <v>-449.13385071296864</v>
      </c>
      <c r="T360">
        <f t="shared" si="973"/>
        <v>-0.44913385071296863</v>
      </c>
    </row>
    <row r="361" spans="1:20" x14ac:dyDescent="0.25">
      <c r="A361" s="5">
        <v>44232</v>
      </c>
      <c r="B361">
        <v>0.99990000000000001</v>
      </c>
      <c r="C361">
        <v>1.25</v>
      </c>
      <c r="D361">
        <v>0.99990000000000001</v>
      </c>
      <c r="E361">
        <v>1.1998</v>
      </c>
      <c r="F361">
        <v>8636241.7899999991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0.5985605757696919</v>
      </c>
      <c r="Q361">
        <f t="shared" si="970"/>
        <v>5169313.8583086738</v>
      </c>
      <c r="R361">
        <f t="shared" si="971"/>
        <v>-46887064.175649799</v>
      </c>
      <c r="S361">
        <f t="shared" si="972"/>
        <v>-468.870641756498</v>
      </c>
      <c r="T361">
        <f t="shared" si="973"/>
        <v>-0.46887064175649801</v>
      </c>
    </row>
    <row r="362" spans="1:20" x14ac:dyDescent="0.25">
      <c r="A362" s="5">
        <v>44231</v>
      </c>
      <c r="B362">
        <v>1.0196000000000001</v>
      </c>
      <c r="C362">
        <v>1.0390999999999999</v>
      </c>
      <c r="D362">
        <v>0.9214</v>
      </c>
      <c r="E362">
        <v>1</v>
      </c>
      <c r="F362">
        <v>6505124.3600000003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0.33559898045879455</v>
      </c>
      <c r="Q362">
        <f t="shared" si="970"/>
        <v>2183113.1029736684</v>
      </c>
      <c r="R362">
        <f t="shared" si="971"/>
        <v>-52056378.033958472</v>
      </c>
      <c r="S362">
        <f t="shared" si="972"/>
        <v>-520.5637803395847</v>
      </c>
      <c r="T362">
        <f t="shared" si="973"/>
        <v>-0.52056378033958473</v>
      </c>
    </row>
    <row r="363" spans="1:20" x14ac:dyDescent="0.25">
      <c r="A363" s="5">
        <v>44230</v>
      </c>
      <c r="B363">
        <v>0.98150000000000004</v>
      </c>
      <c r="C363">
        <v>1.0430999999999999</v>
      </c>
      <c r="D363">
        <v>0.97719999999999996</v>
      </c>
      <c r="E363">
        <v>1.0196000000000001</v>
      </c>
      <c r="F363">
        <v>5404286.2800000003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0.28679817905918453</v>
      </c>
      <c r="Q363">
        <f t="shared" si="970"/>
        <v>1549939.4642185343</v>
      </c>
      <c r="R363">
        <f t="shared" si="971"/>
        <v>-54239491.136932142</v>
      </c>
      <c r="S363">
        <f t="shared" si="972"/>
        <v>-542.39491136932145</v>
      </c>
      <c r="T363">
        <f t="shared" si="973"/>
        <v>-0.5423949113693215</v>
      </c>
    </row>
    <row r="364" spans="1:20" x14ac:dyDescent="0.25">
      <c r="A364" s="5">
        <v>44229</v>
      </c>
      <c r="B364">
        <v>0.97829999999999995</v>
      </c>
      <c r="C364">
        <v>1.0328999999999999</v>
      </c>
      <c r="D364">
        <v>0.95699999999999996</v>
      </c>
      <c r="E364">
        <v>0.98180000000000001</v>
      </c>
      <c r="F364">
        <v>4902904.43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-0.34650856389986678</v>
      </c>
      <c r="Q364">
        <f t="shared" si="970"/>
        <v>-1698898.3729775948</v>
      </c>
      <c r="R364">
        <f t="shared" si="971"/>
        <v>-55789430.601150677</v>
      </c>
      <c r="S364">
        <f t="shared" si="972"/>
        <v>-557.89430601150673</v>
      </c>
      <c r="T364">
        <f t="shared" si="973"/>
        <v>-0.55789430601150669</v>
      </c>
    </row>
    <row r="365" spans="1:20" x14ac:dyDescent="0.25">
      <c r="A365" s="5">
        <v>44228</v>
      </c>
      <c r="B365">
        <v>0.91859999999999997</v>
      </c>
      <c r="C365">
        <v>0.99890000000000001</v>
      </c>
      <c r="D365">
        <v>0.89529999999999998</v>
      </c>
      <c r="E365">
        <v>0.97840000000000005</v>
      </c>
      <c r="F365">
        <v>5410214.6100000003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0.60424710424710504</v>
      </c>
      <c r="Q365">
        <f t="shared" si="970"/>
        <v>3269106.5114478809</v>
      </c>
      <c r="R365">
        <f t="shared" si="971"/>
        <v>-54090532.228173085</v>
      </c>
      <c r="S365">
        <f t="shared" si="972"/>
        <v>-540.90532228173083</v>
      </c>
      <c r="T365">
        <f t="shared" si="973"/>
        <v>-0.54090532228173083</v>
      </c>
    </row>
    <row r="366" spans="1:20" x14ac:dyDescent="0.25">
      <c r="A366" s="5">
        <v>44227</v>
      </c>
      <c r="B366">
        <v>0.91900000000000004</v>
      </c>
      <c r="C366">
        <v>0.9647</v>
      </c>
      <c r="D366">
        <v>0.8901</v>
      </c>
      <c r="E366">
        <v>0.91859999999999997</v>
      </c>
      <c r="F366">
        <v>4612526.0199999996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-0.23592493297587211</v>
      </c>
      <c r="Q366">
        <f t="shared" si="970"/>
        <v>-1088209.892117966</v>
      </c>
      <c r="R366">
        <f t="shared" si="971"/>
        <v>-57359638.739620969</v>
      </c>
      <c r="S366">
        <f t="shared" si="972"/>
        <v>-573.59638739620971</v>
      </c>
      <c r="T366">
        <f t="shared" si="973"/>
        <v>-0.57359638739620966</v>
      </c>
    </row>
    <row r="367" spans="1:20" x14ac:dyDescent="0.25">
      <c r="A367" s="5">
        <v>44226</v>
      </c>
      <c r="B367">
        <v>0.90069999999999995</v>
      </c>
      <c r="C367">
        <v>0.93540000000000001</v>
      </c>
      <c r="D367">
        <v>0.87870000000000004</v>
      </c>
      <c r="E367">
        <v>0.91879999999999995</v>
      </c>
      <c r="F367">
        <v>4658412.54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0.41446208112874544</v>
      </c>
      <c r="Q367">
        <f t="shared" si="970"/>
        <v>1930735.356084645</v>
      </c>
      <c r="R367">
        <f t="shared" si="971"/>
        <v>-56271428.847503006</v>
      </c>
      <c r="S367">
        <f t="shared" si="972"/>
        <v>-562.71428847503012</v>
      </c>
      <c r="T367">
        <f t="shared" si="973"/>
        <v>-0.56271428847503013</v>
      </c>
    </row>
    <row r="368" spans="1:20" x14ac:dyDescent="0.25">
      <c r="A368" s="5">
        <v>44225</v>
      </c>
      <c r="B368">
        <v>0.93940000000000001</v>
      </c>
      <c r="C368">
        <v>0.94899999999999995</v>
      </c>
      <c r="D368">
        <v>0.85780000000000001</v>
      </c>
      <c r="E368">
        <v>0.90110000000000001</v>
      </c>
      <c r="F368">
        <v>6447611.6900000004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-5.0438596491227415E-2</v>
      </c>
      <c r="Q368">
        <f t="shared" si="970"/>
        <v>-325208.48436403088</v>
      </c>
      <c r="R368">
        <f t="shared" si="971"/>
        <v>-58202164.203587651</v>
      </c>
      <c r="S368">
        <f t="shared" si="972"/>
        <v>-582.02164203587654</v>
      </c>
      <c r="T368">
        <f t="shared" si="973"/>
        <v>-0.58202164203587659</v>
      </c>
    </row>
    <row r="369" spans="1:20" x14ac:dyDescent="0.25">
      <c r="A369" s="5">
        <v>44224</v>
      </c>
      <c r="B369">
        <v>0.88290000000000002</v>
      </c>
      <c r="C369">
        <v>0.95760000000000001</v>
      </c>
      <c r="D369">
        <v>0.85880000000000001</v>
      </c>
      <c r="E369">
        <v>0.9395</v>
      </c>
      <c r="F369">
        <v>5438841.5899999999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0.63360323886639669</v>
      </c>
      <c r="Q369">
        <f t="shared" si="970"/>
        <v>3446067.6471052626</v>
      </c>
      <c r="R369">
        <f t="shared" si="971"/>
        <v>-57876955.719223619</v>
      </c>
      <c r="S369">
        <f t="shared" si="972"/>
        <v>-578.76955719223622</v>
      </c>
      <c r="T369">
        <f t="shared" si="973"/>
        <v>-0.57876955719223622</v>
      </c>
    </row>
    <row r="370" spans="1:20" x14ac:dyDescent="0.25">
      <c r="A370" s="5">
        <v>44223</v>
      </c>
      <c r="B370">
        <v>0.94420000000000004</v>
      </c>
      <c r="C370">
        <v>0.94450000000000001</v>
      </c>
      <c r="D370">
        <v>0.81</v>
      </c>
      <c r="E370">
        <v>0.88280000000000003</v>
      </c>
      <c r="F370">
        <v>14312377.27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8.2527881040892218E-2</v>
      </c>
      <c r="Q370">
        <f t="shared" si="970"/>
        <v>1181170.1687509296</v>
      </c>
      <c r="R370">
        <f t="shared" si="971"/>
        <v>-61323023.36632888</v>
      </c>
      <c r="S370">
        <f t="shared" si="972"/>
        <v>-613.2302336632888</v>
      </c>
      <c r="T370">
        <f t="shared" si="973"/>
        <v>-0.61323023366328877</v>
      </c>
    </row>
    <row r="371" spans="1:20" x14ac:dyDescent="0.25">
      <c r="A371" s="5">
        <v>44222</v>
      </c>
      <c r="B371">
        <v>0.93340000000000001</v>
      </c>
      <c r="C371">
        <v>0.97</v>
      </c>
      <c r="D371">
        <v>0.90490000000000004</v>
      </c>
      <c r="E371">
        <v>0.94420000000000004</v>
      </c>
      <c r="F371">
        <v>3981911.8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0.20737327188940216</v>
      </c>
      <c r="Q371">
        <f t="shared" si="970"/>
        <v>825742.07834101876</v>
      </c>
      <c r="R371">
        <f t="shared" si="971"/>
        <v>-62504193.535079807</v>
      </c>
      <c r="S371">
        <f t="shared" si="972"/>
        <v>-625.0419353507981</v>
      </c>
      <c r="T371">
        <f t="shared" si="973"/>
        <v>-0.62504193535079811</v>
      </c>
    </row>
    <row r="372" spans="1:20" x14ac:dyDescent="0.25">
      <c r="A372" s="5">
        <v>44221</v>
      </c>
      <c r="B372">
        <v>1.0196000000000001</v>
      </c>
      <c r="C372">
        <v>1.0343</v>
      </c>
      <c r="D372">
        <v>0.90920000000000001</v>
      </c>
      <c r="E372">
        <v>0.93240000000000001</v>
      </c>
      <c r="F372">
        <v>8043217.4500000002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-0.62909672262190242</v>
      </c>
      <c r="Q372">
        <f t="shared" si="970"/>
        <v>-5059961.7371302955</v>
      </c>
      <c r="R372">
        <f t="shared" si="971"/>
        <v>-63329935.613420829</v>
      </c>
      <c r="S372">
        <f t="shared" si="972"/>
        <v>-633.29935613420832</v>
      </c>
      <c r="T372">
        <f t="shared" si="973"/>
        <v>-0.63329935613420829</v>
      </c>
    </row>
    <row r="373" spans="1:20" x14ac:dyDescent="0.25">
      <c r="A373" s="5">
        <v>44220</v>
      </c>
      <c r="B373">
        <v>1.0039</v>
      </c>
      <c r="C373">
        <v>1.0718000000000001</v>
      </c>
      <c r="D373">
        <v>0.97650000000000003</v>
      </c>
      <c r="E373">
        <v>1.0198</v>
      </c>
      <c r="F373">
        <v>8108500.0800000001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-9.1290661070304688E-2</v>
      </c>
      <c r="Q373">
        <f t="shared" si="970"/>
        <v>-740230.33259181841</v>
      </c>
      <c r="R373">
        <f t="shared" si="971"/>
        <v>-58269973.87629053</v>
      </c>
      <c r="S373">
        <f t="shared" si="972"/>
        <v>-582.69973876290533</v>
      </c>
      <c r="T373">
        <f t="shared" si="973"/>
        <v>-0.58269973876290537</v>
      </c>
    </row>
    <row r="374" spans="1:20" x14ac:dyDescent="0.25">
      <c r="A374" s="5">
        <v>44219</v>
      </c>
      <c r="B374">
        <v>0.99029999999999996</v>
      </c>
      <c r="C374">
        <v>1.0478000000000001</v>
      </c>
      <c r="D374">
        <v>0.96</v>
      </c>
      <c r="E374">
        <v>1.0039</v>
      </c>
      <c r="F374">
        <v>8441723.3499999996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</v>
      </c>
      <c r="Q374">
        <f t="shared" si="970"/>
        <v>0</v>
      </c>
      <c r="R374">
        <f t="shared" si="971"/>
        <v>-57529743.543698713</v>
      </c>
      <c r="S374">
        <f t="shared" si="972"/>
        <v>-575.29743543698714</v>
      </c>
      <c r="T374">
        <f t="shared" si="973"/>
        <v>-0.57529743543698719</v>
      </c>
    </row>
    <row r="375" spans="1:20" x14ac:dyDescent="0.25">
      <c r="A375" s="5">
        <v>44218</v>
      </c>
      <c r="B375">
        <v>0.9325</v>
      </c>
      <c r="C375">
        <v>1.05</v>
      </c>
      <c r="D375">
        <v>0.86</v>
      </c>
      <c r="E375">
        <v>0.99009999999999998</v>
      </c>
      <c r="F375">
        <v>29666908.43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0.36947368421052584</v>
      </c>
      <c r="Q375">
        <f t="shared" si="970"/>
        <v>10961141.956768407</v>
      </c>
      <c r="R375">
        <f t="shared" si="971"/>
        <v>-57529743.543698713</v>
      </c>
      <c r="S375">
        <f t="shared" si="972"/>
        <v>-575.29743543698714</v>
      </c>
      <c r="T375">
        <f t="shared" si="973"/>
        <v>-0.57529743543698719</v>
      </c>
    </row>
    <row r="376" spans="1:20" x14ac:dyDescent="0.25">
      <c r="A376" s="5">
        <v>44217</v>
      </c>
      <c r="B376">
        <v>1.2363</v>
      </c>
      <c r="C376">
        <v>1.575</v>
      </c>
      <c r="D376">
        <v>0.91</v>
      </c>
      <c r="E376">
        <v>0.9264</v>
      </c>
      <c r="F376">
        <v>26884472.98</v>
      </c>
      <c r="G376">
        <v>0</v>
      </c>
      <c r="L376" t="s">
        <v>7</v>
      </c>
      <c r="M376" t="s">
        <v>8</v>
      </c>
      <c r="N376" t="s">
        <v>8</v>
      </c>
      <c r="P376">
        <f t="shared" si="969"/>
        <v>-0.95067669172932334</v>
      </c>
      <c r="Q376">
        <f t="shared" si="970"/>
        <v>-25558441.831512783</v>
      </c>
      <c r="R376">
        <f t="shared" si="971"/>
        <v>-68490885.500467122</v>
      </c>
      <c r="S376">
        <f t="shared" si="972"/>
        <v>-684.90885500467118</v>
      </c>
      <c r="T376">
        <f t="shared" si="973"/>
        <v>-0.68490885500467114</v>
      </c>
    </row>
    <row r="377" spans="1:20" x14ac:dyDescent="0.25">
      <c r="A377" s="5">
        <v>44216</v>
      </c>
      <c r="B377">
        <v>1.0935999999999999</v>
      </c>
      <c r="C377">
        <v>1.29</v>
      </c>
      <c r="D377">
        <v>1.0094000000000001</v>
      </c>
      <c r="E377">
        <v>1.236</v>
      </c>
      <c r="F377">
        <v>2804138.38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0.61511047754811077</v>
      </c>
      <c r="Q377">
        <f t="shared" si="970"/>
        <v>1724854.8980327856</v>
      </c>
      <c r="R377">
        <f t="shared" si="971"/>
        <v>-42932443.668954343</v>
      </c>
      <c r="S377">
        <f t="shared" si="972"/>
        <v>-429.3244366895434</v>
      </c>
      <c r="T377">
        <f t="shared" si="973"/>
        <v>-0.4293244366895434</v>
      </c>
    </row>
    <row r="378" spans="1:20" x14ac:dyDescent="0.25">
      <c r="A378" s="5">
        <v>44215</v>
      </c>
      <c r="B378">
        <v>1.1798999999999999</v>
      </c>
      <c r="C378">
        <v>1.1819999999999999</v>
      </c>
      <c r="D378">
        <v>1.0900000000000001</v>
      </c>
      <c r="E378">
        <v>1.0932999999999999</v>
      </c>
      <c r="F378">
        <v>1875495.26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-0.92826086956522036</v>
      </c>
      <c r="Q378">
        <f t="shared" si="970"/>
        <v>-1740948.860913049</v>
      </c>
      <c r="R378">
        <f t="shared" si="971"/>
        <v>-44657298.566987127</v>
      </c>
      <c r="S378">
        <f t="shared" si="972"/>
        <v>-446.57298566987129</v>
      </c>
      <c r="T378">
        <f t="shared" si="973"/>
        <v>-0.4465729856698713</v>
      </c>
    </row>
    <row r="379" spans="1:20" x14ac:dyDescent="0.25">
      <c r="A379" s="5">
        <v>44214</v>
      </c>
      <c r="B379">
        <v>1.1105</v>
      </c>
      <c r="C379">
        <v>1.1815</v>
      </c>
      <c r="D379">
        <v>1.0218</v>
      </c>
      <c r="E379">
        <v>1.1809000000000001</v>
      </c>
      <c r="F379">
        <v>3562447.12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0.99248591108328199</v>
      </c>
      <c r="Q379">
        <f t="shared" si="970"/>
        <v>3535678.5755792139</v>
      </c>
      <c r="R379">
        <f t="shared" si="971"/>
        <v>-42916349.706074081</v>
      </c>
      <c r="S379">
        <f t="shared" si="972"/>
        <v>-429.16349706074084</v>
      </c>
      <c r="T379">
        <f t="shared" si="973"/>
        <v>-0.42916349706074086</v>
      </c>
    </row>
    <row r="380" spans="1:20" x14ac:dyDescent="0.25">
      <c r="A380" s="5">
        <v>44213</v>
      </c>
      <c r="B380">
        <v>1.0436000000000001</v>
      </c>
      <c r="C380">
        <v>1.143</v>
      </c>
      <c r="D380">
        <v>0.98699999999999999</v>
      </c>
      <c r="E380">
        <v>1.1100000000000001</v>
      </c>
      <c r="F380">
        <v>2090720.66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0.57692307692307809</v>
      </c>
      <c r="Q380">
        <f t="shared" si="970"/>
        <v>1206184.9961538485</v>
      </c>
      <c r="R380">
        <f t="shared" si="971"/>
        <v>-46452028.281653292</v>
      </c>
      <c r="S380">
        <f t="shared" si="972"/>
        <v>-464.52028281653293</v>
      </c>
      <c r="T380">
        <f t="shared" si="973"/>
        <v>-0.4645202828165329</v>
      </c>
    </row>
    <row r="381" spans="1:20" x14ac:dyDescent="0.25">
      <c r="A381" s="5">
        <v>44212</v>
      </c>
      <c r="B381">
        <v>1.0082</v>
      </c>
      <c r="C381">
        <v>1.1052</v>
      </c>
      <c r="D381">
        <v>0.98640000000000005</v>
      </c>
      <c r="E381">
        <v>1.0437000000000001</v>
      </c>
      <c r="F381">
        <v>2554005.98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-3.5353535353534291E-2</v>
      </c>
      <c r="Q381">
        <f t="shared" si="970"/>
        <v>-90293.140707067985</v>
      </c>
      <c r="R381">
        <f t="shared" si="971"/>
        <v>-47658213.277807139</v>
      </c>
      <c r="S381">
        <f t="shared" si="972"/>
        <v>-476.58213277807141</v>
      </c>
      <c r="T381">
        <f t="shared" si="973"/>
        <v>-0.47658213277807143</v>
      </c>
    </row>
    <row r="382" spans="1:20" x14ac:dyDescent="0.25">
      <c r="A382" s="5">
        <v>44211</v>
      </c>
      <c r="B382">
        <v>0.999</v>
      </c>
      <c r="C382">
        <v>1.0225</v>
      </c>
      <c r="D382">
        <v>0.93400000000000005</v>
      </c>
      <c r="E382">
        <v>1.008</v>
      </c>
      <c r="F382">
        <v>2531534.98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0.67231638418079165</v>
      </c>
      <c r="Q382">
        <f t="shared" si="970"/>
        <v>1701992.4441807927</v>
      </c>
      <c r="R382">
        <f t="shared" si="971"/>
        <v>-47567920.137100071</v>
      </c>
      <c r="S382">
        <f t="shared" si="972"/>
        <v>-475.67920137100072</v>
      </c>
      <c r="T382">
        <f t="shared" si="973"/>
        <v>-0.47567920137100073</v>
      </c>
    </row>
    <row r="383" spans="1:20" x14ac:dyDescent="0.25">
      <c r="A383" s="5">
        <v>44210</v>
      </c>
      <c r="B383">
        <v>0.94699999999999995</v>
      </c>
      <c r="C383">
        <v>1.01</v>
      </c>
      <c r="D383">
        <v>0.92610000000000003</v>
      </c>
      <c r="E383">
        <v>0.999</v>
      </c>
      <c r="F383">
        <v>1835305.64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0.73778307508939178</v>
      </c>
      <c r="Q383">
        <f t="shared" si="970"/>
        <v>1354057.4388081043</v>
      </c>
      <c r="R383">
        <f t="shared" si="971"/>
        <v>-49269912.581280865</v>
      </c>
      <c r="S383">
        <f t="shared" si="972"/>
        <v>-492.69912581280863</v>
      </c>
      <c r="T383">
        <f t="shared" si="973"/>
        <v>-0.49269912581280861</v>
      </c>
    </row>
    <row r="384" spans="1:20" x14ac:dyDescent="0.25">
      <c r="A384" s="5">
        <v>44209</v>
      </c>
      <c r="B384">
        <v>0.88929999999999998</v>
      </c>
      <c r="C384">
        <v>0.96</v>
      </c>
      <c r="D384">
        <v>0.86519999999999997</v>
      </c>
      <c r="E384">
        <v>0.94730000000000003</v>
      </c>
      <c r="F384">
        <v>2409112.42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0.73206751054852459</v>
      </c>
      <c r="Q384">
        <f t="shared" si="970"/>
        <v>1763632.9319409316</v>
      </c>
      <c r="R384">
        <f t="shared" si="971"/>
        <v>-50623970.020088971</v>
      </c>
      <c r="S384">
        <f t="shared" si="972"/>
        <v>-506.23970020088973</v>
      </c>
      <c r="T384">
        <f t="shared" si="973"/>
        <v>-0.50623970020088971</v>
      </c>
    </row>
    <row r="385" spans="1:20" x14ac:dyDescent="0.25">
      <c r="A385" s="5">
        <v>44208</v>
      </c>
      <c r="B385">
        <v>0.86860000000000004</v>
      </c>
      <c r="C385">
        <v>0.90690000000000004</v>
      </c>
      <c r="D385">
        <v>0.83489999999999998</v>
      </c>
      <c r="E385">
        <v>0.88939999999999997</v>
      </c>
      <c r="F385">
        <v>4052494.92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0.5138888888888874</v>
      </c>
      <c r="Q385">
        <f t="shared" si="970"/>
        <v>2082532.1116666605</v>
      </c>
      <c r="R385">
        <f t="shared" si="971"/>
        <v>-52387602.952029899</v>
      </c>
      <c r="S385">
        <f t="shared" si="972"/>
        <v>-523.87602952029897</v>
      </c>
      <c r="T385">
        <f t="shared" si="973"/>
        <v>-0.52387602952029899</v>
      </c>
    </row>
    <row r="386" spans="1:20" x14ac:dyDescent="0.25">
      <c r="A386" s="5">
        <v>44207</v>
      </c>
      <c r="B386">
        <v>0.91400000000000003</v>
      </c>
      <c r="C386">
        <v>0.91639999999999999</v>
      </c>
      <c r="D386">
        <v>0.79300000000000004</v>
      </c>
      <c r="E386">
        <v>0.86899999999999999</v>
      </c>
      <c r="F386">
        <v>5756708.0899999999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0.231766612641815</v>
      </c>
      <c r="Q386">
        <f t="shared" si="970"/>
        <v>1334212.7339870327</v>
      </c>
      <c r="R386">
        <f t="shared" si="971"/>
        <v>-54470135.063696556</v>
      </c>
      <c r="S386">
        <f t="shared" si="972"/>
        <v>-544.70135063696557</v>
      </c>
      <c r="T386">
        <f t="shared" si="973"/>
        <v>-0.54470135063696556</v>
      </c>
    </row>
    <row r="387" spans="1:20" x14ac:dyDescent="0.25">
      <c r="A387" s="5">
        <v>44206</v>
      </c>
      <c r="B387">
        <v>0.92090000000000005</v>
      </c>
      <c r="C387">
        <v>0.98499999999999999</v>
      </c>
      <c r="D387">
        <v>0.87</v>
      </c>
      <c r="E387">
        <v>0.9133</v>
      </c>
      <c r="F387">
        <v>5922695.0199999996</v>
      </c>
      <c r="G387">
        <v>0</v>
      </c>
      <c r="L387" t="s">
        <v>8</v>
      </c>
      <c r="M387" t="s">
        <v>7</v>
      </c>
      <c r="N387" t="s">
        <v>7</v>
      </c>
      <c r="P387">
        <f t="shared" si="969"/>
        <v>-0.2469565217391303</v>
      </c>
      <c r="Q387">
        <f t="shared" si="970"/>
        <v>-1462648.1614608685</v>
      </c>
      <c r="R387">
        <f t="shared" si="971"/>
        <v>-55804347.797683589</v>
      </c>
      <c r="S387">
        <f t="shared" si="972"/>
        <v>-558.0434779768359</v>
      </c>
      <c r="T387">
        <f t="shared" si="973"/>
        <v>-0.55804347797683596</v>
      </c>
    </row>
    <row r="388" spans="1:20" x14ac:dyDescent="0.25">
      <c r="A388" s="5">
        <v>44205</v>
      </c>
      <c r="B388">
        <v>0.90249999999999997</v>
      </c>
      <c r="C388">
        <v>0.95709999999999995</v>
      </c>
      <c r="D388">
        <v>0.87549999999999994</v>
      </c>
      <c r="E388">
        <v>0.92079999999999995</v>
      </c>
      <c r="F388">
        <v>4652917.32</v>
      </c>
      <c r="G388">
        <v>0</v>
      </c>
      <c r="L388" t="s">
        <v>8</v>
      </c>
      <c r="M388" t="s">
        <v>7</v>
      </c>
      <c r="N388" t="s">
        <v>7</v>
      </c>
      <c r="P388">
        <f t="shared" si="969"/>
        <v>0.11029411764705892</v>
      </c>
      <c r="Q388">
        <f t="shared" si="970"/>
        <v>513189.4102941181</v>
      </c>
      <c r="R388">
        <f t="shared" si="971"/>
        <v>-54341699.63622272</v>
      </c>
      <c r="S388">
        <f t="shared" si="972"/>
        <v>-543.41699636222722</v>
      </c>
      <c r="T388">
        <f t="shared" si="973"/>
        <v>-0.54341699636222718</v>
      </c>
    </row>
    <row r="389" spans="1:20" x14ac:dyDescent="0.25">
      <c r="A389" s="5">
        <v>44204</v>
      </c>
      <c r="B389">
        <v>0.90059999999999996</v>
      </c>
      <c r="C389">
        <v>0.91990000000000005</v>
      </c>
      <c r="D389">
        <v>0.84799999999999998</v>
      </c>
      <c r="E389">
        <v>0.90259999999999996</v>
      </c>
      <c r="F389">
        <v>5273795.7699999996</v>
      </c>
      <c r="G389">
        <v>0</v>
      </c>
      <c r="L389" t="s">
        <v>8</v>
      </c>
      <c r="M389" t="s">
        <v>7</v>
      </c>
      <c r="N389" t="s">
        <v>7</v>
      </c>
      <c r="P389">
        <f t="shared" si="969"/>
        <v>0.51877607788595059</v>
      </c>
      <c r="Q389">
        <f t="shared" si="970"/>
        <v>2735919.0851321165</v>
      </c>
      <c r="R389">
        <f t="shared" si="971"/>
        <v>-54854889.046516836</v>
      </c>
      <c r="S389">
        <f t="shared" si="972"/>
        <v>-548.54889046516837</v>
      </c>
      <c r="T389">
        <f t="shared" si="973"/>
        <v>-0.54854889046516841</v>
      </c>
    </row>
    <row r="390" spans="1:20" x14ac:dyDescent="0.25">
      <c r="A390" s="5">
        <v>44203</v>
      </c>
      <c r="B390">
        <v>0.9446</v>
      </c>
      <c r="C390">
        <v>0.97250000000000003</v>
      </c>
      <c r="D390">
        <v>0.83230000000000004</v>
      </c>
      <c r="E390">
        <v>0.90059999999999996</v>
      </c>
      <c r="F390">
        <v>11607424.449999999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-2.567760342368159E-2</v>
      </c>
      <c r="Q390">
        <f t="shared" ref="Q390:Q453" si="975">F390*P390</f>
        <v>-298050.84179744538</v>
      </c>
      <c r="R390">
        <f t="shared" ref="R390:R453" si="976">R391+Q390</f>
        <v>-57590808.13164895</v>
      </c>
      <c r="S390">
        <f t="shared" ref="S390:S453" si="977">R390/100000</f>
        <v>-575.90808131648953</v>
      </c>
      <c r="T390">
        <f t="shared" ref="T390:T453" si="978">S390/1000</f>
        <v>-0.57590808131648952</v>
      </c>
    </row>
    <row r="391" spans="1:20" x14ac:dyDescent="0.25">
      <c r="A391" s="5">
        <v>44202</v>
      </c>
      <c r="B391">
        <v>0.91800000000000004</v>
      </c>
      <c r="C391">
        <v>0.99970000000000003</v>
      </c>
      <c r="D391">
        <v>0.90239999999999998</v>
      </c>
      <c r="E391">
        <v>0.9446</v>
      </c>
      <c r="F391">
        <v>12613469.18</v>
      </c>
      <c r="G391">
        <v>0</v>
      </c>
      <c r="L391" t="s">
        <v>7</v>
      </c>
      <c r="M391" t="s">
        <v>7</v>
      </c>
      <c r="N391" t="s">
        <v>7</v>
      </c>
      <c r="P391">
        <f t="shared" si="974"/>
        <v>-0.13257965056526225</v>
      </c>
      <c r="Q391">
        <f t="shared" si="975"/>
        <v>-1672289.3363001049</v>
      </c>
      <c r="R391">
        <f t="shared" si="976"/>
        <v>-57292757.289851502</v>
      </c>
      <c r="S391">
        <f t="shared" si="977"/>
        <v>-572.927572898515</v>
      </c>
      <c r="T391">
        <f t="shared" si="978"/>
        <v>-0.57292757289851504</v>
      </c>
    </row>
    <row r="392" spans="1:20" x14ac:dyDescent="0.25">
      <c r="A392" s="5">
        <v>44201</v>
      </c>
      <c r="B392">
        <v>0.97860000000000003</v>
      </c>
      <c r="C392">
        <v>1.3011999999999999</v>
      </c>
      <c r="D392">
        <v>0.87919999999999998</v>
      </c>
      <c r="E392">
        <v>0.91779999999999995</v>
      </c>
      <c r="F392">
        <v>16460070.890000001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-0.81706161137440769</v>
      </c>
      <c r="Q392">
        <f t="shared" si="975"/>
        <v>-13448892.044720381</v>
      </c>
      <c r="R392">
        <f t="shared" si="976"/>
        <v>-55620467.953551397</v>
      </c>
      <c r="S392">
        <f t="shared" si="977"/>
        <v>-556.20467953551395</v>
      </c>
      <c r="T392">
        <f t="shared" si="978"/>
        <v>-0.556204679535514</v>
      </c>
    </row>
    <row r="393" spans="1:20" x14ac:dyDescent="0.25">
      <c r="A393" s="5">
        <v>44200</v>
      </c>
      <c r="B393">
        <v>0.92569999999999997</v>
      </c>
      <c r="C393">
        <v>1.0789</v>
      </c>
      <c r="D393">
        <v>0.87060000000000004</v>
      </c>
      <c r="E393">
        <v>0.97860000000000003</v>
      </c>
      <c r="F393">
        <v>5840350.6900000004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3.6965914546327618E-2</v>
      </c>
      <c r="Q393">
        <f t="shared" si="975"/>
        <v>215893.90452712556</v>
      </c>
      <c r="R393">
        <f t="shared" si="976"/>
        <v>-42171575.908831015</v>
      </c>
      <c r="S393">
        <f t="shared" si="977"/>
        <v>-421.71575908831016</v>
      </c>
      <c r="T393">
        <f t="shared" si="978"/>
        <v>-0.42171575908831016</v>
      </c>
    </row>
    <row r="394" spans="1:20" x14ac:dyDescent="0.25">
      <c r="A394" s="5">
        <v>44199</v>
      </c>
      <c r="B394">
        <v>0.87570000000000003</v>
      </c>
      <c r="C394">
        <v>0.93</v>
      </c>
      <c r="D394">
        <v>0.86319999999999997</v>
      </c>
      <c r="E394">
        <v>0.9254</v>
      </c>
      <c r="F394">
        <v>1930917.67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0.8622754491017951</v>
      </c>
      <c r="Q394">
        <f t="shared" si="975"/>
        <v>1664982.9010778416</v>
      </c>
      <c r="R394">
        <f t="shared" si="976"/>
        <v>-42387469.813358143</v>
      </c>
      <c r="S394">
        <f t="shared" si="977"/>
        <v>-423.87469813358143</v>
      </c>
      <c r="T394">
        <f t="shared" si="978"/>
        <v>-0.42387469813358142</v>
      </c>
    </row>
    <row r="395" spans="1:20" x14ac:dyDescent="0.25">
      <c r="A395" s="5">
        <v>44198</v>
      </c>
      <c r="B395">
        <v>0.86970000000000003</v>
      </c>
      <c r="C395">
        <v>0.92779999999999996</v>
      </c>
      <c r="D395">
        <v>0.84570000000000001</v>
      </c>
      <c r="E395">
        <v>0.87539999999999996</v>
      </c>
      <c r="F395">
        <v>1397798.8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-0.27649208282582299</v>
      </c>
      <c r="Q395">
        <f t="shared" si="975"/>
        <v>-386480.30158343603</v>
      </c>
      <c r="R395">
        <f t="shared" si="976"/>
        <v>-44052452.714435987</v>
      </c>
      <c r="S395">
        <f t="shared" si="977"/>
        <v>-440.52452714435987</v>
      </c>
      <c r="T395">
        <f t="shared" si="978"/>
        <v>-0.44052452714435986</v>
      </c>
    </row>
    <row r="396" spans="1:20" x14ac:dyDescent="0.25">
      <c r="A396" s="5">
        <v>44197</v>
      </c>
      <c r="B396">
        <v>0.84819999999999995</v>
      </c>
      <c r="C396">
        <v>0.90990000000000004</v>
      </c>
      <c r="D396">
        <v>0.83679999999999999</v>
      </c>
      <c r="E396">
        <v>0.86970000000000003</v>
      </c>
      <c r="F396">
        <v>1304225.6000000001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-9.9863201094390799E-2</v>
      </c>
      <c r="Q396">
        <f t="shared" si="975"/>
        <v>-130244.1433652525</v>
      </c>
      <c r="R396">
        <f t="shared" si="976"/>
        <v>-43665972.412852548</v>
      </c>
      <c r="S396">
        <f t="shared" si="977"/>
        <v>-436.65972412852545</v>
      </c>
      <c r="T396">
        <f t="shared" si="978"/>
        <v>-0.43665972412852544</v>
      </c>
    </row>
    <row r="397" spans="1:20" x14ac:dyDescent="0.25">
      <c r="A397" s="5">
        <v>44196</v>
      </c>
      <c r="B397">
        <v>0.84560000000000002</v>
      </c>
      <c r="C397">
        <v>0.86160000000000003</v>
      </c>
      <c r="D397">
        <v>0.8145</v>
      </c>
      <c r="E397">
        <v>0.84850000000000003</v>
      </c>
      <c r="F397">
        <v>2205934.5499999998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0.44373673036093453</v>
      </c>
      <c r="Q397">
        <f t="shared" si="975"/>
        <v>978854.18460721942</v>
      </c>
      <c r="R397">
        <f t="shared" si="976"/>
        <v>-43535728.269487299</v>
      </c>
      <c r="S397">
        <f t="shared" si="977"/>
        <v>-435.35728269487299</v>
      </c>
      <c r="T397">
        <f t="shared" si="978"/>
        <v>-0.435357282694873</v>
      </c>
    </row>
    <row r="398" spans="1:20" x14ac:dyDescent="0.25">
      <c r="A398" s="5">
        <v>44195</v>
      </c>
      <c r="B398">
        <v>0.82769999999999999</v>
      </c>
      <c r="C398">
        <v>0.8458</v>
      </c>
      <c r="D398">
        <v>0.79510000000000003</v>
      </c>
      <c r="E398">
        <v>0.84540000000000004</v>
      </c>
      <c r="F398">
        <v>4390969.92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0.98422090729783207</v>
      </c>
      <c r="Q398">
        <f t="shared" si="975"/>
        <v>4321684.398579889</v>
      </c>
      <c r="R398">
        <f t="shared" si="976"/>
        <v>-44514582.454094522</v>
      </c>
      <c r="S398">
        <f t="shared" si="977"/>
        <v>-445.14582454094523</v>
      </c>
      <c r="T398">
        <f t="shared" si="978"/>
        <v>-0.4451458245409452</v>
      </c>
    </row>
    <row r="399" spans="1:20" x14ac:dyDescent="0.25">
      <c r="A399" s="5">
        <v>44194</v>
      </c>
      <c r="B399">
        <v>0.82450000000000001</v>
      </c>
      <c r="C399">
        <v>0.86150000000000004</v>
      </c>
      <c r="D399">
        <v>0.8</v>
      </c>
      <c r="E399">
        <v>0.82779999999999998</v>
      </c>
      <c r="F399">
        <v>5208711.08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-9.5934959349595575E-2</v>
      </c>
      <c r="Q399">
        <f t="shared" si="975"/>
        <v>-499697.48572358809</v>
      </c>
      <c r="R399">
        <f t="shared" si="976"/>
        <v>-48836266.85267441</v>
      </c>
      <c r="S399">
        <f t="shared" si="977"/>
        <v>-488.36266852674407</v>
      </c>
      <c r="T399">
        <f t="shared" si="978"/>
        <v>-0.48836266852674409</v>
      </c>
    </row>
    <row r="400" spans="1:20" x14ac:dyDescent="0.25">
      <c r="A400" s="5">
        <v>44193</v>
      </c>
      <c r="B400">
        <v>0.80489999999999995</v>
      </c>
      <c r="C400">
        <v>0.85629999999999995</v>
      </c>
      <c r="D400">
        <v>0.8004</v>
      </c>
      <c r="E400">
        <v>0.82389999999999997</v>
      </c>
      <c r="F400">
        <v>4251024.38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-0.15921288014311319</v>
      </c>
      <c r="Q400">
        <f t="shared" si="975"/>
        <v>-676817.83509839198</v>
      </c>
      <c r="R400">
        <f t="shared" si="976"/>
        <v>-48336569.366950825</v>
      </c>
      <c r="S400">
        <f t="shared" si="977"/>
        <v>-483.36569366950823</v>
      </c>
      <c r="T400">
        <f t="shared" si="978"/>
        <v>-0.48336569366950821</v>
      </c>
    </row>
    <row r="401" spans="1:20" x14ac:dyDescent="0.25">
      <c r="A401" s="5">
        <v>44192</v>
      </c>
      <c r="B401">
        <v>0.80400000000000005</v>
      </c>
      <c r="C401">
        <v>0.85189999999999999</v>
      </c>
      <c r="D401">
        <v>0.78500000000000003</v>
      </c>
      <c r="E401">
        <v>0.80410000000000004</v>
      </c>
      <c r="F401">
        <v>4600136.01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-0.42899850523168859</v>
      </c>
      <c r="Q401">
        <f t="shared" si="975"/>
        <v>-1973451.4721524639</v>
      </c>
      <c r="R401">
        <f t="shared" si="976"/>
        <v>-47659751.531852432</v>
      </c>
      <c r="S401">
        <f t="shared" si="977"/>
        <v>-476.5975153185243</v>
      </c>
      <c r="T401">
        <f t="shared" si="978"/>
        <v>-0.47659751531852429</v>
      </c>
    </row>
    <row r="402" spans="1:20" x14ac:dyDescent="0.25">
      <c r="A402" s="5">
        <v>44191</v>
      </c>
      <c r="B402">
        <v>0.81759999999999999</v>
      </c>
      <c r="C402">
        <v>1.0760000000000001</v>
      </c>
      <c r="D402">
        <v>0.78</v>
      </c>
      <c r="E402">
        <v>0.80400000000000005</v>
      </c>
      <c r="F402">
        <v>10778150.66</v>
      </c>
      <c r="G402">
        <v>0</v>
      </c>
      <c r="L402" t="s">
        <v>8</v>
      </c>
      <c r="M402" t="s">
        <v>7</v>
      </c>
      <c r="N402" t="s">
        <v>7</v>
      </c>
      <c r="P402">
        <f t="shared" si="974"/>
        <v>-0.83783783783783772</v>
      </c>
      <c r="Q402">
        <f t="shared" si="975"/>
        <v>-9030342.4448648635</v>
      </c>
      <c r="R402">
        <f t="shared" si="976"/>
        <v>-45686300.059699968</v>
      </c>
      <c r="S402">
        <f t="shared" si="977"/>
        <v>-456.86300059699965</v>
      </c>
      <c r="T402">
        <f t="shared" si="978"/>
        <v>-0.45686300059699964</v>
      </c>
    </row>
    <row r="403" spans="1:20" x14ac:dyDescent="0.25">
      <c r="A403" s="5">
        <v>44190</v>
      </c>
      <c r="B403">
        <v>0.86550000000000005</v>
      </c>
      <c r="C403">
        <v>0.88380000000000003</v>
      </c>
      <c r="D403">
        <v>0.79469999999999996</v>
      </c>
      <c r="E403">
        <v>0.81920000000000004</v>
      </c>
      <c r="F403">
        <v>1585285.91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-0.45005611672278206</v>
      </c>
      <c r="Q403">
        <f t="shared" si="975"/>
        <v>-713467.62054994178</v>
      </c>
      <c r="R403">
        <f t="shared" si="976"/>
        <v>-36655957.614835106</v>
      </c>
      <c r="S403">
        <f t="shared" si="977"/>
        <v>-366.55957614835108</v>
      </c>
      <c r="T403">
        <f t="shared" si="978"/>
        <v>-0.36655957614835111</v>
      </c>
    </row>
    <row r="404" spans="1:20" x14ac:dyDescent="0.25">
      <c r="A404" s="5">
        <v>44189</v>
      </c>
      <c r="B404">
        <v>0.84040000000000004</v>
      </c>
      <c r="C404">
        <v>0.86860000000000004</v>
      </c>
      <c r="D404">
        <v>0.78510000000000002</v>
      </c>
      <c r="E404">
        <v>0.86570000000000003</v>
      </c>
      <c r="F404">
        <v>2148371.2999999998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0.93053892215568834</v>
      </c>
      <c r="Q404">
        <f t="shared" si="975"/>
        <v>1999143.1138922148</v>
      </c>
      <c r="R404">
        <f t="shared" si="976"/>
        <v>-35942489.994285166</v>
      </c>
      <c r="S404">
        <f t="shared" si="977"/>
        <v>-359.42489994285165</v>
      </c>
      <c r="T404">
        <f t="shared" si="978"/>
        <v>-0.35942489994285165</v>
      </c>
    </row>
    <row r="405" spans="1:20" x14ac:dyDescent="0.25">
      <c r="A405" s="5">
        <v>44188</v>
      </c>
      <c r="B405">
        <v>0.93120000000000003</v>
      </c>
      <c r="C405">
        <v>1.08</v>
      </c>
      <c r="D405">
        <v>0.81010000000000004</v>
      </c>
      <c r="E405">
        <v>0.84260000000000002</v>
      </c>
      <c r="F405">
        <v>8560384.7899999991</v>
      </c>
      <c r="G405">
        <v>0</v>
      </c>
      <c r="L405" t="s">
        <v>8</v>
      </c>
      <c r="M405" t="s">
        <v>8</v>
      </c>
      <c r="N405" t="s">
        <v>7</v>
      </c>
      <c r="P405">
        <f t="shared" si="974"/>
        <v>-0.75917006298629142</v>
      </c>
      <c r="Q405">
        <f t="shared" si="975"/>
        <v>-6498787.8602111908</v>
      </c>
      <c r="R405">
        <f t="shared" si="976"/>
        <v>-37941633.108177379</v>
      </c>
      <c r="S405">
        <f t="shared" si="977"/>
        <v>-379.41633108177376</v>
      </c>
      <c r="T405">
        <f t="shared" si="978"/>
        <v>-0.37941633108177375</v>
      </c>
    </row>
    <row r="406" spans="1:20" x14ac:dyDescent="0.25">
      <c r="A406" s="5">
        <v>44187</v>
      </c>
      <c r="B406">
        <v>0.86399999999999999</v>
      </c>
      <c r="C406">
        <v>0.94689999999999996</v>
      </c>
      <c r="D406">
        <v>0.83320000000000005</v>
      </c>
      <c r="E406">
        <v>0.93120000000000003</v>
      </c>
      <c r="F406">
        <v>2371283.34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0.72383465259454793</v>
      </c>
      <c r="Q406">
        <f t="shared" si="975"/>
        <v>1716417.0526121391</v>
      </c>
      <c r="R406">
        <f t="shared" si="976"/>
        <v>-31442845.247966185</v>
      </c>
      <c r="S406">
        <f t="shared" si="977"/>
        <v>-314.42845247966187</v>
      </c>
      <c r="T406">
        <f t="shared" si="978"/>
        <v>-0.31442845247966189</v>
      </c>
    </row>
    <row r="407" spans="1:20" x14ac:dyDescent="0.25">
      <c r="A407" s="5">
        <v>44186</v>
      </c>
      <c r="B407">
        <v>0.92749999999999999</v>
      </c>
      <c r="C407">
        <v>0.97270000000000001</v>
      </c>
      <c r="D407">
        <v>0.81010000000000004</v>
      </c>
      <c r="E407">
        <v>0.86399999999999999</v>
      </c>
      <c r="F407">
        <v>4088082.87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-0.33702337023370282</v>
      </c>
      <c r="Q407">
        <f t="shared" si="975"/>
        <v>-1377779.4666420685</v>
      </c>
      <c r="R407">
        <f t="shared" si="976"/>
        <v>-33159262.300578326</v>
      </c>
      <c r="S407">
        <f t="shared" si="977"/>
        <v>-331.59262300578325</v>
      </c>
      <c r="T407">
        <f t="shared" si="978"/>
        <v>-0.33159262300578324</v>
      </c>
    </row>
    <row r="408" spans="1:20" x14ac:dyDescent="0.25">
      <c r="A408" s="5">
        <v>44185</v>
      </c>
      <c r="B408">
        <v>1.0187999999999999</v>
      </c>
      <c r="C408">
        <v>1.02</v>
      </c>
      <c r="D408">
        <v>0.91410000000000002</v>
      </c>
      <c r="E408">
        <v>0.92749999999999999</v>
      </c>
      <c r="F408">
        <v>3121388.39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-0.74693106704438206</v>
      </c>
      <c r="Q408">
        <f t="shared" si="975"/>
        <v>-2331461.9608026459</v>
      </c>
      <c r="R408">
        <f t="shared" si="976"/>
        <v>-31781482.833936259</v>
      </c>
      <c r="S408">
        <f t="shared" si="977"/>
        <v>-317.81482833936258</v>
      </c>
      <c r="T408">
        <f t="shared" si="978"/>
        <v>-0.31781482833936259</v>
      </c>
    </row>
    <row r="409" spans="1:20" x14ac:dyDescent="0.25">
      <c r="A409" s="5">
        <v>44184</v>
      </c>
      <c r="B409">
        <v>1.0232000000000001</v>
      </c>
      <c r="C409">
        <v>1.194</v>
      </c>
      <c r="D409">
        <v>0.98299999999999998</v>
      </c>
      <c r="E409">
        <v>1.0187999999999999</v>
      </c>
      <c r="F409">
        <v>11554044.359999999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-0.66066350710900523</v>
      </c>
      <c r="Q409">
        <f t="shared" si="975"/>
        <v>-7633335.4681706214</v>
      </c>
      <c r="R409">
        <f t="shared" si="976"/>
        <v>-29450020.873133615</v>
      </c>
      <c r="S409">
        <f t="shared" si="977"/>
        <v>-294.50020873133616</v>
      </c>
      <c r="T409">
        <f t="shared" si="978"/>
        <v>-0.29450020873133614</v>
      </c>
    </row>
    <row r="410" spans="1:20" x14ac:dyDescent="0.25">
      <c r="A410" s="5">
        <v>44183</v>
      </c>
      <c r="B410">
        <v>1.0159</v>
      </c>
      <c r="C410">
        <v>1.1000000000000001</v>
      </c>
      <c r="D410">
        <v>0.98250000000000004</v>
      </c>
      <c r="E410">
        <v>1.0232000000000001</v>
      </c>
      <c r="F410">
        <v>4146425.29</v>
      </c>
      <c r="G410">
        <v>0</v>
      </c>
      <c r="L410" t="s">
        <v>8</v>
      </c>
      <c r="M410" t="s">
        <v>7</v>
      </c>
      <c r="N410" t="s">
        <v>7</v>
      </c>
      <c r="P410">
        <f t="shared" si="974"/>
        <v>-0.30723404255319059</v>
      </c>
      <c r="Q410">
        <f t="shared" si="975"/>
        <v>-1273923.0039914856</v>
      </c>
      <c r="R410">
        <f t="shared" si="976"/>
        <v>-21816685.404962994</v>
      </c>
      <c r="S410">
        <f t="shared" si="977"/>
        <v>-218.16685404962993</v>
      </c>
      <c r="T410">
        <f t="shared" si="978"/>
        <v>-0.21816685404962993</v>
      </c>
    </row>
    <row r="411" spans="1:20" x14ac:dyDescent="0.25">
      <c r="A411" s="5">
        <v>44182</v>
      </c>
      <c r="B411">
        <v>0.99219999999999997</v>
      </c>
      <c r="C411">
        <v>1.0523</v>
      </c>
      <c r="D411">
        <v>0.97450000000000003</v>
      </c>
      <c r="E411">
        <v>1.0145999999999999</v>
      </c>
      <c r="F411">
        <v>3982262.13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3.0848329048841223E-2</v>
      </c>
      <c r="Q411">
        <f t="shared" si="975"/>
        <v>122846.13254497932</v>
      </c>
      <c r="R411">
        <f t="shared" si="976"/>
        <v>-20542762.40097151</v>
      </c>
      <c r="S411">
        <f t="shared" si="977"/>
        <v>-205.42762400971509</v>
      </c>
      <c r="T411">
        <f t="shared" si="978"/>
        <v>-0.20542762400971509</v>
      </c>
    </row>
    <row r="412" spans="1:20" x14ac:dyDescent="0.25">
      <c r="A412" s="5">
        <v>44181</v>
      </c>
      <c r="B412">
        <v>0.97609999999999997</v>
      </c>
      <c r="C412">
        <v>1.0550999999999999</v>
      </c>
      <c r="D412">
        <v>0.96309999999999996</v>
      </c>
      <c r="E412">
        <v>0.99209999999999998</v>
      </c>
      <c r="F412">
        <v>3642489.11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-0.3695652173913036</v>
      </c>
      <c r="Q412">
        <f t="shared" si="975"/>
        <v>-1346137.2797826058</v>
      </c>
      <c r="R412">
        <f t="shared" si="976"/>
        <v>-20665608.533516489</v>
      </c>
      <c r="S412">
        <f t="shared" si="977"/>
        <v>-206.6560853351649</v>
      </c>
      <c r="T412">
        <f t="shared" si="978"/>
        <v>-0.20665608533516491</v>
      </c>
    </row>
    <row r="413" spans="1:20" x14ac:dyDescent="0.25">
      <c r="A413" s="5">
        <v>44180</v>
      </c>
      <c r="B413">
        <v>0.98119999999999996</v>
      </c>
      <c r="C413">
        <v>0.99609999999999999</v>
      </c>
      <c r="D413">
        <v>0.95809999999999995</v>
      </c>
      <c r="E413">
        <v>0.97609999999999997</v>
      </c>
      <c r="F413">
        <v>1568153.2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-5.2631578947368418E-2</v>
      </c>
      <c r="Q413">
        <f t="shared" si="975"/>
        <v>-82534.378947368416</v>
      </c>
      <c r="R413">
        <f t="shared" si="976"/>
        <v>-19319471.253733885</v>
      </c>
      <c r="S413">
        <f t="shared" si="977"/>
        <v>-193.19471253733886</v>
      </c>
      <c r="T413">
        <f t="shared" si="978"/>
        <v>-0.19319471253733886</v>
      </c>
    </row>
    <row r="414" spans="1:20" x14ac:dyDescent="0.25">
      <c r="A414" s="5">
        <v>44179</v>
      </c>
      <c r="B414">
        <v>0.9929</v>
      </c>
      <c r="C414">
        <v>0.99480000000000002</v>
      </c>
      <c r="D414">
        <v>0.95499999999999996</v>
      </c>
      <c r="E414">
        <v>0.98129999999999995</v>
      </c>
      <c r="F414">
        <v>1564551.04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0.32160804020100259</v>
      </c>
      <c r="Q414">
        <f t="shared" si="975"/>
        <v>503172.1937688404</v>
      </c>
      <c r="R414">
        <f t="shared" si="976"/>
        <v>-19236936.874786515</v>
      </c>
      <c r="S414">
        <f t="shared" si="977"/>
        <v>-192.36936874786514</v>
      </c>
      <c r="T414">
        <f t="shared" si="978"/>
        <v>-0.19236936874786514</v>
      </c>
    </row>
    <row r="415" spans="1:20" x14ac:dyDescent="0.25">
      <c r="A415" s="5">
        <v>44178</v>
      </c>
      <c r="B415">
        <v>0.99109999999999998</v>
      </c>
      <c r="C415">
        <v>1.0263</v>
      </c>
      <c r="D415">
        <v>0.95520000000000005</v>
      </c>
      <c r="E415">
        <v>0.99299999999999999</v>
      </c>
      <c r="F415">
        <v>2832691.43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6.3291139240505653E-2</v>
      </c>
      <c r="Q415">
        <f t="shared" si="975"/>
        <v>179284.26772151707</v>
      </c>
      <c r="R415">
        <f t="shared" si="976"/>
        <v>-19740109.068555355</v>
      </c>
      <c r="S415">
        <f t="shared" si="977"/>
        <v>-197.40109068555356</v>
      </c>
      <c r="T415">
        <f t="shared" si="978"/>
        <v>-0.19740109068555356</v>
      </c>
    </row>
    <row r="416" spans="1:20" x14ac:dyDescent="0.25">
      <c r="A416" s="5">
        <v>44177</v>
      </c>
      <c r="B416">
        <v>0.96379999999999999</v>
      </c>
      <c r="C416">
        <v>1.0266</v>
      </c>
      <c r="D416">
        <v>0.96060000000000001</v>
      </c>
      <c r="E416">
        <v>0.99109999999999998</v>
      </c>
      <c r="F416">
        <v>2599010.0499999998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-7.5757575757575885E-2</v>
      </c>
      <c r="Q416">
        <f t="shared" si="975"/>
        <v>-196894.70075757607</v>
      </c>
      <c r="R416">
        <f t="shared" si="976"/>
        <v>-19919393.336276874</v>
      </c>
      <c r="S416">
        <f t="shared" si="977"/>
        <v>-199.19393336276875</v>
      </c>
      <c r="T416">
        <f t="shared" si="978"/>
        <v>-0.19919393336276875</v>
      </c>
    </row>
    <row r="417" spans="1:20" x14ac:dyDescent="0.25">
      <c r="A417" s="5">
        <v>44176</v>
      </c>
      <c r="B417">
        <v>1.0838000000000001</v>
      </c>
      <c r="C417">
        <v>1.0863</v>
      </c>
      <c r="D417">
        <v>0.94869999999999999</v>
      </c>
      <c r="E417">
        <v>0.96379999999999999</v>
      </c>
      <c r="F417">
        <v>5138400.96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-0.78052325581395354</v>
      </c>
      <c r="Q417">
        <f t="shared" si="975"/>
        <v>-4010641.4469767446</v>
      </c>
      <c r="R417">
        <f t="shared" si="976"/>
        <v>-19722498.6355193</v>
      </c>
      <c r="S417">
        <f t="shared" si="977"/>
        <v>-197.22498635519301</v>
      </c>
      <c r="T417">
        <f t="shared" si="978"/>
        <v>-0.197224986355193</v>
      </c>
    </row>
    <row r="418" spans="1:20" x14ac:dyDescent="0.25">
      <c r="A418" s="5">
        <v>44175</v>
      </c>
      <c r="B418">
        <v>1.137</v>
      </c>
      <c r="C418">
        <v>1.1865000000000001</v>
      </c>
      <c r="D418">
        <v>1.0589999999999999</v>
      </c>
      <c r="E418">
        <v>1.0831999999999999</v>
      </c>
      <c r="F418">
        <v>4228151.6100000003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-0.62039215686274563</v>
      </c>
      <c r="Q418">
        <f t="shared" si="975"/>
        <v>-2623112.0968705905</v>
      </c>
      <c r="R418">
        <f t="shared" si="976"/>
        <v>-15711857.188542556</v>
      </c>
      <c r="S418">
        <f t="shared" si="977"/>
        <v>-157.11857188542555</v>
      </c>
      <c r="T418">
        <f t="shared" si="978"/>
        <v>-0.15711857188542555</v>
      </c>
    </row>
    <row r="419" spans="1:20" x14ac:dyDescent="0.25">
      <c r="A419" s="5">
        <v>44174</v>
      </c>
      <c r="B419">
        <v>1.167</v>
      </c>
      <c r="C419">
        <v>1.1995</v>
      </c>
      <c r="D419">
        <v>1.046</v>
      </c>
      <c r="E419">
        <v>1.1383000000000001</v>
      </c>
      <c r="F419">
        <v>6920928.0700000003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0.20260586319218329</v>
      </c>
      <c r="Q419">
        <f t="shared" si="975"/>
        <v>1402220.6057133612</v>
      </c>
      <c r="R419">
        <f t="shared" si="976"/>
        <v>-13088745.091671966</v>
      </c>
      <c r="S419">
        <f t="shared" si="977"/>
        <v>-130.88745091671967</v>
      </c>
      <c r="T419">
        <f t="shared" si="978"/>
        <v>-0.13088745091671966</v>
      </c>
    </row>
    <row r="420" spans="1:20" x14ac:dyDescent="0.25">
      <c r="A420" s="5">
        <v>44173</v>
      </c>
      <c r="B420">
        <v>1.081</v>
      </c>
      <c r="C420">
        <v>1.2952999999999999</v>
      </c>
      <c r="D420">
        <v>1.0303</v>
      </c>
      <c r="E420">
        <v>1.167</v>
      </c>
      <c r="F420">
        <v>8638069.9299999997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3.1698113207547882E-2</v>
      </c>
      <c r="Q420">
        <f t="shared" si="975"/>
        <v>273810.51853585517</v>
      </c>
      <c r="R420">
        <f t="shared" si="976"/>
        <v>-14490965.697385328</v>
      </c>
      <c r="S420">
        <f t="shared" si="977"/>
        <v>-144.90965697385329</v>
      </c>
      <c r="T420">
        <f t="shared" si="978"/>
        <v>-0.1449096569738533</v>
      </c>
    </row>
    <row r="421" spans="1:20" x14ac:dyDescent="0.25">
      <c r="A421" s="5">
        <v>44172</v>
      </c>
      <c r="B421">
        <v>1.028</v>
      </c>
      <c r="C421">
        <v>1.1203000000000001</v>
      </c>
      <c r="D421">
        <v>1.016</v>
      </c>
      <c r="E421">
        <v>1.0807</v>
      </c>
      <c r="F421">
        <v>2893582.1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0.24065196548417916</v>
      </c>
      <c r="Q421">
        <f t="shared" si="975"/>
        <v>696346.21965483867</v>
      </c>
      <c r="R421">
        <f t="shared" si="976"/>
        <v>-14764776.215921182</v>
      </c>
      <c r="S421">
        <f t="shared" si="977"/>
        <v>-147.64776215921182</v>
      </c>
      <c r="T421">
        <f t="shared" si="978"/>
        <v>-0.14764776215921183</v>
      </c>
    </row>
    <row r="422" spans="1:20" x14ac:dyDescent="0.25">
      <c r="A422" s="5">
        <v>44171</v>
      </c>
      <c r="B422">
        <v>1.0581</v>
      </c>
      <c r="C422">
        <v>1.0900000000000001</v>
      </c>
      <c r="D422">
        <v>1.012</v>
      </c>
      <c r="E422">
        <v>1.0271999999999999</v>
      </c>
      <c r="F422">
        <v>1981578.12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-0.61025641025641364</v>
      </c>
      <c r="Q422">
        <f t="shared" si="975"/>
        <v>-1209270.7501538529</v>
      </c>
      <c r="R422">
        <f t="shared" si="976"/>
        <v>-15461122.435576022</v>
      </c>
      <c r="S422">
        <f t="shared" si="977"/>
        <v>-154.61122435576021</v>
      </c>
      <c r="T422">
        <f t="shared" si="978"/>
        <v>-0.15461122435576022</v>
      </c>
    </row>
    <row r="423" spans="1:20" x14ac:dyDescent="0.25">
      <c r="A423" s="5">
        <v>44170</v>
      </c>
      <c r="B423">
        <v>1.0313000000000001</v>
      </c>
      <c r="C423">
        <v>1.1049</v>
      </c>
      <c r="D423">
        <v>1</v>
      </c>
      <c r="E423">
        <v>1.0581</v>
      </c>
      <c r="F423">
        <v>2799315.55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0.10772163965681686</v>
      </c>
      <c r="Q423">
        <f t="shared" si="975"/>
        <v>301546.86096282408</v>
      </c>
      <c r="R423">
        <f t="shared" si="976"/>
        <v>-14251851.685422169</v>
      </c>
      <c r="S423">
        <f t="shared" si="977"/>
        <v>-142.5185168542217</v>
      </c>
      <c r="T423">
        <f t="shared" si="978"/>
        <v>-0.14251851685422171</v>
      </c>
    </row>
    <row r="424" spans="1:20" x14ac:dyDescent="0.25">
      <c r="A424" s="5">
        <v>44169</v>
      </c>
      <c r="B424">
        <v>1.2465999999999999</v>
      </c>
      <c r="C424">
        <v>1.3052999999999999</v>
      </c>
      <c r="D424">
        <v>1.0121</v>
      </c>
      <c r="E424">
        <v>1.0329999999999999</v>
      </c>
      <c r="F424">
        <v>5039249.97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-0.85743519781719013</v>
      </c>
      <c r="Q424">
        <f t="shared" si="975"/>
        <v>-4320830.294877219</v>
      </c>
      <c r="R424">
        <f t="shared" si="976"/>
        <v>-14553398.546384994</v>
      </c>
      <c r="S424">
        <f t="shared" si="977"/>
        <v>-145.53398546384994</v>
      </c>
      <c r="T424">
        <f t="shared" si="978"/>
        <v>-0.14553398546384994</v>
      </c>
    </row>
    <row r="425" spans="1:20" x14ac:dyDescent="0.25">
      <c r="A425" s="5">
        <v>44168</v>
      </c>
      <c r="B425">
        <v>1.2350000000000001</v>
      </c>
      <c r="C425">
        <v>1.3599000000000001</v>
      </c>
      <c r="D425">
        <v>1.2016</v>
      </c>
      <c r="E425">
        <v>1.2470000000000001</v>
      </c>
      <c r="F425">
        <v>5026739.74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-0.42640555906506539</v>
      </c>
      <c r="Q425">
        <f t="shared" si="975"/>
        <v>-2143429.7691092817</v>
      </c>
      <c r="R425">
        <f t="shared" si="976"/>
        <v>-10232568.251507774</v>
      </c>
      <c r="S425">
        <f t="shared" si="977"/>
        <v>-102.32568251507774</v>
      </c>
      <c r="T425">
        <f t="shared" si="978"/>
        <v>-0.10232568251507775</v>
      </c>
    </row>
    <row r="426" spans="1:20" x14ac:dyDescent="0.25">
      <c r="A426" s="5">
        <v>44167</v>
      </c>
      <c r="B426">
        <v>1.1839999999999999</v>
      </c>
      <c r="C426">
        <v>1.31</v>
      </c>
      <c r="D426">
        <v>1.157</v>
      </c>
      <c r="E426">
        <v>1.2362</v>
      </c>
      <c r="F426">
        <v>4454303.3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3.5294117647057831E-2</v>
      </c>
      <c r="Q426">
        <f t="shared" si="975"/>
        <v>157210.70470587793</v>
      </c>
      <c r="R426">
        <f t="shared" si="976"/>
        <v>-8089138.4823984914</v>
      </c>
      <c r="S426">
        <f t="shared" si="977"/>
        <v>-80.891384823984907</v>
      </c>
      <c r="T426">
        <f t="shared" si="978"/>
        <v>-8.0891384823984905E-2</v>
      </c>
    </row>
    <row r="427" spans="1:20" x14ac:dyDescent="0.25">
      <c r="A427" s="5">
        <v>44166</v>
      </c>
      <c r="B427">
        <v>1.1361000000000001</v>
      </c>
      <c r="C427">
        <v>1.2874000000000001</v>
      </c>
      <c r="D427">
        <v>1.07</v>
      </c>
      <c r="E427">
        <v>1.1812</v>
      </c>
      <c r="F427">
        <v>4296140.26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2.2999080036798035E-2</v>
      </c>
      <c r="Q427">
        <f t="shared" si="975"/>
        <v>98807.273689050315</v>
      </c>
      <c r="R427">
        <f t="shared" si="976"/>
        <v>-8246349.1871043695</v>
      </c>
      <c r="S427">
        <f t="shared" si="977"/>
        <v>-82.463491871043701</v>
      </c>
      <c r="T427">
        <f t="shared" si="978"/>
        <v>-8.2463491871043695E-2</v>
      </c>
    </row>
    <row r="428" spans="1:20" x14ac:dyDescent="0.25">
      <c r="A428" s="5">
        <v>44165</v>
      </c>
      <c r="B428">
        <v>1.1871</v>
      </c>
      <c r="C428">
        <v>1.1977</v>
      </c>
      <c r="D428">
        <v>1.0964</v>
      </c>
      <c r="E428">
        <v>1.1359999999999999</v>
      </c>
      <c r="F428">
        <v>1605006.58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-0.21816386969398069</v>
      </c>
      <c r="Q428">
        <f t="shared" si="975"/>
        <v>-350154.44637710159</v>
      </c>
      <c r="R428">
        <f t="shared" si="976"/>
        <v>-8345156.4607934197</v>
      </c>
      <c r="S428">
        <f t="shared" si="977"/>
        <v>-83.451564607934202</v>
      </c>
      <c r="T428">
        <f t="shared" si="978"/>
        <v>-8.3451564607934209E-2</v>
      </c>
    </row>
    <row r="429" spans="1:20" x14ac:dyDescent="0.25">
      <c r="A429" s="5">
        <v>44164</v>
      </c>
      <c r="B429">
        <v>1.0247999999999999</v>
      </c>
      <c r="C429">
        <v>1.19</v>
      </c>
      <c r="D429">
        <v>1.0109999999999999</v>
      </c>
      <c r="E429">
        <v>1.1870000000000001</v>
      </c>
      <c r="F429">
        <v>1366228.35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0.96648044692737556</v>
      </c>
      <c r="Q429">
        <f t="shared" si="975"/>
        <v>1320432.9863128511</v>
      </c>
      <c r="R429">
        <f t="shared" si="976"/>
        <v>-7995002.0144163184</v>
      </c>
      <c r="S429">
        <f t="shared" si="977"/>
        <v>-79.95002014416319</v>
      </c>
      <c r="T429">
        <f t="shared" si="978"/>
        <v>-7.9950020144163192E-2</v>
      </c>
    </row>
    <row r="430" spans="1:20" x14ac:dyDescent="0.25">
      <c r="A430" s="5">
        <v>44163</v>
      </c>
      <c r="B430">
        <v>1.0047999999999999</v>
      </c>
      <c r="C430">
        <v>1.0949</v>
      </c>
      <c r="D430">
        <v>0.99760000000000004</v>
      </c>
      <c r="E430">
        <v>1.0247999999999999</v>
      </c>
      <c r="F430">
        <v>1959681.52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-0.44090441932168739</v>
      </c>
      <c r="Q430">
        <f t="shared" si="975"/>
        <v>-864032.24263104168</v>
      </c>
      <c r="R430">
        <f t="shared" si="976"/>
        <v>-9315435.0007291697</v>
      </c>
      <c r="S430">
        <f t="shared" si="977"/>
        <v>-93.154350007291697</v>
      </c>
      <c r="T430">
        <f t="shared" si="978"/>
        <v>-9.3154350007291692E-2</v>
      </c>
    </row>
    <row r="431" spans="1:20" x14ac:dyDescent="0.25">
      <c r="A431" s="5">
        <v>44162</v>
      </c>
      <c r="B431">
        <v>1.0562</v>
      </c>
      <c r="C431">
        <v>1.0888</v>
      </c>
      <c r="D431">
        <v>0.9718</v>
      </c>
      <c r="E431">
        <v>1.0047999999999999</v>
      </c>
      <c r="F431">
        <v>1873342.86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-0.43589743589743724</v>
      </c>
      <c r="Q431">
        <f t="shared" si="975"/>
        <v>-816585.34923077177</v>
      </c>
      <c r="R431">
        <f t="shared" si="976"/>
        <v>-8451402.7580981273</v>
      </c>
      <c r="S431">
        <f t="shared" si="977"/>
        <v>-84.514027580981278</v>
      </c>
      <c r="T431">
        <f t="shared" si="978"/>
        <v>-8.4514027580981282E-2</v>
      </c>
    </row>
    <row r="432" spans="1:20" x14ac:dyDescent="0.25">
      <c r="A432" s="5">
        <v>44161</v>
      </c>
      <c r="B432">
        <v>1.1297999999999999</v>
      </c>
      <c r="C432">
        <v>1.1498999999999999</v>
      </c>
      <c r="D432">
        <v>0.9</v>
      </c>
      <c r="E432">
        <v>1.0503</v>
      </c>
      <c r="F432">
        <v>2612807.64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0.20288115246098479</v>
      </c>
      <c r="Q432">
        <f t="shared" si="975"/>
        <v>530089.42516206589</v>
      </c>
      <c r="R432">
        <f t="shared" si="976"/>
        <v>-7634817.4088673554</v>
      </c>
      <c r="S432">
        <f t="shared" si="977"/>
        <v>-76.348174088673559</v>
      </c>
      <c r="T432">
        <f t="shared" si="978"/>
        <v>-7.6348174088673559E-2</v>
      </c>
    </row>
    <row r="433" spans="1:20" x14ac:dyDescent="0.25">
      <c r="A433" s="5">
        <v>44160</v>
      </c>
      <c r="B433">
        <v>1.1261000000000001</v>
      </c>
      <c r="C433">
        <v>1.1774</v>
      </c>
      <c r="D433">
        <v>1.0931999999999999</v>
      </c>
      <c r="E433">
        <v>1.1296999999999999</v>
      </c>
      <c r="F433">
        <v>2508414.79</v>
      </c>
      <c r="G433">
        <v>0</v>
      </c>
      <c r="L433" t="s">
        <v>8</v>
      </c>
      <c r="M433" t="s">
        <v>7</v>
      </c>
      <c r="N433" t="s">
        <v>8</v>
      </c>
      <c r="P433">
        <f t="shared" si="974"/>
        <v>-0.13301662707838588</v>
      </c>
      <c r="Q433">
        <f t="shared" si="975"/>
        <v>-333660.87467933766</v>
      </c>
      <c r="R433">
        <f t="shared" si="976"/>
        <v>-8164906.8340294212</v>
      </c>
      <c r="S433">
        <f t="shared" si="977"/>
        <v>-81.649068340294207</v>
      </c>
      <c r="T433">
        <f t="shared" si="978"/>
        <v>-8.1649068340294201E-2</v>
      </c>
    </row>
    <row r="434" spans="1:20" x14ac:dyDescent="0.25">
      <c r="A434" s="5">
        <v>44159</v>
      </c>
      <c r="B434">
        <v>1.1946000000000001</v>
      </c>
      <c r="C434">
        <v>1.2298</v>
      </c>
      <c r="D434">
        <v>1.0465</v>
      </c>
      <c r="E434">
        <v>1.1272</v>
      </c>
      <c r="F434">
        <v>3229453.77</v>
      </c>
      <c r="G434">
        <v>0</v>
      </c>
      <c r="L434" t="s">
        <v>7</v>
      </c>
      <c r="M434" t="s">
        <v>7</v>
      </c>
      <c r="N434" t="s">
        <v>8</v>
      </c>
      <c r="P434">
        <f t="shared" si="974"/>
        <v>-0.11947626841243877</v>
      </c>
      <c r="Q434">
        <f t="shared" si="975"/>
        <v>-385843.08545008232</v>
      </c>
      <c r="R434">
        <f t="shared" si="976"/>
        <v>-7831245.959350084</v>
      </c>
      <c r="S434">
        <f t="shared" si="977"/>
        <v>-78.312459593500833</v>
      </c>
      <c r="T434">
        <f t="shared" si="978"/>
        <v>-7.8312459593500833E-2</v>
      </c>
    </row>
    <row r="435" spans="1:20" x14ac:dyDescent="0.25">
      <c r="A435" s="5">
        <v>44158</v>
      </c>
      <c r="B435">
        <v>1.1664000000000001</v>
      </c>
      <c r="C435">
        <v>1.2599</v>
      </c>
      <c r="D435">
        <v>1.1358999999999999</v>
      </c>
      <c r="E435">
        <v>1.1938</v>
      </c>
      <c r="F435">
        <v>3263898.76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-6.6129032258064338E-2</v>
      </c>
      <c r="Q435">
        <f t="shared" si="975"/>
        <v>-215838.46638709618</v>
      </c>
      <c r="R435">
        <f t="shared" si="976"/>
        <v>-7445402.8739000019</v>
      </c>
      <c r="S435">
        <f t="shared" si="977"/>
        <v>-74.454028739000023</v>
      </c>
      <c r="T435">
        <f t="shared" si="978"/>
        <v>-7.4454028739000019E-2</v>
      </c>
    </row>
    <row r="436" spans="1:20" x14ac:dyDescent="0.25">
      <c r="A436" s="5">
        <v>44157</v>
      </c>
      <c r="B436">
        <v>1.3620000000000001</v>
      </c>
      <c r="C436">
        <v>1.4</v>
      </c>
      <c r="D436">
        <v>1.0884</v>
      </c>
      <c r="E436">
        <v>1.1664000000000001</v>
      </c>
      <c r="F436">
        <v>3666131.87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-0.49935815147625096</v>
      </c>
      <c r="Q436">
        <f t="shared" si="975"/>
        <v>-1830712.8336713712</v>
      </c>
      <c r="R436">
        <f t="shared" si="976"/>
        <v>-7229564.407512906</v>
      </c>
      <c r="S436">
        <f t="shared" si="977"/>
        <v>-72.295644075129061</v>
      </c>
      <c r="T436">
        <f t="shared" si="978"/>
        <v>-7.2295644075129062E-2</v>
      </c>
    </row>
    <row r="437" spans="1:20" x14ac:dyDescent="0.25">
      <c r="A437" s="5">
        <v>44156</v>
      </c>
      <c r="B437">
        <v>1.3577999999999999</v>
      </c>
      <c r="C437">
        <v>1.4610000000000001</v>
      </c>
      <c r="D437">
        <v>1.2271000000000001</v>
      </c>
      <c r="E437">
        <v>1.3594999999999999</v>
      </c>
      <c r="F437">
        <v>5063130.3099999996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0.13210773834972084</v>
      </c>
      <c r="Q437">
        <f t="shared" si="975"/>
        <v>668878.69422402093</v>
      </c>
      <c r="R437">
        <f t="shared" si="976"/>
        <v>-5398851.5738415346</v>
      </c>
      <c r="S437">
        <f t="shared" si="977"/>
        <v>-53.988515738415344</v>
      </c>
      <c r="T437">
        <f t="shared" si="978"/>
        <v>-5.3988515738415344E-2</v>
      </c>
    </row>
    <row r="438" spans="1:20" x14ac:dyDescent="0.25">
      <c r="A438" s="5">
        <v>44155</v>
      </c>
      <c r="B438">
        <v>1.159</v>
      </c>
      <c r="C438">
        <v>1.4198999999999999</v>
      </c>
      <c r="D438">
        <v>1.1243000000000001</v>
      </c>
      <c r="E438">
        <v>1.3577999999999999</v>
      </c>
      <c r="F438">
        <v>5594292.9699999997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0.5798376184032471</v>
      </c>
      <c r="Q438">
        <f t="shared" si="975"/>
        <v>3243781.5123748276</v>
      </c>
      <c r="R438">
        <f t="shared" si="976"/>
        <v>-6067730.268065555</v>
      </c>
      <c r="S438">
        <f t="shared" si="977"/>
        <v>-60.677302680655551</v>
      </c>
      <c r="T438">
        <f t="shared" si="978"/>
        <v>-6.0677302680655548E-2</v>
      </c>
    </row>
    <row r="439" spans="1:20" x14ac:dyDescent="0.25">
      <c r="A439" s="5">
        <v>44154</v>
      </c>
      <c r="B439">
        <v>1.147</v>
      </c>
      <c r="C439">
        <v>1.3246</v>
      </c>
      <c r="D439">
        <v>1.113</v>
      </c>
      <c r="E439">
        <v>1.1592</v>
      </c>
      <c r="F439">
        <v>5736334.3300000001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-0.56332703213610569</v>
      </c>
      <c r="Q439">
        <f t="shared" si="975"/>
        <v>-3231432.1934593562</v>
      </c>
      <c r="R439">
        <f t="shared" si="976"/>
        <v>-9311511.7804403827</v>
      </c>
      <c r="S439">
        <f t="shared" si="977"/>
        <v>-93.115117804403823</v>
      </c>
      <c r="T439">
        <f t="shared" si="978"/>
        <v>-9.3115117804403819E-2</v>
      </c>
    </row>
    <row r="440" spans="1:20" x14ac:dyDescent="0.25">
      <c r="A440" s="5">
        <v>44153</v>
      </c>
      <c r="B440">
        <v>1.1681999999999999</v>
      </c>
      <c r="C440">
        <v>1.1802999999999999</v>
      </c>
      <c r="D440">
        <v>0.99439999999999995</v>
      </c>
      <c r="E440">
        <v>1.147</v>
      </c>
      <c r="F440">
        <v>4914606.26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0.64174287251210438</v>
      </c>
      <c r="Q440">
        <f t="shared" si="975"/>
        <v>3153913.53855837</v>
      </c>
      <c r="R440">
        <f t="shared" si="976"/>
        <v>-6080079.5869810265</v>
      </c>
      <c r="S440">
        <f t="shared" si="977"/>
        <v>-60.800795869810266</v>
      </c>
      <c r="T440">
        <f t="shared" si="978"/>
        <v>-6.0800795869810263E-2</v>
      </c>
    </row>
    <row r="441" spans="1:20" x14ac:dyDescent="0.25">
      <c r="A441" s="5">
        <v>44152</v>
      </c>
      <c r="B441">
        <v>1.2251000000000001</v>
      </c>
      <c r="C441">
        <v>1.27</v>
      </c>
      <c r="D441">
        <v>1.083</v>
      </c>
      <c r="E441">
        <v>1.1682999999999999</v>
      </c>
      <c r="F441">
        <v>4662941.1100000003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-8.7700534759359294E-2</v>
      </c>
      <c r="Q441">
        <f t="shared" si="975"/>
        <v>-408942.42889840045</v>
      </c>
      <c r="R441">
        <f t="shared" si="976"/>
        <v>-9233993.125539396</v>
      </c>
      <c r="S441">
        <f t="shared" si="977"/>
        <v>-92.339931255393964</v>
      </c>
      <c r="T441">
        <f t="shared" si="978"/>
        <v>-9.233993125539397E-2</v>
      </c>
    </row>
    <row r="442" spans="1:20" x14ac:dyDescent="0.25">
      <c r="A442" s="5">
        <v>44151</v>
      </c>
      <c r="B442">
        <v>1.212</v>
      </c>
      <c r="C442">
        <v>1.3499000000000001</v>
      </c>
      <c r="D442">
        <v>1.1227</v>
      </c>
      <c r="E442">
        <v>1.2224999999999999</v>
      </c>
      <c r="F442">
        <v>6722612.6200000001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-0.12147887323943786</v>
      </c>
      <c r="Q442">
        <f t="shared" si="975"/>
        <v>-816655.4063028252</v>
      </c>
      <c r="R442">
        <f t="shared" si="976"/>
        <v>-8825050.6966409963</v>
      </c>
      <c r="S442">
        <f t="shared" si="977"/>
        <v>-88.250506966409958</v>
      </c>
      <c r="T442">
        <f t="shared" si="978"/>
        <v>-8.8250506966409958E-2</v>
      </c>
    </row>
    <row r="443" spans="1:20" x14ac:dyDescent="0.25">
      <c r="A443" s="5">
        <v>44150</v>
      </c>
      <c r="B443">
        <v>1.0463</v>
      </c>
      <c r="C443">
        <v>1.2985</v>
      </c>
      <c r="D443">
        <v>1.0063</v>
      </c>
      <c r="E443">
        <v>1.2116</v>
      </c>
      <c r="F443">
        <v>3681184.76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0.40520191649555121</v>
      </c>
      <c r="Q443">
        <f t="shared" si="975"/>
        <v>1491623.1197262157</v>
      </c>
      <c r="R443">
        <f t="shared" si="976"/>
        <v>-8008395.2903381707</v>
      </c>
      <c r="S443">
        <f t="shared" si="977"/>
        <v>-80.0839529033817</v>
      </c>
      <c r="T443">
        <f t="shared" si="978"/>
        <v>-8.0083952903381703E-2</v>
      </c>
    </row>
    <row r="444" spans="1:20" x14ac:dyDescent="0.25">
      <c r="A444" s="5">
        <v>44149</v>
      </c>
      <c r="B444">
        <v>1.0405</v>
      </c>
      <c r="C444">
        <v>1.0797000000000001</v>
      </c>
      <c r="D444">
        <v>0.94330000000000003</v>
      </c>
      <c r="E444">
        <v>1.0487</v>
      </c>
      <c r="F444">
        <v>3691506.23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0.54545454545454364</v>
      </c>
      <c r="Q444">
        <f t="shared" si="975"/>
        <v>2013548.852727266</v>
      </c>
      <c r="R444">
        <f t="shared" si="976"/>
        <v>-9500018.4100643862</v>
      </c>
      <c r="S444">
        <f t="shared" si="977"/>
        <v>-95.000184100643864</v>
      </c>
      <c r="T444">
        <f t="shared" si="978"/>
        <v>-9.500018410064387E-2</v>
      </c>
    </row>
    <row r="445" spans="1:20" x14ac:dyDescent="0.25">
      <c r="A445" s="5">
        <v>44148</v>
      </c>
      <c r="B445">
        <v>0.92269999999999996</v>
      </c>
      <c r="C445">
        <v>1.0430999999999999</v>
      </c>
      <c r="D445">
        <v>0.91900000000000004</v>
      </c>
      <c r="E445">
        <v>1.0417000000000001</v>
      </c>
      <c r="F445">
        <v>2320871.14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0.97743755036261326</v>
      </c>
      <c r="Q445">
        <f t="shared" si="975"/>
        <v>2268506.6017888859</v>
      </c>
      <c r="R445">
        <f t="shared" si="976"/>
        <v>-11513567.262791652</v>
      </c>
      <c r="S445">
        <f t="shared" si="977"/>
        <v>-115.13567262791652</v>
      </c>
      <c r="T445">
        <f t="shared" si="978"/>
        <v>-0.11513567262791652</v>
      </c>
    </row>
    <row r="446" spans="1:20" x14ac:dyDescent="0.25">
      <c r="A446" s="5">
        <v>44147</v>
      </c>
      <c r="B446">
        <v>0.90190000000000003</v>
      </c>
      <c r="C446">
        <v>0.98</v>
      </c>
      <c r="D446">
        <v>0.88100000000000001</v>
      </c>
      <c r="E446">
        <v>0.92459999999999998</v>
      </c>
      <c r="F446">
        <v>1297966.2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-0.11919191919191954</v>
      </c>
      <c r="Q446">
        <f t="shared" si="975"/>
        <v>-154707.08242424286</v>
      </c>
      <c r="R446">
        <f t="shared" si="976"/>
        <v>-13782073.864580538</v>
      </c>
      <c r="S446">
        <f t="shared" si="977"/>
        <v>-137.82073864580539</v>
      </c>
      <c r="T446">
        <f t="shared" si="978"/>
        <v>-0.13782073864580538</v>
      </c>
    </row>
    <row r="447" spans="1:20" x14ac:dyDescent="0.25">
      <c r="A447" s="5">
        <v>44146</v>
      </c>
      <c r="B447">
        <v>0.92689999999999995</v>
      </c>
      <c r="C447">
        <v>0.9496</v>
      </c>
      <c r="D447">
        <v>0.88180000000000003</v>
      </c>
      <c r="E447">
        <v>0.90200000000000002</v>
      </c>
      <c r="F447">
        <v>1106026.92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-0.40412979351032435</v>
      </c>
      <c r="Q447">
        <f t="shared" si="975"/>
        <v>-446978.43079646002</v>
      </c>
      <c r="R447">
        <f t="shared" si="976"/>
        <v>-13627366.782156296</v>
      </c>
      <c r="S447">
        <f t="shared" si="977"/>
        <v>-136.27366782156295</v>
      </c>
      <c r="T447">
        <f t="shared" si="978"/>
        <v>-0.13627366782156294</v>
      </c>
    </row>
    <row r="448" spans="1:20" x14ac:dyDescent="0.25">
      <c r="A448" s="5">
        <v>44145</v>
      </c>
      <c r="B448">
        <v>0.89649999999999996</v>
      </c>
      <c r="C448">
        <v>0.94920000000000004</v>
      </c>
      <c r="D448">
        <v>0.87</v>
      </c>
      <c r="E448">
        <v>0.92689999999999995</v>
      </c>
      <c r="F448">
        <v>2903930.21</v>
      </c>
      <c r="G448">
        <v>0</v>
      </c>
      <c r="L448" t="s">
        <v>7</v>
      </c>
      <c r="M448" t="s">
        <v>8</v>
      </c>
      <c r="N448" t="s">
        <v>7</v>
      </c>
      <c r="P448">
        <f t="shared" si="974"/>
        <v>0.43686868686868474</v>
      </c>
      <c r="Q448">
        <f t="shared" si="975"/>
        <v>1268636.177601004</v>
      </c>
      <c r="R448">
        <f t="shared" si="976"/>
        <v>-13180388.351359837</v>
      </c>
      <c r="S448">
        <f t="shared" si="977"/>
        <v>-131.80388351359838</v>
      </c>
      <c r="T448">
        <f t="shared" si="978"/>
        <v>-0.13180388351359837</v>
      </c>
    </row>
    <row r="449" spans="1:20" x14ac:dyDescent="0.25">
      <c r="A449" s="5">
        <v>44144</v>
      </c>
      <c r="B449">
        <v>0.83530000000000004</v>
      </c>
      <c r="C449">
        <v>0.99399999999999999</v>
      </c>
      <c r="D449">
        <v>0.78800000000000003</v>
      </c>
      <c r="E449">
        <v>0.89590000000000003</v>
      </c>
      <c r="F449">
        <v>4242409.25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4.7572815533980739E-2</v>
      </c>
      <c r="Q449">
        <f t="shared" si="975"/>
        <v>201823.35266990357</v>
      </c>
      <c r="R449">
        <f t="shared" si="976"/>
        <v>-14449024.528960841</v>
      </c>
      <c r="S449">
        <f t="shared" si="977"/>
        <v>-144.4902452896084</v>
      </c>
      <c r="T449">
        <f t="shared" si="978"/>
        <v>-0.14449024528960838</v>
      </c>
    </row>
    <row r="450" spans="1:20" x14ac:dyDescent="0.25">
      <c r="A450" s="5">
        <v>44143</v>
      </c>
      <c r="B450">
        <v>0.7893</v>
      </c>
      <c r="C450">
        <v>0.89670000000000005</v>
      </c>
      <c r="D450">
        <v>0.76119999999999999</v>
      </c>
      <c r="E450">
        <v>0.83579999999999999</v>
      </c>
      <c r="F450">
        <v>4538974.9000000004</v>
      </c>
      <c r="G450">
        <v>0</v>
      </c>
      <c r="L450" t="s">
        <v>8</v>
      </c>
      <c r="M450" t="s">
        <v>8</v>
      </c>
      <c r="N450" t="s">
        <v>7</v>
      </c>
      <c r="P450">
        <f t="shared" si="974"/>
        <v>0.10110701107011016</v>
      </c>
      <c r="Q450">
        <f t="shared" si="975"/>
        <v>458922.18546125223</v>
      </c>
      <c r="R450">
        <f t="shared" si="976"/>
        <v>-14650847.881630745</v>
      </c>
      <c r="S450">
        <f t="shared" si="977"/>
        <v>-146.50847881630744</v>
      </c>
      <c r="T450">
        <f t="shared" si="978"/>
        <v>-0.14650847881630744</v>
      </c>
    </row>
    <row r="451" spans="1:20" x14ac:dyDescent="0.25">
      <c r="A451" s="5">
        <v>44142</v>
      </c>
      <c r="B451">
        <v>0.78</v>
      </c>
      <c r="C451">
        <v>0.86</v>
      </c>
      <c r="D451">
        <v>0.74</v>
      </c>
      <c r="E451">
        <v>0.79330000000000001</v>
      </c>
      <c r="F451">
        <v>4774610.6500000004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-0.1116666666666664</v>
      </c>
      <c r="Q451">
        <f t="shared" si="975"/>
        <v>-533164.8559166654</v>
      </c>
      <c r="R451">
        <f t="shared" si="976"/>
        <v>-15109770.067091998</v>
      </c>
      <c r="S451">
        <f t="shared" si="977"/>
        <v>-151.09770067091998</v>
      </c>
      <c r="T451">
        <f t="shared" si="978"/>
        <v>-0.15109770067091999</v>
      </c>
    </row>
    <row r="452" spans="1:20" x14ac:dyDescent="0.25">
      <c r="A452" s="5">
        <v>44141</v>
      </c>
      <c r="B452">
        <v>0.75719999999999998</v>
      </c>
      <c r="C452">
        <v>0.83979999999999999</v>
      </c>
      <c r="D452">
        <v>0.70009999999999994</v>
      </c>
      <c r="E452">
        <v>0.78</v>
      </c>
      <c r="F452">
        <v>3805217.67</v>
      </c>
      <c r="G452">
        <v>0</v>
      </c>
      <c r="L452" t="s">
        <v>7</v>
      </c>
      <c r="M452" t="s">
        <v>8</v>
      </c>
      <c r="N452" t="s">
        <v>7</v>
      </c>
      <c r="P452">
        <f t="shared" si="974"/>
        <v>0.14387974230493994</v>
      </c>
      <c r="Q452">
        <f t="shared" si="975"/>
        <v>547493.73777380399</v>
      </c>
      <c r="R452">
        <f t="shared" si="976"/>
        <v>-14576605.211175332</v>
      </c>
      <c r="S452">
        <f t="shared" si="977"/>
        <v>-145.76605211175331</v>
      </c>
      <c r="T452">
        <f t="shared" si="978"/>
        <v>-0.14576605211175331</v>
      </c>
    </row>
    <row r="453" spans="1:20" x14ac:dyDescent="0.25">
      <c r="A453" s="5">
        <v>44140</v>
      </c>
      <c r="B453">
        <v>0.75009999999999999</v>
      </c>
      <c r="C453">
        <v>0.77</v>
      </c>
      <c r="D453">
        <v>0.70630000000000004</v>
      </c>
      <c r="E453">
        <v>0.76029999999999998</v>
      </c>
      <c r="F453">
        <v>2887717.71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0.69544740973312258</v>
      </c>
      <c r="Q453">
        <f t="shared" si="975"/>
        <v>2008255.8014599644</v>
      </c>
      <c r="R453">
        <f t="shared" si="976"/>
        <v>-15124098.948949136</v>
      </c>
      <c r="S453">
        <f t="shared" si="977"/>
        <v>-151.24098948949137</v>
      </c>
      <c r="T453">
        <f t="shared" si="978"/>
        <v>-0.15124098948949136</v>
      </c>
    </row>
    <row r="454" spans="1:20" x14ac:dyDescent="0.25">
      <c r="A454" s="5">
        <v>44139</v>
      </c>
      <c r="B454">
        <v>0.75760000000000005</v>
      </c>
      <c r="C454">
        <v>0.76319999999999999</v>
      </c>
      <c r="D454">
        <v>0.72070000000000001</v>
      </c>
      <c r="E454">
        <v>0.747</v>
      </c>
      <c r="F454">
        <v>3143362.84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0.23764705882352946</v>
      </c>
      <c r="Q454">
        <f t="shared" ref="Q454:Q517" si="980">F454*P454</f>
        <v>747010.93374117662</v>
      </c>
      <c r="R454">
        <f t="shared" ref="R454:R517" si="981">R455+Q454</f>
        <v>-17132354.7504091</v>
      </c>
      <c r="S454">
        <f t="shared" ref="S454:S517" si="982">R454/100000</f>
        <v>-171.32354750409101</v>
      </c>
      <c r="T454">
        <f t="shared" ref="T454:T517" si="983">S454/1000</f>
        <v>-0.17132354750409101</v>
      </c>
    </row>
    <row r="455" spans="1:20" x14ac:dyDescent="0.25">
      <c r="A455" s="5">
        <v>44138</v>
      </c>
      <c r="B455">
        <v>0.84699999999999998</v>
      </c>
      <c r="C455">
        <v>0.9</v>
      </c>
      <c r="D455">
        <v>0.69010000000000005</v>
      </c>
      <c r="E455">
        <v>0.74909999999999999</v>
      </c>
      <c r="F455">
        <v>8002521.3200000003</v>
      </c>
      <c r="G455">
        <v>0</v>
      </c>
      <c r="L455" t="s">
        <v>8</v>
      </c>
      <c r="M455" t="s">
        <v>7</v>
      </c>
      <c r="N455" t="s">
        <v>7</v>
      </c>
      <c r="P455">
        <f t="shared" si="979"/>
        <v>-0.43782753692234444</v>
      </c>
      <c r="Q455">
        <f t="shared" si="980"/>
        <v>-3503724.1987041486</v>
      </c>
      <c r="R455">
        <f t="shared" si="981"/>
        <v>-17879365.684150279</v>
      </c>
      <c r="S455">
        <f t="shared" si="982"/>
        <v>-178.79365684150278</v>
      </c>
      <c r="T455">
        <f t="shared" si="983"/>
        <v>-0.17879365684150278</v>
      </c>
    </row>
    <row r="456" spans="1:20" x14ac:dyDescent="0.25">
      <c r="A456" s="5">
        <v>44137</v>
      </c>
      <c r="B456">
        <v>0.83079999999999998</v>
      </c>
      <c r="C456">
        <v>0.86</v>
      </c>
      <c r="D456">
        <v>0.77010000000000001</v>
      </c>
      <c r="E456">
        <v>0.84699999999999998</v>
      </c>
      <c r="F456">
        <v>2962241.96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0.71078976640711866</v>
      </c>
      <c r="Q456">
        <f t="shared" si="980"/>
        <v>2105531.2707897653</v>
      </c>
      <c r="R456">
        <f t="shared" si="981"/>
        <v>-14375641.485446131</v>
      </c>
      <c r="S456">
        <f t="shared" si="982"/>
        <v>-143.7564148544613</v>
      </c>
      <c r="T456">
        <f t="shared" si="983"/>
        <v>-0.14375641485446131</v>
      </c>
    </row>
    <row r="457" spans="1:20" x14ac:dyDescent="0.25">
      <c r="A457" s="5">
        <v>44136</v>
      </c>
      <c r="B457">
        <v>0.86370000000000002</v>
      </c>
      <c r="C457">
        <v>0.88490000000000002</v>
      </c>
      <c r="D457">
        <v>0.77300000000000002</v>
      </c>
      <c r="E457">
        <v>0.8296</v>
      </c>
      <c r="F457">
        <v>1837288.18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1.1617515638963074E-2</v>
      </c>
      <c r="Q457">
        <f t="shared" si="980"/>
        <v>21344.724164432002</v>
      </c>
      <c r="R457">
        <f t="shared" si="981"/>
        <v>-16481172.756235896</v>
      </c>
      <c r="S457">
        <f t="shared" si="982"/>
        <v>-164.81172756235895</v>
      </c>
      <c r="T457">
        <f t="shared" si="983"/>
        <v>-0.16481172756235896</v>
      </c>
    </row>
    <row r="458" spans="1:20" x14ac:dyDescent="0.25">
      <c r="A458" s="5">
        <v>44135</v>
      </c>
      <c r="B458">
        <v>0.88160000000000005</v>
      </c>
      <c r="C458">
        <v>0.93720000000000003</v>
      </c>
      <c r="D458">
        <v>0.83340000000000003</v>
      </c>
      <c r="E458">
        <v>0.86450000000000005</v>
      </c>
      <c r="F458">
        <v>1092528.51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-0.40077071290944094</v>
      </c>
      <c r="Q458">
        <f t="shared" si="980"/>
        <v>-437853.4298265893</v>
      </c>
      <c r="R458">
        <f t="shared" si="981"/>
        <v>-16502517.480400328</v>
      </c>
      <c r="S458">
        <f t="shared" si="982"/>
        <v>-165.02517480400329</v>
      </c>
      <c r="T458">
        <f t="shared" si="983"/>
        <v>-0.16502517480400328</v>
      </c>
    </row>
    <row r="459" spans="1:20" x14ac:dyDescent="0.25">
      <c r="A459" s="5">
        <v>44134</v>
      </c>
      <c r="B459">
        <v>0.99680000000000002</v>
      </c>
      <c r="C459">
        <v>1.0709</v>
      </c>
      <c r="D459">
        <v>0.8</v>
      </c>
      <c r="E459">
        <v>0.88180000000000003</v>
      </c>
      <c r="F459">
        <v>3805578.55</v>
      </c>
      <c r="G459">
        <v>0</v>
      </c>
      <c r="L459" t="s">
        <v>8</v>
      </c>
      <c r="M459" t="s">
        <v>8</v>
      </c>
      <c r="N459" t="s">
        <v>7</v>
      </c>
      <c r="P459">
        <f t="shared" si="979"/>
        <v>-0.3960871170173495</v>
      </c>
      <c r="Q459">
        <f t="shared" si="980"/>
        <v>-1507340.6364525652</v>
      </c>
      <c r="R459">
        <f t="shared" si="981"/>
        <v>-16064664.050573738</v>
      </c>
      <c r="S459">
        <f t="shared" si="982"/>
        <v>-160.64664050573739</v>
      </c>
      <c r="T459">
        <f t="shared" si="983"/>
        <v>-0.1606466405057374</v>
      </c>
    </row>
    <row r="460" spans="1:20" x14ac:dyDescent="0.25">
      <c r="A460" s="5">
        <v>44133</v>
      </c>
      <c r="B460">
        <v>0.99650000000000005</v>
      </c>
      <c r="C460">
        <v>1.1850000000000001</v>
      </c>
      <c r="D460">
        <v>0.78220000000000001</v>
      </c>
      <c r="E460">
        <v>0.99670000000000003</v>
      </c>
      <c r="F460">
        <v>7302733.9800000004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6.5044687189672296E-2</v>
      </c>
      <c r="Q460">
        <f t="shared" si="980"/>
        <v>475004.04735849058</v>
      </c>
      <c r="R460">
        <f t="shared" si="981"/>
        <v>-14557323.414121173</v>
      </c>
      <c r="S460">
        <f t="shared" si="982"/>
        <v>-145.57323414121174</v>
      </c>
      <c r="T460">
        <f t="shared" si="983"/>
        <v>-0.14557323414121173</v>
      </c>
    </row>
    <row r="461" spans="1:20" x14ac:dyDescent="0.25">
      <c r="A461" s="5">
        <v>44132</v>
      </c>
      <c r="B461">
        <v>1.3582000000000001</v>
      </c>
      <c r="C461">
        <v>1.3875999999999999</v>
      </c>
      <c r="D461">
        <v>0.88</v>
      </c>
      <c r="E461">
        <v>0.99650000000000005</v>
      </c>
      <c r="F461">
        <v>6727531.8200000003</v>
      </c>
      <c r="G461">
        <v>0</v>
      </c>
      <c r="L461" t="s">
        <v>8</v>
      </c>
      <c r="M461" t="s">
        <v>8</v>
      </c>
      <c r="N461" t="s">
        <v>8</v>
      </c>
      <c r="P461">
        <f t="shared" si="979"/>
        <v>-0.54097714736012581</v>
      </c>
      <c r="Q461">
        <f t="shared" si="980"/>
        <v>-3639440.9727580757</v>
      </c>
      <c r="R461">
        <f t="shared" si="981"/>
        <v>-15032327.461479664</v>
      </c>
      <c r="S461">
        <f t="shared" si="982"/>
        <v>-150.32327461479665</v>
      </c>
      <c r="T461">
        <f t="shared" si="983"/>
        <v>-0.15032327461479664</v>
      </c>
    </row>
    <row r="462" spans="1:20" x14ac:dyDescent="0.25">
      <c r="A462" s="5">
        <v>44131</v>
      </c>
      <c r="B462">
        <v>0.77</v>
      </c>
      <c r="C462">
        <v>4.8</v>
      </c>
      <c r="D462">
        <v>0.77</v>
      </c>
      <c r="E462">
        <v>1.3644000000000001</v>
      </c>
      <c r="F462">
        <v>16159838.289999999</v>
      </c>
      <c r="G462">
        <v>0</v>
      </c>
      <c r="P462">
        <f t="shared" si="979"/>
        <v>-0.70501240694789091</v>
      </c>
      <c r="Q462">
        <f t="shared" si="980"/>
        <v>-11392886.488721589</v>
      </c>
      <c r="R462">
        <f t="shared" si="981"/>
        <v>-11392886.488721589</v>
      </c>
      <c r="S462">
        <f t="shared" si="982"/>
        <v>-113.92886488721588</v>
      </c>
      <c r="T462">
        <f t="shared" si="983"/>
        <v>-0.11392886488721587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W571" sqref="IW57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$A$570</v>
      </c>
      <c r="D111" s="1" t="str">
        <f>ADDRESS(C121-1,D121,1,1)</f>
        <v>$IW$570</v>
      </c>
      <c r="E111"/>
    </row>
    <row r="112" spans="1:5" x14ac:dyDescent="0.25">
      <c r="A112" s="7">
        <v>12164.144957890772</v>
      </c>
      <c r="C112" s="1" t="str">
        <f>ADDRESS(C121,1,1,1)</f>
        <v>$A$571</v>
      </c>
      <c r="D112" s="1" t="str">
        <f>ADDRESS(C121,D121-1,1,1)</f>
        <v>$IV$571</v>
      </c>
      <c r="E112"/>
    </row>
    <row r="113" spans="1:5" x14ac:dyDescent="0.25">
      <c r="A113" s="7">
        <v>11925.63231165762</v>
      </c>
      <c r="C113" s="1" t="str">
        <f>ADDRESS(C121+1,1,1,1)</f>
        <v>$A$572</v>
      </c>
      <c r="D113" s="1" t="str">
        <f>ADDRESS(C121-1,D121+1,1,1)</f>
        <v>$IX$570</v>
      </c>
    </row>
    <row r="114" spans="1:5" x14ac:dyDescent="0.25">
      <c r="A114" s="7">
        <v>11691.796383978059</v>
      </c>
      <c r="C114" s="1" t="str">
        <f>ADDRESS(C121,D121,1,1)</f>
        <v>$IW$571</v>
      </c>
      <c r="D114" s="1" t="str">
        <f>ADDRESS(C121+1,D121+1,1,1)</f>
        <v>$IX$572</v>
      </c>
    </row>
    <row r="115" spans="1:5" x14ac:dyDescent="0.25">
      <c r="A115" s="7">
        <v>11462.545474488292</v>
      </c>
      <c r="C115" s="1" t="str">
        <f>ADDRESS(C121+1,D121,1,1)</f>
        <v>$IW$572</v>
      </c>
    </row>
    <row r="116" spans="1:5" x14ac:dyDescent="0.25">
      <c r="A116" s="7">
        <v>11237.789680870874</v>
      </c>
      <c r="C116" s="1">
        <f>C117-1</f>
        <v>570</v>
      </c>
    </row>
    <row r="117" spans="1:5" x14ac:dyDescent="0.25">
      <c r="A117" s="7">
        <v>11017.440863598895</v>
      </c>
      <c r="C117" s="1">
        <f>C121</f>
        <v>571</v>
      </c>
      <c r="D117" s="1">
        <f>D121</f>
        <v>257</v>
      </c>
    </row>
    <row r="118" spans="1:5" x14ac:dyDescent="0.25">
      <c r="A118" s="7">
        <v>10801.412611371465</v>
      </c>
      <c r="C118" s="1">
        <f>C117+1</f>
        <v>572</v>
      </c>
      <c r="D118" s="1">
        <f>D117+1</f>
        <v>258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571</v>
      </c>
      <c r="D121" s="19">
        <v>257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R571</v>
      </c>
      <c r="D123" s="1" t="str">
        <f>"C"&amp;D121</f>
        <v>C257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1.3727857050906125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231" x14ac:dyDescent="0.25">
      <c r="A513" s="7">
        <v>4.3292504462035977</v>
      </c>
      <c r="B513"/>
      <c r="C513"/>
      <c r="D513"/>
      <c r="E513"/>
    </row>
    <row r="514" spans="1:231" x14ac:dyDescent="0.25">
      <c r="A514" s="7">
        <v>4.2443631825525463</v>
      </c>
      <c r="B514"/>
      <c r="C514"/>
      <c r="D514"/>
      <c r="E514"/>
    </row>
    <row r="515" spans="1:231" x14ac:dyDescent="0.25">
      <c r="A515" s="7">
        <v>4.1611403750515157</v>
      </c>
      <c r="B515"/>
      <c r="C515"/>
      <c r="D515"/>
      <c r="E515"/>
    </row>
    <row r="516" spans="1:231" x14ac:dyDescent="0.25">
      <c r="A516" s="7">
        <v>4.0795493873054074</v>
      </c>
      <c r="B516"/>
      <c r="C516"/>
      <c r="D516"/>
      <c r="E516"/>
    </row>
    <row r="517" spans="1:231" x14ac:dyDescent="0.25">
      <c r="A517" s="7">
        <v>3.9995582228484383</v>
      </c>
      <c r="B517"/>
      <c r="C517"/>
      <c r="D517"/>
      <c r="E517"/>
    </row>
    <row r="518" spans="1:231" x14ac:dyDescent="0.25">
      <c r="A518" s="7">
        <v>3.9211355125965079</v>
      </c>
      <c r="B518"/>
      <c r="C518"/>
      <c r="D518"/>
      <c r="E518"/>
      <c r="CM518" s="27" t="s">
        <v>8</v>
      </c>
    </row>
    <row r="519" spans="1:231" x14ac:dyDescent="0.25">
      <c r="A519" s="7">
        <v>3.844250502545596</v>
      </c>
      <c r="B519"/>
      <c r="C519"/>
      <c r="D519"/>
      <c r="E519"/>
      <c r="CM519" s="27" t="s">
        <v>8</v>
      </c>
      <c r="CN519" s="27" t="s">
        <v>7</v>
      </c>
    </row>
    <row r="520" spans="1:231" x14ac:dyDescent="0.25">
      <c r="A520" s="7">
        <v>3.7688730417113687</v>
      </c>
      <c r="B520"/>
      <c r="C520"/>
      <c r="D520"/>
      <c r="E520"/>
      <c r="CK520" s="27" t="s">
        <v>8</v>
      </c>
      <c r="CM520" s="27" t="s">
        <v>8</v>
      </c>
      <c r="CN520" s="27" t="s">
        <v>7</v>
      </c>
    </row>
    <row r="521" spans="1:231" x14ac:dyDescent="0.25">
      <c r="A521" s="7">
        <v>3.6949735703052635</v>
      </c>
      <c r="B521"/>
      <c r="C521"/>
      <c r="D521"/>
      <c r="E521"/>
      <c r="CK521" s="27" t="s">
        <v>8</v>
      </c>
      <c r="CL521" s="27" t="s">
        <v>7</v>
      </c>
      <c r="CM521" s="27" t="s">
        <v>8</v>
      </c>
      <c r="CN521" s="27" t="s">
        <v>7</v>
      </c>
    </row>
    <row r="522" spans="1:231" x14ac:dyDescent="0.25">
      <c r="A522" s="7">
        <v>3.6225231081424152</v>
      </c>
      <c r="B522"/>
      <c r="C522"/>
      <c r="D522"/>
      <c r="E522"/>
      <c r="CK522" s="27" t="s">
        <v>8</v>
      </c>
      <c r="CL522" s="27" t="s">
        <v>7</v>
      </c>
      <c r="CM522" s="27" t="s">
        <v>8</v>
      </c>
      <c r="CN522" s="27" t="s">
        <v>7</v>
      </c>
      <c r="CO522" s="27" t="s">
        <v>8</v>
      </c>
    </row>
    <row r="523" spans="1:231" x14ac:dyDescent="0.25">
      <c r="A523" s="7">
        <v>3.5514932432768775</v>
      </c>
      <c r="B523"/>
      <c r="C523"/>
      <c r="D523"/>
      <c r="E523"/>
      <c r="CK523" s="27" t="s">
        <v>8</v>
      </c>
      <c r="CL523" s="27" t="s">
        <v>7</v>
      </c>
      <c r="CM523" s="27" t="s">
        <v>8</v>
      </c>
      <c r="CN523" s="27" t="s">
        <v>7</v>
      </c>
      <c r="CO523" s="27" t="s">
        <v>8</v>
      </c>
      <c r="CP523" s="27" t="s">
        <v>7</v>
      </c>
      <c r="CQ523" s="27" t="s">
        <v>8</v>
      </c>
    </row>
    <row r="524" spans="1:231" x14ac:dyDescent="0.25">
      <c r="A524" s="7">
        <v>3.4818561208596837</v>
      </c>
      <c r="B524"/>
      <c r="C524"/>
      <c r="D524"/>
      <c r="E524"/>
      <c r="CK524" s="27" t="s">
        <v>8</v>
      </c>
      <c r="CL524" s="27" t="s">
        <v>7</v>
      </c>
      <c r="CM524" s="27" t="s">
        <v>8</v>
      </c>
      <c r="CN524" s="27" t="s">
        <v>7</v>
      </c>
      <c r="CO524" s="27" t="s">
        <v>8</v>
      </c>
      <c r="CP524" s="27" t="s">
        <v>7</v>
      </c>
      <c r="CQ524" s="27" t="s">
        <v>8</v>
      </c>
      <c r="CR524" s="27" t="s">
        <v>7</v>
      </c>
      <c r="CS524" s="27" t="s">
        <v>8</v>
      </c>
    </row>
    <row r="525" spans="1:231" x14ac:dyDescent="0.25">
      <c r="A525" s="7">
        <v>3.4135844322153761</v>
      </c>
      <c r="B525"/>
      <c r="C525"/>
      <c r="D525"/>
      <c r="E525"/>
      <c r="CK525" s="27" t="s">
        <v>8</v>
      </c>
      <c r="CL525" s="27" t="s">
        <v>7</v>
      </c>
      <c r="CM525" s="27" t="s">
        <v>8</v>
      </c>
      <c r="CN525" s="27" t="s">
        <v>7</v>
      </c>
      <c r="CO525" s="27" t="s">
        <v>8</v>
      </c>
      <c r="CP525" s="27" t="s">
        <v>7</v>
      </c>
      <c r="CQ525" s="27" t="s">
        <v>8</v>
      </c>
      <c r="CR525" s="27" t="s">
        <v>7</v>
      </c>
      <c r="CS525" s="27" t="s">
        <v>8</v>
      </c>
      <c r="CT525" s="27" t="s">
        <v>7</v>
      </c>
      <c r="DI525" s="27" t="s">
        <v>8</v>
      </c>
    </row>
    <row r="526" spans="1:231" x14ac:dyDescent="0.25">
      <c r="A526" s="7">
        <v>3.3466514041327216</v>
      </c>
      <c r="B526"/>
      <c r="C526"/>
      <c r="D526"/>
      <c r="E526"/>
      <c r="CK526" s="27" t="s">
        <v>8</v>
      </c>
      <c r="CL526" s="27" t="s">
        <v>7</v>
      </c>
      <c r="CM526" s="27" t="s">
        <v>8</v>
      </c>
      <c r="CN526" s="27" t="s">
        <v>7</v>
      </c>
      <c r="CO526" s="27" t="s">
        <v>8</v>
      </c>
      <c r="CP526" s="27" t="s">
        <v>7</v>
      </c>
      <c r="CR526" s="27" t="s">
        <v>7</v>
      </c>
      <c r="CS526" s="27" t="s">
        <v>8</v>
      </c>
      <c r="CT526" s="27" t="s">
        <v>7</v>
      </c>
      <c r="DI526" s="27" t="s">
        <v>8</v>
      </c>
      <c r="DJ526" s="27" t="s">
        <v>7</v>
      </c>
    </row>
    <row r="527" spans="1:231" x14ac:dyDescent="0.25">
      <c r="A527" s="7">
        <v>3.2810307883654133</v>
      </c>
      <c r="B527"/>
      <c r="C527"/>
      <c r="D527"/>
      <c r="E527"/>
      <c r="CK527" s="27" t="s">
        <v>8</v>
      </c>
      <c r="CL527" s="27" t="s">
        <v>7</v>
      </c>
      <c r="CN527" s="27" t="s">
        <v>7</v>
      </c>
      <c r="CO527" s="27" t="s">
        <v>8</v>
      </c>
      <c r="CR527" s="27" t="s">
        <v>7</v>
      </c>
      <c r="CS527" s="27" t="s">
        <v>8</v>
      </c>
      <c r="CT527" s="27" t="s">
        <v>7</v>
      </c>
      <c r="DI527" s="27" t="s">
        <v>8</v>
      </c>
      <c r="DJ527" s="27" t="s">
        <v>7</v>
      </c>
    </row>
    <row r="528" spans="1:231" x14ac:dyDescent="0.25">
      <c r="A528" s="7">
        <v>3.2166968513386403</v>
      </c>
      <c r="B528"/>
      <c r="C528"/>
      <c r="D528"/>
      <c r="E528"/>
      <c r="CI528" s="27" t="s">
        <v>8</v>
      </c>
      <c r="CK528" s="27" t="s">
        <v>8</v>
      </c>
      <c r="CN528" s="27" t="s">
        <v>7</v>
      </c>
      <c r="CO528" s="27" t="s">
        <v>8</v>
      </c>
      <c r="CR528" s="27" t="s">
        <v>7</v>
      </c>
      <c r="CS528" s="27" t="s">
        <v>8</v>
      </c>
      <c r="CT528" s="27" t="s">
        <v>7</v>
      </c>
      <c r="DE528" s="27" t="s">
        <v>8</v>
      </c>
      <c r="DG528" s="27" t="s">
        <v>8</v>
      </c>
      <c r="DI528" s="27" t="s">
        <v>8</v>
      </c>
      <c r="DJ528" s="27" t="s">
        <v>7</v>
      </c>
      <c r="HW528" s="27" t="s">
        <v>8</v>
      </c>
    </row>
    <row r="529" spans="1:232" x14ac:dyDescent="0.25">
      <c r="A529" s="7">
        <v>3.1536243640574906</v>
      </c>
      <c r="B529"/>
      <c r="C529"/>
      <c r="D529"/>
      <c r="E529"/>
      <c r="CI529" s="27" t="s">
        <v>8</v>
      </c>
      <c r="CJ529" s="27" t="s">
        <v>7</v>
      </c>
      <c r="CK529" s="27" t="s">
        <v>8</v>
      </c>
      <c r="CN529" s="27" t="s">
        <v>7</v>
      </c>
      <c r="CO529" s="27" t="s">
        <v>8</v>
      </c>
      <c r="CR529" s="27" t="s">
        <v>7</v>
      </c>
      <c r="CS529" s="27" t="s">
        <v>8</v>
      </c>
      <c r="CT529" s="27" t="s">
        <v>7</v>
      </c>
      <c r="DE529" s="27" t="s">
        <v>8</v>
      </c>
      <c r="DF529" s="27" t="s">
        <v>7</v>
      </c>
      <c r="DG529" s="27" t="s">
        <v>8</v>
      </c>
      <c r="DH529" s="27" t="s">
        <v>7</v>
      </c>
      <c r="DI529" s="27" t="s">
        <v>8</v>
      </c>
      <c r="DJ529" s="27" t="s">
        <v>7</v>
      </c>
      <c r="HW529" s="27" t="s">
        <v>8</v>
      </c>
      <c r="HX529" s="27" t="s">
        <v>7</v>
      </c>
    </row>
    <row r="530" spans="1:232" x14ac:dyDescent="0.25">
      <c r="A530" s="7">
        <v>3.0917885922132262</v>
      </c>
      <c r="B530"/>
      <c r="C530"/>
      <c r="D530"/>
      <c r="E530"/>
      <c r="CI530" s="27" t="s">
        <v>8</v>
      </c>
      <c r="CJ530" s="27" t="s">
        <v>7</v>
      </c>
      <c r="CK530" s="27" t="s">
        <v>8</v>
      </c>
      <c r="CN530" s="27" t="s">
        <v>7</v>
      </c>
      <c r="CO530" s="27" t="s">
        <v>8</v>
      </c>
      <c r="CR530" s="27" t="s">
        <v>7</v>
      </c>
      <c r="CS530" s="27" t="s">
        <v>8</v>
      </c>
      <c r="CT530" s="27" t="s">
        <v>7</v>
      </c>
      <c r="DE530" s="27" t="s">
        <v>8</v>
      </c>
      <c r="DF530" s="27" t="s">
        <v>7</v>
      </c>
      <c r="DG530" s="27" t="s">
        <v>8</v>
      </c>
      <c r="DH530" s="27" t="s">
        <v>7</v>
      </c>
      <c r="DI530" s="27" t="s">
        <v>8</v>
      </c>
      <c r="DJ530" s="27" t="s">
        <v>7</v>
      </c>
      <c r="HW530" s="27" t="s">
        <v>8</v>
      </c>
      <c r="HX530" s="27" t="s">
        <v>7</v>
      </c>
    </row>
    <row r="531" spans="1:232" x14ac:dyDescent="0.25">
      <c r="A531" s="7">
        <v>3.0311652864835552</v>
      </c>
      <c r="B531"/>
      <c r="C531"/>
      <c r="D531"/>
      <c r="E531"/>
      <c r="CI531" s="27" t="s">
        <v>8</v>
      </c>
      <c r="CJ531" s="27" t="s">
        <v>7</v>
      </c>
      <c r="CK531" s="27" t="s">
        <v>8</v>
      </c>
      <c r="CN531" s="27" t="s">
        <v>7</v>
      </c>
      <c r="CR531" s="27" t="s">
        <v>7</v>
      </c>
      <c r="CT531" s="27" t="s">
        <v>7</v>
      </c>
      <c r="DE531" s="27" t="s">
        <v>8</v>
      </c>
      <c r="DF531" s="27" t="s">
        <v>7</v>
      </c>
      <c r="DG531" s="27" t="s">
        <v>8</v>
      </c>
      <c r="DH531" s="27" t="s">
        <v>7</v>
      </c>
      <c r="DI531" s="27" t="s">
        <v>8</v>
      </c>
      <c r="DJ531" s="27" t="s">
        <v>7</v>
      </c>
      <c r="FQ531" s="27" t="s">
        <v>8</v>
      </c>
      <c r="HW531" s="27" t="s">
        <v>8</v>
      </c>
      <c r="HX531" s="27" t="s">
        <v>7</v>
      </c>
    </row>
    <row r="532" spans="1:232" x14ac:dyDescent="0.25">
      <c r="A532" s="7">
        <v>2.9717306730230932</v>
      </c>
      <c r="B532"/>
      <c r="C532"/>
      <c r="D532"/>
      <c r="E532"/>
      <c r="CG532" s="27" t="s">
        <v>8</v>
      </c>
      <c r="CI532" s="27" t="s">
        <v>8</v>
      </c>
      <c r="CJ532" s="27" t="s">
        <v>7</v>
      </c>
      <c r="CT532" s="27" t="s">
        <v>7</v>
      </c>
      <c r="DE532" s="27" t="s">
        <v>8</v>
      </c>
      <c r="DF532" s="27" t="s">
        <v>7</v>
      </c>
      <c r="DG532" s="27" t="s">
        <v>8</v>
      </c>
      <c r="DH532" s="27" t="s">
        <v>7</v>
      </c>
      <c r="DI532" s="27" t="s">
        <v>8</v>
      </c>
      <c r="DJ532" s="27" t="s">
        <v>7</v>
      </c>
      <c r="FQ532" s="27" t="s">
        <v>8</v>
      </c>
      <c r="FR532" s="27" t="s">
        <v>7</v>
      </c>
      <c r="FW532" s="27" t="s">
        <v>8</v>
      </c>
      <c r="HW532" s="27" t="s">
        <v>8</v>
      </c>
      <c r="HX532" s="27" t="s">
        <v>7</v>
      </c>
    </row>
    <row r="533" spans="1:232" x14ac:dyDescent="0.25">
      <c r="A533" s="7">
        <v>2.9134614441402875</v>
      </c>
      <c r="B533"/>
      <c r="C533"/>
      <c r="D533"/>
      <c r="E533"/>
      <c r="CG533" s="27" t="s">
        <v>8</v>
      </c>
      <c r="CH533" s="27" t="s">
        <v>7</v>
      </c>
      <c r="CI533" s="27" t="s">
        <v>8</v>
      </c>
      <c r="CT533" s="27" t="s">
        <v>7</v>
      </c>
      <c r="DA533" s="27" t="s">
        <v>8</v>
      </c>
      <c r="DE533" s="27" t="s">
        <v>8</v>
      </c>
      <c r="DF533" s="27" t="s">
        <v>7</v>
      </c>
      <c r="DG533" s="27" t="s">
        <v>8</v>
      </c>
      <c r="DH533" s="27" t="s">
        <v>7</v>
      </c>
      <c r="DI533" s="27" t="s">
        <v>8</v>
      </c>
      <c r="DJ533" s="27" t="s">
        <v>7</v>
      </c>
      <c r="FQ533" s="27" t="s">
        <v>8</v>
      </c>
      <c r="FR533" s="27" t="s">
        <v>7</v>
      </c>
      <c r="FU533" s="27" t="s">
        <v>8</v>
      </c>
      <c r="FW533" s="27" t="s">
        <v>8</v>
      </c>
      <c r="FX533" s="27" t="s">
        <v>7</v>
      </c>
      <c r="HW533" s="27" t="s">
        <v>8</v>
      </c>
      <c r="HX533" s="27" t="s">
        <v>7</v>
      </c>
    </row>
    <row r="534" spans="1:232" x14ac:dyDescent="0.25">
      <c r="A534" s="7">
        <v>2.8563347491571447</v>
      </c>
      <c r="B534"/>
      <c r="C534"/>
      <c r="D534"/>
      <c r="E534"/>
      <c r="CC534" s="27" t="s">
        <v>8</v>
      </c>
      <c r="CG534" s="27" t="s">
        <v>8</v>
      </c>
      <c r="CH534" s="27" t="s">
        <v>7</v>
      </c>
      <c r="CI534" s="27" t="s">
        <v>8</v>
      </c>
      <c r="CT534" s="27" t="s">
        <v>7</v>
      </c>
      <c r="DA534" s="27" t="s">
        <v>8</v>
      </c>
      <c r="DB534" s="27" t="s">
        <v>7</v>
      </c>
      <c r="DE534" s="27" t="s">
        <v>8</v>
      </c>
      <c r="DF534" s="27" t="s">
        <v>7</v>
      </c>
      <c r="DG534" s="27" t="s">
        <v>8</v>
      </c>
      <c r="DH534" s="27" t="s">
        <v>7</v>
      </c>
      <c r="DJ534" s="27" t="s">
        <v>7</v>
      </c>
      <c r="FQ534" s="27" t="s">
        <v>8</v>
      </c>
      <c r="FR534" s="27" t="s">
        <v>7</v>
      </c>
      <c r="FS534" s="27" t="s">
        <v>8</v>
      </c>
      <c r="FU534" s="27" t="s">
        <v>8</v>
      </c>
      <c r="FV534" s="27" t="s">
        <v>7</v>
      </c>
      <c r="FW534" s="27" t="s">
        <v>8</v>
      </c>
      <c r="FX534" s="27" t="s">
        <v>7</v>
      </c>
      <c r="HW534" s="27" t="s">
        <v>8</v>
      </c>
      <c r="HX534" s="27" t="s">
        <v>7</v>
      </c>
    </row>
    <row r="535" spans="1:232" x14ac:dyDescent="0.25">
      <c r="A535" s="7">
        <v>2.8003281854481812</v>
      </c>
      <c r="B535"/>
      <c r="C535"/>
      <c r="D535"/>
      <c r="E535"/>
      <c r="BY535" s="27" t="s">
        <v>8</v>
      </c>
      <c r="CA535" s="27" t="s">
        <v>8</v>
      </c>
      <c r="CC535" s="27" t="s">
        <v>8</v>
      </c>
      <c r="CD535" s="27" t="s">
        <v>7</v>
      </c>
      <c r="CG535" s="27" t="s">
        <v>8</v>
      </c>
      <c r="CH535" s="27" t="s">
        <v>7</v>
      </c>
      <c r="CI535" s="27" t="s">
        <v>8</v>
      </c>
      <c r="CT535" s="27" t="s">
        <v>7</v>
      </c>
      <c r="DA535" s="27" t="s">
        <v>8</v>
      </c>
      <c r="DB535" s="27" t="s">
        <v>7</v>
      </c>
      <c r="DE535" s="27" t="s">
        <v>8</v>
      </c>
      <c r="DF535" s="27" t="s">
        <v>7</v>
      </c>
      <c r="DG535" s="27" t="s">
        <v>8</v>
      </c>
      <c r="DJ535" s="27" t="s">
        <v>7</v>
      </c>
      <c r="DK535" s="27" t="s">
        <v>8</v>
      </c>
      <c r="FQ535" s="27" t="s">
        <v>8</v>
      </c>
      <c r="FR535" s="27" t="s">
        <v>7</v>
      </c>
      <c r="FS535" s="27" t="s">
        <v>8</v>
      </c>
      <c r="FT535" s="27" t="s">
        <v>7</v>
      </c>
      <c r="FU535" s="27" t="s">
        <v>8</v>
      </c>
      <c r="FV535" s="27" t="s">
        <v>7</v>
      </c>
      <c r="FW535" s="27" t="s">
        <v>8</v>
      </c>
      <c r="FX535" s="27" t="s">
        <v>7</v>
      </c>
      <c r="HW535" s="27" t="s">
        <v>8</v>
      </c>
      <c r="HX535" s="27" t="s">
        <v>7</v>
      </c>
    </row>
    <row r="536" spans="1:232" x14ac:dyDescent="0.25">
      <c r="A536" s="7">
        <v>2.7454197896550796</v>
      </c>
      <c r="B536"/>
      <c r="C536"/>
      <c r="D536"/>
      <c r="E536"/>
      <c r="BY536" s="27" t="s">
        <v>8</v>
      </c>
      <c r="BZ536" s="27" t="s">
        <v>7</v>
      </c>
      <c r="CA536" s="27" t="s">
        <v>8</v>
      </c>
      <c r="CB536" s="27" t="s">
        <v>7</v>
      </c>
      <c r="CC536" s="27" t="s">
        <v>8</v>
      </c>
      <c r="CD536" s="27" t="s">
        <v>7</v>
      </c>
      <c r="CG536" s="27" t="s">
        <v>8</v>
      </c>
      <c r="CH536" s="27" t="s">
        <v>7</v>
      </c>
      <c r="CI536" s="27" t="s">
        <v>8</v>
      </c>
      <c r="CT536" s="27" t="s">
        <v>7</v>
      </c>
      <c r="DA536" s="27" t="s">
        <v>8</v>
      </c>
      <c r="DB536" s="27" t="s">
        <v>7</v>
      </c>
      <c r="DE536" s="27" t="s">
        <v>8</v>
      </c>
      <c r="DF536" s="27" t="s">
        <v>7</v>
      </c>
      <c r="DG536" s="27" t="s">
        <v>8</v>
      </c>
      <c r="DJ536" s="27" t="s">
        <v>7</v>
      </c>
      <c r="DK536" s="27" t="s">
        <v>8</v>
      </c>
      <c r="DL536" s="27" t="s">
        <v>7</v>
      </c>
      <c r="FQ536" s="27" t="s">
        <v>8</v>
      </c>
      <c r="FR536" s="27" t="s">
        <v>7</v>
      </c>
      <c r="FS536" s="27" t="s">
        <v>8</v>
      </c>
      <c r="FT536" s="27" t="s">
        <v>7</v>
      </c>
      <c r="FU536" s="27" t="s">
        <v>8</v>
      </c>
      <c r="FV536" s="27" t="s">
        <v>7</v>
      </c>
      <c r="FW536" s="27" t="s">
        <v>8</v>
      </c>
      <c r="FX536" s="27" t="s">
        <v>7</v>
      </c>
      <c r="HW536" s="27" t="s">
        <v>8</v>
      </c>
      <c r="HX536" s="27" t="s">
        <v>7</v>
      </c>
    </row>
    <row r="537" spans="1:232" x14ac:dyDescent="0.25">
      <c r="A537" s="7">
        <v>2.6915880290736074</v>
      </c>
      <c r="B537"/>
      <c r="C537"/>
      <c r="D537"/>
      <c r="E537"/>
      <c r="BK537" s="27" t="s">
        <v>8</v>
      </c>
      <c r="BY537" s="27" t="s">
        <v>8</v>
      </c>
      <c r="BZ537" s="27" t="s">
        <v>7</v>
      </c>
      <c r="CA537" s="27" t="s">
        <v>8</v>
      </c>
      <c r="CB537" s="27" t="s">
        <v>7</v>
      </c>
      <c r="CC537" s="27" t="s">
        <v>8</v>
      </c>
      <c r="CD537" s="27" t="s">
        <v>7</v>
      </c>
      <c r="CG537" s="27" t="s">
        <v>8</v>
      </c>
      <c r="CH537" s="27" t="s">
        <v>7</v>
      </c>
      <c r="CI537" s="27" t="s">
        <v>8</v>
      </c>
      <c r="CT537" s="27" t="s">
        <v>7</v>
      </c>
      <c r="DA537" s="27" t="s">
        <v>8</v>
      </c>
      <c r="DB537" s="27" t="s">
        <v>7</v>
      </c>
      <c r="DE537" s="27" t="s">
        <v>8</v>
      </c>
      <c r="DF537" s="27" t="s">
        <v>7</v>
      </c>
      <c r="DG537" s="27" t="s">
        <v>8</v>
      </c>
      <c r="DJ537" s="27" t="s">
        <v>7</v>
      </c>
      <c r="DK537" s="27" t="s">
        <v>8</v>
      </c>
      <c r="DL537" s="27" t="s">
        <v>7</v>
      </c>
      <c r="FQ537" s="27" t="s">
        <v>8</v>
      </c>
      <c r="FR537" s="27" t="s">
        <v>7</v>
      </c>
      <c r="FS537" s="27" t="s">
        <v>8</v>
      </c>
      <c r="FT537" s="27" t="s">
        <v>7</v>
      </c>
      <c r="FU537" s="27" t="s">
        <v>8</v>
      </c>
      <c r="FV537" s="27" t="s">
        <v>7</v>
      </c>
      <c r="FW537" s="27" t="s">
        <v>8</v>
      </c>
      <c r="FX537" s="27" t="s">
        <v>7</v>
      </c>
      <c r="HW537" s="27" t="s">
        <v>8</v>
      </c>
      <c r="HX537" s="27" t="s">
        <v>7</v>
      </c>
    </row>
    <row r="538" spans="1:232" x14ac:dyDescent="0.25">
      <c r="A538" s="7">
        <v>2.6388117932094191</v>
      </c>
      <c r="B538"/>
      <c r="C538"/>
      <c r="D538"/>
      <c r="E538"/>
      <c r="BK538" s="27" t="s">
        <v>8</v>
      </c>
      <c r="BL538" s="27" t="s">
        <v>7</v>
      </c>
      <c r="BY538" s="27" t="s">
        <v>8</v>
      </c>
      <c r="BZ538" s="27" t="s">
        <v>7</v>
      </c>
      <c r="CA538" s="27" t="s">
        <v>8</v>
      </c>
      <c r="CB538" s="27" t="s">
        <v>7</v>
      </c>
      <c r="CC538" s="27" t="s">
        <v>8</v>
      </c>
      <c r="CD538" s="27" t="s">
        <v>7</v>
      </c>
      <c r="CG538" s="27" t="s">
        <v>8</v>
      </c>
      <c r="CH538" s="27" t="s">
        <v>7</v>
      </c>
      <c r="CI538" s="27" t="s">
        <v>8</v>
      </c>
      <c r="CT538" s="27" t="s">
        <v>7</v>
      </c>
      <c r="DA538" s="27" t="s">
        <v>8</v>
      </c>
      <c r="DB538" s="27" t="s">
        <v>7</v>
      </c>
      <c r="DE538" s="27" t="s">
        <v>8</v>
      </c>
      <c r="DF538" s="27" t="s">
        <v>7</v>
      </c>
      <c r="DJ538" s="27" t="s">
        <v>7</v>
      </c>
      <c r="DK538" s="27" t="s">
        <v>8</v>
      </c>
      <c r="DL538" s="27" t="s">
        <v>7</v>
      </c>
      <c r="FQ538" s="27" t="s">
        <v>8</v>
      </c>
      <c r="FR538" s="27" t="s">
        <v>7</v>
      </c>
      <c r="FS538" s="27" t="s">
        <v>8</v>
      </c>
      <c r="FT538" s="27" t="s">
        <v>7</v>
      </c>
      <c r="FU538" s="27" t="s">
        <v>8</v>
      </c>
      <c r="FV538" s="27" t="s">
        <v>7</v>
      </c>
      <c r="FW538" s="27" t="s">
        <v>8</v>
      </c>
      <c r="FX538" s="27" t="s">
        <v>7</v>
      </c>
      <c r="HW538" s="27" t="s">
        <v>8</v>
      </c>
      <c r="HX538" s="27" t="s">
        <v>7</v>
      </c>
    </row>
    <row r="539" spans="1:232" x14ac:dyDescent="0.25">
      <c r="A539" s="7">
        <v>2.5870703854994304</v>
      </c>
      <c r="B539"/>
      <c r="C539"/>
      <c r="D539"/>
      <c r="E539"/>
      <c r="BK539" s="27" t="s">
        <v>8</v>
      </c>
      <c r="BL539" s="27" t="s">
        <v>7</v>
      </c>
      <c r="BY539" s="27" t="s">
        <v>8</v>
      </c>
      <c r="BZ539" s="27" t="s">
        <v>7</v>
      </c>
      <c r="CA539" s="27" t="s">
        <v>8</v>
      </c>
      <c r="CB539" s="27" t="s">
        <v>7</v>
      </c>
      <c r="CC539" s="27" t="s">
        <v>8</v>
      </c>
      <c r="CD539" s="27" t="s">
        <v>7</v>
      </c>
      <c r="CG539" s="27" t="s">
        <v>8</v>
      </c>
      <c r="CH539" s="27" t="s">
        <v>7</v>
      </c>
      <c r="CT539" s="27" t="s">
        <v>7</v>
      </c>
      <c r="CU539" s="27" t="s">
        <v>8</v>
      </c>
      <c r="CW539" s="27" t="s">
        <v>8</v>
      </c>
      <c r="CY539" s="27" t="s">
        <v>8</v>
      </c>
      <c r="DA539" s="27" t="s">
        <v>8</v>
      </c>
      <c r="DB539" s="27" t="s">
        <v>7</v>
      </c>
      <c r="DE539" s="27" t="s">
        <v>8</v>
      </c>
      <c r="DJ539" s="27" t="s">
        <v>7</v>
      </c>
      <c r="DK539" s="27" t="s">
        <v>8</v>
      </c>
      <c r="DL539" s="27" t="s">
        <v>7</v>
      </c>
      <c r="FQ539" s="27" t="s">
        <v>8</v>
      </c>
      <c r="FR539" s="27" t="s">
        <v>7</v>
      </c>
      <c r="FS539" s="27" t="s">
        <v>8</v>
      </c>
      <c r="FT539" s="27" t="s">
        <v>7</v>
      </c>
      <c r="FU539" s="27" t="s">
        <v>8</v>
      </c>
      <c r="FV539" s="27" t="s">
        <v>7</v>
      </c>
      <c r="FX539" s="27" t="s">
        <v>7</v>
      </c>
      <c r="HW539" s="27" t="s">
        <v>8</v>
      </c>
      <c r="HX539" s="27" t="s">
        <v>7</v>
      </c>
    </row>
    <row r="540" spans="1:232" x14ac:dyDescent="0.25">
      <c r="A540" s="7">
        <v>2.53634351519552</v>
      </c>
      <c r="B540"/>
      <c r="C540"/>
      <c r="D540"/>
      <c r="E540"/>
      <c r="BG540" s="27" t="s">
        <v>8</v>
      </c>
      <c r="BK540" s="27" t="s">
        <v>8</v>
      </c>
      <c r="BL540" s="27" t="s">
        <v>7</v>
      </c>
      <c r="BY540" s="27" t="s">
        <v>8</v>
      </c>
      <c r="BZ540" s="27" t="s">
        <v>7</v>
      </c>
      <c r="CA540" s="27" t="s">
        <v>8</v>
      </c>
      <c r="CB540" s="27" t="s">
        <v>7</v>
      </c>
      <c r="CC540" s="27" t="s">
        <v>8</v>
      </c>
      <c r="CD540" s="27" t="s">
        <v>7</v>
      </c>
      <c r="CG540" s="27" t="s">
        <v>8</v>
      </c>
      <c r="CT540" s="27" t="s">
        <v>7</v>
      </c>
      <c r="CU540" s="27" t="s">
        <v>8</v>
      </c>
      <c r="CV540" s="27" t="s">
        <v>7</v>
      </c>
      <c r="CW540" s="27" t="s">
        <v>8</v>
      </c>
      <c r="CX540" s="27" t="s">
        <v>7</v>
      </c>
      <c r="CY540" s="27" t="s">
        <v>8</v>
      </c>
      <c r="CZ540" s="27" t="s">
        <v>7</v>
      </c>
      <c r="DA540" s="27" t="s">
        <v>8</v>
      </c>
      <c r="DB540" s="27" t="s">
        <v>7</v>
      </c>
      <c r="DC540" s="27" t="s">
        <v>8</v>
      </c>
      <c r="DE540" s="27" t="s">
        <v>8</v>
      </c>
      <c r="DJ540" s="27" t="s">
        <v>7</v>
      </c>
      <c r="DK540" s="27" t="s">
        <v>8</v>
      </c>
      <c r="DL540" s="27" t="s">
        <v>7</v>
      </c>
      <c r="FQ540" s="27" t="s">
        <v>8</v>
      </c>
      <c r="FR540" s="27" t="s">
        <v>7</v>
      </c>
      <c r="FS540" s="27" t="s">
        <v>8</v>
      </c>
      <c r="FT540" s="27" t="s">
        <v>7</v>
      </c>
      <c r="FU540" s="27" t="s">
        <v>8</v>
      </c>
      <c r="FX540" s="27" t="s">
        <v>7</v>
      </c>
      <c r="HW540" s="27" t="s">
        <v>8</v>
      </c>
      <c r="HX540" s="27" t="s">
        <v>7</v>
      </c>
    </row>
    <row r="541" spans="1:232" x14ac:dyDescent="0.25">
      <c r="A541" s="7">
        <v>2.4866112894073726</v>
      </c>
      <c r="B541"/>
      <c r="C541"/>
      <c r="D541"/>
      <c r="E541"/>
      <c r="BG541" s="27" t="s">
        <v>8</v>
      </c>
      <c r="BH541" s="27" t="s">
        <v>7</v>
      </c>
      <c r="BK541" s="27" t="s">
        <v>8</v>
      </c>
      <c r="BL541" s="27" t="s">
        <v>7</v>
      </c>
      <c r="BY541" s="27" t="s">
        <v>8</v>
      </c>
      <c r="BZ541" s="27" t="s">
        <v>7</v>
      </c>
      <c r="CA541" s="27" t="s">
        <v>8</v>
      </c>
      <c r="CB541" s="27" t="s">
        <v>7</v>
      </c>
      <c r="CC541" s="27" t="s">
        <v>8</v>
      </c>
      <c r="CD541" s="27" t="s">
        <v>7</v>
      </c>
      <c r="CG541" s="27" t="s">
        <v>8</v>
      </c>
      <c r="CT541" s="27" t="s">
        <v>7</v>
      </c>
      <c r="CU541" s="27" t="s">
        <v>8</v>
      </c>
      <c r="CV541" s="27" t="s">
        <v>7</v>
      </c>
      <c r="CW541" s="27" t="s">
        <v>8</v>
      </c>
      <c r="CX541" s="27" t="s">
        <v>7</v>
      </c>
      <c r="CY541" s="27" t="s">
        <v>8</v>
      </c>
      <c r="CZ541" s="27" t="s">
        <v>7</v>
      </c>
      <c r="DA541" s="27" t="s">
        <v>8</v>
      </c>
      <c r="DB541" s="27" t="s">
        <v>7</v>
      </c>
      <c r="DC541" s="27" t="s">
        <v>8</v>
      </c>
      <c r="DD541" s="27" t="s">
        <v>7</v>
      </c>
      <c r="DE541" s="27" t="s">
        <v>8</v>
      </c>
      <c r="DJ541" s="27" t="s">
        <v>7</v>
      </c>
      <c r="DK541" s="27" t="s">
        <v>8</v>
      </c>
      <c r="DL541" s="27" t="s">
        <v>7</v>
      </c>
      <c r="FQ541" s="27" t="s">
        <v>8</v>
      </c>
      <c r="FR541" s="27" t="s">
        <v>7</v>
      </c>
      <c r="FS541" s="27" t="s">
        <v>8</v>
      </c>
      <c r="FT541" s="27" t="s">
        <v>7</v>
      </c>
      <c r="FU541" s="27" t="s">
        <v>8</v>
      </c>
      <c r="FX541" s="27" t="s">
        <v>7</v>
      </c>
      <c r="HW541" s="27" t="s">
        <v>8</v>
      </c>
      <c r="HX541" s="27" t="s">
        <v>7</v>
      </c>
    </row>
    <row r="542" spans="1:232" x14ac:dyDescent="0.25">
      <c r="A542" s="7">
        <v>2.4378542053013459</v>
      </c>
      <c r="B542"/>
      <c r="C542"/>
      <c r="D542"/>
      <c r="E542"/>
      <c r="BG542" s="27" t="s">
        <v>8</v>
      </c>
      <c r="BH542" s="27" t="s">
        <v>7</v>
      </c>
      <c r="BK542" s="27" t="s">
        <v>8</v>
      </c>
      <c r="BL542" s="27" t="s">
        <v>7</v>
      </c>
      <c r="BY542" s="27" t="s">
        <v>8</v>
      </c>
      <c r="BZ542" s="27" t="s">
        <v>7</v>
      </c>
      <c r="CA542" s="27" t="s">
        <v>8</v>
      </c>
      <c r="CB542" s="27" t="s">
        <v>7</v>
      </c>
      <c r="CC542" s="27" t="s">
        <v>8</v>
      </c>
      <c r="CD542" s="27" t="s">
        <v>7</v>
      </c>
      <c r="CG542" s="27" t="s">
        <v>8</v>
      </c>
      <c r="CT542" s="27" t="s">
        <v>7</v>
      </c>
      <c r="CU542" s="27" t="s">
        <v>8</v>
      </c>
      <c r="CV542" s="27" t="s">
        <v>7</v>
      </c>
      <c r="CW542" s="27" t="s">
        <v>8</v>
      </c>
      <c r="CX542" s="27" t="s">
        <v>7</v>
      </c>
      <c r="CY542" s="27" t="s">
        <v>8</v>
      </c>
      <c r="CZ542" s="27" t="s">
        <v>7</v>
      </c>
      <c r="DA542" s="27" t="s">
        <v>8</v>
      </c>
      <c r="DB542" s="27" t="s">
        <v>7</v>
      </c>
      <c r="DC542" s="27" t="s">
        <v>8</v>
      </c>
      <c r="DD542" s="27" t="s">
        <v>7</v>
      </c>
      <c r="DE542" s="27" t="s">
        <v>8</v>
      </c>
      <c r="DJ542" s="27" t="s">
        <v>7</v>
      </c>
      <c r="DK542" s="27" t="s">
        <v>8</v>
      </c>
      <c r="DL542" s="27" t="s">
        <v>7</v>
      </c>
      <c r="FO542" s="27" t="s">
        <v>8</v>
      </c>
      <c r="FQ542" s="27" t="s">
        <v>8</v>
      </c>
      <c r="FR542" s="27" t="s">
        <v>7</v>
      </c>
      <c r="FS542" s="27" t="s">
        <v>8</v>
      </c>
      <c r="FT542" s="27" t="s">
        <v>7</v>
      </c>
      <c r="FX542" s="27" t="s">
        <v>7</v>
      </c>
      <c r="HW542" s="27" t="s">
        <v>8</v>
      </c>
      <c r="HX542" s="27" t="s">
        <v>7</v>
      </c>
    </row>
    <row r="543" spans="1:232" x14ac:dyDescent="0.25">
      <c r="A543" s="7">
        <v>2.3900531424522997</v>
      </c>
      <c r="B543"/>
      <c r="C543"/>
      <c r="D543"/>
      <c r="E543"/>
      <c r="BG543" s="27" t="s">
        <v>8</v>
      </c>
      <c r="BH543" s="27" t="s">
        <v>7</v>
      </c>
      <c r="BK543" s="27" t="s">
        <v>8</v>
      </c>
      <c r="BL543" s="27" t="s">
        <v>7</v>
      </c>
      <c r="BY543" s="27" t="s">
        <v>8</v>
      </c>
      <c r="BZ543" s="27" t="s">
        <v>7</v>
      </c>
      <c r="CA543" s="27" t="s">
        <v>8</v>
      </c>
      <c r="CB543" s="27" t="s">
        <v>7</v>
      </c>
      <c r="CD543" s="27" t="s">
        <v>7</v>
      </c>
      <c r="CE543" s="27" t="s">
        <v>8</v>
      </c>
      <c r="CG543" s="27" t="s">
        <v>8</v>
      </c>
      <c r="CT543" s="27" t="s">
        <v>7</v>
      </c>
      <c r="CU543" s="27" t="s">
        <v>8</v>
      </c>
      <c r="CV543" s="27" t="s">
        <v>7</v>
      </c>
      <c r="CW543" s="27" t="s">
        <v>8</v>
      </c>
      <c r="CX543" s="27" t="s">
        <v>7</v>
      </c>
      <c r="CY543" s="27" t="s">
        <v>8</v>
      </c>
      <c r="CZ543" s="27" t="s">
        <v>7</v>
      </c>
      <c r="DA543" s="27" t="s">
        <v>8</v>
      </c>
      <c r="DB543" s="27" t="s">
        <v>7</v>
      </c>
      <c r="DD543" s="27" t="s">
        <v>7</v>
      </c>
      <c r="DE543" s="27" t="s">
        <v>8</v>
      </c>
      <c r="DJ543" s="27" t="s">
        <v>7</v>
      </c>
      <c r="DK543" s="27" t="s">
        <v>8</v>
      </c>
      <c r="DL543" s="27" t="s">
        <v>7</v>
      </c>
      <c r="FO543" s="27" t="s">
        <v>8</v>
      </c>
      <c r="FP543" s="27" t="s">
        <v>7</v>
      </c>
      <c r="FQ543" s="27" t="s">
        <v>8</v>
      </c>
      <c r="FR543" s="27" t="s">
        <v>7</v>
      </c>
      <c r="FS543" s="27" t="s">
        <v>8</v>
      </c>
      <c r="FX543" s="27" t="s">
        <v>7</v>
      </c>
      <c r="HW543" s="27" t="s">
        <v>8</v>
      </c>
      <c r="HX543" s="27" t="s">
        <v>7</v>
      </c>
    </row>
    <row r="544" spans="1:232" x14ac:dyDescent="0.25">
      <c r="A544" s="7">
        <v>2.343189355345392</v>
      </c>
      <c r="B544"/>
      <c r="C544"/>
      <c r="D544"/>
      <c r="E544"/>
      <c r="BG544" s="27" t="s">
        <v>8</v>
      </c>
      <c r="BH544" s="27" t="s">
        <v>7</v>
      </c>
      <c r="BK544" s="27" t="s">
        <v>8</v>
      </c>
      <c r="BL544" s="27" t="s">
        <v>7</v>
      </c>
      <c r="BW544" s="27" t="s">
        <v>8</v>
      </c>
      <c r="BY544" s="27" t="s">
        <v>8</v>
      </c>
      <c r="BZ544" s="27" t="s">
        <v>7</v>
      </c>
      <c r="CA544" s="27" t="s">
        <v>8</v>
      </c>
      <c r="CD544" s="27" t="s">
        <v>7</v>
      </c>
      <c r="CE544" s="27" t="s">
        <v>8</v>
      </c>
      <c r="CF544" s="27" t="s">
        <v>7</v>
      </c>
      <c r="CG544" s="27" t="s">
        <v>8</v>
      </c>
      <c r="CT544" s="27" t="s">
        <v>7</v>
      </c>
      <c r="CU544" s="27" t="s">
        <v>8</v>
      </c>
      <c r="CV544" s="27" t="s">
        <v>7</v>
      </c>
      <c r="CW544" s="27" t="s">
        <v>8</v>
      </c>
      <c r="CX544" s="27" t="s">
        <v>7</v>
      </c>
      <c r="CY544" s="27" t="s">
        <v>8</v>
      </c>
      <c r="CZ544" s="27" t="s">
        <v>7</v>
      </c>
      <c r="DA544" s="27" t="s">
        <v>8</v>
      </c>
      <c r="DD544" s="27" t="s">
        <v>7</v>
      </c>
      <c r="DJ544" s="27" t="s">
        <v>7</v>
      </c>
      <c r="DL544" s="27" t="s">
        <v>7</v>
      </c>
      <c r="DM544" s="27" t="s">
        <v>8</v>
      </c>
      <c r="FO544" s="27" t="s">
        <v>8</v>
      </c>
      <c r="FP544" s="27" t="s">
        <v>7</v>
      </c>
      <c r="FQ544" s="27" t="s">
        <v>8</v>
      </c>
      <c r="FR544" s="27" t="s">
        <v>7</v>
      </c>
      <c r="FS544" s="27" t="s">
        <v>8</v>
      </c>
      <c r="FX544" s="27" t="s">
        <v>7</v>
      </c>
      <c r="FY544" s="27" t="s">
        <v>8</v>
      </c>
      <c r="HW544" s="27" t="s">
        <v>8</v>
      </c>
      <c r="HX544" s="27" t="s">
        <v>7</v>
      </c>
    </row>
    <row r="545" spans="1:248" x14ac:dyDescent="0.25">
      <c r="A545" s="7">
        <v>2.2972444660248938</v>
      </c>
      <c r="B545"/>
      <c r="C545"/>
      <c r="D545"/>
      <c r="E545"/>
      <c r="BG545" s="27" t="s">
        <v>8</v>
      </c>
      <c r="BH545" s="27" t="s">
        <v>7</v>
      </c>
      <c r="BI545" s="27" t="s">
        <v>8</v>
      </c>
      <c r="BK545" s="27" t="s">
        <v>8</v>
      </c>
      <c r="BL545" s="27" t="s">
        <v>7</v>
      </c>
      <c r="BW545" s="27" t="s">
        <v>8</v>
      </c>
      <c r="BX545" s="27" t="s">
        <v>7</v>
      </c>
      <c r="BY545" s="27" t="s">
        <v>8</v>
      </c>
      <c r="BZ545" s="27" t="s">
        <v>7</v>
      </c>
      <c r="CA545" s="27" t="s">
        <v>8</v>
      </c>
      <c r="CD545" s="27" t="s">
        <v>7</v>
      </c>
      <c r="CE545" s="27" t="s">
        <v>8</v>
      </c>
      <c r="CF545" s="27" t="s">
        <v>7</v>
      </c>
      <c r="CG545" s="27" t="s">
        <v>8</v>
      </c>
      <c r="CT545" s="27" t="s">
        <v>7</v>
      </c>
      <c r="CU545" s="27" t="s">
        <v>8</v>
      </c>
      <c r="CV545" s="27" t="s">
        <v>7</v>
      </c>
      <c r="CW545" s="27" t="s">
        <v>8</v>
      </c>
      <c r="CX545" s="27" t="s">
        <v>7</v>
      </c>
      <c r="CY545" s="27" t="s">
        <v>8</v>
      </c>
      <c r="CZ545" s="27" t="s">
        <v>7</v>
      </c>
      <c r="DA545" s="27" t="s">
        <v>8</v>
      </c>
      <c r="DL545" s="27" t="s">
        <v>7</v>
      </c>
      <c r="DM545" s="27" t="s">
        <v>8</v>
      </c>
      <c r="DN545" s="27" t="s">
        <v>7</v>
      </c>
      <c r="FO545" s="27" t="s">
        <v>8</v>
      </c>
      <c r="FP545" s="27" t="s">
        <v>7</v>
      </c>
      <c r="FQ545" s="27" t="s">
        <v>8</v>
      </c>
      <c r="FR545" s="27" t="s">
        <v>7</v>
      </c>
      <c r="FS545" s="27" t="s">
        <v>8</v>
      </c>
      <c r="FX545" s="27" t="s">
        <v>7</v>
      </c>
      <c r="FY545" s="27" t="s">
        <v>8</v>
      </c>
      <c r="FZ545" s="27" t="s">
        <v>7</v>
      </c>
      <c r="HI545" s="27" t="s">
        <v>8</v>
      </c>
      <c r="HW545" s="27" t="s">
        <v>8</v>
      </c>
      <c r="HX545" s="27" t="s">
        <v>7</v>
      </c>
    </row>
    <row r="546" spans="1:248" x14ac:dyDescent="0.25">
      <c r="A546" s="7">
        <v>2.252200456887151</v>
      </c>
      <c r="B546"/>
      <c r="C546"/>
      <c r="D546"/>
      <c r="E546"/>
      <c r="BG546" s="27" t="s">
        <v>8</v>
      </c>
      <c r="BH546" s="27" t="s">
        <v>7</v>
      </c>
      <c r="BI546" s="27" t="s">
        <v>8</v>
      </c>
      <c r="BJ546" s="27" t="s">
        <v>7</v>
      </c>
      <c r="BK546" s="27" t="s">
        <v>8</v>
      </c>
      <c r="BL546" s="27" t="s">
        <v>7</v>
      </c>
      <c r="BM546" s="27" t="s">
        <v>8</v>
      </c>
      <c r="BW546" s="27" t="s">
        <v>8</v>
      </c>
      <c r="BX546" s="27" t="s">
        <v>7</v>
      </c>
      <c r="BY546" s="27" t="s">
        <v>8</v>
      </c>
      <c r="BZ546" s="27" t="s">
        <v>7</v>
      </c>
      <c r="CA546" s="27" t="s">
        <v>8</v>
      </c>
      <c r="CD546" s="27" t="s">
        <v>7</v>
      </c>
      <c r="CE546" s="27" t="s">
        <v>8</v>
      </c>
      <c r="CF546" s="27" t="s">
        <v>7</v>
      </c>
      <c r="CG546" s="27" t="s">
        <v>8</v>
      </c>
      <c r="CT546" s="27" t="s">
        <v>7</v>
      </c>
      <c r="CU546" s="27" t="s">
        <v>8</v>
      </c>
      <c r="CV546" s="27" t="s">
        <v>7</v>
      </c>
      <c r="CW546" s="27" t="s">
        <v>8</v>
      </c>
      <c r="CX546" s="27" t="s">
        <v>7</v>
      </c>
      <c r="CY546" s="27" t="s">
        <v>8</v>
      </c>
      <c r="CZ546" s="27" t="s">
        <v>7</v>
      </c>
      <c r="DA546" s="27" t="s">
        <v>8</v>
      </c>
      <c r="DL546" s="27" t="s">
        <v>7</v>
      </c>
      <c r="DM546" s="27" t="s">
        <v>8</v>
      </c>
      <c r="DN546" s="27" t="s">
        <v>7</v>
      </c>
      <c r="FO546" s="27" t="s">
        <v>8</v>
      </c>
      <c r="FP546" s="27" t="s">
        <v>7</v>
      </c>
      <c r="FQ546" s="27" t="s">
        <v>8</v>
      </c>
      <c r="FR546" s="27" t="s">
        <v>7</v>
      </c>
      <c r="FS546" s="27" t="s">
        <v>8</v>
      </c>
      <c r="FX546" s="27" t="s">
        <v>7</v>
      </c>
      <c r="FY546" s="27" t="s">
        <v>8</v>
      </c>
      <c r="FZ546" s="27" t="s">
        <v>7</v>
      </c>
      <c r="GA546" s="27" t="s">
        <v>8</v>
      </c>
      <c r="HC546" s="27" t="s">
        <v>8</v>
      </c>
      <c r="HG546" s="27" t="s">
        <v>8</v>
      </c>
      <c r="HI546" s="27" t="s">
        <v>8</v>
      </c>
      <c r="HJ546" s="27" t="s">
        <v>7</v>
      </c>
      <c r="HW546" s="27" t="s">
        <v>8</v>
      </c>
      <c r="HX546" s="27" t="s">
        <v>7</v>
      </c>
    </row>
    <row r="547" spans="1:248" x14ac:dyDescent="0.25">
      <c r="A547" s="7">
        <v>2.208039663614854</v>
      </c>
      <c r="B547"/>
      <c r="C547"/>
      <c r="D547"/>
      <c r="E547"/>
      <c r="BG547" s="27" t="s">
        <v>8</v>
      </c>
      <c r="BH547" s="27" t="s">
        <v>7</v>
      </c>
      <c r="BI547" s="27" t="s">
        <v>8</v>
      </c>
      <c r="BJ547" s="27" t="s">
        <v>7</v>
      </c>
      <c r="BK547" s="27" t="s">
        <v>8</v>
      </c>
      <c r="BL547" s="27" t="s">
        <v>7</v>
      </c>
      <c r="BM547" s="27" t="s">
        <v>8</v>
      </c>
      <c r="BN547" s="27" t="s">
        <v>7</v>
      </c>
      <c r="BW547" s="27" t="s">
        <v>8</v>
      </c>
      <c r="BX547" s="27" t="s">
        <v>7</v>
      </c>
      <c r="BY547" s="27" t="s">
        <v>8</v>
      </c>
      <c r="BZ547" s="27" t="s">
        <v>7</v>
      </c>
      <c r="CD547" s="27" t="s">
        <v>7</v>
      </c>
      <c r="CE547" s="27" t="s">
        <v>8</v>
      </c>
      <c r="CF547" s="27" t="s">
        <v>7</v>
      </c>
      <c r="CT547" s="27" t="s">
        <v>7</v>
      </c>
      <c r="CU547" s="27" t="s">
        <v>8</v>
      </c>
      <c r="CV547" s="27" t="s">
        <v>7</v>
      </c>
      <c r="CW547" s="27" t="s">
        <v>8</v>
      </c>
      <c r="CX547" s="27" t="s">
        <v>7</v>
      </c>
      <c r="CY547" s="27" t="s">
        <v>8</v>
      </c>
      <c r="CZ547" s="27" t="s">
        <v>7</v>
      </c>
      <c r="DA547" s="27" t="s">
        <v>8</v>
      </c>
      <c r="DL547" s="27" t="s">
        <v>7</v>
      </c>
      <c r="DM547" s="27" t="s">
        <v>8</v>
      </c>
      <c r="DN547" s="27" t="s">
        <v>7</v>
      </c>
      <c r="FO547" s="27" t="s">
        <v>8</v>
      </c>
      <c r="FP547" s="27" t="s">
        <v>7</v>
      </c>
      <c r="FR547" s="27" t="s">
        <v>7</v>
      </c>
      <c r="FS547" s="27" t="s">
        <v>8</v>
      </c>
      <c r="FX547" s="27" t="s">
        <v>7</v>
      </c>
      <c r="FY547" s="27" t="s">
        <v>8</v>
      </c>
      <c r="FZ547" s="27" t="s">
        <v>7</v>
      </c>
      <c r="GA547" s="27" t="s">
        <v>8</v>
      </c>
      <c r="GB547" s="27" t="s">
        <v>7</v>
      </c>
      <c r="GO547" s="27" t="s">
        <v>8</v>
      </c>
      <c r="GQ547" s="27" t="s">
        <v>8</v>
      </c>
      <c r="GU547" s="27" t="s">
        <v>8</v>
      </c>
      <c r="HC547" s="27" t="s">
        <v>8</v>
      </c>
      <c r="HD547" s="27" t="s">
        <v>7</v>
      </c>
      <c r="HG547" s="27" t="s">
        <v>8</v>
      </c>
      <c r="HH547" s="27" t="s">
        <v>7</v>
      </c>
      <c r="HI547" s="27" t="s">
        <v>8</v>
      </c>
      <c r="HJ547" s="27" t="s">
        <v>7</v>
      </c>
      <c r="HW547" s="27" t="s">
        <v>8</v>
      </c>
      <c r="HX547" s="27" t="s">
        <v>7</v>
      </c>
    </row>
    <row r="548" spans="1:248" x14ac:dyDescent="0.25">
      <c r="A548" s="7">
        <v>2.1647447682498568</v>
      </c>
      <c r="B548"/>
      <c r="C548"/>
      <c r="D548"/>
      <c r="E548"/>
      <c r="BG548" s="27" t="s">
        <v>8</v>
      </c>
      <c r="BH548" s="27" t="s">
        <v>7</v>
      </c>
      <c r="BI548" s="27" t="s">
        <v>8</v>
      </c>
      <c r="BJ548" s="27" t="s">
        <v>7</v>
      </c>
      <c r="BK548" s="27" t="s">
        <v>8</v>
      </c>
      <c r="BL548" s="27" t="s">
        <v>7</v>
      </c>
      <c r="BM548" s="27" t="s">
        <v>8</v>
      </c>
      <c r="BN548" s="27" t="s">
        <v>7</v>
      </c>
      <c r="BU548" s="27" t="s">
        <v>8</v>
      </c>
      <c r="BW548" s="27" t="s">
        <v>8</v>
      </c>
      <c r="BX548" s="27" t="s">
        <v>7</v>
      </c>
      <c r="BY548" s="27" t="s">
        <v>8</v>
      </c>
      <c r="CD548" s="27" t="s">
        <v>7</v>
      </c>
      <c r="CE548" s="27" t="s">
        <v>8</v>
      </c>
      <c r="CT548" s="27" t="s">
        <v>7</v>
      </c>
      <c r="CU548" s="27" t="s">
        <v>8</v>
      </c>
      <c r="CV548" s="27" t="s">
        <v>7</v>
      </c>
      <c r="CW548" s="27" t="s">
        <v>8</v>
      </c>
      <c r="CX548" s="27" t="s">
        <v>7</v>
      </c>
      <c r="CY548" s="27" t="s">
        <v>8</v>
      </c>
      <c r="CZ548" s="27" t="s">
        <v>7</v>
      </c>
      <c r="DL548" s="27" t="s">
        <v>7</v>
      </c>
      <c r="DM548" s="27" t="s">
        <v>8</v>
      </c>
      <c r="DN548" s="27" t="s">
        <v>7</v>
      </c>
      <c r="FM548" s="27" t="s">
        <v>8</v>
      </c>
      <c r="FO548" s="27" t="s">
        <v>8</v>
      </c>
      <c r="FR548" s="27" t="s">
        <v>7</v>
      </c>
      <c r="FX548" s="27" t="s">
        <v>7</v>
      </c>
      <c r="FY548" s="27" t="s">
        <v>8</v>
      </c>
      <c r="FZ548" s="27" t="s">
        <v>7</v>
      </c>
      <c r="GA548" s="27" t="s">
        <v>8</v>
      </c>
      <c r="GB548" s="27" t="s">
        <v>7</v>
      </c>
      <c r="GC548" s="27" t="s">
        <v>8</v>
      </c>
      <c r="GO548" s="27" t="s">
        <v>8</v>
      </c>
      <c r="GP548" s="27" t="s">
        <v>7</v>
      </c>
      <c r="GQ548" s="27" t="s">
        <v>8</v>
      </c>
      <c r="GR548" s="27" t="s">
        <v>7</v>
      </c>
      <c r="GU548" s="27" t="s">
        <v>8</v>
      </c>
      <c r="GV548" s="27" t="s">
        <v>7</v>
      </c>
      <c r="GW548" s="27" t="s">
        <v>8</v>
      </c>
      <c r="HC548" s="27" t="s">
        <v>8</v>
      </c>
      <c r="HD548" s="27" t="s">
        <v>7</v>
      </c>
      <c r="HG548" s="27" t="s">
        <v>8</v>
      </c>
      <c r="HH548" s="27" t="s">
        <v>7</v>
      </c>
      <c r="HI548" s="27" t="s">
        <v>8</v>
      </c>
      <c r="HJ548" s="27" t="s">
        <v>7</v>
      </c>
      <c r="HK548" s="27" t="s">
        <v>8</v>
      </c>
      <c r="HW548" s="27" t="s">
        <v>8</v>
      </c>
      <c r="HX548" s="27" t="s">
        <v>7</v>
      </c>
      <c r="II548" s="27" t="s">
        <v>8</v>
      </c>
    </row>
    <row r="549" spans="1:248" x14ac:dyDescent="0.25">
      <c r="A549" s="7">
        <v>2.1222987924018204</v>
      </c>
      <c r="B549"/>
      <c r="C549"/>
      <c r="D549"/>
      <c r="E549"/>
      <c r="BG549" s="27" t="s">
        <v>8</v>
      </c>
      <c r="BH549" s="27" t="s">
        <v>7</v>
      </c>
      <c r="BI549" s="27" t="s">
        <v>8</v>
      </c>
      <c r="BJ549" s="27" t="s">
        <v>7</v>
      </c>
      <c r="BK549" s="27" t="s">
        <v>8</v>
      </c>
      <c r="BL549" s="27" t="s">
        <v>7</v>
      </c>
      <c r="BM549" s="27" t="s">
        <v>8</v>
      </c>
      <c r="BN549" s="27" t="s">
        <v>7</v>
      </c>
      <c r="BU549" s="27" t="s">
        <v>8</v>
      </c>
      <c r="BV549" s="27" t="s">
        <v>7</v>
      </c>
      <c r="BW549" s="27" t="s">
        <v>8</v>
      </c>
      <c r="BX549" s="27" t="s">
        <v>7</v>
      </c>
      <c r="BY549" s="27" t="s">
        <v>8</v>
      </c>
      <c r="CD549" s="27" t="s">
        <v>7</v>
      </c>
      <c r="CE549" s="27" t="s">
        <v>8</v>
      </c>
      <c r="CT549" s="27" t="s">
        <v>7</v>
      </c>
      <c r="CU549" s="27" t="s">
        <v>8</v>
      </c>
      <c r="CV549" s="27" t="s">
        <v>7</v>
      </c>
      <c r="CW549" s="27" t="s">
        <v>8</v>
      </c>
      <c r="CX549" s="27" t="s">
        <v>7</v>
      </c>
      <c r="CY549" s="27" t="s">
        <v>8</v>
      </c>
      <c r="DL549" s="27" t="s">
        <v>7</v>
      </c>
      <c r="DM549" s="27" t="s">
        <v>8</v>
      </c>
      <c r="DN549" s="27" t="s">
        <v>7</v>
      </c>
      <c r="DO549" s="27" t="s">
        <v>8</v>
      </c>
      <c r="FM549" s="27" t="s">
        <v>8</v>
      </c>
      <c r="FN549" s="27" t="s">
        <v>7</v>
      </c>
      <c r="FO549" s="27" t="s">
        <v>8</v>
      </c>
      <c r="FX549" s="27" t="s">
        <v>7</v>
      </c>
      <c r="FY549" s="27" t="s">
        <v>8</v>
      </c>
      <c r="FZ549" s="27" t="s">
        <v>7</v>
      </c>
      <c r="GA549" s="27" t="s">
        <v>8</v>
      </c>
      <c r="GB549" s="27" t="s">
        <v>7</v>
      </c>
      <c r="GC549" s="27" t="s">
        <v>8</v>
      </c>
      <c r="GD549" s="27" t="s">
        <v>7</v>
      </c>
      <c r="GE549" s="27" t="s">
        <v>8</v>
      </c>
      <c r="GO549" s="27" t="s">
        <v>8</v>
      </c>
      <c r="GP549" s="27" t="s">
        <v>7</v>
      </c>
      <c r="GQ549" s="27" t="s">
        <v>8</v>
      </c>
      <c r="GR549" s="27" t="s">
        <v>7</v>
      </c>
      <c r="GS549" s="27" t="s">
        <v>8</v>
      </c>
      <c r="GU549" s="27" t="s">
        <v>8</v>
      </c>
      <c r="GV549" s="27" t="s">
        <v>7</v>
      </c>
      <c r="GW549" s="27" t="s">
        <v>8</v>
      </c>
      <c r="GX549" s="27" t="s">
        <v>7</v>
      </c>
      <c r="HA549" s="27" t="s">
        <v>8</v>
      </c>
      <c r="HC549" s="27" t="s">
        <v>8</v>
      </c>
      <c r="HD549" s="27" t="s">
        <v>7</v>
      </c>
      <c r="HG549" s="27" t="s">
        <v>8</v>
      </c>
      <c r="HH549" s="27" t="s">
        <v>7</v>
      </c>
      <c r="HI549" s="27" t="s">
        <v>8</v>
      </c>
      <c r="HJ549" s="27" t="s">
        <v>7</v>
      </c>
      <c r="HK549" s="27" t="s">
        <v>8</v>
      </c>
      <c r="HL549" s="27" t="s">
        <v>7</v>
      </c>
      <c r="HW549" s="27" t="s">
        <v>8</v>
      </c>
      <c r="HX549" s="27" t="s">
        <v>7</v>
      </c>
      <c r="II549" s="27" t="s">
        <v>8</v>
      </c>
      <c r="IJ549" s="27" t="s">
        <v>7</v>
      </c>
    </row>
    <row r="550" spans="1:248" x14ac:dyDescent="0.25">
      <c r="A550" s="7">
        <v>2.0806850905900198</v>
      </c>
      <c r="B550"/>
      <c r="C550"/>
      <c r="D550"/>
      <c r="E550"/>
      <c r="BG550" s="27" t="s">
        <v>8</v>
      </c>
      <c r="BH550" s="27" t="s">
        <v>7</v>
      </c>
      <c r="BI550" s="27" t="s">
        <v>8</v>
      </c>
      <c r="BJ550" s="27" t="s">
        <v>7</v>
      </c>
      <c r="BK550" s="27" t="s">
        <v>8</v>
      </c>
      <c r="BL550" s="27" t="s">
        <v>7</v>
      </c>
      <c r="BM550" s="27" t="s">
        <v>8</v>
      </c>
      <c r="BN550" s="27" t="s">
        <v>7</v>
      </c>
      <c r="BU550" s="27" t="s">
        <v>8</v>
      </c>
      <c r="BV550" s="27" t="s">
        <v>7</v>
      </c>
      <c r="BW550" s="27" t="s">
        <v>8</v>
      </c>
      <c r="BX550" s="27" t="s">
        <v>7</v>
      </c>
      <c r="BY550" s="27" t="s">
        <v>8</v>
      </c>
      <c r="CD550" s="27" t="s">
        <v>7</v>
      </c>
      <c r="CE550" s="27" t="s">
        <v>8</v>
      </c>
      <c r="CT550" s="27" t="s">
        <v>7</v>
      </c>
      <c r="CU550" s="27" t="s">
        <v>8</v>
      </c>
      <c r="CV550" s="27" t="s">
        <v>7</v>
      </c>
      <c r="CW550" s="27" t="s">
        <v>8</v>
      </c>
      <c r="CX550" s="27" t="s">
        <v>7</v>
      </c>
      <c r="CY550" s="27" t="s">
        <v>8</v>
      </c>
      <c r="DL550" s="27" t="s">
        <v>7</v>
      </c>
      <c r="DM550" s="27" t="s">
        <v>8</v>
      </c>
      <c r="DN550" s="27" t="s">
        <v>7</v>
      </c>
      <c r="DO550" s="27" t="s">
        <v>8</v>
      </c>
      <c r="DP550" s="27" t="s">
        <v>7</v>
      </c>
      <c r="FM550" s="27" t="s">
        <v>8</v>
      </c>
      <c r="FN550" s="27" t="s">
        <v>7</v>
      </c>
      <c r="FO550" s="27" t="s">
        <v>8</v>
      </c>
      <c r="FX550" s="27" t="s">
        <v>7</v>
      </c>
      <c r="FY550" s="27" t="s">
        <v>8</v>
      </c>
      <c r="FZ550" s="27" t="s">
        <v>7</v>
      </c>
      <c r="GA550" s="27" t="s">
        <v>8</v>
      </c>
      <c r="GB550" s="27" t="s">
        <v>7</v>
      </c>
      <c r="GC550" s="27" t="s">
        <v>8</v>
      </c>
      <c r="GD550" s="27" t="s">
        <v>7</v>
      </c>
      <c r="GE550" s="27" t="s">
        <v>8</v>
      </c>
      <c r="GF550" s="27" t="s">
        <v>7</v>
      </c>
      <c r="GO550" s="27" t="s">
        <v>8</v>
      </c>
      <c r="GP550" s="27" t="s">
        <v>7</v>
      </c>
      <c r="GQ550" s="27" t="s">
        <v>8</v>
      </c>
      <c r="GR550" s="27" t="s">
        <v>7</v>
      </c>
      <c r="GS550" s="27" t="s">
        <v>8</v>
      </c>
      <c r="GT550" s="27" t="s">
        <v>7</v>
      </c>
      <c r="GU550" s="27" t="s">
        <v>8</v>
      </c>
      <c r="GV550" s="27" t="s">
        <v>7</v>
      </c>
      <c r="GW550" s="27" t="s">
        <v>8</v>
      </c>
      <c r="GX550" s="27" t="s">
        <v>7</v>
      </c>
      <c r="GY550" s="27" t="s">
        <v>8</v>
      </c>
      <c r="HA550" s="27" t="s">
        <v>8</v>
      </c>
      <c r="HB550" s="27" t="s">
        <v>7</v>
      </c>
      <c r="HC550" s="27" t="s">
        <v>8</v>
      </c>
      <c r="HD550" s="27" t="s">
        <v>7</v>
      </c>
      <c r="HG550" s="27" t="s">
        <v>8</v>
      </c>
      <c r="HH550" s="27" t="s">
        <v>7</v>
      </c>
      <c r="HI550" s="27" t="s">
        <v>8</v>
      </c>
      <c r="HJ550" s="27" t="s">
        <v>7</v>
      </c>
      <c r="HK550" s="27" t="s">
        <v>8</v>
      </c>
      <c r="HL550" s="27" t="s">
        <v>7</v>
      </c>
      <c r="HW550" s="27" t="s">
        <v>8</v>
      </c>
      <c r="HX550" s="27" t="s">
        <v>7</v>
      </c>
      <c r="II550" s="27" t="s">
        <v>8</v>
      </c>
      <c r="IJ550" s="27" t="s">
        <v>7</v>
      </c>
    </row>
    <row r="551" spans="1:248" x14ac:dyDescent="0.25">
      <c r="A551" s="7">
        <v>2.0398873437157055</v>
      </c>
      <c r="B551"/>
      <c r="C551"/>
      <c r="D551"/>
      <c r="E551"/>
      <c r="BG551" s="27" t="s">
        <v>8</v>
      </c>
      <c r="BH551" s="27" t="s">
        <v>7</v>
      </c>
      <c r="BI551" s="27" t="s">
        <v>8</v>
      </c>
      <c r="BJ551" s="27" t="s">
        <v>7</v>
      </c>
      <c r="BL551" s="27" t="s">
        <v>7</v>
      </c>
      <c r="BM551" s="27" t="s">
        <v>8</v>
      </c>
      <c r="BN551" s="27" t="s">
        <v>7</v>
      </c>
      <c r="BU551" s="27" t="s">
        <v>8</v>
      </c>
      <c r="BV551" s="27" t="s">
        <v>7</v>
      </c>
      <c r="BW551" s="27" t="s">
        <v>8</v>
      </c>
      <c r="BX551" s="27" t="s">
        <v>7</v>
      </c>
      <c r="CD551" s="27" t="s">
        <v>7</v>
      </c>
      <c r="CE551" s="27" t="s">
        <v>8</v>
      </c>
      <c r="CT551" s="27" t="s">
        <v>7</v>
      </c>
      <c r="CU551" s="27" t="s">
        <v>8</v>
      </c>
      <c r="CV551" s="27" t="s">
        <v>7</v>
      </c>
      <c r="CW551" s="27" t="s">
        <v>8</v>
      </c>
      <c r="CX551" s="27" t="s">
        <v>7</v>
      </c>
      <c r="CY551" s="27" t="s">
        <v>8</v>
      </c>
      <c r="DL551" s="27" t="s">
        <v>7</v>
      </c>
      <c r="DN551" s="27" t="s">
        <v>7</v>
      </c>
      <c r="DO551" s="27" t="s">
        <v>8</v>
      </c>
      <c r="DP551" s="27" t="s">
        <v>7</v>
      </c>
      <c r="FM551" s="27" t="s">
        <v>8</v>
      </c>
      <c r="FN551" s="27" t="s">
        <v>7</v>
      </c>
      <c r="FO551" s="27" t="s">
        <v>8</v>
      </c>
      <c r="FX551" s="27" t="s">
        <v>7</v>
      </c>
      <c r="FY551" s="27" t="s">
        <v>8</v>
      </c>
      <c r="FZ551" s="27" t="s">
        <v>7</v>
      </c>
      <c r="GB551" s="27" t="s">
        <v>7</v>
      </c>
      <c r="GC551" s="27" t="s">
        <v>8</v>
      </c>
      <c r="GD551" s="27" t="s">
        <v>7</v>
      </c>
      <c r="GE551" s="27" t="s">
        <v>8</v>
      </c>
      <c r="GF551" s="27" t="s">
        <v>7</v>
      </c>
      <c r="GO551" s="27" t="s">
        <v>8</v>
      </c>
      <c r="GP551" s="27" t="s">
        <v>7</v>
      </c>
      <c r="GQ551" s="27" t="s">
        <v>8</v>
      </c>
      <c r="GR551" s="27" t="s">
        <v>7</v>
      </c>
      <c r="GS551" s="27" t="s">
        <v>8</v>
      </c>
      <c r="GT551" s="27" t="s">
        <v>7</v>
      </c>
      <c r="GU551" s="27" t="s">
        <v>8</v>
      </c>
      <c r="GV551" s="27" t="s">
        <v>7</v>
      </c>
      <c r="GW551" s="27" t="s">
        <v>8</v>
      </c>
      <c r="GX551" s="27" t="s">
        <v>7</v>
      </c>
      <c r="GY551" s="27" t="s">
        <v>8</v>
      </c>
      <c r="GZ551" s="27" t="s">
        <v>7</v>
      </c>
      <c r="HA551" s="27" t="s">
        <v>8</v>
      </c>
      <c r="HB551" s="27" t="s">
        <v>7</v>
      </c>
      <c r="HC551" s="27" t="s">
        <v>8</v>
      </c>
      <c r="HD551" s="27" t="s">
        <v>7</v>
      </c>
      <c r="HG551" s="27" t="s">
        <v>8</v>
      </c>
      <c r="HH551" s="27" t="s">
        <v>7</v>
      </c>
      <c r="HJ551" s="27" t="s">
        <v>7</v>
      </c>
      <c r="HL551" s="27" t="s">
        <v>7</v>
      </c>
      <c r="HW551" s="27" t="s">
        <v>8</v>
      </c>
      <c r="HX551" s="27" t="s">
        <v>7</v>
      </c>
      <c r="II551" s="27" t="s">
        <v>8</v>
      </c>
      <c r="IJ551" s="27" t="s">
        <v>7</v>
      </c>
    </row>
    <row r="552" spans="1:248" x14ac:dyDescent="0.25">
      <c r="A552" s="7">
        <v>1.9998895526624565</v>
      </c>
      <c r="B552"/>
      <c r="C552"/>
      <c r="D552"/>
      <c r="E552"/>
      <c r="BG552" s="27" t="s">
        <v>8</v>
      </c>
      <c r="BH552" s="27" t="s">
        <v>7</v>
      </c>
      <c r="BI552" s="27" t="s">
        <v>8</v>
      </c>
      <c r="BL552" s="27" t="s">
        <v>7</v>
      </c>
      <c r="BM552" s="27" t="s">
        <v>8</v>
      </c>
      <c r="BN552" s="27" t="s">
        <v>7</v>
      </c>
      <c r="BU552" s="27" t="s">
        <v>8</v>
      </c>
      <c r="BV552" s="27" t="s">
        <v>7</v>
      </c>
      <c r="BW552" s="27" t="s">
        <v>8</v>
      </c>
      <c r="CD552" s="27" t="s">
        <v>7</v>
      </c>
      <c r="CE552" s="27" t="s">
        <v>8</v>
      </c>
      <c r="CT552" s="27" t="s">
        <v>7</v>
      </c>
      <c r="CU552" s="27" t="s">
        <v>8</v>
      </c>
      <c r="CV552" s="27" t="s">
        <v>7</v>
      </c>
      <c r="CW552" s="27" t="s">
        <v>8</v>
      </c>
      <c r="CX552" s="27" t="s">
        <v>7</v>
      </c>
      <c r="CY552" s="27" t="s">
        <v>8</v>
      </c>
      <c r="DN552" s="27" t="s">
        <v>7</v>
      </c>
      <c r="DO552" s="27" t="s">
        <v>8</v>
      </c>
      <c r="DP552" s="27" t="s">
        <v>7</v>
      </c>
      <c r="FM552" s="27" t="s">
        <v>8</v>
      </c>
      <c r="FN552" s="27" t="s">
        <v>7</v>
      </c>
      <c r="FO552" s="27" t="s">
        <v>8</v>
      </c>
      <c r="FX552" s="27" t="s">
        <v>7</v>
      </c>
      <c r="FY552" s="27" t="s">
        <v>8</v>
      </c>
      <c r="GB552" s="27" t="s">
        <v>7</v>
      </c>
      <c r="GC552" s="27" t="s">
        <v>8</v>
      </c>
      <c r="GD552" s="27" t="s">
        <v>7</v>
      </c>
      <c r="GE552" s="27" t="s">
        <v>8</v>
      </c>
      <c r="GF552" s="27" t="s">
        <v>7</v>
      </c>
      <c r="GO552" s="27" t="s">
        <v>8</v>
      </c>
      <c r="GP552" s="27" t="s">
        <v>7</v>
      </c>
      <c r="GQ552" s="27" t="s">
        <v>8</v>
      </c>
      <c r="GR552" s="27" t="s">
        <v>7</v>
      </c>
      <c r="GS552" s="27" t="s">
        <v>8</v>
      </c>
      <c r="GT552" s="27" t="s">
        <v>7</v>
      </c>
      <c r="GU552" s="27" t="s">
        <v>8</v>
      </c>
      <c r="GV552" s="27" t="s">
        <v>7</v>
      </c>
      <c r="GX552" s="27" t="s">
        <v>7</v>
      </c>
      <c r="GY552" s="27" t="s">
        <v>8</v>
      </c>
      <c r="GZ552" s="27" t="s">
        <v>7</v>
      </c>
      <c r="HA552" s="27" t="s">
        <v>8</v>
      </c>
      <c r="HB552" s="27" t="s">
        <v>7</v>
      </c>
      <c r="HC552" s="27" t="s">
        <v>8</v>
      </c>
      <c r="HD552" s="27" t="s">
        <v>7</v>
      </c>
      <c r="HG552" s="27" t="s">
        <v>8</v>
      </c>
      <c r="HL552" s="27" t="s">
        <v>7</v>
      </c>
      <c r="HM552" s="27" t="s">
        <v>8</v>
      </c>
      <c r="HW552" s="27" t="s">
        <v>8</v>
      </c>
      <c r="HX552" s="27" t="s">
        <v>7</v>
      </c>
      <c r="II552" s="27" t="s">
        <v>8</v>
      </c>
      <c r="IJ552" s="27" t="s">
        <v>7</v>
      </c>
      <c r="IK552" s="27" t="s">
        <v>8</v>
      </c>
    </row>
    <row r="553" spans="1:248" x14ac:dyDescent="0.25">
      <c r="A553" s="7">
        <v>1.9606760320220162</v>
      </c>
      <c r="B553"/>
      <c r="C553"/>
      <c r="D553"/>
      <c r="E553"/>
      <c r="BG553" s="27" t="s">
        <v>8</v>
      </c>
      <c r="BH553" s="27" t="s">
        <v>7</v>
      </c>
      <c r="BI553" s="27" t="s">
        <v>8</v>
      </c>
      <c r="BL553" s="27" t="s">
        <v>7</v>
      </c>
      <c r="BM553" s="27" t="s">
        <v>8</v>
      </c>
      <c r="BN553" s="27" t="s">
        <v>7</v>
      </c>
      <c r="BU553" s="27" t="s">
        <v>8</v>
      </c>
      <c r="BV553" s="27" t="s">
        <v>7</v>
      </c>
      <c r="CD553" s="27" t="s">
        <v>7</v>
      </c>
      <c r="CT553" s="27" t="s">
        <v>7</v>
      </c>
      <c r="CU553" s="27" t="s">
        <v>8</v>
      </c>
      <c r="CV553" s="27" t="s">
        <v>7</v>
      </c>
      <c r="CX553" s="27" t="s">
        <v>7</v>
      </c>
      <c r="CY553" s="27" t="s">
        <v>8</v>
      </c>
      <c r="DN553" s="27" t="s">
        <v>7</v>
      </c>
      <c r="DO553" s="27" t="s">
        <v>8</v>
      </c>
      <c r="DP553" s="27" t="s">
        <v>7</v>
      </c>
      <c r="FM553" s="27" t="s">
        <v>8</v>
      </c>
      <c r="FN553" s="27" t="s">
        <v>7</v>
      </c>
      <c r="FO553" s="27" t="s">
        <v>8</v>
      </c>
      <c r="FX553" s="27" t="s">
        <v>7</v>
      </c>
      <c r="FY553" s="27" t="s">
        <v>8</v>
      </c>
      <c r="GB553" s="27" t="s">
        <v>7</v>
      </c>
      <c r="GC553" s="27" t="s">
        <v>8</v>
      </c>
      <c r="GD553" s="27" t="s">
        <v>7</v>
      </c>
      <c r="GE553" s="27" t="s">
        <v>8</v>
      </c>
      <c r="GF553" s="27" t="s">
        <v>7</v>
      </c>
      <c r="GG553" s="27" t="s">
        <v>8</v>
      </c>
      <c r="GM553" s="27" t="s">
        <v>8</v>
      </c>
      <c r="GO553" s="27" t="s">
        <v>8</v>
      </c>
      <c r="GP553" s="27" t="s">
        <v>7</v>
      </c>
      <c r="GQ553" s="27" t="s">
        <v>8</v>
      </c>
      <c r="GR553" s="27" t="s">
        <v>7</v>
      </c>
      <c r="GS553" s="27" t="s">
        <v>8</v>
      </c>
      <c r="GT553" s="27" t="s">
        <v>7</v>
      </c>
      <c r="GU553" s="27" t="s">
        <v>8</v>
      </c>
      <c r="GX553" s="27" t="s">
        <v>7</v>
      </c>
      <c r="GY553" s="27" t="s">
        <v>8</v>
      </c>
      <c r="GZ553" s="27" t="s">
        <v>7</v>
      </c>
      <c r="HB553" s="27" t="s">
        <v>7</v>
      </c>
      <c r="HD553" s="27" t="s">
        <v>7</v>
      </c>
      <c r="HG553" s="27" t="s">
        <v>8</v>
      </c>
      <c r="HL553" s="27" t="s">
        <v>7</v>
      </c>
      <c r="HM553" s="27" t="s">
        <v>8</v>
      </c>
      <c r="HN553" s="27" t="s">
        <v>7</v>
      </c>
      <c r="HW553" s="27" t="s">
        <v>8</v>
      </c>
      <c r="HX553" s="27" t="s">
        <v>7</v>
      </c>
      <c r="II553" s="27" t="s">
        <v>8</v>
      </c>
      <c r="IJ553" s="27" t="s">
        <v>7</v>
      </c>
      <c r="IK553" s="27" t="s">
        <v>8</v>
      </c>
      <c r="IL553" s="27" t="s">
        <v>7</v>
      </c>
    </row>
    <row r="554" spans="1:248" x14ac:dyDescent="0.25">
      <c r="A554" s="7">
        <v>1.9222314039431532</v>
      </c>
      <c r="B554"/>
      <c r="C554"/>
      <c r="D554"/>
      <c r="E554"/>
      <c r="BG554" s="27" t="s">
        <v>8</v>
      </c>
      <c r="BH554" s="27" t="s">
        <v>7</v>
      </c>
      <c r="BI554" s="27" t="s">
        <v>8</v>
      </c>
      <c r="BL554" s="27" t="s">
        <v>7</v>
      </c>
      <c r="BM554" s="27" t="s">
        <v>8</v>
      </c>
      <c r="BN554" s="27" t="s">
        <v>7</v>
      </c>
      <c r="BO554" s="27" t="s">
        <v>8</v>
      </c>
      <c r="BS554" s="27" t="s">
        <v>8</v>
      </c>
      <c r="BU554" s="27" t="s">
        <v>8</v>
      </c>
      <c r="CT554" s="27" t="s">
        <v>7</v>
      </c>
      <c r="CX554" s="27" t="s">
        <v>7</v>
      </c>
      <c r="CY554" s="27" t="s">
        <v>8</v>
      </c>
      <c r="DN554" s="27" t="s">
        <v>7</v>
      </c>
      <c r="DO554" s="27" t="s">
        <v>8</v>
      </c>
      <c r="DP554" s="27" t="s">
        <v>7</v>
      </c>
      <c r="FM554" s="27" t="s">
        <v>8</v>
      </c>
      <c r="FN554" s="27" t="s">
        <v>7</v>
      </c>
      <c r="FO554" s="27" t="s">
        <v>8</v>
      </c>
      <c r="FX554" s="27" t="s">
        <v>7</v>
      </c>
      <c r="FY554" s="27" t="s">
        <v>8</v>
      </c>
      <c r="GB554" s="27" t="s">
        <v>7</v>
      </c>
      <c r="GC554" s="27" t="s">
        <v>8</v>
      </c>
      <c r="GD554" s="27" t="s">
        <v>7</v>
      </c>
      <c r="GE554" s="27" t="s">
        <v>8</v>
      </c>
      <c r="GF554" s="27" t="s">
        <v>7</v>
      </c>
      <c r="GG554" s="27" t="s">
        <v>8</v>
      </c>
      <c r="GH554" s="27" t="s">
        <v>7</v>
      </c>
      <c r="GM554" s="27" t="s">
        <v>8</v>
      </c>
      <c r="GN554" s="27" t="s">
        <v>7</v>
      </c>
      <c r="GO554" s="27" t="s">
        <v>8</v>
      </c>
      <c r="GP554" s="27" t="s">
        <v>7</v>
      </c>
      <c r="GR554" s="27" t="s">
        <v>7</v>
      </c>
      <c r="GS554" s="27" t="s">
        <v>8</v>
      </c>
      <c r="GT554" s="27" t="s">
        <v>7</v>
      </c>
      <c r="GU554" s="27" t="s">
        <v>8</v>
      </c>
      <c r="GX554" s="27" t="s">
        <v>7</v>
      </c>
      <c r="HD554" s="27" t="s">
        <v>7</v>
      </c>
      <c r="HE554" s="27" t="s">
        <v>8</v>
      </c>
      <c r="HG554" s="27" t="s">
        <v>8</v>
      </c>
      <c r="HL554" s="27" t="s">
        <v>7</v>
      </c>
      <c r="HM554" s="27" t="s">
        <v>8</v>
      </c>
      <c r="HN554" s="27" t="s">
        <v>7</v>
      </c>
      <c r="HW554" s="27" t="s">
        <v>8</v>
      </c>
      <c r="HX554" s="27" t="s">
        <v>7</v>
      </c>
      <c r="II554" s="27" t="s">
        <v>8</v>
      </c>
      <c r="IJ554" s="27" t="s">
        <v>7</v>
      </c>
      <c r="IK554" s="27" t="s">
        <v>8</v>
      </c>
      <c r="IL554" s="27" t="s">
        <v>7</v>
      </c>
    </row>
    <row r="555" spans="1:248" x14ac:dyDescent="0.25">
      <c r="A555" s="7">
        <v>1.8845405921011305</v>
      </c>
      <c r="B555"/>
      <c r="C555"/>
      <c r="D555"/>
      <c r="E555"/>
      <c r="BG555" s="27" t="s">
        <v>8</v>
      </c>
      <c r="BH555" s="27" t="s">
        <v>7</v>
      </c>
      <c r="BI555" s="27" t="s">
        <v>8</v>
      </c>
      <c r="BL555" s="27" t="s">
        <v>7</v>
      </c>
      <c r="BN555" s="27" t="s">
        <v>7</v>
      </c>
      <c r="BO555" s="27" t="s">
        <v>8</v>
      </c>
      <c r="BP555" s="27" t="s">
        <v>7</v>
      </c>
      <c r="BS555" s="27" t="s">
        <v>8</v>
      </c>
      <c r="BT555" s="27" t="s">
        <v>7</v>
      </c>
      <c r="BU555" s="27" t="s">
        <v>8</v>
      </c>
      <c r="CX555" s="27" t="s">
        <v>7</v>
      </c>
      <c r="CY555" s="27" t="s">
        <v>8</v>
      </c>
      <c r="DN555" s="27" t="s">
        <v>7</v>
      </c>
      <c r="DP555" s="27" t="s">
        <v>7</v>
      </c>
      <c r="FM555" s="27" t="s">
        <v>8</v>
      </c>
      <c r="FN555" s="27" t="s">
        <v>7</v>
      </c>
      <c r="FO555" s="27" t="s">
        <v>8</v>
      </c>
      <c r="FX555" s="27" t="s">
        <v>7</v>
      </c>
      <c r="FY555" s="27" t="s">
        <v>8</v>
      </c>
      <c r="GB555" s="27" t="s">
        <v>7</v>
      </c>
      <c r="GC555" s="27" t="s">
        <v>8</v>
      </c>
      <c r="GD555" s="27" t="s">
        <v>7</v>
      </c>
      <c r="GF555" s="27" t="s">
        <v>7</v>
      </c>
      <c r="GG555" s="27" t="s">
        <v>8</v>
      </c>
      <c r="GH555" s="27" t="s">
        <v>7</v>
      </c>
      <c r="GM555" s="27" t="s">
        <v>8</v>
      </c>
      <c r="GN555" s="27" t="s">
        <v>7</v>
      </c>
      <c r="GO555" s="27" t="s">
        <v>8</v>
      </c>
      <c r="GR555" s="27" t="s">
        <v>7</v>
      </c>
      <c r="GS555" s="27" t="s">
        <v>8</v>
      </c>
      <c r="GT555" s="27" t="s">
        <v>7</v>
      </c>
      <c r="GU555" s="27" t="s">
        <v>8</v>
      </c>
      <c r="HD555" s="27" t="s">
        <v>7</v>
      </c>
      <c r="HE555" s="27" t="s">
        <v>8</v>
      </c>
      <c r="HF555" s="27" t="s">
        <v>7</v>
      </c>
      <c r="HG555" s="27" t="s">
        <v>8</v>
      </c>
      <c r="HL555" s="27" t="s">
        <v>7</v>
      </c>
      <c r="HM555" s="27" t="s">
        <v>8</v>
      </c>
      <c r="HN555" s="27" t="s">
        <v>7</v>
      </c>
      <c r="HQ555" s="27" t="s">
        <v>8</v>
      </c>
      <c r="HS555" s="27" t="s">
        <v>8</v>
      </c>
      <c r="HW555" s="27" t="s">
        <v>8</v>
      </c>
      <c r="HX555" s="27" t="s">
        <v>7</v>
      </c>
      <c r="IG555" s="27" t="s">
        <v>8</v>
      </c>
      <c r="II555" s="27" t="s">
        <v>8</v>
      </c>
      <c r="IJ555" s="27" t="s">
        <v>7</v>
      </c>
      <c r="IL555" s="27" t="s">
        <v>7</v>
      </c>
    </row>
    <row r="556" spans="1:248" x14ac:dyDescent="0.25">
      <c r="A556" s="7">
        <v>1.8475888157854219</v>
      </c>
      <c r="B556"/>
      <c r="C556"/>
      <c r="D556"/>
      <c r="E556"/>
      <c r="BG556" s="27" t="s">
        <v>8</v>
      </c>
      <c r="BH556" s="27" t="s">
        <v>7</v>
      </c>
      <c r="BI556" s="27" t="s">
        <v>8</v>
      </c>
      <c r="BN556" s="27" t="s">
        <v>7</v>
      </c>
      <c r="BO556" s="27" t="s">
        <v>8</v>
      </c>
      <c r="BP556" s="27" t="s">
        <v>7</v>
      </c>
      <c r="BS556" s="27" t="s">
        <v>8</v>
      </c>
      <c r="BT556" s="27" t="s">
        <v>7</v>
      </c>
      <c r="BU556" s="27" t="s">
        <v>8</v>
      </c>
      <c r="CX556" s="27" t="s">
        <v>7</v>
      </c>
      <c r="DP556" s="27" t="s">
        <v>7</v>
      </c>
      <c r="FM556" s="27" t="s">
        <v>8</v>
      </c>
      <c r="FN556" s="27" t="s">
        <v>7</v>
      </c>
      <c r="FO556" s="27" t="s">
        <v>8</v>
      </c>
      <c r="FX556" s="27" t="s">
        <v>7</v>
      </c>
      <c r="FY556" s="27" t="s">
        <v>8</v>
      </c>
      <c r="GB556" s="27" t="s">
        <v>7</v>
      </c>
      <c r="GF556" s="27" t="s">
        <v>7</v>
      </c>
      <c r="GG556" s="27" t="s">
        <v>8</v>
      </c>
      <c r="GH556" s="27" t="s">
        <v>7</v>
      </c>
      <c r="GM556" s="27" t="s">
        <v>8</v>
      </c>
      <c r="GN556" s="27" t="s">
        <v>7</v>
      </c>
      <c r="GO556" s="27" t="s">
        <v>8</v>
      </c>
      <c r="GR556" s="27" t="s">
        <v>7</v>
      </c>
      <c r="GS556" s="27" t="s">
        <v>8</v>
      </c>
      <c r="GT556" s="27" t="s">
        <v>7</v>
      </c>
      <c r="HD556" s="27" t="s">
        <v>7</v>
      </c>
      <c r="HE556" s="27" t="s">
        <v>8</v>
      </c>
      <c r="HF556" s="27" t="s">
        <v>7</v>
      </c>
      <c r="HG556" s="27" t="s">
        <v>8</v>
      </c>
      <c r="HL556" s="27" t="s">
        <v>7</v>
      </c>
      <c r="HM556" s="27" t="s">
        <v>8</v>
      </c>
      <c r="HN556" s="27" t="s">
        <v>7</v>
      </c>
      <c r="HQ556" s="27" t="s">
        <v>8</v>
      </c>
      <c r="HR556" s="27" t="s">
        <v>7</v>
      </c>
      <c r="HS556" s="27" t="s">
        <v>8</v>
      </c>
      <c r="HT556" s="27" t="s">
        <v>7</v>
      </c>
      <c r="HW556" s="27" t="s">
        <v>8</v>
      </c>
      <c r="HX556" s="27" t="s">
        <v>7</v>
      </c>
      <c r="IA556" s="27" t="s">
        <v>8</v>
      </c>
      <c r="IC556" s="27" t="s">
        <v>8</v>
      </c>
      <c r="IG556" s="27" t="s">
        <v>8</v>
      </c>
      <c r="IH556" s="27" t="s">
        <v>7</v>
      </c>
      <c r="II556" s="27" t="s">
        <v>8</v>
      </c>
      <c r="IL556" s="27" t="s">
        <v>7</v>
      </c>
    </row>
    <row r="557" spans="1:248" x14ac:dyDescent="0.25">
      <c r="A557" s="7">
        <v>1.8113615841033548</v>
      </c>
      <c r="B557"/>
      <c r="C557"/>
      <c r="D557"/>
      <c r="E557"/>
      <c r="BG557" s="27" t="s">
        <v>8</v>
      </c>
      <c r="BH557" s="27" t="s">
        <v>7</v>
      </c>
      <c r="BI557" s="27" t="s">
        <v>8</v>
      </c>
      <c r="BN557" s="27" t="s">
        <v>7</v>
      </c>
      <c r="BO557" s="27" t="s">
        <v>8</v>
      </c>
      <c r="BP557" s="27" t="s">
        <v>7</v>
      </c>
      <c r="BS557" s="27" t="s">
        <v>8</v>
      </c>
      <c r="BT557" s="27" t="s">
        <v>7</v>
      </c>
      <c r="BU557" s="27" t="s">
        <v>8</v>
      </c>
      <c r="DP557" s="27" t="s">
        <v>7</v>
      </c>
      <c r="FM557" s="27" t="s">
        <v>8</v>
      </c>
      <c r="FN557" s="27" t="s">
        <v>7</v>
      </c>
      <c r="FO557" s="27" t="s">
        <v>8</v>
      </c>
      <c r="FX557" s="27" t="s">
        <v>7</v>
      </c>
      <c r="FY557" s="27" t="s">
        <v>8</v>
      </c>
      <c r="GF557" s="27" t="s">
        <v>7</v>
      </c>
      <c r="GG557" s="27" t="s">
        <v>8</v>
      </c>
      <c r="GH557" s="27" t="s">
        <v>7</v>
      </c>
      <c r="GM557" s="27" t="s">
        <v>8</v>
      </c>
      <c r="GN557" s="27" t="s">
        <v>7</v>
      </c>
      <c r="GO557" s="27" t="s">
        <v>8</v>
      </c>
      <c r="GR557" s="27" t="s">
        <v>7</v>
      </c>
      <c r="GS557" s="27" t="s">
        <v>8</v>
      </c>
      <c r="HD557" s="27" t="s">
        <v>7</v>
      </c>
      <c r="HE557" s="27" t="s">
        <v>8</v>
      </c>
      <c r="HF557" s="27" t="s">
        <v>7</v>
      </c>
      <c r="HL557" s="27" t="s">
        <v>7</v>
      </c>
      <c r="HM557" s="27" t="s">
        <v>8</v>
      </c>
      <c r="HN557" s="27" t="s">
        <v>7</v>
      </c>
      <c r="HQ557" s="27" t="s">
        <v>8</v>
      </c>
      <c r="HR557" s="27" t="s">
        <v>7</v>
      </c>
      <c r="HS557" s="27" t="s">
        <v>8</v>
      </c>
      <c r="HT557" s="27" t="s">
        <v>7</v>
      </c>
      <c r="HW557" s="27" t="s">
        <v>8</v>
      </c>
      <c r="HX557" s="27" t="s">
        <v>7</v>
      </c>
      <c r="IA557" s="27" t="s">
        <v>8</v>
      </c>
      <c r="IB557" s="27" t="s">
        <v>7</v>
      </c>
      <c r="IC557" s="27" t="s">
        <v>8</v>
      </c>
      <c r="ID557" s="27" t="s">
        <v>7</v>
      </c>
      <c r="IG557" s="27" t="s">
        <v>8</v>
      </c>
      <c r="IH557" s="27" t="s">
        <v>7</v>
      </c>
      <c r="II557" s="27" t="s">
        <v>8</v>
      </c>
      <c r="IL557" s="27" t="s">
        <v>7</v>
      </c>
      <c r="IM557" s="27" t="s">
        <v>8</v>
      </c>
    </row>
    <row r="558" spans="1:248" x14ac:dyDescent="0.25">
      <c r="A558" s="7">
        <v>1.7758446902974065</v>
      </c>
      <c r="B558"/>
      <c r="C558"/>
      <c r="D558"/>
      <c r="E558"/>
      <c r="BG558" s="27" t="s">
        <v>8</v>
      </c>
      <c r="BH558" s="27" t="s">
        <v>7</v>
      </c>
      <c r="BI558" s="27" t="s">
        <v>8</v>
      </c>
      <c r="BN558" s="27" t="s">
        <v>7</v>
      </c>
      <c r="BO558" s="27" t="s">
        <v>8</v>
      </c>
      <c r="BP558" s="27" t="s">
        <v>7</v>
      </c>
      <c r="BQ558" s="27" t="s">
        <v>8</v>
      </c>
      <c r="BS558" s="27" t="s">
        <v>8</v>
      </c>
      <c r="BT558" s="27" t="s">
        <v>7</v>
      </c>
      <c r="BU558" s="27" t="s">
        <v>8</v>
      </c>
      <c r="DP558" s="27" t="s">
        <v>7</v>
      </c>
      <c r="FI558" s="27" t="s">
        <v>8</v>
      </c>
      <c r="FM558" s="27" t="s">
        <v>8</v>
      </c>
      <c r="FN558" s="27" t="s">
        <v>7</v>
      </c>
      <c r="FO558" s="27" t="s">
        <v>8</v>
      </c>
      <c r="FX558" s="27" t="s">
        <v>7</v>
      </c>
      <c r="FY558" s="27" t="s">
        <v>8</v>
      </c>
      <c r="GF558" s="27" t="s">
        <v>7</v>
      </c>
      <c r="GG558" s="27" t="s">
        <v>8</v>
      </c>
      <c r="GH558" s="27" t="s">
        <v>7</v>
      </c>
      <c r="GM558" s="27" t="s">
        <v>8</v>
      </c>
      <c r="GN558" s="27" t="s">
        <v>7</v>
      </c>
      <c r="GR558" s="27" t="s">
        <v>7</v>
      </c>
      <c r="GS558" s="27" t="s">
        <v>8</v>
      </c>
      <c r="HD558" s="27" t="s">
        <v>7</v>
      </c>
      <c r="HL558" s="27" t="s">
        <v>7</v>
      </c>
      <c r="HM558" s="27" t="s">
        <v>8</v>
      </c>
      <c r="HN558" s="27" t="s">
        <v>7</v>
      </c>
      <c r="HQ558" s="27" t="s">
        <v>8</v>
      </c>
      <c r="HR558" s="27" t="s">
        <v>7</v>
      </c>
      <c r="HS558" s="27" t="s">
        <v>8</v>
      </c>
      <c r="HT558" s="27" t="s">
        <v>7</v>
      </c>
      <c r="HW558" s="27" t="s">
        <v>8</v>
      </c>
      <c r="HX558" s="27" t="s">
        <v>7</v>
      </c>
      <c r="HY558" s="27" t="s">
        <v>8</v>
      </c>
      <c r="IA558" s="27" t="s">
        <v>8</v>
      </c>
      <c r="IB558" s="27" t="s">
        <v>7</v>
      </c>
      <c r="IC558" s="27" t="s">
        <v>8</v>
      </c>
      <c r="ID558" s="27" t="s">
        <v>7</v>
      </c>
      <c r="IE558" s="27" t="s">
        <v>8</v>
      </c>
      <c r="IG558" s="27" t="s">
        <v>8</v>
      </c>
      <c r="IH558" s="27" t="s">
        <v>7</v>
      </c>
      <c r="II558" s="27" t="s">
        <v>8</v>
      </c>
      <c r="IL558" s="27" t="s">
        <v>7</v>
      </c>
      <c r="IM558" s="27" t="s">
        <v>8</v>
      </c>
      <c r="IN558" s="27" t="s">
        <v>7</v>
      </c>
    </row>
    <row r="559" spans="1:248" x14ac:dyDescent="0.25">
      <c r="A559" s="7">
        <v>1.7410242061739281</v>
      </c>
      <c r="B559"/>
      <c r="C559"/>
      <c r="D559"/>
      <c r="E559"/>
      <c r="BG559" s="27" t="s">
        <v>8</v>
      </c>
      <c r="BH559" s="27" t="s">
        <v>7</v>
      </c>
      <c r="BI559" s="27" t="s">
        <v>8</v>
      </c>
      <c r="BN559" s="27" t="s">
        <v>7</v>
      </c>
      <c r="BO559" s="27" t="s">
        <v>8</v>
      </c>
      <c r="BP559" s="27" t="s">
        <v>7</v>
      </c>
      <c r="BQ559" s="27" t="s">
        <v>8</v>
      </c>
      <c r="BR559" s="27" t="s">
        <v>7</v>
      </c>
      <c r="BS559" s="27" t="s">
        <v>8</v>
      </c>
      <c r="BT559" s="27" t="s">
        <v>7</v>
      </c>
      <c r="BU559" s="27" t="s">
        <v>8</v>
      </c>
      <c r="DP559" s="27" t="s">
        <v>7</v>
      </c>
      <c r="FI559" s="27" t="s">
        <v>8</v>
      </c>
      <c r="FJ559" s="27" t="s">
        <v>7</v>
      </c>
      <c r="FM559" s="27" t="s">
        <v>8</v>
      </c>
      <c r="FN559" s="27" t="s">
        <v>7</v>
      </c>
      <c r="FO559" s="27" t="s">
        <v>8</v>
      </c>
      <c r="FX559" s="27" t="s">
        <v>7</v>
      </c>
      <c r="FY559" s="27" t="s">
        <v>8</v>
      </c>
      <c r="GF559" s="27" t="s">
        <v>7</v>
      </c>
      <c r="GG559" s="27" t="s">
        <v>8</v>
      </c>
      <c r="GH559" s="27" t="s">
        <v>7</v>
      </c>
      <c r="GM559" s="27" t="s">
        <v>8</v>
      </c>
      <c r="GR559" s="27" t="s">
        <v>7</v>
      </c>
      <c r="GS559" s="27" t="s">
        <v>8</v>
      </c>
      <c r="HL559" s="27" t="s">
        <v>7</v>
      </c>
      <c r="HM559" s="27" t="s">
        <v>8</v>
      </c>
      <c r="HN559" s="27" t="s">
        <v>7</v>
      </c>
      <c r="HQ559" s="27" t="s">
        <v>8</v>
      </c>
      <c r="HR559" s="27" t="s">
        <v>7</v>
      </c>
      <c r="HS559" s="27" t="s">
        <v>8</v>
      </c>
      <c r="HT559" s="27" t="s">
        <v>7</v>
      </c>
      <c r="HU559" s="27" t="s">
        <v>8</v>
      </c>
      <c r="HW559" s="27" t="s">
        <v>8</v>
      </c>
      <c r="HX559" s="27" t="s">
        <v>7</v>
      </c>
      <c r="HY559" s="27" t="s">
        <v>8</v>
      </c>
      <c r="HZ559" s="27" t="s">
        <v>7</v>
      </c>
      <c r="IA559" s="27" t="s">
        <v>8</v>
      </c>
      <c r="IB559" s="27" t="s">
        <v>7</v>
      </c>
      <c r="IC559" s="27" t="s">
        <v>8</v>
      </c>
      <c r="ID559" s="27" t="s">
        <v>7</v>
      </c>
      <c r="IE559" s="27" t="s">
        <v>8</v>
      </c>
      <c r="IF559" s="27" t="s">
        <v>7</v>
      </c>
      <c r="IG559" s="27" t="s">
        <v>8</v>
      </c>
      <c r="IH559" s="27" t="s">
        <v>7</v>
      </c>
      <c r="II559" s="27" t="s">
        <v>8</v>
      </c>
      <c r="IL559" s="27" t="s">
        <v>7</v>
      </c>
      <c r="IM559" s="27" t="s">
        <v>8</v>
      </c>
      <c r="IN559" s="27" t="s">
        <v>7</v>
      </c>
    </row>
    <row r="560" spans="1:248" x14ac:dyDescent="0.25">
      <c r="A560" s="7">
        <v>1.7068864766411058</v>
      </c>
      <c r="B560"/>
      <c r="C560"/>
      <c r="D560"/>
      <c r="E560"/>
      <c r="BG560" s="27" t="s">
        <v>8</v>
      </c>
      <c r="BH560" s="27" t="s">
        <v>7</v>
      </c>
      <c r="BI560" s="27" t="s">
        <v>8</v>
      </c>
      <c r="BN560" s="27" t="s">
        <v>7</v>
      </c>
      <c r="BO560" s="27" t="s">
        <v>8</v>
      </c>
      <c r="BP560" s="27" t="s">
        <v>7</v>
      </c>
      <c r="BQ560" s="27" t="s">
        <v>8</v>
      </c>
      <c r="BR560" s="27" t="s">
        <v>7</v>
      </c>
      <c r="BS560" s="27" t="s">
        <v>8</v>
      </c>
      <c r="BT560" s="27" t="s">
        <v>7</v>
      </c>
      <c r="BU560" s="27" t="s">
        <v>8</v>
      </c>
      <c r="DP560" s="27" t="s">
        <v>7</v>
      </c>
      <c r="FI560" s="27" t="s">
        <v>8</v>
      </c>
      <c r="FJ560" s="27" t="s">
        <v>7</v>
      </c>
      <c r="FK560" s="27" t="s">
        <v>8</v>
      </c>
      <c r="FM560" s="27" t="s">
        <v>8</v>
      </c>
      <c r="FN560" s="27" t="s">
        <v>7</v>
      </c>
      <c r="FO560" s="27" t="s">
        <v>8</v>
      </c>
      <c r="FX560" s="27" t="s">
        <v>7</v>
      </c>
      <c r="FY560" s="27" t="s">
        <v>8</v>
      </c>
      <c r="GF560" s="27" t="s">
        <v>7</v>
      </c>
      <c r="GG560" s="27" t="s">
        <v>8</v>
      </c>
      <c r="GH560" s="27" t="s">
        <v>7</v>
      </c>
      <c r="GM560" s="27" t="s">
        <v>8</v>
      </c>
      <c r="GR560" s="27" t="s">
        <v>7</v>
      </c>
      <c r="GS560" s="27" t="s">
        <v>8</v>
      </c>
      <c r="HL560" s="27" t="s">
        <v>7</v>
      </c>
      <c r="HN560" s="27" t="s">
        <v>7</v>
      </c>
      <c r="HO560" s="27" t="s">
        <v>8</v>
      </c>
      <c r="HQ560" s="27" t="s">
        <v>8</v>
      </c>
      <c r="HR560" s="27" t="s">
        <v>7</v>
      </c>
      <c r="HS560" s="27" t="s">
        <v>8</v>
      </c>
      <c r="HT560" s="27" t="s">
        <v>7</v>
      </c>
      <c r="HU560" s="27" t="s">
        <v>8</v>
      </c>
      <c r="HV560" s="27" t="s">
        <v>7</v>
      </c>
      <c r="HW560" s="27" t="s">
        <v>8</v>
      </c>
      <c r="HX560" s="27" t="s">
        <v>7</v>
      </c>
      <c r="HY560" s="27" t="s">
        <v>8</v>
      </c>
      <c r="HZ560" s="27" t="s">
        <v>7</v>
      </c>
      <c r="IA560" s="27" t="s">
        <v>8</v>
      </c>
      <c r="IB560" s="27" t="s">
        <v>7</v>
      </c>
      <c r="IC560" s="27" t="s">
        <v>8</v>
      </c>
      <c r="ID560" s="27" t="s">
        <v>7</v>
      </c>
      <c r="IE560" s="27" t="s">
        <v>8</v>
      </c>
      <c r="IF560" s="27" t="s">
        <v>7</v>
      </c>
      <c r="IG560" s="27" t="s">
        <v>8</v>
      </c>
      <c r="IH560" s="27" t="s">
        <v>7</v>
      </c>
      <c r="II560" s="27" t="s">
        <v>8</v>
      </c>
      <c r="IL560" s="27" t="s">
        <v>7</v>
      </c>
      <c r="IM560" s="27" t="s">
        <v>8</v>
      </c>
      <c r="IN560" s="27" t="s">
        <v>7</v>
      </c>
    </row>
    <row r="561" spans="1:257" x14ac:dyDescent="0.25">
      <c r="A561" s="7">
        <v>1.6734181143540252</v>
      </c>
      <c r="B561"/>
      <c r="C561"/>
      <c r="D561"/>
      <c r="E561"/>
      <c r="BG561" s="27" t="s">
        <v>8</v>
      </c>
      <c r="BH561" s="27" t="s">
        <v>7</v>
      </c>
      <c r="BI561" s="27" t="s">
        <v>8</v>
      </c>
      <c r="BN561" s="27" t="s">
        <v>7</v>
      </c>
      <c r="BO561" s="27" t="s">
        <v>8</v>
      </c>
      <c r="BP561" s="27" t="s">
        <v>7</v>
      </c>
      <c r="BQ561" s="27" t="s">
        <v>8</v>
      </c>
      <c r="BR561" s="27" t="s">
        <v>7</v>
      </c>
      <c r="BS561" s="27" t="s">
        <v>8</v>
      </c>
      <c r="BT561" s="27" t="s">
        <v>7</v>
      </c>
      <c r="DP561" s="27" t="s">
        <v>7</v>
      </c>
      <c r="FI561" s="27" t="s">
        <v>8</v>
      </c>
      <c r="FJ561" s="27" t="s">
        <v>7</v>
      </c>
      <c r="FK561" s="27" t="s">
        <v>8</v>
      </c>
      <c r="FL561" s="27" t="s">
        <v>7</v>
      </c>
      <c r="FM561" s="27" t="s">
        <v>8</v>
      </c>
      <c r="FN561" s="27" t="s">
        <v>7</v>
      </c>
      <c r="FX561" s="27" t="s">
        <v>7</v>
      </c>
      <c r="GF561" s="27" t="s">
        <v>7</v>
      </c>
      <c r="GG561" s="27" t="s">
        <v>8</v>
      </c>
      <c r="GH561" s="27" t="s">
        <v>7</v>
      </c>
      <c r="GI561" s="27" t="s">
        <v>8</v>
      </c>
      <c r="GM561" s="27" t="s">
        <v>8</v>
      </c>
      <c r="GR561" s="27" t="s">
        <v>7</v>
      </c>
      <c r="GS561" s="27" t="s">
        <v>8</v>
      </c>
      <c r="HN561" s="27" t="s">
        <v>7</v>
      </c>
      <c r="HO561" s="27" t="s">
        <v>8</v>
      </c>
      <c r="HP561" s="27" t="s">
        <v>7</v>
      </c>
      <c r="HQ561" s="27" t="s">
        <v>8</v>
      </c>
      <c r="HR561" s="27" t="s">
        <v>7</v>
      </c>
      <c r="HS561" s="27" t="s">
        <v>8</v>
      </c>
      <c r="HT561" s="27" t="s">
        <v>7</v>
      </c>
      <c r="HU561" s="27" t="s">
        <v>8</v>
      </c>
      <c r="HV561" s="27" t="s">
        <v>7</v>
      </c>
      <c r="HW561" s="27" t="s">
        <v>8</v>
      </c>
      <c r="HX561" s="27" t="s">
        <v>7</v>
      </c>
      <c r="HY561" s="27" t="s">
        <v>8</v>
      </c>
      <c r="HZ561" s="27" t="s">
        <v>7</v>
      </c>
      <c r="IA561" s="27" t="s">
        <v>8</v>
      </c>
      <c r="IB561" s="27" t="s">
        <v>7</v>
      </c>
      <c r="IC561" s="27" t="s">
        <v>8</v>
      </c>
      <c r="ID561" s="27" t="s">
        <v>7</v>
      </c>
      <c r="IE561" s="27" t="s">
        <v>8</v>
      </c>
      <c r="IF561" s="27" t="s">
        <v>7</v>
      </c>
      <c r="IG561" s="27" t="s">
        <v>8</v>
      </c>
      <c r="IH561" s="27" t="s">
        <v>7</v>
      </c>
      <c r="II561" s="27" t="s">
        <v>8</v>
      </c>
      <c r="IL561" s="27" t="s">
        <v>7</v>
      </c>
      <c r="IM561" s="27" t="s">
        <v>8</v>
      </c>
      <c r="IN561" s="27" t="s">
        <v>7</v>
      </c>
    </row>
    <row r="562" spans="1:257" x14ac:dyDescent="0.25">
      <c r="A562" s="7">
        <v>1.6406059944647307</v>
      </c>
      <c r="B562"/>
      <c r="C562"/>
      <c r="D562"/>
      <c r="E562"/>
      <c r="BG562" s="27" t="s">
        <v>8</v>
      </c>
      <c r="BH562" s="27" t="s">
        <v>7</v>
      </c>
      <c r="BI562" s="27" t="s">
        <v>8</v>
      </c>
      <c r="BN562" s="27" t="s">
        <v>7</v>
      </c>
      <c r="BO562" s="27" t="s">
        <v>8</v>
      </c>
      <c r="BP562" s="27" t="s">
        <v>7</v>
      </c>
      <c r="BQ562" s="27" t="s">
        <v>8</v>
      </c>
      <c r="BR562" s="27" t="s">
        <v>7</v>
      </c>
      <c r="BS562" s="27" t="s">
        <v>8</v>
      </c>
      <c r="DP562" s="27" t="s">
        <v>7</v>
      </c>
      <c r="FI562" s="27" t="s">
        <v>8</v>
      </c>
      <c r="FJ562" s="27" t="s">
        <v>7</v>
      </c>
      <c r="FK562" s="27" t="s">
        <v>8</v>
      </c>
      <c r="FL562" s="27" t="s">
        <v>7</v>
      </c>
      <c r="FM562" s="27" t="s">
        <v>8</v>
      </c>
      <c r="GF562" s="27" t="s">
        <v>7</v>
      </c>
      <c r="GG562" s="27" t="s">
        <v>8</v>
      </c>
      <c r="GH562" s="27" t="s">
        <v>7</v>
      </c>
      <c r="GI562" s="27" t="s">
        <v>8</v>
      </c>
      <c r="GJ562" s="27" t="s">
        <v>7</v>
      </c>
      <c r="GM562" s="27" t="s">
        <v>8</v>
      </c>
      <c r="GR562" s="27" t="s">
        <v>7</v>
      </c>
      <c r="HN562" s="27" t="s">
        <v>7</v>
      </c>
      <c r="HO562" s="27" t="s">
        <v>8</v>
      </c>
      <c r="HP562" s="27" t="s">
        <v>7</v>
      </c>
      <c r="HQ562" s="27" t="s">
        <v>8</v>
      </c>
      <c r="HR562" s="27" t="s">
        <v>7</v>
      </c>
      <c r="HT562" s="27" t="s">
        <v>7</v>
      </c>
      <c r="HU562" s="27" t="s">
        <v>8</v>
      </c>
      <c r="HV562" s="27" t="s">
        <v>7</v>
      </c>
      <c r="HW562" s="27" t="s">
        <v>8</v>
      </c>
      <c r="HX562" s="27" t="s">
        <v>7</v>
      </c>
      <c r="HY562" s="27" t="s">
        <v>8</v>
      </c>
      <c r="HZ562" s="27" t="s">
        <v>7</v>
      </c>
      <c r="IA562" s="27" t="s">
        <v>8</v>
      </c>
      <c r="IB562" s="27" t="s">
        <v>7</v>
      </c>
      <c r="IC562" s="27" t="s">
        <v>8</v>
      </c>
      <c r="ID562" s="27" t="s">
        <v>7</v>
      </c>
      <c r="IE562" s="27" t="s">
        <v>8</v>
      </c>
      <c r="IF562" s="27" t="s">
        <v>7</v>
      </c>
      <c r="IG562" s="27" t="s">
        <v>8</v>
      </c>
      <c r="IH562" s="27" t="s">
        <v>7</v>
      </c>
      <c r="II562" s="27" t="s">
        <v>8</v>
      </c>
      <c r="IL562" s="27" t="s">
        <v>7</v>
      </c>
      <c r="IM562" s="27" t="s">
        <v>8</v>
      </c>
      <c r="IN562" s="27" t="s">
        <v>7</v>
      </c>
    </row>
    <row r="563" spans="1:257" x14ac:dyDescent="0.25">
      <c r="A563" s="7">
        <v>1.6084372494752261</v>
      </c>
      <c r="B563"/>
      <c r="C563"/>
      <c r="D563"/>
      <c r="E563"/>
      <c r="BG563" s="27" t="s">
        <v>8</v>
      </c>
      <c r="BH563" s="27" t="s">
        <v>7</v>
      </c>
      <c r="BI563" s="27" t="s">
        <v>8</v>
      </c>
      <c r="BN563" s="27" t="s">
        <v>7</v>
      </c>
      <c r="BO563" s="27" t="s">
        <v>8</v>
      </c>
      <c r="BP563" s="27" t="s">
        <v>7</v>
      </c>
      <c r="BQ563" s="27" t="s">
        <v>8</v>
      </c>
      <c r="BR563" s="27" t="s">
        <v>7</v>
      </c>
      <c r="BS563" s="27" t="s">
        <v>8</v>
      </c>
      <c r="DP563" s="27" t="s">
        <v>7</v>
      </c>
      <c r="FI563" s="27" t="s">
        <v>8</v>
      </c>
      <c r="FJ563" s="27" t="s">
        <v>7</v>
      </c>
      <c r="FK563" s="27" t="s">
        <v>8</v>
      </c>
      <c r="FL563" s="27" t="s">
        <v>7</v>
      </c>
      <c r="FM563" s="27" t="s">
        <v>8</v>
      </c>
      <c r="GF563" s="27" t="s">
        <v>7</v>
      </c>
      <c r="GG563" s="27" t="s">
        <v>8</v>
      </c>
      <c r="GH563" s="27" t="s">
        <v>7</v>
      </c>
      <c r="GI563" s="27" t="s">
        <v>8</v>
      </c>
      <c r="GJ563" s="27" t="s">
        <v>7</v>
      </c>
      <c r="GM563" s="27" t="s">
        <v>8</v>
      </c>
      <c r="HN563" s="27" t="s">
        <v>7</v>
      </c>
      <c r="HO563" s="27" t="s">
        <v>8</v>
      </c>
      <c r="HP563" s="27" t="s">
        <v>7</v>
      </c>
      <c r="HQ563" s="27" t="s">
        <v>8</v>
      </c>
      <c r="HT563" s="27" t="s">
        <v>7</v>
      </c>
      <c r="HV563" s="27" t="s">
        <v>7</v>
      </c>
      <c r="HW563" s="27" t="s">
        <v>8</v>
      </c>
      <c r="HX563" s="27" t="s">
        <v>7</v>
      </c>
      <c r="HY563" s="27" t="s">
        <v>8</v>
      </c>
      <c r="HZ563" s="27" t="s">
        <v>7</v>
      </c>
      <c r="IA563" s="27" t="s">
        <v>8</v>
      </c>
      <c r="IB563" s="27" t="s">
        <v>7</v>
      </c>
      <c r="ID563" s="27" t="s">
        <v>7</v>
      </c>
      <c r="IE563" s="27" t="s">
        <v>8</v>
      </c>
      <c r="IF563" s="27" t="s">
        <v>7</v>
      </c>
      <c r="IG563" s="27" t="s">
        <v>8</v>
      </c>
      <c r="IH563" s="27" t="s">
        <v>7</v>
      </c>
      <c r="IL563" s="27" t="s">
        <v>7</v>
      </c>
      <c r="IM563" s="27" t="s">
        <v>8</v>
      </c>
      <c r="IN563" s="27" t="s">
        <v>7</v>
      </c>
    </row>
    <row r="564" spans="1:257" x14ac:dyDescent="0.25">
      <c r="A564" s="7">
        <v>1.5768992641913981</v>
      </c>
      <c r="B564"/>
      <c r="C564"/>
      <c r="D564"/>
      <c r="E564"/>
      <c r="BG564" s="27" t="s">
        <v>8</v>
      </c>
      <c r="BH564" s="27" t="s">
        <v>7</v>
      </c>
      <c r="BI564" s="27" t="s">
        <v>8</v>
      </c>
      <c r="BN564" s="27" t="s">
        <v>7</v>
      </c>
      <c r="BO564" s="27" t="s">
        <v>8</v>
      </c>
      <c r="BP564" s="27" t="s">
        <v>7</v>
      </c>
      <c r="BQ564" s="27" t="s">
        <v>8</v>
      </c>
      <c r="BR564" s="27" t="s">
        <v>7</v>
      </c>
      <c r="BS564" s="27" t="s">
        <v>8</v>
      </c>
      <c r="DP564" s="27" t="s">
        <v>7</v>
      </c>
      <c r="DW564" s="27" t="s">
        <v>8</v>
      </c>
      <c r="FG564" s="27" t="s">
        <v>8</v>
      </c>
      <c r="FI564" s="27" t="s">
        <v>8</v>
      </c>
      <c r="FJ564" s="27" t="s">
        <v>7</v>
      </c>
      <c r="FK564" s="27" t="s">
        <v>8</v>
      </c>
      <c r="FL564" s="27" t="s">
        <v>7</v>
      </c>
      <c r="FM564" s="27" t="s">
        <v>8</v>
      </c>
      <c r="GF564" s="27" t="s">
        <v>7</v>
      </c>
      <c r="GG564" s="27" t="s">
        <v>8</v>
      </c>
      <c r="GH564" s="27" t="s">
        <v>7</v>
      </c>
      <c r="GI564" s="27" t="s">
        <v>8</v>
      </c>
      <c r="GJ564" s="27" t="s">
        <v>7</v>
      </c>
      <c r="GM564" s="27" t="s">
        <v>8</v>
      </c>
      <c r="HN564" s="27" t="s">
        <v>7</v>
      </c>
      <c r="HP564" s="27" t="s">
        <v>7</v>
      </c>
      <c r="HQ564" s="27" t="s">
        <v>8</v>
      </c>
      <c r="HV564" s="27" t="s">
        <v>7</v>
      </c>
      <c r="HX564" s="27" t="s">
        <v>7</v>
      </c>
      <c r="HY564" s="27" t="s">
        <v>8</v>
      </c>
      <c r="HZ564" s="27" t="s">
        <v>7</v>
      </c>
      <c r="IA564" s="27" t="s">
        <v>8</v>
      </c>
      <c r="ID564" s="27" t="s">
        <v>7</v>
      </c>
      <c r="IE564" s="27" t="s">
        <v>8</v>
      </c>
      <c r="IF564" s="27" t="s">
        <v>7</v>
      </c>
      <c r="IL564" s="27" t="s">
        <v>7</v>
      </c>
      <c r="IM564" s="27" t="s">
        <v>8</v>
      </c>
      <c r="IN564" s="27" t="s">
        <v>7</v>
      </c>
    </row>
    <row r="565" spans="1:257" x14ac:dyDescent="0.25">
      <c r="A565" s="7">
        <v>1.5459796707758806</v>
      </c>
      <c r="B565"/>
      <c r="C565"/>
      <c r="D565"/>
      <c r="E565"/>
      <c r="BG565" s="27" t="s">
        <v>8</v>
      </c>
      <c r="BH565" s="27" t="s">
        <v>7</v>
      </c>
      <c r="BI565" s="27" t="s">
        <v>8</v>
      </c>
      <c r="BN565" s="27" t="s">
        <v>7</v>
      </c>
      <c r="BO565" s="27" t="s">
        <v>8</v>
      </c>
      <c r="BP565" s="27" t="s">
        <v>7</v>
      </c>
      <c r="BQ565" s="27" t="s">
        <v>8</v>
      </c>
      <c r="BR565" s="27" t="s">
        <v>7</v>
      </c>
      <c r="BS565" s="27" t="s">
        <v>8</v>
      </c>
      <c r="DP565" s="27" t="s">
        <v>7</v>
      </c>
      <c r="DW565" s="27" t="s">
        <v>8</v>
      </c>
      <c r="DX565" s="27" t="s">
        <v>7</v>
      </c>
      <c r="FG565" s="27" t="s">
        <v>8</v>
      </c>
      <c r="FH565" s="27" t="s">
        <v>7</v>
      </c>
      <c r="FI565" s="27" t="s">
        <v>8</v>
      </c>
      <c r="FJ565" s="27" t="s">
        <v>7</v>
      </c>
      <c r="FL565" s="27" t="s">
        <v>7</v>
      </c>
      <c r="FM565" s="27" t="s">
        <v>8</v>
      </c>
      <c r="GF565" s="27" t="s">
        <v>7</v>
      </c>
      <c r="GG565" s="27" t="s">
        <v>8</v>
      </c>
      <c r="GH565" s="27" t="s">
        <v>7</v>
      </c>
      <c r="GI565" s="27" t="s">
        <v>8</v>
      </c>
      <c r="GJ565" s="27" t="s">
        <v>7</v>
      </c>
      <c r="GK565" s="27" t="s">
        <v>8</v>
      </c>
      <c r="GM565" s="27" t="s">
        <v>8</v>
      </c>
      <c r="HP565" s="27" t="s">
        <v>7</v>
      </c>
      <c r="HQ565" s="27" t="s">
        <v>8</v>
      </c>
      <c r="HX565" s="27" t="s">
        <v>7</v>
      </c>
      <c r="HY565" s="27" t="s">
        <v>8</v>
      </c>
      <c r="HZ565" s="27" t="s">
        <v>7</v>
      </c>
      <c r="IA565" s="27" t="s">
        <v>8</v>
      </c>
      <c r="ID565" s="27" t="s">
        <v>7</v>
      </c>
      <c r="IE565" s="27" t="s">
        <v>8</v>
      </c>
      <c r="IL565" s="27" t="s">
        <v>7</v>
      </c>
      <c r="IN565" s="27" t="s">
        <v>7</v>
      </c>
      <c r="IO565" s="27" t="s">
        <v>8</v>
      </c>
      <c r="IS565" s="27" t="s">
        <v>8</v>
      </c>
    </row>
    <row r="566" spans="1:257" x14ac:dyDescent="0.25">
      <c r="A566" s="7">
        <v>1.5156663438979221</v>
      </c>
      <c r="B566"/>
      <c r="C566"/>
      <c r="D566"/>
      <c r="E566"/>
      <c r="BG566" s="27" t="s">
        <v>8</v>
      </c>
      <c r="BH566" s="27" t="s">
        <v>7</v>
      </c>
      <c r="BI566" s="27" t="s">
        <v>8</v>
      </c>
      <c r="BN566" s="27" t="s">
        <v>7</v>
      </c>
      <c r="BO566" s="27" t="s">
        <v>8</v>
      </c>
      <c r="BP566" s="27" t="s">
        <v>7</v>
      </c>
      <c r="BQ566" s="27" t="s">
        <v>8</v>
      </c>
      <c r="BR566" s="27" t="s">
        <v>7</v>
      </c>
      <c r="BS566" s="27" t="s">
        <v>8</v>
      </c>
      <c r="DP566" s="27" t="s">
        <v>7</v>
      </c>
      <c r="DW566" s="27" t="s">
        <v>8</v>
      </c>
      <c r="DX566" s="27" t="s">
        <v>7</v>
      </c>
      <c r="FG566" s="27" t="s">
        <v>8</v>
      </c>
      <c r="FH566" s="27" t="s">
        <v>7</v>
      </c>
      <c r="FI566" s="27" t="s">
        <v>8</v>
      </c>
      <c r="FL566" s="27" t="s">
        <v>7</v>
      </c>
      <c r="GF566" s="27" t="s">
        <v>7</v>
      </c>
      <c r="GG566" s="27" t="s">
        <v>8</v>
      </c>
      <c r="GH566" s="27" t="s">
        <v>7</v>
      </c>
      <c r="GI566" s="27" t="s">
        <v>8</v>
      </c>
      <c r="GJ566" s="27" t="s">
        <v>7</v>
      </c>
      <c r="GK566" s="27" t="s">
        <v>8</v>
      </c>
      <c r="GL566" s="27" t="s">
        <v>7</v>
      </c>
      <c r="GM566" s="27" t="s">
        <v>8</v>
      </c>
      <c r="HP566" s="27" t="s">
        <v>7</v>
      </c>
      <c r="HX566" s="27" t="s">
        <v>7</v>
      </c>
      <c r="HY566" s="27" t="s">
        <v>8</v>
      </c>
      <c r="HZ566" s="27" t="s">
        <v>7</v>
      </c>
      <c r="ID566" s="27" t="s">
        <v>7</v>
      </c>
      <c r="IE566" s="27" t="s">
        <v>8</v>
      </c>
      <c r="IN566" s="27" t="s">
        <v>7</v>
      </c>
      <c r="IO566" s="27" t="s">
        <v>8</v>
      </c>
      <c r="IP566" s="27" t="s">
        <v>7</v>
      </c>
      <c r="IQ566" s="27" t="s">
        <v>8</v>
      </c>
      <c r="IS566" s="27" t="s">
        <v>8</v>
      </c>
      <c r="IT566" s="27" t="s">
        <v>7</v>
      </c>
    </row>
    <row r="567" spans="1:257" x14ac:dyDescent="0.25">
      <c r="A567" s="7">
        <v>1.4859473959783549</v>
      </c>
      <c r="B567"/>
      <c r="C567"/>
      <c r="D567"/>
      <c r="E567"/>
      <c r="BG567" s="27" t="s">
        <v>8</v>
      </c>
      <c r="BH567" s="27" t="s">
        <v>7</v>
      </c>
      <c r="BN567" s="27" t="s">
        <v>7</v>
      </c>
      <c r="BO567" s="27" t="s">
        <v>8</v>
      </c>
      <c r="BP567" s="27" t="s">
        <v>7</v>
      </c>
      <c r="BR567" s="27" t="s">
        <v>7</v>
      </c>
      <c r="BS567" s="27" t="s">
        <v>8</v>
      </c>
      <c r="DP567" s="27" t="s">
        <v>7</v>
      </c>
      <c r="DS567" s="27" t="s">
        <v>8</v>
      </c>
      <c r="DW567" s="27" t="s">
        <v>8</v>
      </c>
      <c r="DX567" s="27" t="s">
        <v>7</v>
      </c>
      <c r="FG567" s="27" t="s">
        <v>8</v>
      </c>
      <c r="FH567" s="27" t="s">
        <v>7</v>
      </c>
      <c r="FI567" s="27" t="s">
        <v>8</v>
      </c>
      <c r="GF567" s="27" t="s">
        <v>7</v>
      </c>
      <c r="GH567" s="27" t="s">
        <v>7</v>
      </c>
      <c r="GI567" s="27" t="s">
        <v>8</v>
      </c>
      <c r="GJ567" s="27" t="s">
        <v>7</v>
      </c>
      <c r="GK567" s="27" t="s">
        <v>8</v>
      </c>
      <c r="GL567" s="27" t="s">
        <v>7</v>
      </c>
      <c r="GM567" s="27" t="s">
        <v>8</v>
      </c>
      <c r="HX567" s="27" t="s">
        <v>7</v>
      </c>
      <c r="HY567" s="27" t="s">
        <v>8</v>
      </c>
      <c r="ID567" s="27" t="s">
        <v>7</v>
      </c>
      <c r="IN567" s="27" t="s">
        <v>7</v>
      </c>
      <c r="IO567" s="27" t="s">
        <v>8</v>
      </c>
      <c r="IP567" s="27" t="s">
        <v>7</v>
      </c>
      <c r="IQ567" s="27" t="s">
        <v>8</v>
      </c>
      <c r="IR567" s="27" t="s">
        <v>7</v>
      </c>
      <c r="IS567" s="27" t="s">
        <v>8</v>
      </c>
      <c r="IT567" s="27" t="s">
        <v>7</v>
      </c>
    </row>
    <row r="568" spans="1:257" x14ac:dyDescent="0.25">
      <c r="A568" s="7">
        <v>1.4568111725277988</v>
      </c>
      <c r="B568"/>
      <c r="C568"/>
      <c r="D568"/>
      <c r="E568"/>
      <c r="O568" s="27" t="s">
        <v>8</v>
      </c>
      <c r="BG568" s="27" t="s">
        <v>8</v>
      </c>
      <c r="BN568" s="27" t="s">
        <v>7</v>
      </c>
      <c r="BO568" s="27" t="s">
        <v>8</v>
      </c>
      <c r="BR568" s="27" t="s">
        <v>7</v>
      </c>
      <c r="DP568" s="27" t="s">
        <v>7</v>
      </c>
      <c r="DS568" s="27" t="s">
        <v>8</v>
      </c>
      <c r="DT568" s="27" t="s">
        <v>7</v>
      </c>
      <c r="DW568" s="27" t="s">
        <v>8</v>
      </c>
      <c r="DX568" s="27" t="s">
        <v>7</v>
      </c>
      <c r="FG568" s="27" t="s">
        <v>8</v>
      </c>
      <c r="FH568" s="27" t="s">
        <v>7</v>
      </c>
      <c r="FI568" s="27" t="s">
        <v>8</v>
      </c>
      <c r="GH568" s="27" t="s">
        <v>7</v>
      </c>
      <c r="GI568" s="27" t="s">
        <v>8</v>
      </c>
      <c r="GJ568" s="27" t="s">
        <v>7</v>
      </c>
      <c r="GK568" s="27" t="s">
        <v>8</v>
      </c>
      <c r="GL568" s="27" t="s">
        <v>7</v>
      </c>
      <c r="GM568" s="27" t="s">
        <v>8</v>
      </c>
      <c r="HX568" s="27" t="s">
        <v>7</v>
      </c>
      <c r="HY568" s="27" t="s">
        <v>8</v>
      </c>
      <c r="IN568" s="27" t="s">
        <v>7</v>
      </c>
      <c r="IP568" s="27" t="s">
        <v>7</v>
      </c>
      <c r="IQ568" s="27" t="s">
        <v>8</v>
      </c>
      <c r="IR568" s="27" t="s">
        <v>7</v>
      </c>
      <c r="IS568" s="27" t="s">
        <v>8</v>
      </c>
      <c r="IT568" s="27" t="s">
        <v>7</v>
      </c>
    </row>
    <row r="569" spans="1:257" x14ac:dyDescent="0.25">
      <c r="A569" s="7">
        <v>1.4282462475762734</v>
      </c>
      <c r="B569"/>
      <c r="C569"/>
      <c r="D569"/>
      <c r="E569"/>
      <c r="O569" s="27" t="s">
        <v>8</v>
      </c>
      <c r="P569" s="27" t="s">
        <v>7</v>
      </c>
      <c r="BG569" s="27" t="s">
        <v>8</v>
      </c>
      <c r="BN569" s="27" t="s">
        <v>7</v>
      </c>
      <c r="BO569" s="27" t="s">
        <v>8</v>
      </c>
      <c r="DP569" s="27" t="s">
        <v>7</v>
      </c>
      <c r="DS569" s="27" t="s">
        <v>8</v>
      </c>
      <c r="DT569" s="27" t="s">
        <v>7</v>
      </c>
      <c r="DW569" s="27" t="s">
        <v>8</v>
      </c>
      <c r="DX569" s="27" t="s">
        <v>7</v>
      </c>
      <c r="EC569" s="27" t="s">
        <v>8</v>
      </c>
      <c r="FG569" s="27" t="s">
        <v>8</v>
      </c>
      <c r="FH569" s="27" t="s">
        <v>7</v>
      </c>
      <c r="FI569" s="27" t="s">
        <v>8</v>
      </c>
      <c r="GH569" s="27" t="s">
        <v>7</v>
      </c>
      <c r="GJ569" s="27" t="s">
        <v>7</v>
      </c>
      <c r="GK569" s="27" t="s">
        <v>8</v>
      </c>
      <c r="GL569" s="27" t="s">
        <v>7</v>
      </c>
      <c r="HX569" s="27" t="s">
        <v>7</v>
      </c>
      <c r="HY569" s="27" t="s">
        <v>8</v>
      </c>
      <c r="IP569" s="27" t="s">
        <v>7</v>
      </c>
      <c r="IQ569" s="27" t="s">
        <v>8</v>
      </c>
      <c r="IR569" s="27" t="s">
        <v>7</v>
      </c>
      <c r="IT569" s="27" t="s">
        <v>7</v>
      </c>
    </row>
    <row r="570" spans="1:257" x14ac:dyDescent="0.25">
      <c r="A570" s="7">
        <v>1.4002414191924248</v>
      </c>
      <c r="B570"/>
      <c r="C570"/>
      <c r="D570"/>
      <c r="E570"/>
      <c r="O570" s="27" t="s">
        <v>8</v>
      </c>
      <c r="P570" s="27" t="s">
        <v>7</v>
      </c>
      <c r="BG570" s="27" t="s">
        <v>8</v>
      </c>
      <c r="BN570" s="27" t="s">
        <v>7</v>
      </c>
      <c r="BO570" s="27" t="s">
        <v>8</v>
      </c>
      <c r="DP570" s="27" t="s">
        <v>7</v>
      </c>
      <c r="DS570" s="27" t="s">
        <v>8</v>
      </c>
      <c r="DT570" s="27" t="s">
        <v>7</v>
      </c>
      <c r="DU570" s="27" t="s">
        <v>8</v>
      </c>
      <c r="DW570" s="27" t="s">
        <v>8</v>
      </c>
      <c r="DX570" s="27" t="s">
        <v>7</v>
      </c>
      <c r="EC570" s="27" t="s">
        <v>8</v>
      </c>
      <c r="ED570" s="27" t="s">
        <v>7</v>
      </c>
      <c r="FG570" s="27" t="s">
        <v>8</v>
      </c>
      <c r="FH570" s="27" t="s">
        <v>7</v>
      </c>
      <c r="FI570" s="27" t="s">
        <v>8</v>
      </c>
      <c r="GJ570" s="27" t="s">
        <v>7</v>
      </c>
      <c r="HX570" s="27" t="s">
        <v>7</v>
      </c>
      <c r="HY570" s="27" t="s">
        <v>8</v>
      </c>
      <c r="IP570" s="27" t="s">
        <v>7</v>
      </c>
      <c r="IQ570" s="27" t="s">
        <v>8</v>
      </c>
      <c r="IT570" s="27" t="s">
        <v>7</v>
      </c>
    </row>
    <row r="571" spans="1:257" x14ac:dyDescent="0.25">
      <c r="A571" s="7">
        <v>1.3727857050906125</v>
      </c>
      <c r="B571"/>
      <c r="C571"/>
      <c r="D571"/>
      <c r="E571" t="s">
        <v>8</v>
      </c>
      <c r="O571" s="27" t="s">
        <v>8</v>
      </c>
      <c r="P571" s="27" t="s">
        <v>7</v>
      </c>
      <c r="BG571" s="27" t="s">
        <v>8</v>
      </c>
      <c r="BN571" s="27" t="s">
        <v>7</v>
      </c>
      <c r="BO571" s="27" t="s">
        <v>8</v>
      </c>
      <c r="DP571" s="27" t="s">
        <v>7</v>
      </c>
      <c r="DS571" s="27" t="s">
        <v>8</v>
      </c>
      <c r="DT571" s="27" t="s">
        <v>7</v>
      </c>
      <c r="DU571" s="27" t="s">
        <v>8</v>
      </c>
      <c r="DV571" s="27" t="s">
        <v>7</v>
      </c>
      <c r="DW571" s="27" t="s">
        <v>8</v>
      </c>
      <c r="DX571" s="27" t="s">
        <v>7</v>
      </c>
      <c r="DY571" s="27" t="s">
        <v>8</v>
      </c>
      <c r="EC571" s="27" t="s">
        <v>8</v>
      </c>
      <c r="ED571" s="27" t="s">
        <v>7</v>
      </c>
      <c r="FE571" s="27" t="s">
        <v>8</v>
      </c>
      <c r="FG571" s="27" t="s">
        <v>8</v>
      </c>
      <c r="FH571" s="27" t="s">
        <v>7</v>
      </c>
      <c r="HX571" s="27" t="s">
        <v>7</v>
      </c>
      <c r="HY571" s="27" t="s">
        <v>8</v>
      </c>
      <c r="IP571" s="27" t="s">
        <v>7</v>
      </c>
      <c r="IQ571" s="27" t="s">
        <v>8</v>
      </c>
      <c r="IT571" s="27" t="s">
        <v>7</v>
      </c>
      <c r="IW571" s="27" t="s">
        <v>8</v>
      </c>
    </row>
    <row r="572" spans="1:257" x14ac:dyDescent="0.25">
      <c r="A572" s="7">
        <v>1.3458683383241299</v>
      </c>
      <c r="B572"/>
      <c r="C572"/>
      <c r="D572"/>
      <c r="E572" t="s">
        <v>8</v>
      </c>
      <c r="F572" s="27" t="s">
        <v>7</v>
      </c>
      <c r="M572" s="27" t="s">
        <v>8</v>
      </c>
      <c r="O572" s="27" t="s">
        <v>8</v>
      </c>
      <c r="P572" s="27" t="s">
        <v>7</v>
      </c>
      <c r="W572" s="27" t="s">
        <v>8</v>
      </c>
      <c r="BG572" s="27" t="s">
        <v>8</v>
      </c>
      <c r="BN572" s="27" t="s">
        <v>7</v>
      </c>
      <c r="BO572" s="27" t="s">
        <v>8</v>
      </c>
      <c r="DP572" s="27" t="s">
        <v>7</v>
      </c>
      <c r="DS572" s="27" t="s">
        <v>8</v>
      </c>
      <c r="DT572" s="27" t="s">
        <v>7</v>
      </c>
      <c r="DU572" s="27" t="s">
        <v>8</v>
      </c>
      <c r="DV572" s="27" t="s">
        <v>7</v>
      </c>
      <c r="DW572" s="27" t="s">
        <v>8</v>
      </c>
      <c r="DX572" s="27" t="s">
        <v>7</v>
      </c>
      <c r="DY572" s="27" t="s">
        <v>8</v>
      </c>
      <c r="DZ572" s="27" t="s">
        <v>7</v>
      </c>
      <c r="EC572" s="27" t="s">
        <v>8</v>
      </c>
      <c r="ED572" s="27" t="s">
        <v>7</v>
      </c>
      <c r="EE572" s="27" t="s">
        <v>8</v>
      </c>
      <c r="FE572" s="27" t="s">
        <v>8</v>
      </c>
      <c r="FF572" s="27" t="s">
        <v>7</v>
      </c>
      <c r="FG572" s="27" t="s">
        <v>8</v>
      </c>
      <c r="HX572" s="27" t="s">
        <v>7</v>
      </c>
      <c r="HY572" s="27" t="s">
        <v>8</v>
      </c>
      <c r="IP572" s="27" t="s">
        <v>7</v>
      </c>
      <c r="IQ572" s="27" t="s">
        <v>8</v>
      </c>
      <c r="IT572" s="27" t="s">
        <v>7</v>
      </c>
      <c r="IW572" s="27" t="s">
        <v>8</v>
      </c>
    </row>
    <row r="573" spans="1:257" x14ac:dyDescent="0.25">
      <c r="A573" s="7">
        <v>1.3194787630628724</v>
      </c>
      <c r="B573"/>
      <c r="C573"/>
      <c r="D573"/>
      <c r="E573" t="s">
        <v>8</v>
      </c>
      <c r="F573" s="27" t="s">
        <v>7</v>
      </c>
      <c r="M573" s="27" t="s">
        <v>8</v>
      </c>
      <c r="N573" s="27" t="s">
        <v>7</v>
      </c>
      <c r="O573" s="27" t="s">
        <v>8</v>
      </c>
      <c r="P573" s="27" t="s">
        <v>7</v>
      </c>
      <c r="W573" s="27" t="s">
        <v>8</v>
      </c>
      <c r="X573" s="27" t="s">
        <v>7</v>
      </c>
      <c r="BG573" s="27" t="s">
        <v>8</v>
      </c>
      <c r="BN573" s="27" t="s">
        <v>7</v>
      </c>
      <c r="BO573" s="27" t="s">
        <v>8</v>
      </c>
      <c r="DP573" s="27" t="s">
        <v>7</v>
      </c>
      <c r="DQ573" s="27" t="s">
        <v>8</v>
      </c>
      <c r="DS573" s="27" t="s">
        <v>8</v>
      </c>
      <c r="DT573" s="27" t="s">
        <v>7</v>
      </c>
      <c r="DU573" s="27" t="s">
        <v>8</v>
      </c>
      <c r="DV573" s="27" t="s">
        <v>7</v>
      </c>
      <c r="DW573" s="27" t="s">
        <v>8</v>
      </c>
      <c r="DX573" s="27" t="s">
        <v>7</v>
      </c>
      <c r="DY573" s="27" t="s">
        <v>8</v>
      </c>
      <c r="DZ573" s="27" t="s">
        <v>7</v>
      </c>
      <c r="EC573" s="27" t="s">
        <v>8</v>
      </c>
      <c r="ED573" s="27" t="s">
        <v>7</v>
      </c>
      <c r="EE573" s="27" t="s">
        <v>8</v>
      </c>
      <c r="EF573" s="27" t="s">
        <v>7</v>
      </c>
      <c r="FE573" s="27" t="s">
        <v>8</v>
      </c>
      <c r="FF573" s="27" t="s">
        <v>7</v>
      </c>
      <c r="FG573" s="27" t="s">
        <v>8</v>
      </c>
      <c r="HX573" s="27" t="s">
        <v>7</v>
      </c>
      <c r="HY573" s="27" t="s">
        <v>8</v>
      </c>
      <c r="IP573" s="27" t="s">
        <v>7</v>
      </c>
      <c r="IQ573" s="27" t="s">
        <v>8</v>
      </c>
      <c r="IT573" s="27" t="s">
        <v>7</v>
      </c>
      <c r="IW573" s="27" t="s">
        <v>8</v>
      </c>
    </row>
    <row r="574" spans="1:257" x14ac:dyDescent="0.25">
      <c r="A574" s="7">
        <v>1.2936066304537963</v>
      </c>
      <c r="B574"/>
      <c r="C574"/>
      <c r="D574"/>
      <c r="E574" t="s">
        <v>8</v>
      </c>
      <c r="F574" s="27" t="s">
        <v>7</v>
      </c>
      <c r="M574" s="27" t="s">
        <v>8</v>
      </c>
      <c r="N574" s="27" t="s">
        <v>7</v>
      </c>
      <c r="O574" s="27" t="s">
        <v>8</v>
      </c>
      <c r="P574" s="27" t="s">
        <v>7</v>
      </c>
      <c r="W574" s="27" t="s">
        <v>8</v>
      </c>
      <c r="X574" s="27" t="s">
        <v>7</v>
      </c>
      <c r="AA574" s="27" t="s">
        <v>8</v>
      </c>
      <c r="AS574" s="27" t="s">
        <v>8</v>
      </c>
      <c r="BG574" s="27" t="s">
        <v>8</v>
      </c>
      <c r="BN574" s="27" t="s">
        <v>7</v>
      </c>
      <c r="DP574" s="27" t="s">
        <v>7</v>
      </c>
      <c r="DQ574" s="27" t="s">
        <v>8</v>
      </c>
      <c r="DR574" s="27" t="s">
        <v>7</v>
      </c>
      <c r="DS574" s="27" t="s">
        <v>8</v>
      </c>
      <c r="DT574" s="27" t="s">
        <v>7</v>
      </c>
      <c r="DU574" s="27" t="s">
        <v>8</v>
      </c>
      <c r="DV574" s="27" t="s">
        <v>7</v>
      </c>
      <c r="DW574" s="27" t="s">
        <v>8</v>
      </c>
      <c r="DX574" s="27" t="s">
        <v>7</v>
      </c>
      <c r="DY574" s="27" t="s">
        <v>8</v>
      </c>
      <c r="DZ574" s="27" t="s">
        <v>7</v>
      </c>
      <c r="EC574" s="27" t="s">
        <v>8</v>
      </c>
      <c r="ED574" s="27" t="s">
        <v>7</v>
      </c>
      <c r="EE574" s="27" t="s">
        <v>8</v>
      </c>
      <c r="EF574" s="27" t="s">
        <v>7</v>
      </c>
      <c r="FE574" s="27" t="s">
        <v>8</v>
      </c>
      <c r="FF574" s="27" t="s">
        <v>7</v>
      </c>
      <c r="FG574" s="27" t="s">
        <v>8</v>
      </c>
      <c r="HX574" s="27" t="s">
        <v>7</v>
      </c>
      <c r="HY574" s="27" t="s">
        <v>8</v>
      </c>
      <c r="IP574" s="27" t="s">
        <v>7</v>
      </c>
      <c r="IQ574" s="27" t="s">
        <v>8</v>
      </c>
      <c r="IT574" s="27" t="s">
        <v>7</v>
      </c>
      <c r="IW574" s="27" t="s">
        <v>8</v>
      </c>
    </row>
    <row r="575" spans="1:257" x14ac:dyDescent="0.25">
      <c r="A575" s="7">
        <v>1.2682417945625455</v>
      </c>
      <c r="B575"/>
      <c r="C575"/>
      <c r="D575"/>
      <c r="E575" t="s">
        <v>8</v>
      </c>
      <c r="F575" s="27" t="s">
        <v>7</v>
      </c>
      <c r="M575" s="27" t="s">
        <v>8</v>
      </c>
      <c r="N575" s="27" t="s">
        <v>7</v>
      </c>
      <c r="O575" s="27" t="s">
        <v>8</v>
      </c>
      <c r="P575" s="27" t="s">
        <v>7</v>
      </c>
      <c r="W575" s="27" t="s">
        <v>8</v>
      </c>
      <c r="X575" s="27" t="s">
        <v>7</v>
      </c>
      <c r="AA575" s="27" t="s">
        <v>8</v>
      </c>
      <c r="AB575" s="27" t="s">
        <v>7</v>
      </c>
      <c r="AS575" s="27" t="s">
        <v>8</v>
      </c>
      <c r="AT575" s="27" t="s">
        <v>7</v>
      </c>
      <c r="BG575" s="27" t="s">
        <v>8</v>
      </c>
      <c r="DP575" s="27" t="s">
        <v>7</v>
      </c>
      <c r="DQ575" s="27" t="s">
        <v>8</v>
      </c>
      <c r="DR575" s="27" t="s">
        <v>7</v>
      </c>
      <c r="DS575" s="27" t="s">
        <v>8</v>
      </c>
      <c r="DT575" s="27" t="s">
        <v>7</v>
      </c>
      <c r="DU575" s="27" t="s">
        <v>8</v>
      </c>
      <c r="DV575" s="27" t="s">
        <v>7</v>
      </c>
      <c r="DX575" s="27" t="s">
        <v>7</v>
      </c>
      <c r="DY575" s="27" t="s">
        <v>8</v>
      </c>
      <c r="DZ575" s="27" t="s">
        <v>7</v>
      </c>
      <c r="EC575" s="27" t="s">
        <v>8</v>
      </c>
      <c r="ED575" s="27" t="s">
        <v>7</v>
      </c>
      <c r="EE575" s="27" t="s">
        <v>8</v>
      </c>
      <c r="EF575" s="27" t="s">
        <v>7</v>
      </c>
      <c r="EM575" s="27" t="s">
        <v>8</v>
      </c>
      <c r="ES575" s="27" t="s">
        <v>8</v>
      </c>
      <c r="FE575" s="27" t="s">
        <v>8</v>
      </c>
      <c r="FF575" s="27" t="s">
        <v>7</v>
      </c>
      <c r="FG575" s="27" t="s">
        <v>8</v>
      </c>
      <c r="HX575" s="27" t="s">
        <v>7</v>
      </c>
      <c r="HY575" s="27" t="s">
        <v>8</v>
      </c>
      <c r="IP575" s="27" t="s">
        <v>7</v>
      </c>
      <c r="IQ575" s="27" t="s">
        <v>8</v>
      </c>
      <c r="IT575" s="27" t="s">
        <v>7</v>
      </c>
      <c r="IW575" s="27" t="s">
        <v>8</v>
      </c>
    </row>
    <row r="576" spans="1:257" x14ac:dyDescent="0.25">
      <c r="A576" s="7">
        <v>1.2433743083946525</v>
      </c>
      <c r="B576"/>
      <c r="C576"/>
      <c r="D576"/>
      <c r="E576" t="s">
        <v>8</v>
      </c>
      <c r="F576" s="27" t="s">
        <v>7</v>
      </c>
      <c r="M576" s="27" t="s">
        <v>8</v>
      </c>
      <c r="N576" s="27" t="s">
        <v>7</v>
      </c>
      <c r="O576" s="27" t="s">
        <v>8</v>
      </c>
      <c r="P576" s="27" t="s">
        <v>7</v>
      </c>
      <c r="Q576" s="27" t="s">
        <v>8</v>
      </c>
      <c r="W576" s="27" t="s">
        <v>8</v>
      </c>
      <c r="X576" s="27" t="s">
        <v>7</v>
      </c>
      <c r="AA576" s="27" t="s">
        <v>8</v>
      </c>
      <c r="AB576" s="27" t="s">
        <v>7</v>
      </c>
      <c r="AS576" s="27" t="s">
        <v>8</v>
      </c>
      <c r="AT576" s="27" t="s">
        <v>7</v>
      </c>
      <c r="BE576" s="27" t="s">
        <v>8</v>
      </c>
      <c r="BG576" s="27" t="s">
        <v>8</v>
      </c>
      <c r="DP576" s="27" t="s">
        <v>7</v>
      </c>
      <c r="DQ576" s="27" t="s">
        <v>8</v>
      </c>
      <c r="DR576" s="27" t="s">
        <v>7</v>
      </c>
      <c r="DS576" s="27" t="s">
        <v>8</v>
      </c>
      <c r="DT576" s="27" t="s">
        <v>7</v>
      </c>
      <c r="DU576" s="27" t="s">
        <v>8</v>
      </c>
      <c r="DX576" s="27" t="s">
        <v>7</v>
      </c>
      <c r="DY576" s="27" t="s">
        <v>8</v>
      </c>
      <c r="DZ576" s="27" t="s">
        <v>7</v>
      </c>
      <c r="EA576" s="27" t="s">
        <v>8</v>
      </c>
      <c r="EC576" s="27" t="s">
        <v>8</v>
      </c>
      <c r="ED576" s="27" t="s">
        <v>7</v>
      </c>
      <c r="EE576" s="27" t="s">
        <v>8</v>
      </c>
      <c r="EF576" s="27" t="s">
        <v>7</v>
      </c>
      <c r="EM576" s="27" t="s">
        <v>8</v>
      </c>
      <c r="EN576" s="27" t="s">
        <v>7</v>
      </c>
      <c r="ES576" s="27" t="s">
        <v>8</v>
      </c>
      <c r="ET576" s="27" t="s">
        <v>7</v>
      </c>
      <c r="FC576" s="27" t="s">
        <v>8</v>
      </c>
      <c r="FE576" s="27" t="s">
        <v>8</v>
      </c>
      <c r="FF576" s="27" t="s">
        <v>7</v>
      </c>
      <c r="FG576" s="27" t="s">
        <v>8</v>
      </c>
      <c r="HX576" s="27" t="s">
        <v>7</v>
      </c>
      <c r="HY576" s="27" t="s">
        <v>8</v>
      </c>
      <c r="IP576" s="27" t="s">
        <v>7</v>
      </c>
      <c r="IT576" s="27" t="s">
        <v>7</v>
      </c>
      <c r="IW576" s="27" t="s">
        <v>8</v>
      </c>
    </row>
    <row r="577" spans="1:257" x14ac:dyDescent="0.25">
      <c r="A577" s="7">
        <v>1.2189944199947573</v>
      </c>
      <c r="B577"/>
      <c r="C577"/>
      <c r="D577"/>
      <c r="E577" t="s">
        <v>8</v>
      </c>
      <c r="F577" s="27" t="s">
        <v>7</v>
      </c>
      <c r="M577" s="27" t="s">
        <v>8</v>
      </c>
      <c r="N577" s="27" t="s">
        <v>7</v>
      </c>
      <c r="O577" s="27" t="s">
        <v>8</v>
      </c>
      <c r="P577" s="27" t="s">
        <v>7</v>
      </c>
      <c r="Q577" s="27" t="s">
        <v>8</v>
      </c>
      <c r="R577" s="27" t="s">
        <v>7</v>
      </c>
      <c r="W577" s="27" t="s">
        <v>8</v>
      </c>
      <c r="X577" s="27" t="s">
        <v>7</v>
      </c>
      <c r="AA577" s="27" t="s">
        <v>8</v>
      </c>
      <c r="AB577" s="27" t="s">
        <v>7</v>
      </c>
      <c r="AS577" s="27" t="s">
        <v>8</v>
      </c>
      <c r="AT577" s="27" t="s">
        <v>7</v>
      </c>
      <c r="BE577" s="27" t="s">
        <v>8</v>
      </c>
      <c r="BF577" s="27" t="s">
        <v>7</v>
      </c>
      <c r="BG577" s="27" t="s">
        <v>8</v>
      </c>
      <c r="DP577" s="27" t="s">
        <v>7</v>
      </c>
      <c r="DQ577" s="27" t="s">
        <v>8</v>
      </c>
      <c r="DR577" s="27" t="s">
        <v>7</v>
      </c>
      <c r="DS577" s="27" t="s">
        <v>8</v>
      </c>
      <c r="DT577" s="27" t="s">
        <v>7</v>
      </c>
      <c r="DU577" s="27" t="s">
        <v>8</v>
      </c>
      <c r="DX577" s="27" t="s">
        <v>7</v>
      </c>
      <c r="DY577" s="27" t="s">
        <v>8</v>
      </c>
      <c r="DZ577" s="27" t="s">
        <v>7</v>
      </c>
      <c r="EA577" s="27" t="s">
        <v>8</v>
      </c>
      <c r="EB577" s="27" t="s">
        <v>7</v>
      </c>
      <c r="EC577" s="27" t="s">
        <v>8</v>
      </c>
      <c r="ED577" s="27" t="s">
        <v>7</v>
      </c>
      <c r="EF577" s="27" t="s">
        <v>7</v>
      </c>
      <c r="EK577" s="27" t="s">
        <v>8</v>
      </c>
      <c r="EM577" s="27" t="s">
        <v>8</v>
      </c>
      <c r="EN577" s="27" t="s">
        <v>7</v>
      </c>
      <c r="ES577" s="27" t="s">
        <v>8</v>
      </c>
      <c r="ET577" s="27" t="s">
        <v>7</v>
      </c>
      <c r="FC577" s="27" t="s">
        <v>8</v>
      </c>
      <c r="FD577" s="27" t="s">
        <v>7</v>
      </c>
      <c r="FE577" s="27" t="s">
        <v>8</v>
      </c>
      <c r="FF577" s="27" t="s">
        <v>7</v>
      </c>
      <c r="FG577" s="27" t="s">
        <v>8</v>
      </c>
      <c r="HX577" s="27" t="s">
        <v>7</v>
      </c>
      <c r="IT577" s="27" t="s">
        <v>7</v>
      </c>
      <c r="IU577" s="27" t="s">
        <v>8</v>
      </c>
      <c r="IW577" s="27" t="s">
        <v>8</v>
      </c>
    </row>
    <row r="578" spans="1:257" x14ac:dyDescent="0.25">
      <c r="A578" s="7">
        <v>1.1950925686223111</v>
      </c>
      <c r="B578"/>
      <c r="C578"/>
      <c r="D578"/>
      <c r="E578" t="s">
        <v>8</v>
      </c>
      <c r="F578" s="27" t="s">
        <v>7</v>
      </c>
      <c r="M578" s="27" t="s">
        <v>8</v>
      </c>
      <c r="N578" s="27" t="s">
        <v>7</v>
      </c>
      <c r="O578" s="27" t="s">
        <v>8</v>
      </c>
      <c r="P578" s="27" t="s">
        <v>7</v>
      </c>
      <c r="Q578" s="27" t="s">
        <v>8</v>
      </c>
      <c r="R578" s="27" t="s">
        <v>7</v>
      </c>
      <c r="W578" s="27" t="s">
        <v>8</v>
      </c>
      <c r="X578" s="27" t="s">
        <v>7</v>
      </c>
      <c r="AA578" s="27" t="s">
        <v>8</v>
      </c>
      <c r="AB578" s="27" t="s">
        <v>7</v>
      </c>
      <c r="AS578" s="27" t="s">
        <v>8</v>
      </c>
      <c r="AT578" s="27" t="s">
        <v>7</v>
      </c>
      <c r="BE578" s="27" t="s">
        <v>8</v>
      </c>
      <c r="BF578" s="27" t="s">
        <v>7</v>
      </c>
      <c r="BG578" s="27" t="s">
        <v>8</v>
      </c>
      <c r="DP578" s="27" t="s">
        <v>7</v>
      </c>
      <c r="DQ578" s="27" t="s">
        <v>8</v>
      </c>
      <c r="DR578" s="27" t="s">
        <v>7</v>
      </c>
      <c r="DS578" s="27" t="s">
        <v>8</v>
      </c>
      <c r="DT578" s="27" t="s">
        <v>7</v>
      </c>
      <c r="DU578" s="27" t="s">
        <v>8</v>
      </c>
      <c r="DX578" s="27" t="s">
        <v>7</v>
      </c>
      <c r="DZ578" s="27" t="s">
        <v>7</v>
      </c>
      <c r="EA578" s="27" t="s">
        <v>8</v>
      </c>
      <c r="EB578" s="27" t="s">
        <v>7</v>
      </c>
      <c r="EC578" s="27" t="s">
        <v>8</v>
      </c>
      <c r="EF578" s="27" t="s">
        <v>7</v>
      </c>
      <c r="EK578" s="27" t="s">
        <v>8</v>
      </c>
      <c r="EL578" s="27" t="s">
        <v>7</v>
      </c>
      <c r="EM578" s="27" t="s">
        <v>8</v>
      </c>
      <c r="EN578" s="27" t="s">
        <v>7</v>
      </c>
      <c r="ES578" s="27" t="s">
        <v>8</v>
      </c>
      <c r="ET578" s="27" t="s">
        <v>7</v>
      </c>
      <c r="FC578" s="27" t="s">
        <v>8</v>
      </c>
      <c r="FD578" s="27" t="s">
        <v>7</v>
      </c>
      <c r="FE578" s="27" t="s">
        <v>8</v>
      </c>
      <c r="FF578" s="27" t="s">
        <v>7</v>
      </c>
      <c r="FG578" s="27" t="s">
        <v>8</v>
      </c>
      <c r="IT578" s="27" t="s">
        <v>7</v>
      </c>
      <c r="IU578" s="27" t="s">
        <v>8</v>
      </c>
      <c r="IV578" s="27" t="s">
        <v>7</v>
      </c>
      <c r="IW578" s="27" t="s">
        <v>8</v>
      </c>
    </row>
    <row r="579" spans="1:257" x14ac:dyDescent="0.25">
      <c r="A579" s="7">
        <v>1.1716593810022657</v>
      </c>
      <c r="B579"/>
      <c r="C579"/>
      <c r="D579"/>
      <c r="E579" t="s">
        <v>8</v>
      </c>
      <c r="F579" s="27" t="s">
        <v>7</v>
      </c>
      <c r="M579" s="27" t="s">
        <v>8</v>
      </c>
      <c r="N579" s="27" t="s">
        <v>7</v>
      </c>
      <c r="O579" s="27" t="s">
        <v>8</v>
      </c>
      <c r="P579" s="27" t="s">
        <v>7</v>
      </c>
      <c r="Q579" s="27" t="s">
        <v>8</v>
      </c>
      <c r="R579" s="27" t="s">
        <v>7</v>
      </c>
      <c r="S579" s="27" t="s">
        <v>8</v>
      </c>
      <c r="W579" s="27" t="s">
        <v>8</v>
      </c>
      <c r="X579" s="27" t="s">
        <v>7</v>
      </c>
      <c r="AA579" s="27" t="s">
        <v>8</v>
      </c>
      <c r="AB579" s="27" t="s">
        <v>7</v>
      </c>
      <c r="AC579" s="27" t="s">
        <v>8</v>
      </c>
      <c r="AI579" s="27" t="s">
        <v>8</v>
      </c>
      <c r="AS579" s="27" t="s">
        <v>8</v>
      </c>
      <c r="AT579" s="27" t="s">
        <v>7</v>
      </c>
      <c r="AW579" s="27" t="s">
        <v>8</v>
      </c>
      <c r="BE579" s="27" t="s">
        <v>8</v>
      </c>
      <c r="BF579" s="27" t="s">
        <v>7</v>
      </c>
      <c r="BG579" s="27" t="s">
        <v>8</v>
      </c>
      <c r="DP579" s="27" t="s">
        <v>7</v>
      </c>
      <c r="DQ579" s="27" t="s">
        <v>8</v>
      </c>
      <c r="DR579" s="27" t="s">
        <v>7</v>
      </c>
      <c r="DS579" s="27" t="s">
        <v>8</v>
      </c>
      <c r="DT579" s="27" t="s">
        <v>7</v>
      </c>
      <c r="DU579" s="27" t="s">
        <v>8</v>
      </c>
      <c r="DZ579" s="27" t="s">
        <v>7</v>
      </c>
      <c r="EA579" s="27" t="s">
        <v>8</v>
      </c>
      <c r="EB579" s="27" t="s">
        <v>7</v>
      </c>
      <c r="EC579" s="27" t="s">
        <v>8</v>
      </c>
      <c r="EF579" s="27" t="s">
        <v>7</v>
      </c>
      <c r="EK579" s="27" t="s">
        <v>8</v>
      </c>
      <c r="EL579" s="27" t="s">
        <v>7</v>
      </c>
      <c r="EM579" s="27" t="s">
        <v>8</v>
      </c>
      <c r="EN579" s="27" t="s">
        <v>7</v>
      </c>
      <c r="EO579" s="27" t="s">
        <v>8</v>
      </c>
      <c r="ES579" s="27" t="s">
        <v>8</v>
      </c>
      <c r="ET579" s="27" t="s">
        <v>7</v>
      </c>
      <c r="EY579" s="27" t="s">
        <v>8</v>
      </c>
      <c r="FC579" s="27" t="s">
        <v>8</v>
      </c>
      <c r="FD579" s="27" t="s">
        <v>7</v>
      </c>
      <c r="FE579" s="27" t="s">
        <v>8</v>
      </c>
      <c r="FF579" s="27" t="s">
        <v>7</v>
      </c>
      <c r="IT579" s="27" t="s">
        <v>7</v>
      </c>
      <c r="IU579" s="27" t="s">
        <v>8</v>
      </c>
      <c r="IV579" s="27" t="s">
        <v>7</v>
      </c>
      <c r="IW579" s="27" t="s">
        <v>8</v>
      </c>
    </row>
    <row r="580" spans="1:257" x14ac:dyDescent="0.25">
      <c r="A580" s="7">
        <v>1.14868566764928</v>
      </c>
      <c r="B580"/>
      <c r="C580"/>
      <c r="D580"/>
      <c r="E580" t="s">
        <v>8</v>
      </c>
      <c r="F580" s="27" t="s">
        <v>7</v>
      </c>
      <c r="M580" s="27" t="s">
        <v>8</v>
      </c>
      <c r="N580" s="27" t="s">
        <v>7</v>
      </c>
      <c r="O580" s="27" t="s">
        <v>8</v>
      </c>
      <c r="P580" s="27" t="s">
        <v>7</v>
      </c>
      <c r="Q580" s="27" t="s">
        <v>8</v>
      </c>
      <c r="R580" s="27" t="s">
        <v>7</v>
      </c>
      <c r="S580" s="27" t="s">
        <v>8</v>
      </c>
      <c r="T580" s="27" t="s">
        <v>7</v>
      </c>
      <c r="W580" s="27" t="s">
        <v>8</v>
      </c>
      <c r="X580" s="27" t="s">
        <v>7</v>
      </c>
      <c r="AA580" s="27" t="s">
        <v>8</v>
      </c>
      <c r="AB580" s="27" t="s">
        <v>7</v>
      </c>
      <c r="AC580" s="27" t="s">
        <v>8</v>
      </c>
      <c r="AD580" s="27" t="s">
        <v>7</v>
      </c>
      <c r="AI580" s="27" t="s">
        <v>8</v>
      </c>
      <c r="AJ580" s="27" t="s">
        <v>7</v>
      </c>
      <c r="AS580" s="27" t="s">
        <v>8</v>
      </c>
      <c r="AT580" s="27" t="s">
        <v>7</v>
      </c>
      <c r="AW580" s="27" t="s">
        <v>8</v>
      </c>
      <c r="AX580" s="27" t="s">
        <v>7</v>
      </c>
      <c r="BE580" s="27" t="s">
        <v>8</v>
      </c>
      <c r="BF580" s="27" t="s">
        <v>7</v>
      </c>
      <c r="BG580" s="27" t="s">
        <v>8</v>
      </c>
      <c r="DP580" s="27" t="s">
        <v>7</v>
      </c>
      <c r="DQ580" s="27" t="s">
        <v>8</v>
      </c>
      <c r="DR580" s="27" t="s">
        <v>7</v>
      </c>
      <c r="DS580" s="27" t="s">
        <v>8</v>
      </c>
      <c r="DT580" s="27" t="s">
        <v>7</v>
      </c>
      <c r="DU580" s="27" t="s">
        <v>8</v>
      </c>
      <c r="DZ580" s="27" t="s">
        <v>7</v>
      </c>
      <c r="EA580" s="27" t="s">
        <v>8</v>
      </c>
      <c r="EB580" s="27" t="s">
        <v>7</v>
      </c>
      <c r="EC580" s="27" t="s">
        <v>8</v>
      </c>
      <c r="EF580" s="27" t="s">
        <v>7</v>
      </c>
      <c r="EK580" s="27" t="s">
        <v>8</v>
      </c>
      <c r="EL580" s="27" t="s">
        <v>7</v>
      </c>
      <c r="EM580" s="27" t="s">
        <v>8</v>
      </c>
      <c r="EN580" s="27" t="s">
        <v>7</v>
      </c>
      <c r="EO580" s="27" t="s">
        <v>8</v>
      </c>
      <c r="EP580" s="27" t="s">
        <v>7</v>
      </c>
      <c r="ES580" s="27" t="s">
        <v>8</v>
      </c>
      <c r="ET580" s="27" t="s">
        <v>7</v>
      </c>
      <c r="EU580" s="27" t="s">
        <v>8</v>
      </c>
      <c r="EW580" s="27" t="s">
        <v>8</v>
      </c>
      <c r="EY580" s="27" t="s">
        <v>8</v>
      </c>
      <c r="EZ580" s="27" t="s">
        <v>7</v>
      </c>
      <c r="FC580" s="27" t="s">
        <v>8</v>
      </c>
      <c r="FD580" s="27" t="s">
        <v>7</v>
      </c>
      <c r="IT580" s="27" t="s">
        <v>7</v>
      </c>
      <c r="IU580" s="27" t="s">
        <v>8</v>
      </c>
      <c r="IV580" s="27" t="s">
        <v>7</v>
      </c>
      <c r="IW580" s="27" t="s">
        <v>8</v>
      </c>
    </row>
    <row r="581" spans="1:257" x14ac:dyDescent="0.25">
      <c r="A581" s="7">
        <v>1.1261624192640001</v>
      </c>
      <c r="B581"/>
      <c r="C581"/>
      <c r="D581"/>
      <c r="E581" t="s">
        <v>8</v>
      </c>
      <c r="F581" s="27" t="s">
        <v>7</v>
      </c>
      <c r="M581" s="27" t="s">
        <v>8</v>
      </c>
      <c r="N581" s="27" t="s">
        <v>7</v>
      </c>
      <c r="O581" s="27" t="s">
        <v>8</v>
      </c>
      <c r="P581" s="27" t="s">
        <v>7</v>
      </c>
      <c r="Q581" s="27" t="s">
        <v>8</v>
      </c>
      <c r="R581" s="27" t="s">
        <v>7</v>
      </c>
      <c r="S581" s="27" t="s">
        <v>8</v>
      </c>
      <c r="T581" s="27" t="s">
        <v>7</v>
      </c>
      <c r="W581" s="27" t="s">
        <v>8</v>
      </c>
      <c r="X581" s="27" t="s">
        <v>7</v>
      </c>
      <c r="AA581" s="27" t="s">
        <v>8</v>
      </c>
      <c r="AB581" s="27" t="s">
        <v>7</v>
      </c>
      <c r="AC581" s="27" t="s">
        <v>8</v>
      </c>
      <c r="AD581" s="27" t="s">
        <v>7</v>
      </c>
      <c r="AI581" s="27" t="s">
        <v>8</v>
      </c>
      <c r="AJ581" s="27" t="s">
        <v>7</v>
      </c>
      <c r="AS581" s="27" t="s">
        <v>8</v>
      </c>
      <c r="AT581" s="27" t="s">
        <v>7</v>
      </c>
      <c r="AW581" s="27" t="s">
        <v>8</v>
      </c>
      <c r="AX581" s="27" t="s">
        <v>7</v>
      </c>
      <c r="BE581" s="27" t="s">
        <v>8</v>
      </c>
      <c r="BF581" s="27" t="s">
        <v>7</v>
      </c>
      <c r="BG581" s="27" t="s">
        <v>8</v>
      </c>
      <c r="DP581" s="27" t="s">
        <v>7</v>
      </c>
      <c r="DQ581" s="27" t="s">
        <v>8</v>
      </c>
      <c r="DR581" s="27" t="s">
        <v>7</v>
      </c>
      <c r="DS581" s="27" t="s">
        <v>8</v>
      </c>
      <c r="DT581" s="27" t="s">
        <v>7</v>
      </c>
      <c r="DU581" s="27" t="s">
        <v>8</v>
      </c>
      <c r="DZ581" s="27" t="s">
        <v>7</v>
      </c>
      <c r="EA581" s="27" t="s">
        <v>8</v>
      </c>
      <c r="EB581" s="27" t="s">
        <v>7</v>
      </c>
      <c r="EC581" s="27" t="s">
        <v>8</v>
      </c>
      <c r="EF581" s="27" t="s">
        <v>7</v>
      </c>
      <c r="EK581" s="27" t="s">
        <v>8</v>
      </c>
      <c r="EL581" s="27" t="s">
        <v>7</v>
      </c>
      <c r="EM581" s="27" t="s">
        <v>8</v>
      </c>
      <c r="EN581" s="27" t="s">
        <v>7</v>
      </c>
      <c r="EO581" s="27" t="s">
        <v>8</v>
      </c>
      <c r="EP581" s="27" t="s">
        <v>7</v>
      </c>
      <c r="ES581" s="27" t="s">
        <v>8</v>
      </c>
      <c r="ET581" s="27" t="s">
        <v>7</v>
      </c>
      <c r="EU581" s="27" t="s">
        <v>8</v>
      </c>
      <c r="EV581" s="27" t="s">
        <v>7</v>
      </c>
      <c r="EW581" s="27" t="s">
        <v>8</v>
      </c>
      <c r="EX581" s="27" t="s">
        <v>7</v>
      </c>
      <c r="EY581" s="27" t="s">
        <v>8</v>
      </c>
      <c r="EZ581" s="27" t="s">
        <v>7</v>
      </c>
      <c r="FC581" s="27" t="s">
        <v>8</v>
      </c>
      <c r="IT581" s="27" t="s">
        <v>7</v>
      </c>
      <c r="IU581" s="27" t="s">
        <v>8</v>
      </c>
      <c r="IV581" s="27" t="s">
        <v>7</v>
      </c>
      <c r="IW581" s="27" t="s">
        <v>8</v>
      </c>
    </row>
    <row r="582" spans="1:257" x14ac:dyDescent="0.25">
      <c r="A582" s="7">
        <v>1.1040808032</v>
      </c>
      <c r="B582"/>
      <c r="C582"/>
      <c r="D582"/>
      <c r="E582" t="s">
        <v>8</v>
      </c>
      <c r="F582" s="27" t="s">
        <v>7</v>
      </c>
      <c r="M582" s="27" t="s">
        <v>8</v>
      </c>
      <c r="N582" s="27" t="s">
        <v>7</v>
      </c>
      <c r="O582" s="27" t="s">
        <v>8</v>
      </c>
      <c r="P582" s="27" t="s">
        <v>7</v>
      </c>
      <c r="R582" s="27" t="s">
        <v>7</v>
      </c>
      <c r="S582" s="27" t="s">
        <v>8</v>
      </c>
      <c r="T582" s="27" t="s">
        <v>7</v>
      </c>
      <c r="W582" s="27" t="s">
        <v>8</v>
      </c>
      <c r="X582" s="27" t="s">
        <v>7</v>
      </c>
      <c r="Y582" s="27" t="s">
        <v>8</v>
      </c>
      <c r="AA582" s="27" t="s">
        <v>8</v>
      </c>
      <c r="AB582" s="27" t="s">
        <v>7</v>
      </c>
      <c r="AC582" s="27" t="s">
        <v>8</v>
      </c>
      <c r="AD582" s="27" t="s">
        <v>7</v>
      </c>
      <c r="AI582" s="27" t="s">
        <v>8</v>
      </c>
      <c r="AJ582" s="27" t="s">
        <v>7</v>
      </c>
      <c r="AS582" s="27" t="s">
        <v>8</v>
      </c>
      <c r="AT582" s="27" t="s">
        <v>7</v>
      </c>
      <c r="AW582" s="27" t="s">
        <v>8</v>
      </c>
      <c r="AX582" s="27" t="s">
        <v>7</v>
      </c>
      <c r="BE582" s="27" t="s">
        <v>8</v>
      </c>
      <c r="BF582" s="27" t="s">
        <v>7</v>
      </c>
      <c r="BG582" s="27" t="s">
        <v>8</v>
      </c>
      <c r="DP582" s="27" t="s">
        <v>7</v>
      </c>
      <c r="DQ582" s="27" t="s">
        <v>8</v>
      </c>
      <c r="DR582" s="27" t="s">
        <v>7</v>
      </c>
      <c r="DS582" s="27" t="s">
        <v>8</v>
      </c>
      <c r="DT582" s="27" t="s">
        <v>7</v>
      </c>
      <c r="DU582" s="27" t="s">
        <v>8</v>
      </c>
      <c r="DZ582" s="27" t="s">
        <v>7</v>
      </c>
      <c r="EA582" s="27" t="s">
        <v>8</v>
      </c>
      <c r="EB582" s="27" t="s">
        <v>7</v>
      </c>
      <c r="EC582" s="27" t="s">
        <v>8</v>
      </c>
      <c r="EF582" s="27" t="s">
        <v>7</v>
      </c>
      <c r="EK582" s="27" t="s">
        <v>8</v>
      </c>
      <c r="EL582" s="27" t="s">
        <v>7</v>
      </c>
      <c r="EN582" s="27" t="s">
        <v>7</v>
      </c>
      <c r="EP582" s="27" t="s">
        <v>7</v>
      </c>
      <c r="EQ582" s="27" t="s">
        <v>8</v>
      </c>
      <c r="ES582" s="27" t="s">
        <v>8</v>
      </c>
      <c r="ET582" s="27" t="s">
        <v>7</v>
      </c>
      <c r="EU582" s="27" t="s">
        <v>8</v>
      </c>
      <c r="EV582" s="27" t="s">
        <v>7</v>
      </c>
      <c r="EW582" s="27" t="s">
        <v>8</v>
      </c>
      <c r="EX582" s="27" t="s">
        <v>7</v>
      </c>
      <c r="EY582" s="27" t="s">
        <v>8</v>
      </c>
      <c r="EZ582" s="27" t="s">
        <v>7</v>
      </c>
      <c r="FC582" s="27" t="s">
        <v>8</v>
      </c>
      <c r="IT582" s="27" t="s">
        <v>7</v>
      </c>
      <c r="IV582" s="27" t="s">
        <v>7</v>
      </c>
      <c r="IW582" s="27" t="s">
        <v>8</v>
      </c>
    </row>
    <row r="583" spans="1:257" x14ac:dyDescent="0.25">
      <c r="A583" s="7">
        <v>1.08243216</v>
      </c>
      <c r="B583"/>
      <c r="C583"/>
      <c r="D583"/>
      <c r="E583" t="s">
        <v>8</v>
      </c>
      <c r="F583" s="27" t="s">
        <v>7</v>
      </c>
      <c r="M583" s="27" t="s">
        <v>8</v>
      </c>
      <c r="N583" s="27" t="s">
        <v>7</v>
      </c>
      <c r="O583" s="27" t="s">
        <v>8</v>
      </c>
      <c r="R583" s="27" t="s">
        <v>7</v>
      </c>
      <c r="S583" s="27" t="s">
        <v>8</v>
      </c>
      <c r="T583" s="27" t="s">
        <v>7</v>
      </c>
      <c r="U583" s="27" t="s">
        <v>8</v>
      </c>
      <c r="W583" s="27" t="s">
        <v>8</v>
      </c>
      <c r="X583" s="27" t="s">
        <v>7</v>
      </c>
      <c r="Y583" s="27" t="s">
        <v>8</v>
      </c>
      <c r="Z583" s="27" t="s">
        <v>7</v>
      </c>
      <c r="AA583" s="27" t="s">
        <v>8</v>
      </c>
      <c r="AB583" s="27" t="s">
        <v>7</v>
      </c>
      <c r="AC583" s="27" t="s">
        <v>8</v>
      </c>
      <c r="AD583" s="27" t="s">
        <v>7</v>
      </c>
      <c r="AI583" s="27" t="s">
        <v>8</v>
      </c>
      <c r="AJ583" s="27" t="s">
        <v>7</v>
      </c>
      <c r="AS583" s="27" t="s">
        <v>8</v>
      </c>
      <c r="AT583" s="27" t="s">
        <v>7</v>
      </c>
      <c r="AW583" s="27" t="s">
        <v>8</v>
      </c>
      <c r="AX583" s="27" t="s">
        <v>7</v>
      </c>
      <c r="BE583" s="27" t="s">
        <v>8</v>
      </c>
      <c r="BF583" s="27" t="s">
        <v>7</v>
      </c>
      <c r="BG583" s="27" t="s">
        <v>8</v>
      </c>
      <c r="DP583" s="27" t="s">
        <v>7</v>
      </c>
      <c r="DQ583" s="27" t="s">
        <v>8</v>
      </c>
      <c r="DR583" s="27" t="s">
        <v>7</v>
      </c>
      <c r="DS583" s="27" t="s">
        <v>8</v>
      </c>
      <c r="DT583" s="27" t="s">
        <v>7</v>
      </c>
      <c r="DU583" s="27" t="s">
        <v>8</v>
      </c>
      <c r="DZ583" s="27" t="s">
        <v>7</v>
      </c>
      <c r="EA583" s="27" t="s">
        <v>8</v>
      </c>
      <c r="EB583" s="27" t="s">
        <v>7</v>
      </c>
      <c r="EC583" s="27" t="s">
        <v>8</v>
      </c>
      <c r="EF583" s="27" t="s">
        <v>7</v>
      </c>
      <c r="EK583" s="27" t="s">
        <v>8</v>
      </c>
      <c r="EP583" s="27" t="s">
        <v>7</v>
      </c>
      <c r="EQ583" s="27" t="s">
        <v>8</v>
      </c>
      <c r="ER583" s="27" t="s">
        <v>7</v>
      </c>
      <c r="ES583" s="27" t="s">
        <v>8</v>
      </c>
      <c r="ET583" s="27" t="s">
        <v>7</v>
      </c>
      <c r="EU583" s="27" t="s">
        <v>8</v>
      </c>
      <c r="EV583" s="27" t="s">
        <v>7</v>
      </c>
      <c r="EW583" s="27" t="s">
        <v>8</v>
      </c>
      <c r="EX583" s="27" t="s">
        <v>7</v>
      </c>
      <c r="EY583" s="27" t="s">
        <v>8</v>
      </c>
      <c r="EZ583" s="27" t="s">
        <v>7</v>
      </c>
      <c r="FC583" s="27" t="s">
        <v>8</v>
      </c>
      <c r="IV583" s="27" t="s">
        <v>7</v>
      </c>
      <c r="IW583" s="27" t="s">
        <v>8</v>
      </c>
    </row>
    <row r="584" spans="1:257" x14ac:dyDescent="0.25">
      <c r="A584" s="7">
        <v>1.0612079999999999</v>
      </c>
      <c r="B584"/>
      <c r="C584"/>
      <c r="D584"/>
      <c r="E584" t="s">
        <v>8</v>
      </c>
      <c r="F584" s="27" t="s">
        <v>7</v>
      </c>
      <c r="G584" s="27" t="s">
        <v>8</v>
      </c>
      <c r="M584" s="27" t="s">
        <v>8</v>
      </c>
      <c r="N584" s="27" t="s">
        <v>7</v>
      </c>
      <c r="O584" s="27" t="s">
        <v>8</v>
      </c>
      <c r="R584" s="27" t="s">
        <v>7</v>
      </c>
      <c r="T584" s="27" t="s">
        <v>7</v>
      </c>
      <c r="U584" s="27" t="s">
        <v>8</v>
      </c>
      <c r="V584" s="27" t="s">
        <v>7</v>
      </c>
      <c r="W584" s="27" t="s">
        <v>8</v>
      </c>
      <c r="X584" s="27" t="s">
        <v>7</v>
      </c>
      <c r="Y584" s="27" t="s">
        <v>8</v>
      </c>
      <c r="Z584" s="27" t="s">
        <v>7</v>
      </c>
      <c r="AA584" s="27" t="s">
        <v>8</v>
      </c>
      <c r="AB584" s="27" t="s">
        <v>7</v>
      </c>
      <c r="AD584" s="27" t="s">
        <v>7</v>
      </c>
      <c r="AI584" s="27" t="s">
        <v>8</v>
      </c>
      <c r="AJ584" s="27" t="s">
        <v>7</v>
      </c>
      <c r="AK584" s="27" t="s">
        <v>8</v>
      </c>
      <c r="AM584" s="27" t="s">
        <v>8</v>
      </c>
      <c r="AS584" s="27" t="s">
        <v>8</v>
      </c>
      <c r="AT584" s="27" t="s">
        <v>7</v>
      </c>
      <c r="AW584" s="27" t="s">
        <v>8</v>
      </c>
      <c r="AX584" s="27" t="s">
        <v>7</v>
      </c>
      <c r="AY584" s="27" t="s">
        <v>8</v>
      </c>
      <c r="BE584" s="27" t="s">
        <v>8</v>
      </c>
      <c r="BF584" s="27" t="s">
        <v>7</v>
      </c>
      <c r="DP584" s="27" t="s">
        <v>7</v>
      </c>
      <c r="DQ584" s="27" t="s">
        <v>8</v>
      </c>
      <c r="DR584" s="27" t="s">
        <v>7</v>
      </c>
      <c r="DS584" s="27" t="s">
        <v>8</v>
      </c>
      <c r="DT584" s="27" t="s">
        <v>7</v>
      </c>
      <c r="DU584" s="27" t="s">
        <v>8</v>
      </c>
      <c r="DZ584" s="27" t="s">
        <v>7</v>
      </c>
      <c r="EB584" s="27" t="s">
        <v>7</v>
      </c>
      <c r="EF584" s="27" t="s">
        <v>7</v>
      </c>
      <c r="EK584" s="27" t="s">
        <v>8</v>
      </c>
      <c r="EP584" s="27" t="s">
        <v>7</v>
      </c>
      <c r="EQ584" s="27" t="s">
        <v>8</v>
      </c>
      <c r="ER584" s="27" t="s">
        <v>7</v>
      </c>
      <c r="ES584" s="27" t="s">
        <v>8</v>
      </c>
      <c r="ET584" s="27" t="s">
        <v>7</v>
      </c>
      <c r="EU584" s="27" t="s">
        <v>8</v>
      </c>
      <c r="EV584" s="27" t="s">
        <v>7</v>
      </c>
      <c r="EW584" s="27" t="s">
        <v>8</v>
      </c>
      <c r="EX584" s="27" t="s">
        <v>7</v>
      </c>
      <c r="EY584" s="27" t="s">
        <v>8</v>
      </c>
      <c r="EZ584" s="27" t="s">
        <v>7</v>
      </c>
      <c r="FA584" s="27" t="s">
        <v>8</v>
      </c>
      <c r="FC584" s="27" t="s">
        <v>8</v>
      </c>
      <c r="IV584" s="27" t="s">
        <v>7</v>
      </c>
      <c r="IW584" s="27" t="s">
        <v>8</v>
      </c>
    </row>
    <row r="585" spans="1:257" x14ac:dyDescent="0.25">
      <c r="A585" s="7">
        <v>1.0404</v>
      </c>
      <c r="B585"/>
      <c r="C585"/>
      <c r="D585"/>
      <c r="E585" t="s">
        <v>8</v>
      </c>
      <c r="F585" s="27" t="s">
        <v>7</v>
      </c>
      <c r="G585" s="27" t="s">
        <v>8</v>
      </c>
      <c r="H585" s="27" t="s">
        <v>7</v>
      </c>
      <c r="M585" s="27" t="s">
        <v>8</v>
      </c>
      <c r="N585" s="27" t="s">
        <v>7</v>
      </c>
      <c r="O585" s="27" t="s">
        <v>8</v>
      </c>
      <c r="T585" s="27" t="s">
        <v>7</v>
      </c>
      <c r="U585" s="27" t="s">
        <v>8</v>
      </c>
      <c r="V585" s="27" t="s">
        <v>7</v>
      </c>
      <c r="W585" s="27" t="s">
        <v>8</v>
      </c>
      <c r="X585" s="27" t="s">
        <v>7</v>
      </c>
      <c r="Y585" s="27" t="s">
        <v>8</v>
      </c>
      <c r="Z585" s="27" t="s">
        <v>7</v>
      </c>
      <c r="AA585" s="27" t="s">
        <v>8</v>
      </c>
      <c r="AD585" s="27" t="s">
        <v>7</v>
      </c>
      <c r="AG585" s="27" t="s">
        <v>8</v>
      </c>
      <c r="AI585" s="27" t="s">
        <v>8</v>
      </c>
      <c r="AJ585" s="27" t="s">
        <v>7</v>
      </c>
      <c r="AK585" s="27" t="s">
        <v>8</v>
      </c>
      <c r="AL585" s="27" t="s">
        <v>7</v>
      </c>
      <c r="AM585" s="27" t="s">
        <v>8</v>
      </c>
      <c r="AN585" s="27" t="s">
        <v>7</v>
      </c>
      <c r="AS585" s="27" t="s">
        <v>8</v>
      </c>
      <c r="AT585" s="27" t="s">
        <v>7</v>
      </c>
      <c r="AW585" s="27" t="s">
        <v>8</v>
      </c>
      <c r="AX585" s="27" t="s">
        <v>7</v>
      </c>
      <c r="AY585" s="27" t="s">
        <v>8</v>
      </c>
      <c r="AZ585" s="27" t="s">
        <v>7</v>
      </c>
      <c r="BC585" s="27" t="s">
        <v>8</v>
      </c>
      <c r="BE585" s="27" t="s">
        <v>8</v>
      </c>
      <c r="DP585" s="27" t="s">
        <v>7</v>
      </c>
      <c r="DR585" s="27" t="s">
        <v>7</v>
      </c>
      <c r="DS585" s="27" t="s">
        <v>8</v>
      </c>
      <c r="DT585" s="27" t="s">
        <v>7</v>
      </c>
      <c r="DU585" s="27" t="s">
        <v>8</v>
      </c>
      <c r="EF585" s="27" t="s">
        <v>7</v>
      </c>
      <c r="EK585" s="27" t="s">
        <v>8</v>
      </c>
      <c r="EP585" s="27" t="s">
        <v>7</v>
      </c>
      <c r="EQ585" s="27" t="s">
        <v>8</v>
      </c>
      <c r="ER585" s="27" t="s">
        <v>7</v>
      </c>
      <c r="ES585" s="27" t="s">
        <v>8</v>
      </c>
      <c r="ET585" s="27" t="s">
        <v>7</v>
      </c>
      <c r="EU585" s="27" t="s">
        <v>8</v>
      </c>
      <c r="EV585" s="27" t="s">
        <v>7</v>
      </c>
      <c r="EW585" s="27" t="s">
        <v>8</v>
      </c>
      <c r="EX585" s="27" t="s">
        <v>7</v>
      </c>
      <c r="EY585" s="27" t="s">
        <v>8</v>
      </c>
      <c r="EZ585" s="27" t="s">
        <v>7</v>
      </c>
      <c r="FA585" s="27" t="s">
        <v>8</v>
      </c>
      <c r="FB585" s="27" t="s">
        <v>7</v>
      </c>
      <c r="FC585" s="27" t="s">
        <v>8</v>
      </c>
      <c r="IV585" s="27" t="s">
        <v>7</v>
      </c>
    </row>
    <row r="586" spans="1:257" x14ac:dyDescent="0.25">
      <c r="A586" s="7">
        <v>1.02</v>
      </c>
      <c r="B586"/>
      <c r="C586"/>
      <c r="D586"/>
      <c r="E586" t="s">
        <v>8</v>
      </c>
      <c r="F586" s="27" t="s">
        <v>7</v>
      </c>
      <c r="G586" s="27" t="s">
        <v>8</v>
      </c>
      <c r="H586" s="27" t="s">
        <v>7</v>
      </c>
      <c r="M586" s="27" t="s">
        <v>8</v>
      </c>
      <c r="N586" s="27" t="s">
        <v>7</v>
      </c>
      <c r="O586" s="27" t="s">
        <v>8</v>
      </c>
      <c r="T586" s="27" t="s">
        <v>7</v>
      </c>
      <c r="U586" s="27" t="s">
        <v>8</v>
      </c>
      <c r="V586" s="27" t="s">
        <v>7</v>
      </c>
      <c r="W586" s="27" t="s">
        <v>8</v>
      </c>
      <c r="X586" s="27" t="s">
        <v>7</v>
      </c>
      <c r="Z586" s="27" t="s">
        <v>7</v>
      </c>
      <c r="AD586" s="27" t="s">
        <v>7</v>
      </c>
      <c r="AE586" s="27" t="s">
        <v>8</v>
      </c>
      <c r="AG586" s="27" t="s">
        <v>8</v>
      </c>
      <c r="AH586" s="27" t="s">
        <v>7</v>
      </c>
      <c r="AI586" s="27" t="s">
        <v>8</v>
      </c>
      <c r="AJ586" s="27" t="s">
        <v>7</v>
      </c>
      <c r="AK586" s="27" t="s">
        <v>8</v>
      </c>
      <c r="AL586" s="27" t="s">
        <v>7</v>
      </c>
      <c r="AM586" s="27" t="s">
        <v>8</v>
      </c>
      <c r="AN586" s="27" t="s">
        <v>7</v>
      </c>
      <c r="AS586" s="27" t="s">
        <v>8</v>
      </c>
      <c r="AT586" s="27" t="s">
        <v>7</v>
      </c>
      <c r="AW586" s="27" t="s">
        <v>8</v>
      </c>
      <c r="AX586" s="27" t="s">
        <v>7</v>
      </c>
      <c r="AY586" s="27" t="s">
        <v>8</v>
      </c>
      <c r="AZ586" s="27" t="s">
        <v>7</v>
      </c>
      <c r="BC586" s="27" t="s">
        <v>8</v>
      </c>
      <c r="BD586" s="27" t="s">
        <v>7</v>
      </c>
      <c r="BE586" s="27" t="s">
        <v>8</v>
      </c>
      <c r="DR586" s="27" t="s">
        <v>7</v>
      </c>
      <c r="DS586" s="27" t="s">
        <v>8</v>
      </c>
      <c r="DT586" s="27" t="s">
        <v>7</v>
      </c>
      <c r="EF586" s="27" t="s">
        <v>7</v>
      </c>
      <c r="EK586" s="27" t="s">
        <v>8</v>
      </c>
      <c r="EP586" s="27" t="s">
        <v>7</v>
      </c>
      <c r="EQ586" s="27" t="s">
        <v>8</v>
      </c>
      <c r="ER586" s="27" t="s">
        <v>7</v>
      </c>
      <c r="ES586" s="27" t="s">
        <v>8</v>
      </c>
      <c r="ET586" s="27" t="s">
        <v>7</v>
      </c>
      <c r="EV586" s="27" t="s">
        <v>7</v>
      </c>
      <c r="EW586" s="27" t="s">
        <v>8</v>
      </c>
      <c r="EX586" s="27" t="s">
        <v>7</v>
      </c>
      <c r="EZ586" s="27" t="s">
        <v>7</v>
      </c>
      <c r="FA586" s="27" t="s">
        <v>8</v>
      </c>
      <c r="FB586" s="27" t="s">
        <v>7</v>
      </c>
      <c r="FC586" s="27" t="s">
        <v>8</v>
      </c>
    </row>
    <row r="587" spans="1:257" x14ac:dyDescent="0.25">
      <c r="A587" s="7">
        <v>1</v>
      </c>
      <c r="B587"/>
      <c r="C587"/>
      <c r="D587"/>
      <c r="E587" s="29" t="s">
        <v>8</v>
      </c>
      <c r="F587" s="27" t="s">
        <v>7</v>
      </c>
      <c r="G587" s="27" t="s">
        <v>8</v>
      </c>
      <c r="H587" s="27" t="s">
        <v>7</v>
      </c>
      <c r="M587" s="27" t="s">
        <v>8</v>
      </c>
      <c r="N587" s="27" t="s">
        <v>7</v>
      </c>
      <c r="T587" s="27" t="s">
        <v>7</v>
      </c>
      <c r="U587" s="27" t="s">
        <v>8</v>
      </c>
      <c r="V587" s="27" t="s">
        <v>7</v>
      </c>
      <c r="AD587" s="27" t="s">
        <v>7</v>
      </c>
      <c r="AE587" s="27" t="s">
        <v>8</v>
      </c>
      <c r="AF587" s="27" t="s">
        <v>7</v>
      </c>
      <c r="AG587" s="27" t="s">
        <v>8</v>
      </c>
      <c r="AH587" s="27" t="s">
        <v>7</v>
      </c>
      <c r="AI587" s="27" t="s">
        <v>8</v>
      </c>
      <c r="AJ587" s="27" t="s">
        <v>7</v>
      </c>
      <c r="AK587" s="27" t="s">
        <v>8</v>
      </c>
      <c r="AL587" s="27" t="s">
        <v>7</v>
      </c>
      <c r="AM587" s="27" t="s">
        <v>8</v>
      </c>
      <c r="AN587" s="27" t="s">
        <v>7</v>
      </c>
      <c r="AS587" s="27" t="s">
        <v>8</v>
      </c>
      <c r="AT587" s="27" t="s">
        <v>7</v>
      </c>
      <c r="AW587" s="27" t="s">
        <v>8</v>
      </c>
      <c r="AX587" s="27" t="s">
        <v>7</v>
      </c>
      <c r="AY587" s="27" t="s">
        <v>8</v>
      </c>
      <c r="AZ587" s="27" t="s">
        <v>7</v>
      </c>
      <c r="BC587" s="27" t="s">
        <v>8</v>
      </c>
      <c r="BD587" s="27" t="s">
        <v>7</v>
      </c>
      <c r="BE587" s="27" t="s">
        <v>8</v>
      </c>
      <c r="DR587" s="27" t="s">
        <v>7</v>
      </c>
      <c r="DS587" s="27" t="s">
        <v>8</v>
      </c>
      <c r="EF587" s="27" t="s">
        <v>7</v>
      </c>
      <c r="EK587" s="27" t="s">
        <v>8</v>
      </c>
      <c r="EP587" s="27" t="s">
        <v>7</v>
      </c>
      <c r="EQ587" s="27" t="s">
        <v>8</v>
      </c>
      <c r="ER587" s="27" t="s">
        <v>7</v>
      </c>
      <c r="ES587" s="27" t="s">
        <v>8</v>
      </c>
      <c r="EV587" s="27" t="s">
        <v>7</v>
      </c>
      <c r="EW587" s="27" t="s">
        <v>8</v>
      </c>
      <c r="EZ587" s="27" t="s">
        <v>7</v>
      </c>
      <c r="FA587" s="27" t="s">
        <v>8</v>
      </c>
      <c r="FB587" s="27" t="s">
        <v>7</v>
      </c>
      <c r="FC587" s="27" t="s">
        <v>8</v>
      </c>
    </row>
    <row r="588" spans="1:257" x14ac:dyDescent="0.25">
      <c r="A588" s="7">
        <v>0.98039215686274506</v>
      </c>
      <c r="B588"/>
      <c r="C588"/>
      <c r="D588"/>
      <c r="E588"/>
      <c r="F588" s="27" t="s">
        <v>7</v>
      </c>
      <c r="G588" s="27" t="s">
        <v>8</v>
      </c>
      <c r="H588" s="27" t="s">
        <v>7</v>
      </c>
      <c r="K588" s="27" t="s">
        <v>8</v>
      </c>
      <c r="M588" s="27" t="s">
        <v>8</v>
      </c>
      <c r="T588" s="27" t="s">
        <v>7</v>
      </c>
      <c r="U588" s="27" t="s">
        <v>8</v>
      </c>
      <c r="AD588" s="27" t="s">
        <v>7</v>
      </c>
      <c r="AE588" s="27" t="s">
        <v>8</v>
      </c>
      <c r="AF588" s="27" t="s">
        <v>7</v>
      </c>
      <c r="AG588" s="27" t="s">
        <v>8</v>
      </c>
      <c r="AH588" s="27" t="s">
        <v>7</v>
      </c>
      <c r="AJ588" s="27" t="s">
        <v>7</v>
      </c>
      <c r="AK588" s="27" t="s">
        <v>8</v>
      </c>
      <c r="AL588" s="27" t="s">
        <v>7</v>
      </c>
      <c r="AM588" s="27" t="s">
        <v>8</v>
      </c>
      <c r="AN588" s="27" t="s">
        <v>7</v>
      </c>
      <c r="AS588" s="27" t="s">
        <v>8</v>
      </c>
      <c r="AT588" s="27" t="s">
        <v>7</v>
      </c>
      <c r="AU588" s="27" t="s">
        <v>8</v>
      </c>
      <c r="AW588" s="27" t="s">
        <v>8</v>
      </c>
      <c r="AX588" s="27" t="s">
        <v>7</v>
      </c>
      <c r="AY588" s="27" t="s">
        <v>8</v>
      </c>
      <c r="AZ588" s="27" t="s">
        <v>7</v>
      </c>
      <c r="BC588" s="27" t="s">
        <v>8</v>
      </c>
      <c r="BD588" s="27" t="s">
        <v>7</v>
      </c>
      <c r="BE588" s="27" t="s">
        <v>8</v>
      </c>
      <c r="DR588" s="27" t="s">
        <v>7</v>
      </c>
      <c r="DS588" s="27" t="s">
        <v>8</v>
      </c>
      <c r="EF588" s="27" t="s">
        <v>7</v>
      </c>
      <c r="EG588" s="27" t="s">
        <v>8</v>
      </c>
      <c r="EK588" s="27" t="s">
        <v>8</v>
      </c>
      <c r="EP588" s="27" t="s">
        <v>7</v>
      </c>
      <c r="ER588" s="27" t="s">
        <v>7</v>
      </c>
      <c r="ES588" s="27" t="s">
        <v>8</v>
      </c>
      <c r="EV588" s="18" t="s">
        <v>7</v>
      </c>
      <c r="EW588" s="27" t="s">
        <v>8</v>
      </c>
      <c r="EZ588" s="27" t="s">
        <v>7</v>
      </c>
      <c r="FB588" s="27" t="s">
        <v>7</v>
      </c>
    </row>
    <row r="589" spans="1:257" x14ac:dyDescent="0.25">
      <c r="A589" s="7">
        <v>0.96116878123798544</v>
      </c>
      <c r="B589"/>
      <c r="C589"/>
      <c r="D589"/>
      <c r="E589"/>
      <c r="F589" s="27" t="s">
        <v>7</v>
      </c>
      <c r="G589" s="27" t="s">
        <v>8</v>
      </c>
      <c r="H589" s="27" t="s">
        <v>7</v>
      </c>
      <c r="K589" s="27" t="s">
        <v>8</v>
      </c>
      <c r="L589" s="27" t="s">
        <v>7</v>
      </c>
      <c r="M589" s="27" t="s">
        <v>8</v>
      </c>
      <c r="T589" s="27" t="s">
        <v>7</v>
      </c>
      <c r="U589" s="27" t="s">
        <v>8</v>
      </c>
      <c r="AD589" s="27" t="s">
        <v>7</v>
      </c>
      <c r="AF589" s="27" t="s">
        <v>7</v>
      </c>
      <c r="AJ589" s="27" t="s">
        <v>7</v>
      </c>
      <c r="AK589" s="27" t="s">
        <v>8</v>
      </c>
      <c r="AL589" s="27" t="s">
        <v>7</v>
      </c>
      <c r="AM589" s="27" t="s">
        <v>8</v>
      </c>
      <c r="AN589" s="27" t="s">
        <v>7</v>
      </c>
      <c r="AS589" s="27" t="s">
        <v>8</v>
      </c>
      <c r="AT589" s="27" t="s">
        <v>7</v>
      </c>
      <c r="AU589" s="27" t="s">
        <v>8</v>
      </c>
      <c r="AV589" s="27" t="s">
        <v>7</v>
      </c>
      <c r="AW589" s="27" t="s">
        <v>8</v>
      </c>
      <c r="AX589" s="27" t="s">
        <v>7</v>
      </c>
      <c r="AY589" s="27" t="s">
        <v>8</v>
      </c>
      <c r="AZ589" s="27" t="s">
        <v>7</v>
      </c>
      <c r="BC589" s="27" t="s">
        <v>8</v>
      </c>
      <c r="BD589" s="27" t="s">
        <v>7</v>
      </c>
      <c r="BE589" s="27" t="s">
        <v>8</v>
      </c>
      <c r="DR589" s="27" t="s">
        <v>7</v>
      </c>
      <c r="DS589" s="27" t="s">
        <v>8</v>
      </c>
      <c r="EF589" s="27" t="s">
        <v>7</v>
      </c>
      <c r="EG589" s="27" t="s">
        <v>8</v>
      </c>
      <c r="EH589" s="27" t="s">
        <v>7</v>
      </c>
      <c r="EK589" s="27" t="s">
        <v>8</v>
      </c>
      <c r="ER589" s="27" t="s">
        <v>7</v>
      </c>
      <c r="ES589" s="27" t="s">
        <v>8</v>
      </c>
      <c r="EV589" s="27" t="s">
        <v>7</v>
      </c>
      <c r="EW589" s="27" t="s">
        <v>8</v>
      </c>
    </row>
    <row r="590" spans="1:257" x14ac:dyDescent="0.25">
      <c r="A590" s="7">
        <v>0.94232233454704462</v>
      </c>
      <c r="B590"/>
      <c r="C590"/>
      <c r="D590"/>
      <c r="E590"/>
      <c r="F590" s="27" t="s">
        <v>7</v>
      </c>
      <c r="G590" s="27" t="s">
        <v>8</v>
      </c>
      <c r="H590" s="27" t="s">
        <v>7</v>
      </c>
      <c r="K590" s="27" t="s">
        <v>8</v>
      </c>
      <c r="L590" s="27" t="s">
        <v>7</v>
      </c>
      <c r="M590" s="27" t="s">
        <v>8</v>
      </c>
      <c r="T590" s="27" t="s">
        <v>7</v>
      </c>
      <c r="U590" s="27" t="s">
        <v>8</v>
      </c>
      <c r="AJ590" s="27" t="s">
        <v>7</v>
      </c>
      <c r="AK590" s="27" t="s">
        <v>8</v>
      </c>
      <c r="AL590" s="27" t="s">
        <v>7</v>
      </c>
      <c r="AM590" s="27" t="s">
        <v>8</v>
      </c>
      <c r="AN590" s="27" t="s">
        <v>7</v>
      </c>
      <c r="AS590" s="27" t="s">
        <v>8</v>
      </c>
      <c r="AT590" s="27" t="s">
        <v>7</v>
      </c>
      <c r="AU590" s="27" t="s">
        <v>8</v>
      </c>
      <c r="AV590" s="27" t="s">
        <v>7</v>
      </c>
      <c r="AW590" s="27" t="s">
        <v>8</v>
      </c>
      <c r="AX590" s="27" t="s">
        <v>7</v>
      </c>
      <c r="AY590" s="27" t="s">
        <v>8</v>
      </c>
      <c r="AZ590" s="27" t="s">
        <v>7</v>
      </c>
      <c r="BA590" s="27" t="s">
        <v>8</v>
      </c>
      <c r="BC590" s="27" t="s">
        <v>8</v>
      </c>
      <c r="BD590" s="27" t="s">
        <v>7</v>
      </c>
      <c r="BE590" s="27" t="s">
        <v>8</v>
      </c>
      <c r="DR590" s="27" t="s">
        <v>7</v>
      </c>
      <c r="DS590" s="27" t="s">
        <v>8</v>
      </c>
      <c r="EF590" s="27" t="s">
        <v>7</v>
      </c>
      <c r="EG590" s="27" t="s">
        <v>8</v>
      </c>
      <c r="EH590" s="27" t="s">
        <v>7</v>
      </c>
      <c r="EI590" s="27" t="s">
        <v>8</v>
      </c>
      <c r="EK590" s="27" t="s">
        <v>8</v>
      </c>
      <c r="ER590" s="27" t="s">
        <v>7</v>
      </c>
      <c r="EV590" s="27" t="s">
        <v>7</v>
      </c>
      <c r="EW590" s="27" t="s">
        <v>8</v>
      </c>
    </row>
    <row r="591" spans="1:257" x14ac:dyDescent="0.25">
      <c r="A591" s="7">
        <v>0.92384542602651432</v>
      </c>
      <c r="B591"/>
      <c r="C591"/>
      <c r="D591"/>
      <c r="E591"/>
      <c r="F591" s="27" t="s">
        <v>7</v>
      </c>
      <c r="G591" s="27" t="s">
        <v>8</v>
      </c>
      <c r="H591" s="27" t="s">
        <v>7</v>
      </c>
      <c r="K591" s="27" t="s">
        <v>8</v>
      </c>
      <c r="L591" s="27" t="s">
        <v>7</v>
      </c>
      <c r="M591" s="27" t="s">
        <v>8</v>
      </c>
      <c r="T591" s="27" t="s">
        <v>7</v>
      </c>
      <c r="U591" s="27" t="s">
        <v>8</v>
      </c>
      <c r="AJ591" s="27" t="s">
        <v>7</v>
      </c>
      <c r="AK591" s="27" t="s">
        <v>8</v>
      </c>
      <c r="AL591" s="27" t="s">
        <v>7</v>
      </c>
      <c r="AM591" s="27" t="s">
        <v>8</v>
      </c>
      <c r="AN591" s="27" t="s">
        <v>7</v>
      </c>
      <c r="AQ591" s="27" t="s">
        <v>8</v>
      </c>
      <c r="AS591" s="27" t="s">
        <v>8</v>
      </c>
      <c r="AT591" s="27" t="s">
        <v>7</v>
      </c>
      <c r="AU591" s="27" t="s">
        <v>8</v>
      </c>
      <c r="AV591" s="27" t="s">
        <v>7</v>
      </c>
      <c r="AW591" s="27" t="s">
        <v>8</v>
      </c>
      <c r="AX591" s="27" t="s">
        <v>7</v>
      </c>
      <c r="AY591" s="27" t="s">
        <v>8</v>
      </c>
      <c r="AZ591" s="27" t="s">
        <v>7</v>
      </c>
      <c r="BA591" s="27" t="s">
        <v>8</v>
      </c>
      <c r="BB591" s="27" t="s">
        <v>7</v>
      </c>
      <c r="BC591" s="27" t="s">
        <v>8</v>
      </c>
      <c r="BD591" s="27" t="s">
        <v>7</v>
      </c>
      <c r="DR591" s="27" t="s">
        <v>7</v>
      </c>
      <c r="DS591" s="27" t="s">
        <v>8</v>
      </c>
      <c r="EF591" s="27" t="s">
        <v>7</v>
      </c>
      <c r="EG591" s="27" t="s">
        <v>8</v>
      </c>
      <c r="EH591" s="27" t="s">
        <v>7</v>
      </c>
      <c r="EI591" s="27" t="s">
        <v>8</v>
      </c>
      <c r="EJ591" s="27" t="s">
        <v>7</v>
      </c>
      <c r="EK591" s="27" t="s">
        <v>8</v>
      </c>
      <c r="EV591" s="27" t="s">
        <v>7</v>
      </c>
      <c r="EW591" s="27" t="s">
        <v>8</v>
      </c>
    </row>
    <row r="592" spans="1:257" x14ac:dyDescent="0.25">
      <c r="A592" s="7">
        <v>0.90573080982991594</v>
      </c>
      <c r="B592"/>
      <c r="C592"/>
      <c r="D592"/>
      <c r="E592"/>
      <c r="F592" s="27" t="s">
        <v>7</v>
      </c>
      <c r="G592" s="27" t="s">
        <v>8</v>
      </c>
      <c r="H592" s="27" t="s">
        <v>7</v>
      </c>
      <c r="K592" s="27" t="s">
        <v>8</v>
      </c>
      <c r="L592" s="27" t="s">
        <v>7</v>
      </c>
      <c r="M592" s="27" t="s">
        <v>8</v>
      </c>
      <c r="T592" s="27" t="s">
        <v>7</v>
      </c>
      <c r="AJ592" s="27" t="s">
        <v>7</v>
      </c>
      <c r="AK592" s="27" t="s">
        <v>8</v>
      </c>
      <c r="AL592" s="27" t="s">
        <v>7</v>
      </c>
      <c r="AM592" s="27" t="s">
        <v>8</v>
      </c>
      <c r="AN592" s="27" t="s">
        <v>7</v>
      </c>
      <c r="AQ592" s="27" t="s">
        <v>8</v>
      </c>
      <c r="AR592" s="27" t="s">
        <v>7</v>
      </c>
      <c r="AS592" s="27" t="s">
        <v>8</v>
      </c>
      <c r="AT592" s="27" t="s">
        <v>7</v>
      </c>
      <c r="AU592" s="27" t="s">
        <v>8</v>
      </c>
      <c r="AV592" s="27" t="s">
        <v>7</v>
      </c>
      <c r="AW592" s="27" t="s">
        <v>8</v>
      </c>
      <c r="AX592" s="27" t="s">
        <v>7</v>
      </c>
      <c r="AY592" s="27" t="s">
        <v>8</v>
      </c>
      <c r="AZ592" s="27" t="s">
        <v>7</v>
      </c>
      <c r="BA592" s="27" t="s">
        <v>8</v>
      </c>
      <c r="BB592" s="27" t="s">
        <v>7</v>
      </c>
      <c r="BC592" s="27" t="s">
        <v>8</v>
      </c>
      <c r="DR592" s="27" t="s">
        <v>7</v>
      </c>
      <c r="EF592" s="27" t="s">
        <v>7</v>
      </c>
      <c r="EG592" s="27" t="s">
        <v>8</v>
      </c>
      <c r="EH592" s="27" t="s">
        <v>7</v>
      </c>
      <c r="EI592" s="27" t="s">
        <v>8</v>
      </c>
      <c r="EJ592" s="27" t="s">
        <v>7</v>
      </c>
      <c r="EK592" s="27" t="s">
        <v>8</v>
      </c>
      <c r="EV592" s="27" t="s">
        <v>7</v>
      </c>
      <c r="EW592" s="27" t="s">
        <v>8</v>
      </c>
    </row>
    <row r="593" spans="1:152" x14ac:dyDescent="0.25">
      <c r="A593" s="7">
        <v>0.8879713821861922</v>
      </c>
      <c r="B593"/>
      <c r="C593"/>
      <c r="D593"/>
      <c r="E593"/>
      <c r="F593" s="27" t="s">
        <v>7</v>
      </c>
      <c r="G593" s="27" t="s">
        <v>8</v>
      </c>
      <c r="H593" s="27" t="s">
        <v>7</v>
      </c>
      <c r="I593" s="27" t="s">
        <v>8</v>
      </c>
      <c r="K593" s="27" t="s">
        <v>8</v>
      </c>
      <c r="L593" s="27" t="s">
        <v>7</v>
      </c>
      <c r="M593" s="27" t="s">
        <v>8</v>
      </c>
      <c r="AJ593" s="27" t="s">
        <v>7</v>
      </c>
      <c r="AK593" s="27" t="s">
        <v>8</v>
      </c>
      <c r="AL593" s="27" t="s">
        <v>7</v>
      </c>
      <c r="AM593" s="27" t="s">
        <v>8</v>
      </c>
      <c r="AN593" s="27" t="s">
        <v>7</v>
      </c>
      <c r="AQ593" s="27" t="s">
        <v>8</v>
      </c>
      <c r="AR593" s="27" t="s">
        <v>7</v>
      </c>
      <c r="AS593" s="27" t="s">
        <v>8</v>
      </c>
      <c r="AT593" s="27" t="s">
        <v>7</v>
      </c>
      <c r="AU593" s="27" t="s">
        <v>8</v>
      </c>
      <c r="AV593" s="27" t="s">
        <v>7</v>
      </c>
      <c r="AW593" s="27" t="s">
        <v>8</v>
      </c>
      <c r="AX593" s="27" t="s">
        <v>7</v>
      </c>
      <c r="AY593" s="27" t="s">
        <v>8</v>
      </c>
      <c r="AZ593" s="27" t="s">
        <v>7</v>
      </c>
      <c r="BA593" s="27" t="s">
        <v>8</v>
      </c>
      <c r="BB593" s="27" t="s">
        <v>7</v>
      </c>
      <c r="BC593" s="27" t="s">
        <v>8</v>
      </c>
      <c r="EF593" s="27" t="s">
        <v>7</v>
      </c>
      <c r="EG593" s="27" t="s">
        <v>8</v>
      </c>
      <c r="EH593" s="27" t="s">
        <v>7</v>
      </c>
      <c r="EI593" s="27" t="s">
        <v>8</v>
      </c>
      <c r="EJ593" s="27" t="s">
        <v>7</v>
      </c>
      <c r="EV593" s="27" t="s">
        <v>7</v>
      </c>
    </row>
    <row r="594" spans="1:152" x14ac:dyDescent="0.25">
      <c r="A594" s="7">
        <v>0.87056017861391399</v>
      </c>
      <c r="B594"/>
      <c r="C594"/>
      <c r="D594"/>
      <c r="E594"/>
      <c r="F594" s="27" t="s">
        <v>7</v>
      </c>
      <c r="G594" s="27" t="s">
        <v>8</v>
      </c>
      <c r="H594" s="27" t="s">
        <v>7</v>
      </c>
      <c r="I594" s="27" t="s">
        <v>8</v>
      </c>
      <c r="J594" s="27" t="s">
        <v>7</v>
      </c>
      <c r="K594" s="27" t="s">
        <v>8</v>
      </c>
      <c r="L594" s="27" t="s">
        <v>7</v>
      </c>
      <c r="AJ594" s="27" t="s">
        <v>7</v>
      </c>
      <c r="AK594" s="27" t="s">
        <v>8</v>
      </c>
      <c r="AL594" s="27" t="s">
        <v>7</v>
      </c>
      <c r="AM594" s="27" t="s">
        <v>8</v>
      </c>
      <c r="AN594" s="27" t="s">
        <v>7</v>
      </c>
      <c r="AQ594" s="27" t="s">
        <v>8</v>
      </c>
      <c r="AR594" s="27" t="s">
        <v>7</v>
      </c>
      <c r="AT594" s="27" t="s">
        <v>7</v>
      </c>
      <c r="AU594" s="27" t="s">
        <v>8</v>
      </c>
      <c r="AV594" s="27" t="s">
        <v>7</v>
      </c>
      <c r="AW594" s="27" t="s">
        <v>8</v>
      </c>
      <c r="AX594" s="27" t="s">
        <v>7</v>
      </c>
      <c r="AZ594" s="27" t="s">
        <v>7</v>
      </c>
      <c r="BA594" s="27" t="s">
        <v>8</v>
      </c>
      <c r="BB594" s="27" t="s">
        <v>7</v>
      </c>
      <c r="EF594" s="27" t="s">
        <v>7</v>
      </c>
      <c r="EG594" s="27" t="s">
        <v>8</v>
      </c>
      <c r="EH594" s="27" t="s">
        <v>7</v>
      </c>
      <c r="EI594" s="27" t="s">
        <v>8</v>
      </c>
    </row>
    <row r="595" spans="1:152" x14ac:dyDescent="0.25">
      <c r="A595" s="7">
        <v>0.85349037119011173</v>
      </c>
      <c r="B595"/>
      <c r="C595"/>
      <c r="D595"/>
      <c r="E595"/>
      <c r="F595" s="27" t="s">
        <v>7</v>
      </c>
      <c r="G595" s="27" t="s">
        <v>8</v>
      </c>
      <c r="H595" s="27" t="s">
        <v>7</v>
      </c>
      <c r="I595" s="27" t="s">
        <v>8</v>
      </c>
      <c r="J595" s="27" t="s">
        <v>7</v>
      </c>
      <c r="K595" s="27" t="s">
        <v>8</v>
      </c>
      <c r="AJ595" s="27" t="s">
        <v>7</v>
      </c>
      <c r="AK595" s="27" t="s">
        <v>8</v>
      </c>
      <c r="AL595" s="27" t="s">
        <v>7</v>
      </c>
      <c r="AM595" s="27" t="s">
        <v>8</v>
      </c>
      <c r="AN595" s="27" t="s">
        <v>7</v>
      </c>
      <c r="AO595" s="27" t="s">
        <v>8</v>
      </c>
      <c r="AQ595" s="27" t="s">
        <v>8</v>
      </c>
      <c r="AT595" s="27" t="s">
        <v>7</v>
      </c>
      <c r="AU595" s="27" t="s">
        <v>8</v>
      </c>
      <c r="AV595" s="27" t="s">
        <v>7</v>
      </c>
      <c r="AW595" s="27" t="s">
        <v>8</v>
      </c>
      <c r="AZ595" s="27" t="s">
        <v>7</v>
      </c>
      <c r="BA595" s="27" t="s">
        <v>8</v>
      </c>
      <c r="EF595" s="27" t="s">
        <v>7</v>
      </c>
      <c r="EG595" s="27" t="s">
        <v>8</v>
      </c>
      <c r="EH595" s="27" t="s">
        <v>7</v>
      </c>
      <c r="EI595" s="27" t="s">
        <v>8</v>
      </c>
    </row>
    <row r="596" spans="1:152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H596" s="27" t="s">
        <v>7</v>
      </c>
      <c r="I596" s="27" t="s">
        <v>8</v>
      </c>
      <c r="J596" s="27" t="s">
        <v>7</v>
      </c>
      <c r="K596" s="27" t="s">
        <v>8</v>
      </c>
      <c r="AJ596" s="27" t="s">
        <v>7</v>
      </c>
      <c r="AK596" s="27" t="s">
        <v>8</v>
      </c>
      <c r="AL596" s="27" t="s">
        <v>7</v>
      </c>
      <c r="AM596" s="27" t="s">
        <v>8</v>
      </c>
      <c r="AN596" s="27" t="s">
        <v>7</v>
      </c>
      <c r="AO596" s="27" t="s">
        <v>8</v>
      </c>
      <c r="AP596" s="27" t="s">
        <v>7</v>
      </c>
      <c r="AQ596" s="27" t="s">
        <v>8</v>
      </c>
      <c r="AT596" s="27" t="s">
        <v>7</v>
      </c>
      <c r="AV596" s="27" t="s">
        <v>7</v>
      </c>
      <c r="AW596" s="27" t="s">
        <v>8</v>
      </c>
      <c r="AZ596" s="27" t="s">
        <v>7</v>
      </c>
      <c r="BA596" s="27" t="s">
        <v>8</v>
      </c>
      <c r="EF596" s="27" t="s">
        <v>7</v>
      </c>
      <c r="EG596" s="27" t="s">
        <v>8</v>
      </c>
      <c r="EH596" s="27" t="s">
        <v>7</v>
      </c>
      <c r="EI596" s="27" t="s">
        <v>8</v>
      </c>
    </row>
    <row r="597" spans="1:152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H597" s="27" t="s">
        <v>7</v>
      </c>
      <c r="I597" s="27" t="s">
        <v>8</v>
      </c>
      <c r="J597" s="27" t="s">
        <v>7</v>
      </c>
      <c r="K597" s="27" t="s">
        <v>8</v>
      </c>
      <c r="AJ597" s="27" t="s">
        <v>7</v>
      </c>
      <c r="AL597" s="27" t="s">
        <v>7</v>
      </c>
      <c r="AM597" s="27" t="s">
        <v>8</v>
      </c>
      <c r="AN597" s="27" t="s">
        <v>7</v>
      </c>
      <c r="AO597" s="27" t="s">
        <v>8</v>
      </c>
      <c r="AP597" s="27" t="s">
        <v>7</v>
      </c>
      <c r="AQ597" s="27" t="s">
        <v>8</v>
      </c>
      <c r="AV597" s="27" t="s">
        <v>7</v>
      </c>
      <c r="AW597" s="27" t="s">
        <v>8</v>
      </c>
      <c r="AZ597" s="27" t="s">
        <v>7</v>
      </c>
      <c r="EF597" s="27" t="s">
        <v>7</v>
      </c>
      <c r="EG597" s="27" t="s">
        <v>8</v>
      </c>
      <c r="EH597" s="27" t="s">
        <v>7</v>
      </c>
      <c r="EI597" s="27" t="s">
        <v>8</v>
      </c>
    </row>
    <row r="598" spans="1:152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H598" s="27" t="s">
        <v>7</v>
      </c>
      <c r="I598" s="27" t="s">
        <v>8</v>
      </c>
      <c r="J598" s="27" t="s">
        <v>7</v>
      </c>
      <c r="K598" s="27" t="s">
        <v>8</v>
      </c>
      <c r="AL598" s="27" t="s">
        <v>7</v>
      </c>
      <c r="AM598" s="27" t="s">
        <v>8</v>
      </c>
      <c r="AN598" s="27" t="s">
        <v>7</v>
      </c>
      <c r="AO598" s="27" t="s">
        <v>8</v>
      </c>
      <c r="AP598" s="27" t="s">
        <v>7</v>
      </c>
      <c r="AV598" s="27" t="s">
        <v>7</v>
      </c>
      <c r="EF598" s="27" t="s">
        <v>7</v>
      </c>
      <c r="EG598" s="27" t="s">
        <v>8</v>
      </c>
      <c r="EH598" s="27" t="s">
        <v>7</v>
      </c>
      <c r="EI598" s="27" t="s">
        <v>8</v>
      </c>
    </row>
    <row r="599" spans="1:152" x14ac:dyDescent="0.25">
      <c r="A599" s="7">
        <v>0.78849317558165644</v>
      </c>
      <c r="B599"/>
      <c r="C599"/>
      <c r="D599"/>
      <c r="E599"/>
      <c r="F599" s="27" t="s">
        <v>7</v>
      </c>
      <c r="H599" s="27" t="s">
        <v>7</v>
      </c>
      <c r="I599" s="27" t="s">
        <v>8</v>
      </c>
      <c r="J599" s="27" t="s">
        <v>7</v>
      </c>
      <c r="K599" s="27" t="s">
        <v>8</v>
      </c>
      <c r="AL599" s="27" t="s">
        <v>7</v>
      </c>
      <c r="AN599" s="27" t="s">
        <v>7</v>
      </c>
      <c r="EF599" s="27" t="s">
        <v>7</v>
      </c>
      <c r="EG599" s="27" t="s">
        <v>8</v>
      </c>
      <c r="EH599" s="27" t="s">
        <v>7</v>
      </c>
    </row>
    <row r="600" spans="1:152" x14ac:dyDescent="0.25">
      <c r="A600" s="7">
        <v>0.77303252508005538</v>
      </c>
      <c r="B600"/>
      <c r="C600"/>
      <c r="D600"/>
      <c r="E600"/>
      <c r="H600" s="27" t="s">
        <v>7</v>
      </c>
      <c r="J600" s="27" t="s">
        <v>7</v>
      </c>
      <c r="K600" s="27" t="s">
        <v>8</v>
      </c>
      <c r="EF600" s="27" t="s">
        <v>7</v>
      </c>
      <c r="EG600" s="27" t="s">
        <v>8</v>
      </c>
    </row>
    <row r="601" spans="1:152" x14ac:dyDescent="0.25">
      <c r="A601" s="7">
        <v>0.75787502458828959</v>
      </c>
      <c r="B601"/>
      <c r="C601"/>
      <c r="D601"/>
      <c r="E601"/>
      <c r="J601" s="27" t="s">
        <v>7</v>
      </c>
      <c r="K601" s="27" t="s">
        <v>8</v>
      </c>
      <c r="EF601" s="27" t="s">
        <v>7</v>
      </c>
    </row>
    <row r="602" spans="1:152" x14ac:dyDescent="0.25">
      <c r="A602" s="7">
        <v>0.74301472998851925</v>
      </c>
      <c r="B602"/>
      <c r="C602"/>
      <c r="D602"/>
      <c r="E602"/>
      <c r="J602" s="27" t="s">
        <v>7</v>
      </c>
      <c r="K602" s="27" t="s">
        <v>8</v>
      </c>
    </row>
    <row r="603" spans="1:152" x14ac:dyDescent="0.25">
      <c r="A603" s="7">
        <v>0.72844581371423456</v>
      </c>
      <c r="B603"/>
      <c r="C603"/>
      <c r="D603"/>
      <c r="E603"/>
      <c r="J603" s="27" t="s">
        <v>7</v>
      </c>
      <c r="K603" s="27" t="s">
        <v>8</v>
      </c>
    </row>
    <row r="604" spans="1:152" x14ac:dyDescent="0.25">
      <c r="A604" s="7">
        <v>0.71416256246493581</v>
      </c>
      <c r="B604"/>
      <c r="C604"/>
      <c r="D604"/>
      <c r="E604"/>
      <c r="J604" s="27" t="s">
        <v>7</v>
      </c>
      <c r="K604" s="27" t="s">
        <v>8</v>
      </c>
    </row>
    <row r="605" spans="1:152" x14ac:dyDescent="0.25">
      <c r="A605" s="7">
        <v>0.7001593749656233</v>
      </c>
      <c r="B605"/>
      <c r="C605"/>
      <c r="D605"/>
      <c r="E605"/>
      <c r="J605" s="27" t="s">
        <v>7</v>
      </c>
    </row>
    <row r="606" spans="1:152" x14ac:dyDescent="0.25">
      <c r="A606" s="7">
        <v>0.68643075977021883</v>
      </c>
      <c r="B606"/>
      <c r="C606"/>
      <c r="D606"/>
      <c r="E606"/>
    </row>
    <row r="607" spans="1:152" x14ac:dyDescent="0.25">
      <c r="A607" s="7">
        <v>0.67297133310805768</v>
      </c>
      <c r="B607"/>
      <c r="C607"/>
      <c r="D607"/>
      <c r="E607"/>
    </row>
    <row r="608" spans="1:152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63" operator="equal">
      <formula>$U$1</formula>
    </cfRule>
    <cfRule type="cellIs" dxfId="89" priority="864" operator="equal">
      <formula>$S$1</formula>
    </cfRule>
  </conditionalFormatting>
  <conditionalFormatting sqref="D27">
    <cfRule type="cellIs" dxfId="88" priority="861" operator="equal">
      <formula>$S$1</formula>
    </cfRule>
    <cfRule type="cellIs" dxfId="87" priority="862" operator="equal">
      <formula>$U$1</formula>
    </cfRule>
  </conditionalFormatting>
  <conditionalFormatting sqref="C164">
    <cfRule type="cellIs" dxfId="86" priority="859" operator="equal">
      <formula>$U$1</formula>
    </cfRule>
    <cfRule type="cellIs" dxfId="85" priority="860" operator="equal">
      <formula>$S$1</formula>
    </cfRule>
  </conditionalFormatting>
  <conditionalFormatting sqref="D164">
    <cfRule type="cellIs" dxfId="84" priority="857" operator="equal">
      <formula>$S$1</formula>
    </cfRule>
    <cfRule type="cellIs" dxfId="83" priority="858" operator="equal">
      <formula>$U$1</formula>
    </cfRule>
  </conditionalFormatting>
  <conditionalFormatting sqref="C55">
    <cfRule type="cellIs" dxfId="82" priority="855" operator="equal">
      <formula>$U$1</formula>
    </cfRule>
    <cfRule type="cellIs" dxfId="81" priority="856" operator="equal">
      <formula>$S$1</formula>
    </cfRule>
  </conditionalFormatting>
  <conditionalFormatting sqref="D55">
    <cfRule type="cellIs" dxfId="80" priority="853" operator="equal">
      <formula>$S$1</formula>
    </cfRule>
    <cfRule type="cellIs" dxfId="79" priority="854" operator="equal">
      <formula>$U$1</formula>
    </cfRule>
  </conditionalFormatting>
  <conditionalFormatting sqref="C89">
    <cfRule type="cellIs" dxfId="78" priority="851" operator="equal">
      <formula>$U$1</formula>
    </cfRule>
    <cfRule type="cellIs" dxfId="77" priority="852" operator="equal">
      <formula>$S$1</formula>
    </cfRule>
  </conditionalFormatting>
  <conditionalFormatting sqref="D89">
    <cfRule type="cellIs" dxfId="76" priority="849" operator="equal">
      <formula>$S$1</formula>
    </cfRule>
    <cfRule type="cellIs" dxfId="75" priority="850" operator="equal">
      <formula>$U$1</formula>
    </cfRule>
  </conditionalFormatting>
  <conditionalFormatting sqref="C136">
    <cfRule type="cellIs" dxfId="74" priority="847" operator="equal">
      <formula>$U$1</formula>
    </cfRule>
    <cfRule type="cellIs" dxfId="73" priority="848" operator="equal">
      <formula>$S$1</formula>
    </cfRule>
  </conditionalFormatting>
  <conditionalFormatting sqref="D136">
    <cfRule type="cellIs" dxfId="72" priority="845" operator="equal">
      <formula>$S$1</formula>
    </cfRule>
    <cfRule type="cellIs" dxfId="71" priority="846" operator="equal">
      <formula>$U$1</formula>
    </cfRule>
  </conditionalFormatting>
  <conditionalFormatting sqref="C1">
    <cfRule type="cellIs" dxfId="70" priority="8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6" zoomScale="90" zoomScaleNormal="90" workbookViewId="0">
      <pane xSplit="4" topLeftCell="AQ1" activePane="topRight" state="frozen"/>
      <selection activeCell="A109" sqref="A109"/>
      <selection pane="topRight" activeCell="DS234" sqref="DS23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$A$233</v>
      </c>
      <c r="D111" s="1" t="str">
        <f>ADDRESS(C121-1,D121,1,1)</f>
        <v>$DS$233</v>
      </c>
      <c r="E111"/>
    </row>
    <row r="112" spans="1:5" x14ac:dyDescent="0.25">
      <c r="A112" s="30">
        <v>515.50191262726139</v>
      </c>
      <c r="C112" s="1" t="str">
        <f>ADDRESS(C121,1,1,1)</f>
        <v>$A$234</v>
      </c>
      <c r="D112" s="1" t="str">
        <f>ADDRESS(C121,D121-1,1,1)</f>
        <v>$DR$234</v>
      </c>
      <c r="E112"/>
    </row>
    <row r="113" spans="1:5" x14ac:dyDescent="0.25">
      <c r="A113" s="30">
        <v>490.95420250215363</v>
      </c>
      <c r="C113" s="1" t="str">
        <f>ADDRESS(C121+1,1,1,1)</f>
        <v>$A$235</v>
      </c>
      <c r="D113" s="1" t="str">
        <f>ADDRESS(C121-1,D121+1,1,1)</f>
        <v>$DT$233</v>
      </c>
    </row>
    <row r="114" spans="1:5" x14ac:dyDescent="0.25">
      <c r="A114" s="30">
        <v>467.57543095443202</v>
      </c>
      <c r="C114" s="1" t="str">
        <f>ADDRESS(C121,D121,1,1)</f>
        <v>$DS$234</v>
      </c>
      <c r="D114" s="1" t="str">
        <f>ADDRESS(C121+1,D121+1,1,1)</f>
        <v>$DT$235</v>
      </c>
    </row>
    <row r="115" spans="1:5" x14ac:dyDescent="0.25">
      <c r="A115" s="30">
        <v>445.30993424231622</v>
      </c>
      <c r="C115" s="1" t="str">
        <f>ADDRESS(C121+1,D121,1,1)</f>
        <v>$DS$235</v>
      </c>
    </row>
    <row r="116" spans="1:5" x14ac:dyDescent="0.25">
      <c r="A116" s="30">
        <v>424.10469927839637</v>
      </c>
      <c r="C116" s="1">
        <f>C117-1</f>
        <v>233</v>
      </c>
    </row>
    <row r="117" spans="1:5" x14ac:dyDescent="0.25">
      <c r="A117" s="30">
        <v>403.9092374079965</v>
      </c>
      <c r="C117" s="1">
        <f>C121</f>
        <v>234</v>
      </c>
      <c r="D117" s="1">
        <f>D121</f>
        <v>123</v>
      </c>
    </row>
    <row r="118" spans="1:5" x14ac:dyDescent="0.25">
      <c r="A118" s="30">
        <v>384.6754641980919</v>
      </c>
      <c r="C118" s="1">
        <f>C117+1</f>
        <v>235</v>
      </c>
      <c r="D118" s="1">
        <f>D117+1</f>
        <v>124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234</v>
      </c>
      <c r="D121" s="19">
        <v>123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R234</v>
      </c>
      <c r="D123" s="1" t="str">
        <f>"C"&amp;D121</f>
        <v>C123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1.3400956406250004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17" x14ac:dyDescent="0.25">
      <c r="A209" s="30">
        <v>4.5380394939082018</v>
      </c>
      <c r="E209"/>
    </row>
    <row r="210" spans="1:117" x14ac:dyDescent="0.25">
      <c r="A210" s="30">
        <v>4.3219423751506678</v>
      </c>
      <c r="C210"/>
      <c r="E210"/>
    </row>
    <row r="211" spans="1:117" x14ac:dyDescent="0.25">
      <c r="A211" s="30">
        <v>4.1161355953815884</v>
      </c>
      <c r="E211"/>
    </row>
    <row r="212" spans="1:117" x14ac:dyDescent="0.25">
      <c r="A212" s="30">
        <v>3.9201291384586554</v>
      </c>
      <c r="E212"/>
      <c r="AQ212" s="27" t="s">
        <v>8</v>
      </c>
    </row>
    <row r="213" spans="1:117" x14ac:dyDescent="0.25">
      <c r="A213" s="30">
        <v>3.7334563223415764</v>
      </c>
      <c r="E213"/>
      <c r="AQ213" s="27" t="s">
        <v>8</v>
      </c>
      <c r="AR213" s="27" t="s">
        <v>7</v>
      </c>
    </row>
    <row r="214" spans="1:117" x14ac:dyDescent="0.25">
      <c r="A214" s="30">
        <v>3.5556726879443583</v>
      </c>
      <c r="E214"/>
      <c r="AQ214" s="27" t="s">
        <v>8</v>
      </c>
      <c r="AR214" s="27" t="s">
        <v>7</v>
      </c>
      <c r="AS214" s="27" t="s">
        <v>8</v>
      </c>
    </row>
    <row r="215" spans="1:117" x14ac:dyDescent="0.25">
      <c r="A215" s="30">
        <v>3.3863549408993889</v>
      </c>
      <c r="E215"/>
      <c r="AQ215" s="27" t="s">
        <v>8</v>
      </c>
      <c r="AR215" s="27" t="s">
        <v>7</v>
      </c>
      <c r="AS215" s="27" t="s">
        <v>8</v>
      </c>
      <c r="AT215" s="27" t="s">
        <v>7</v>
      </c>
      <c r="BE215" s="27" t="s">
        <v>8</v>
      </c>
    </row>
    <row r="216" spans="1:117" x14ac:dyDescent="0.25">
      <c r="A216" s="30">
        <v>3.2250999437137038</v>
      </c>
      <c r="E216"/>
      <c r="AQ216" s="27" t="s">
        <v>8</v>
      </c>
      <c r="AR216" s="27" t="s">
        <v>7</v>
      </c>
      <c r="AS216" s="27" t="s">
        <v>8</v>
      </c>
      <c r="AT216" s="27" t="s">
        <v>7</v>
      </c>
      <c r="BC216" s="27" t="s">
        <v>8</v>
      </c>
      <c r="BE216" s="27" t="s">
        <v>8</v>
      </c>
      <c r="BF216" s="27" t="s">
        <v>7</v>
      </c>
      <c r="DE216" s="27" t="s">
        <v>8</v>
      </c>
    </row>
    <row r="217" spans="1:117" x14ac:dyDescent="0.25">
      <c r="A217" s="30">
        <v>3.0715237559178128</v>
      </c>
      <c r="E217"/>
      <c r="AQ217" s="27" t="s">
        <v>8</v>
      </c>
      <c r="AR217" s="27" t="s">
        <v>7</v>
      </c>
      <c r="AT217" s="27" t="s">
        <v>7</v>
      </c>
      <c r="BC217" s="27" t="s">
        <v>8</v>
      </c>
      <c r="BD217" s="27" t="s">
        <v>7</v>
      </c>
      <c r="BE217" s="27" t="s">
        <v>8</v>
      </c>
      <c r="BF217" s="27" t="s">
        <v>7</v>
      </c>
      <c r="CE217" s="27" t="s">
        <v>8</v>
      </c>
      <c r="DE217" s="27" t="s">
        <v>8</v>
      </c>
      <c r="DF217" s="27" t="s">
        <v>7</v>
      </c>
    </row>
    <row r="218" spans="1:117" x14ac:dyDescent="0.25">
      <c r="A218" s="30">
        <v>2.9252607199217264</v>
      </c>
      <c r="E218"/>
      <c r="AQ218" s="27" t="s">
        <v>8</v>
      </c>
      <c r="AT218" s="27" t="s">
        <v>7</v>
      </c>
      <c r="BC218" s="27" t="s">
        <v>8</v>
      </c>
      <c r="BD218" s="27" t="s">
        <v>7</v>
      </c>
      <c r="BE218" s="27" t="s">
        <v>8</v>
      </c>
      <c r="BF218" s="27" t="s">
        <v>7</v>
      </c>
      <c r="CE218" s="27" t="s">
        <v>8</v>
      </c>
      <c r="CF218" s="27" t="s">
        <v>7</v>
      </c>
      <c r="CI218" s="27" t="s">
        <v>8</v>
      </c>
      <c r="DE218" s="27" t="s">
        <v>8</v>
      </c>
      <c r="DF218" s="27" t="s">
        <v>7</v>
      </c>
    </row>
    <row r="219" spans="1:117" x14ac:dyDescent="0.25">
      <c r="A219" s="30">
        <v>2.7859625904016441</v>
      </c>
      <c r="E219"/>
      <c r="AK219" s="27" t="s">
        <v>8</v>
      </c>
      <c r="AM219" s="27" t="s">
        <v>8</v>
      </c>
      <c r="AO219" s="27" t="s">
        <v>8</v>
      </c>
      <c r="AQ219" s="27" t="s">
        <v>8</v>
      </c>
      <c r="AT219" s="27" t="s">
        <v>7</v>
      </c>
      <c r="BA219" s="27" t="s">
        <v>8</v>
      </c>
      <c r="BC219" s="27" t="s">
        <v>8</v>
      </c>
      <c r="BD219" s="27" t="s">
        <v>7</v>
      </c>
      <c r="BE219" s="27" t="s">
        <v>8</v>
      </c>
      <c r="BF219" s="27" t="s">
        <v>7</v>
      </c>
      <c r="BG219" s="27" t="s">
        <v>8</v>
      </c>
      <c r="CE219" s="27" t="s">
        <v>8</v>
      </c>
      <c r="CF219" s="27" t="s">
        <v>7</v>
      </c>
      <c r="CG219" s="27" t="s">
        <v>8</v>
      </c>
      <c r="CI219" s="27" t="s">
        <v>8</v>
      </c>
      <c r="CJ219" s="27" t="s">
        <v>7</v>
      </c>
      <c r="DE219" s="27" t="s">
        <v>8</v>
      </c>
      <c r="DF219" s="27" t="s">
        <v>7</v>
      </c>
    </row>
    <row r="220" spans="1:117" x14ac:dyDescent="0.25">
      <c r="A220" s="30">
        <v>2.6532977051444226</v>
      </c>
      <c r="E220"/>
      <c r="AC220" s="27" t="s">
        <v>8</v>
      </c>
      <c r="AK220" s="27" t="s">
        <v>8</v>
      </c>
      <c r="AL220" s="27" t="s">
        <v>7</v>
      </c>
      <c r="AM220" s="27" t="s">
        <v>8</v>
      </c>
      <c r="AN220" s="27" t="s">
        <v>7</v>
      </c>
      <c r="AO220" s="27" t="s">
        <v>8</v>
      </c>
      <c r="AP220" s="27" t="s">
        <v>7</v>
      </c>
      <c r="AQ220" s="27" t="s">
        <v>8</v>
      </c>
      <c r="AT220" s="27" t="s">
        <v>7</v>
      </c>
      <c r="BA220" s="27" t="s">
        <v>8</v>
      </c>
      <c r="BB220" s="27" t="s">
        <v>7</v>
      </c>
      <c r="BC220" s="27" t="s">
        <v>8</v>
      </c>
      <c r="BD220" s="27" t="s">
        <v>7</v>
      </c>
      <c r="BF220" s="27" t="s">
        <v>7</v>
      </c>
      <c r="BG220" s="27" t="s">
        <v>8</v>
      </c>
      <c r="BH220" s="27" t="s">
        <v>7</v>
      </c>
      <c r="CE220" s="27" t="s">
        <v>8</v>
      </c>
      <c r="CF220" s="27" t="s">
        <v>7</v>
      </c>
      <c r="CG220" s="27" t="s">
        <v>8</v>
      </c>
      <c r="CH220" s="27" t="s">
        <v>7</v>
      </c>
      <c r="CI220" s="27" t="s">
        <v>8</v>
      </c>
      <c r="CJ220" s="27" t="s">
        <v>7</v>
      </c>
      <c r="DE220" s="27" t="s">
        <v>8</v>
      </c>
      <c r="DF220" s="27" t="s">
        <v>7</v>
      </c>
    </row>
    <row r="221" spans="1:117" x14ac:dyDescent="0.25">
      <c r="A221" s="30">
        <v>2.5269501953756404</v>
      </c>
      <c r="E221"/>
      <c r="AA221" s="27" t="s">
        <v>8</v>
      </c>
      <c r="AC221" s="27" t="s">
        <v>8</v>
      </c>
      <c r="AD221" s="27" t="s">
        <v>7</v>
      </c>
      <c r="AK221" s="27" t="s">
        <v>8</v>
      </c>
      <c r="AL221" s="27" t="s">
        <v>7</v>
      </c>
      <c r="AM221" s="27" t="s">
        <v>8</v>
      </c>
      <c r="AN221" s="27" t="s">
        <v>7</v>
      </c>
      <c r="AO221" s="27" t="s">
        <v>8</v>
      </c>
      <c r="AP221" s="27" t="s">
        <v>7</v>
      </c>
      <c r="AQ221" s="27" t="s">
        <v>8</v>
      </c>
      <c r="AT221" s="27" t="s">
        <v>7</v>
      </c>
      <c r="AU221" s="27" t="s">
        <v>8</v>
      </c>
      <c r="AW221" s="27" t="s">
        <v>8</v>
      </c>
      <c r="AY221" s="27" t="s">
        <v>8</v>
      </c>
      <c r="BA221" s="27" t="s">
        <v>8</v>
      </c>
      <c r="BB221" s="27" t="s">
        <v>7</v>
      </c>
      <c r="BC221" s="27" t="s">
        <v>8</v>
      </c>
      <c r="BF221" s="27" t="s">
        <v>7</v>
      </c>
      <c r="BG221" s="27" t="s">
        <v>8</v>
      </c>
      <c r="BH221" s="27" t="s">
        <v>7</v>
      </c>
      <c r="CE221" s="27" t="s">
        <v>8</v>
      </c>
      <c r="CF221" s="27" t="s">
        <v>7</v>
      </c>
      <c r="CG221" s="27" t="s">
        <v>8</v>
      </c>
      <c r="CH221" s="27" t="s">
        <v>7</v>
      </c>
      <c r="CI221" s="27" t="s">
        <v>8</v>
      </c>
      <c r="CJ221" s="27" t="s">
        <v>7</v>
      </c>
      <c r="DE221" s="27" t="s">
        <v>8</v>
      </c>
      <c r="DF221" s="27" t="s">
        <v>7</v>
      </c>
    </row>
    <row r="222" spans="1:117" x14ac:dyDescent="0.25">
      <c r="A222" s="30">
        <v>2.4066192336910861</v>
      </c>
      <c r="E222"/>
      <c r="AA222" s="27" t="s">
        <v>8</v>
      </c>
      <c r="AB222" s="27" t="s">
        <v>7</v>
      </c>
      <c r="AC222" s="27" t="s">
        <v>8</v>
      </c>
      <c r="AD222" s="27" t="s">
        <v>7</v>
      </c>
      <c r="AK222" s="27" t="s">
        <v>8</v>
      </c>
      <c r="AL222" s="27" t="s">
        <v>7</v>
      </c>
      <c r="AM222" s="27" t="s">
        <v>8</v>
      </c>
      <c r="AN222" s="27" t="s">
        <v>7</v>
      </c>
      <c r="AP222" s="27" t="s">
        <v>7</v>
      </c>
      <c r="AQ222" s="27" t="s">
        <v>8</v>
      </c>
      <c r="AT222" s="27" t="s">
        <v>7</v>
      </c>
      <c r="AU222" s="27" t="s">
        <v>8</v>
      </c>
      <c r="AV222" s="27" t="s">
        <v>7</v>
      </c>
      <c r="AW222" s="27" t="s">
        <v>8</v>
      </c>
      <c r="AX222" s="27" t="s">
        <v>7</v>
      </c>
      <c r="AY222" s="27" t="s">
        <v>8</v>
      </c>
      <c r="AZ222" s="27" t="s">
        <v>7</v>
      </c>
      <c r="BA222" s="27" t="s">
        <v>8</v>
      </c>
      <c r="BB222" s="27" t="s">
        <v>7</v>
      </c>
      <c r="BF222" s="27" t="s">
        <v>7</v>
      </c>
      <c r="BH222" s="27" t="s">
        <v>7</v>
      </c>
      <c r="CE222" s="27" t="s">
        <v>8</v>
      </c>
      <c r="CF222" s="27" t="s">
        <v>7</v>
      </c>
      <c r="CG222" s="27" t="s">
        <v>8</v>
      </c>
      <c r="CH222" s="27" t="s">
        <v>7</v>
      </c>
      <c r="CJ222" s="27" t="s">
        <v>7</v>
      </c>
      <c r="DE222" s="27" t="s">
        <v>8</v>
      </c>
      <c r="DF222" s="27" t="s">
        <v>7</v>
      </c>
    </row>
    <row r="223" spans="1:117" x14ac:dyDescent="0.25">
      <c r="A223" s="30">
        <v>2.2920183178010345</v>
      </c>
      <c r="E223"/>
      <c r="AA223" s="27" t="s">
        <v>8</v>
      </c>
      <c r="AB223" s="27" t="s">
        <v>7</v>
      </c>
      <c r="AC223" s="27" t="s">
        <v>8</v>
      </c>
      <c r="AD223" s="27" t="s">
        <v>7</v>
      </c>
      <c r="AK223" s="27" t="s">
        <v>8</v>
      </c>
      <c r="AL223" s="27" t="s">
        <v>7</v>
      </c>
      <c r="AP223" s="27" t="s">
        <v>7</v>
      </c>
      <c r="AQ223" s="27" t="s">
        <v>8</v>
      </c>
      <c r="AT223" s="27" t="s">
        <v>7</v>
      </c>
      <c r="AU223" s="27" t="s">
        <v>8</v>
      </c>
      <c r="AV223" s="27" t="s">
        <v>7</v>
      </c>
      <c r="AW223" s="27" t="s">
        <v>8</v>
      </c>
      <c r="AX223" s="27" t="s">
        <v>7</v>
      </c>
      <c r="AY223" s="27" t="s">
        <v>8</v>
      </c>
      <c r="AZ223" s="27" t="s">
        <v>7</v>
      </c>
      <c r="BA223" s="27" t="s">
        <v>8</v>
      </c>
      <c r="BH223" s="27" t="s">
        <v>7</v>
      </c>
      <c r="CE223" s="27" t="s">
        <v>8</v>
      </c>
      <c r="CF223" s="27" t="s">
        <v>7</v>
      </c>
      <c r="CG223" s="27" t="s">
        <v>8</v>
      </c>
      <c r="CJ223" s="27" t="s">
        <v>7</v>
      </c>
      <c r="CK223" s="27" t="s">
        <v>8</v>
      </c>
      <c r="CW223" s="27" t="s">
        <v>8</v>
      </c>
      <c r="CY223" s="27" t="s">
        <v>8</v>
      </c>
      <c r="DE223" s="27" t="s">
        <v>8</v>
      </c>
      <c r="DF223" s="27" t="s">
        <v>7</v>
      </c>
    </row>
    <row r="224" spans="1:117" x14ac:dyDescent="0.25">
      <c r="A224" s="30">
        <v>2.1828745883819374</v>
      </c>
      <c r="E224"/>
      <c r="AA224" s="27" t="s">
        <v>8</v>
      </c>
      <c r="AB224" s="27" t="s">
        <v>7</v>
      </c>
      <c r="AC224" s="27" t="s">
        <v>8</v>
      </c>
      <c r="AD224" s="27" t="s">
        <v>7</v>
      </c>
      <c r="AE224" s="27" t="s">
        <v>8</v>
      </c>
      <c r="AK224" s="27" t="s">
        <v>8</v>
      </c>
      <c r="AP224" s="27" t="s">
        <v>7</v>
      </c>
      <c r="AQ224" s="27" t="s">
        <v>8</v>
      </c>
      <c r="AT224" s="27" t="s">
        <v>7</v>
      </c>
      <c r="AU224" s="27" t="s">
        <v>8</v>
      </c>
      <c r="AV224" s="27" t="s">
        <v>7</v>
      </c>
      <c r="AW224" s="27" t="s">
        <v>8</v>
      </c>
      <c r="AX224" s="27" t="s">
        <v>7</v>
      </c>
      <c r="AY224" s="27" t="s">
        <v>8</v>
      </c>
      <c r="AZ224" s="27" t="s">
        <v>7</v>
      </c>
      <c r="BH224" s="27" t="s">
        <v>7</v>
      </c>
      <c r="CC224" s="27" t="s">
        <v>8</v>
      </c>
      <c r="CE224" s="27" t="s">
        <v>8</v>
      </c>
      <c r="CF224" s="27" t="s">
        <v>7</v>
      </c>
      <c r="CJ224" s="27" t="s">
        <v>7</v>
      </c>
      <c r="CK224" s="27" t="s">
        <v>8</v>
      </c>
      <c r="CL224" s="27" t="s">
        <v>7</v>
      </c>
      <c r="CM224" s="27" t="s">
        <v>8</v>
      </c>
      <c r="CS224" s="27" t="s">
        <v>8</v>
      </c>
      <c r="CU224" s="27" t="s">
        <v>8</v>
      </c>
      <c r="CW224" s="27" t="s">
        <v>8</v>
      </c>
      <c r="CX224" s="27" t="s">
        <v>7</v>
      </c>
      <c r="CY224" s="27" t="s">
        <v>8</v>
      </c>
      <c r="CZ224" s="27" t="s">
        <v>7</v>
      </c>
      <c r="DE224" s="27" t="s">
        <v>8</v>
      </c>
      <c r="DF224" s="27" t="s">
        <v>7</v>
      </c>
      <c r="DM224" s="27" t="s">
        <v>8</v>
      </c>
    </row>
    <row r="225" spans="1:123" x14ac:dyDescent="0.25">
      <c r="A225" s="30">
        <v>2.0789281794113688</v>
      </c>
      <c r="E225"/>
      <c r="AA225" s="27" t="s">
        <v>8</v>
      </c>
      <c r="AB225" s="27" t="s">
        <v>7</v>
      </c>
      <c r="AC225" s="27" t="s">
        <v>8</v>
      </c>
      <c r="AD225" s="27" t="s">
        <v>7</v>
      </c>
      <c r="AE225" s="27" t="s">
        <v>8</v>
      </c>
      <c r="AF225" s="27" t="s">
        <v>7</v>
      </c>
      <c r="AK225" s="27" t="s">
        <v>8</v>
      </c>
      <c r="AP225" s="27" t="s">
        <v>7</v>
      </c>
      <c r="AQ225" s="27" t="s">
        <v>8</v>
      </c>
      <c r="AT225" s="27" t="s">
        <v>7</v>
      </c>
      <c r="AU225" s="27" t="s">
        <v>8</v>
      </c>
      <c r="AV225" s="27" t="s">
        <v>7</v>
      </c>
      <c r="AW225" s="27" t="s">
        <v>8</v>
      </c>
      <c r="AX225" s="27" t="s">
        <v>7</v>
      </c>
      <c r="AY225" s="27" t="s">
        <v>8</v>
      </c>
      <c r="BH225" s="27" t="s">
        <v>7</v>
      </c>
      <c r="CC225" s="27" t="s">
        <v>8</v>
      </c>
      <c r="CD225" s="27" t="s">
        <v>7</v>
      </c>
      <c r="CE225" s="27" t="s">
        <v>8</v>
      </c>
      <c r="CJ225" s="27" t="s">
        <v>7</v>
      </c>
      <c r="CK225" s="27" t="s">
        <v>8</v>
      </c>
      <c r="CL225" s="27" t="s">
        <v>7</v>
      </c>
      <c r="CM225" s="27" t="s">
        <v>8</v>
      </c>
      <c r="CN225" s="27" t="s">
        <v>7</v>
      </c>
      <c r="CS225" s="27" t="s">
        <v>8</v>
      </c>
      <c r="CT225" s="27" t="s">
        <v>7</v>
      </c>
      <c r="CU225" s="27" t="s">
        <v>8</v>
      </c>
      <c r="CV225" s="27" t="s">
        <v>7</v>
      </c>
      <c r="CW225" s="27" t="s">
        <v>8</v>
      </c>
      <c r="CX225" s="27" t="s">
        <v>7</v>
      </c>
      <c r="CY225" s="27" t="s">
        <v>8</v>
      </c>
      <c r="CZ225" s="27" t="s">
        <v>7</v>
      </c>
      <c r="DE225" s="27" t="s">
        <v>8</v>
      </c>
      <c r="DF225" s="27" t="s">
        <v>7</v>
      </c>
      <c r="DM225" s="27" t="s">
        <v>8</v>
      </c>
      <c r="DN225" s="27" t="s">
        <v>7</v>
      </c>
    </row>
    <row r="226" spans="1:123" x14ac:dyDescent="0.25">
      <c r="A226" s="30">
        <v>1.9799315994393987</v>
      </c>
      <c r="E226"/>
      <c r="AA226" s="27" t="s">
        <v>8</v>
      </c>
      <c r="AB226" s="27" t="s">
        <v>7</v>
      </c>
      <c r="AC226" s="27" t="s">
        <v>8</v>
      </c>
      <c r="AD226" s="27" t="s">
        <v>7</v>
      </c>
      <c r="AE226" s="27" t="s">
        <v>8</v>
      </c>
      <c r="AF226" s="27" t="s">
        <v>7</v>
      </c>
      <c r="AK226" s="27" t="s">
        <v>8</v>
      </c>
      <c r="AP226" s="27" t="s">
        <v>7</v>
      </c>
      <c r="AT226" s="27" t="s">
        <v>7</v>
      </c>
      <c r="AV226" s="27" t="s">
        <v>7</v>
      </c>
      <c r="AX226" s="27" t="s">
        <v>7</v>
      </c>
      <c r="AY226" s="27" t="s">
        <v>8</v>
      </c>
      <c r="BH226" s="27" t="s">
        <v>7</v>
      </c>
      <c r="CC226" s="27" t="s">
        <v>8</v>
      </c>
      <c r="CD226" s="27" t="s">
        <v>7</v>
      </c>
      <c r="CE226" s="27" t="s">
        <v>8</v>
      </c>
      <c r="CJ226" s="27" t="s">
        <v>7</v>
      </c>
      <c r="CK226" s="27" t="s">
        <v>8</v>
      </c>
      <c r="CL226" s="27" t="s">
        <v>7</v>
      </c>
      <c r="CM226" s="27" t="s">
        <v>8</v>
      </c>
      <c r="CN226" s="27" t="s">
        <v>7</v>
      </c>
      <c r="CS226" s="27" t="s">
        <v>8</v>
      </c>
      <c r="CT226" s="27" t="s">
        <v>7</v>
      </c>
      <c r="CU226" s="27" t="s">
        <v>8</v>
      </c>
      <c r="CV226" s="27" t="s">
        <v>7</v>
      </c>
      <c r="CW226" s="27" t="s">
        <v>8</v>
      </c>
      <c r="CX226" s="27" t="s">
        <v>7</v>
      </c>
      <c r="CY226" s="27" t="s">
        <v>8</v>
      </c>
      <c r="CZ226" s="27" t="s">
        <v>7</v>
      </c>
      <c r="DA226" s="27" t="s">
        <v>8</v>
      </c>
      <c r="DE226" s="27" t="s">
        <v>8</v>
      </c>
      <c r="DF226" s="27" t="s">
        <v>7</v>
      </c>
      <c r="DM226" s="27" t="s">
        <v>8</v>
      </c>
      <c r="DN226" s="27" t="s">
        <v>7</v>
      </c>
    </row>
    <row r="227" spans="1:123" x14ac:dyDescent="0.25">
      <c r="A227" s="30">
        <v>1.8856491423232367</v>
      </c>
      <c r="E227"/>
      <c r="AA227" s="27" t="s">
        <v>8</v>
      </c>
      <c r="AB227" s="27" t="s">
        <v>7</v>
      </c>
      <c r="AC227" s="27" t="s">
        <v>8</v>
      </c>
      <c r="AD227" s="27" t="s">
        <v>7</v>
      </c>
      <c r="AF227" s="27" t="s">
        <v>7</v>
      </c>
      <c r="AG227" s="27" t="s">
        <v>8</v>
      </c>
      <c r="AK227" s="27" t="s">
        <v>8</v>
      </c>
      <c r="AX227" s="27" t="s">
        <v>7</v>
      </c>
      <c r="BH227" s="27" t="s">
        <v>7</v>
      </c>
      <c r="CC227" s="27" t="s">
        <v>8</v>
      </c>
      <c r="CD227" s="27" t="s">
        <v>7</v>
      </c>
      <c r="CE227" s="27" t="s">
        <v>8</v>
      </c>
      <c r="CJ227" s="27" t="s">
        <v>7</v>
      </c>
      <c r="CK227" s="27" t="s">
        <v>8</v>
      </c>
      <c r="CL227" s="27" t="s">
        <v>7</v>
      </c>
      <c r="CN227" s="27" t="s">
        <v>7</v>
      </c>
      <c r="CO227" s="27" t="s">
        <v>8</v>
      </c>
      <c r="CS227" s="27" t="s">
        <v>8</v>
      </c>
      <c r="CT227" s="27" t="s">
        <v>7</v>
      </c>
      <c r="CV227" s="27" t="s">
        <v>7</v>
      </c>
      <c r="CW227" s="27" t="s">
        <v>8</v>
      </c>
      <c r="CX227" s="27" t="s">
        <v>7</v>
      </c>
      <c r="CY227" s="27" t="s">
        <v>8</v>
      </c>
      <c r="CZ227" s="27" t="s">
        <v>7</v>
      </c>
      <c r="DA227" s="27" t="s">
        <v>8</v>
      </c>
      <c r="DB227" s="27" t="s">
        <v>7</v>
      </c>
      <c r="DC227" s="27" t="s">
        <v>8</v>
      </c>
      <c r="DE227" s="27" t="s">
        <v>8</v>
      </c>
      <c r="DF227" s="27" t="s">
        <v>7</v>
      </c>
      <c r="DK227" s="27" t="s">
        <v>8</v>
      </c>
      <c r="DM227" s="27" t="s">
        <v>8</v>
      </c>
      <c r="DN227" s="27" t="s">
        <v>7</v>
      </c>
    </row>
    <row r="228" spans="1:123" x14ac:dyDescent="0.25">
      <c r="A228" s="30">
        <v>1.7958563260221301</v>
      </c>
      <c r="C228" s="7"/>
      <c r="D228"/>
      <c r="E228"/>
      <c r="AA228" s="27" t="s">
        <v>8</v>
      </c>
      <c r="AB228" s="27" t="s">
        <v>7</v>
      </c>
      <c r="AC228" s="27" t="s">
        <v>8</v>
      </c>
      <c r="AF228" s="27" t="s">
        <v>7</v>
      </c>
      <c r="AG228" s="27" t="s">
        <v>8</v>
      </c>
      <c r="AH228" s="27" t="s">
        <v>7</v>
      </c>
      <c r="AI228" s="27" t="s">
        <v>8</v>
      </c>
      <c r="AK228" s="27" t="s">
        <v>8</v>
      </c>
      <c r="BH228" s="27" t="s">
        <v>7</v>
      </c>
      <c r="CC228" s="27" t="s">
        <v>8</v>
      </c>
      <c r="CD228" s="27" t="s">
        <v>7</v>
      </c>
      <c r="CE228" s="27" t="s">
        <v>8</v>
      </c>
      <c r="CJ228" s="27" t="s">
        <v>7</v>
      </c>
      <c r="CK228" s="27" t="s">
        <v>8</v>
      </c>
      <c r="CN228" s="27" t="s">
        <v>7</v>
      </c>
      <c r="CO228" s="27" t="s">
        <v>8</v>
      </c>
      <c r="CP228" s="27" t="s">
        <v>7</v>
      </c>
      <c r="CS228" s="27" t="s">
        <v>8</v>
      </c>
      <c r="CV228" s="27" t="s">
        <v>7</v>
      </c>
      <c r="CW228" s="27" t="s">
        <v>8</v>
      </c>
      <c r="CX228" s="27" t="s">
        <v>7</v>
      </c>
      <c r="CZ228" s="27" t="s">
        <v>7</v>
      </c>
      <c r="DA228" s="27" t="s">
        <v>8</v>
      </c>
      <c r="DB228" s="27" t="s">
        <v>7</v>
      </c>
      <c r="DC228" s="27" t="s">
        <v>8</v>
      </c>
      <c r="DD228" s="27" t="s">
        <v>7</v>
      </c>
      <c r="DE228" s="27" t="s">
        <v>8</v>
      </c>
      <c r="DF228" s="27" t="s">
        <v>7</v>
      </c>
      <c r="DG228" s="27" t="s">
        <v>8</v>
      </c>
      <c r="DI228" s="27" t="s">
        <v>8</v>
      </c>
      <c r="DK228" s="27" t="s">
        <v>8</v>
      </c>
      <c r="DL228" s="27" t="s">
        <v>7</v>
      </c>
      <c r="DM228" s="27" t="s">
        <v>8</v>
      </c>
      <c r="DN228" s="27" t="s">
        <v>7</v>
      </c>
      <c r="DO228" s="27" t="s">
        <v>8</v>
      </c>
    </row>
    <row r="229" spans="1:123" x14ac:dyDescent="0.25">
      <c r="A229" s="30">
        <v>1.7103393581163142</v>
      </c>
      <c r="E229"/>
      <c r="AA229" s="27" t="s">
        <v>8</v>
      </c>
      <c r="AB229" s="27" t="s">
        <v>7</v>
      </c>
      <c r="AC229" s="27" t="s">
        <v>8</v>
      </c>
      <c r="AF229" s="27" t="s">
        <v>7</v>
      </c>
      <c r="AG229" s="27" t="s">
        <v>8</v>
      </c>
      <c r="AH229" s="27" t="s">
        <v>7</v>
      </c>
      <c r="AI229" s="27" t="s">
        <v>8</v>
      </c>
      <c r="AJ229" s="27" t="s">
        <v>7</v>
      </c>
      <c r="AK229" s="27" t="s">
        <v>8</v>
      </c>
      <c r="BH229" s="27" t="s">
        <v>7</v>
      </c>
      <c r="CC229" s="27" t="s">
        <v>8</v>
      </c>
      <c r="CD229" s="27" t="s">
        <v>7</v>
      </c>
      <c r="CJ229" s="27" t="s">
        <v>7</v>
      </c>
      <c r="CN229" s="27" t="s">
        <v>7</v>
      </c>
      <c r="CO229" s="27" t="s">
        <v>8</v>
      </c>
      <c r="CP229" s="27" t="s">
        <v>7</v>
      </c>
      <c r="CS229" s="27" t="s">
        <v>8</v>
      </c>
      <c r="CV229" s="27" t="s">
        <v>7</v>
      </c>
      <c r="CZ229" s="27" t="s">
        <v>7</v>
      </c>
      <c r="DB229" s="27" t="s">
        <v>7</v>
      </c>
      <c r="DC229" s="27" t="s">
        <v>8</v>
      </c>
      <c r="DD229" s="27" t="s">
        <v>7</v>
      </c>
      <c r="DE229" s="27" t="s">
        <v>8</v>
      </c>
      <c r="DF229" s="27" t="s">
        <v>7</v>
      </c>
      <c r="DG229" s="27" t="s">
        <v>8</v>
      </c>
      <c r="DH229" s="27" t="s">
        <v>7</v>
      </c>
      <c r="DI229" s="27" t="s">
        <v>8</v>
      </c>
      <c r="DJ229" s="27" t="s">
        <v>7</v>
      </c>
      <c r="DK229" s="27" t="s">
        <v>8</v>
      </c>
      <c r="DL229" s="27" t="s">
        <v>7</v>
      </c>
      <c r="DM229" s="27" t="s">
        <v>8</v>
      </c>
      <c r="DN229" s="27" t="s">
        <v>7</v>
      </c>
      <c r="DO229" s="27" t="s">
        <v>8</v>
      </c>
      <c r="DP229" s="27" t="s">
        <v>7</v>
      </c>
    </row>
    <row r="230" spans="1:123" x14ac:dyDescent="0.25">
      <c r="A230" s="30">
        <v>1.628894626777442</v>
      </c>
      <c r="E230"/>
      <c r="AA230" s="27" t="s">
        <v>8</v>
      </c>
      <c r="AB230" s="27" t="s">
        <v>7</v>
      </c>
      <c r="AC230" s="27" t="s">
        <v>8</v>
      </c>
      <c r="AF230" s="27" t="s">
        <v>7</v>
      </c>
      <c r="AG230" s="27" t="s">
        <v>8</v>
      </c>
      <c r="AH230" s="27" t="s">
        <v>7</v>
      </c>
      <c r="AI230" s="27" t="s">
        <v>8</v>
      </c>
      <c r="AJ230" s="27" t="s">
        <v>7</v>
      </c>
      <c r="AK230" s="27" t="s">
        <v>8</v>
      </c>
      <c r="BH230" s="27" t="s">
        <v>7</v>
      </c>
      <c r="CC230" s="27" t="s">
        <v>8</v>
      </c>
      <c r="CJ230" s="31"/>
      <c r="CN230" s="27" t="s">
        <v>7</v>
      </c>
      <c r="CO230" s="27" t="s">
        <v>8</v>
      </c>
      <c r="CP230" s="27" t="s">
        <v>7</v>
      </c>
      <c r="CQ230" s="27" t="s">
        <v>8</v>
      </c>
      <c r="CS230" s="27" t="s">
        <v>8</v>
      </c>
      <c r="DB230" s="27" t="s">
        <v>7</v>
      </c>
      <c r="DC230" s="27" t="s">
        <v>8</v>
      </c>
      <c r="DD230" s="27" t="s">
        <v>7</v>
      </c>
      <c r="DE230" s="27" t="s">
        <v>8</v>
      </c>
      <c r="DF230" s="27" t="s">
        <v>7</v>
      </c>
      <c r="DG230" s="27" t="s">
        <v>8</v>
      </c>
      <c r="DH230" s="27" t="s">
        <v>7</v>
      </c>
      <c r="DI230" s="27" t="s">
        <v>8</v>
      </c>
      <c r="DJ230" s="27" t="s">
        <v>7</v>
      </c>
      <c r="DK230" s="27" t="s">
        <v>8</v>
      </c>
      <c r="DL230" s="27" t="s">
        <v>7</v>
      </c>
      <c r="DN230" s="27" t="s">
        <v>7</v>
      </c>
      <c r="DO230" s="27" t="s">
        <v>8</v>
      </c>
      <c r="DP230" s="27" t="s">
        <v>7</v>
      </c>
    </row>
    <row r="231" spans="1:123" x14ac:dyDescent="0.25">
      <c r="A231" s="30">
        <v>1.5513282159785162</v>
      </c>
      <c r="C231"/>
      <c r="D231"/>
      <c r="E231"/>
      <c r="W231" s="27" t="s">
        <v>8</v>
      </c>
      <c r="AA231" s="27" t="s">
        <v>8</v>
      </c>
      <c r="AB231" s="27" t="s">
        <v>7</v>
      </c>
      <c r="AC231" s="27" t="s">
        <v>8</v>
      </c>
      <c r="AF231" s="27" t="s">
        <v>7</v>
      </c>
      <c r="AG231" s="27" t="s">
        <v>8</v>
      </c>
      <c r="AH231" s="27" t="s">
        <v>7</v>
      </c>
      <c r="AI231" s="27" t="s">
        <v>8</v>
      </c>
      <c r="AJ231" s="27" t="s">
        <v>7</v>
      </c>
      <c r="AK231" s="27" t="s">
        <v>8</v>
      </c>
      <c r="BH231" s="27" t="s">
        <v>7</v>
      </c>
      <c r="BM231" s="27" t="s">
        <v>8</v>
      </c>
      <c r="CC231" s="27" t="s">
        <v>8</v>
      </c>
      <c r="CI231" s="31"/>
      <c r="CN231" s="27" t="s">
        <v>7</v>
      </c>
      <c r="CP231" s="27" t="s">
        <v>7</v>
      </c>
      <c r="CQ231" s="27" t="s">
        <v>8</v>
      </c>
      <c r="CR231" s="27" t="s">
        <v>7</v>
      </c>
      <c r="CS231" s="27" t="s">
        <v>8</v>
      </c>
      <c r="DB231" s="27" t="s">
        <v>7</v>
      </c>
      <c r="DD231" s="27" t="s">
        <v>7</v>
      </c>
      <c r="DF231" s="27" t="s">
        <v>7</v>
      </c>
      <c r="DG231" s="27" t="s">
        <v>8</v>
      </c>
      <c r="DH231" s="27" t="s">
        <v>7</v>
      </c>
      <c r="DJ231" s="27" t="s">
        <v>7</v>
      </c>
      <c r="DK231" s="27" t="s">
        <v>8</v>
      </c>
      <c r="DN231" s="27" t="s">
        <v>7</v>
      </c>
      <c r="DP231" s="27" t="s">
        <v>7</v>
      </c>
      <c r="DQ231" s="27" t="s">
        <v>8</v>
      </c>
    </row>
    <row r="232" spans="1:123" x14ac:dyDescent="0.25">
      <c r="A232" s="30">
        <v>1.477455443789063</v>
      </c>
      <c r="E232"/>
      <c r="W232" s="27" t="s">
        <v>8</v>
      </c>
      <c r="X232" s="27" t="s">
        <v>7</v>
      </c>
      <c r="AA232" s="27" t="s">
        <v>8</v>
      </c>
      <c r="AB232" s="27" t="s">
        <v>7</v>
      </c>
      <c r="AF232" s="27" t="s">
        <v>7</v>
      </c>
      <c r="AG232" s="27" t="s">
        <v>8</v>
      </c>
      <c r="AH232" s="27" t="s">
        <v>7</v>
      </c>
      <c r="AJ232" s="27" t="s">
        <v>7</v>
      </c>
      <c r="BH232" s="27" t="s">
        <v>7</v>
      </c>
      <c r="BK232" s="27" t="s">
        <v>8</v>
      </c>
      <c r="BM232" s="27" t="s">
        <v>8</v>
      </c>
      <c r="BN232" s="27" t="s">
        <v>7</v>
      </c>
      <c r="CC232" s="27" t="s">
        <v>8</v>
      </c>
      <c r="CH232" s="31"/>
      <c r="CP232" s="27" t="s">
        <v>7</v>
      </c>
      <c r="CQ232" s="27" t="s">
        <v>8</v>
      </c>
      <c r="CR232" s="27" t="s">
        <v>7</v>
      </c>
      <c r="CS232" s="27" t="s">
        <v>8</v>
      </c>
      <c r="DF232" s="27" t="s">
        <v>7</v>
      </c>
      <c r="DG232" s="27" t="s">
        <v>8</v>
      </c>
      <c r="DJ232" s="27" t="s">
        <v>7</v>
      </c>
      <c r="DP232" s="27" t="s">
        <v>7</v>
      </c>
      <c r="DQ232" s="27" t="s">
        <v>8</v>
      </c>
      <c r="DR232" s="27" t="s">
        <v>7</v>
      </c>
    </row>
    <row r="233" spans="1:123" x14ac:dyDescent="0.25">
      <c r="A233" s="30">
        <v>1.4071004226562505</v>
      </c>
      <c r="E233"/>
      <c r="K233" s="27" t="s">
        <v>8</v>
      </c>
      <c r="W233" s="27" t="s">
        <v>8</v>
      </c>
      <c r="X233" s="27" t="s">
        <v>7</v>
      </c>
      <c r="AA233" s="27" t="s">
        <v>8</v>
      </c>
      <c r="AF233" s="27" t="s">
        <v>7</v>
      </c>
      <c r="AG233" s="27" t="s">
        <v>8</v>
      </c>
      <c r="BH233" s="27" t="s">
        <v>7</v>
      </c>
      <c r="BK233" s="27" t="s">
        <v>8</v>
      </c>
      <c r="BL233" s="27" t="s">
        <v>7</v>
      </c>
      <c r="BM233" s="27" t="s">
        <v>8</v>
      </c>
      <c r="BN233" s="27" t="s">
        <v>7</v>
      </c>
      <c r="BQ233" s="27" t="s">
        <v>8</v>
      </c>
      <c r="CC233" s="27" t="s">
        <v>8</v>
      </c>
      <c r="CG233" s="31"/>
      <c r="CP233" s="27" t="s">
        <v>7</v>
      </c>
      <c r="CR233" s="27" t="s">
        <v>7</v>
      </c>
      <c r="DF233" s="27" t="s">
        <v>7</v>
      </c>
      <c r="DG233" s="27" t="s">
        <v>8</v>
      </c>
      <c r="DP233" s="27" t="s">
        <v>7</v>
      </c>
      <c r="DQ233" s="27" t="s">
        <v>8</v>
      </c>
      <c r="DR233" s="27" t="s">
        <v>7</v>
      </c>
    </row>
    <row r="234" spans="1:123" x14ac:dyDescent="0.25">
      <c r="A234" s="30">
        <v>1.3400956406250004</v>
      </c>
      <c r="E234" t="s">
        <v>8</v>
      </c>
      <c r="I234" s="27" t="s">
        <v>8</v>
      </c>
      <c r="K234" s="27" t="s">
        <v>8</v>
      </c>
      <c r="L234" s="27" t="s">
        <v>7</v>
      </c>
      <c r="M234" s="27" t="s">
        <v>8</v>
      </c>
      <c r="W234" s="27" t="s">
        <v>8</v>
      </c>
      <c r="X234" s="27" t="s">
        <v>7</v>
      </c>
      <c r="AA234" s="27" t="s">
        <v>8</v>
      </c>
      <c r="AF234" s="27" t="s">
        <v>7</v>
      </c>
      <c r="BH234" s="27" t="s">
        <v>7</v>
      </c>
      <c r="BK234" s="27" t="s">
        <v>8</v>
      </c>
      <c r="BL234" s="27" t="s">
        <v>7</v>
      </c>
      <c r="BM234" s="27" t="s">
        <v>8</v>
      </c>
      <c r="BN234" s="27" t="s">
        <v>7</v>
      </c>
      <c r="BQ234" s="27" t="s">
        <v>8</v>
      </c>
      <c r="BR234" s="27" t="s">
        <v>7</v>
      </c>
      <c r="CA234" s="27" t="s">
        <v>8</v>
      </c>
      <c r="CC234" s="27" t="s">
        <v>8</v>
      </c>
      <c r="CF234" s="31"/>
      <c r="DF234" s="27" t="s">
        <v>7</v>
      </c>
      <c r="DG234" s="27" t="s">
        <v>8</v>
      </c>
      <c r="DP234" s="27" t="s">
        <v>7</v>
      </c>
      <c r="DQ234" s="27" t="s">
        <v>8</v>
      </c>
      <c r="DR234" s="27" t="s">
        <v>7</v>
      </c>
      <c r="DS234" s="27" t="s">
        <v>8</v>
      </c>
    </row>
    <row r="235" spans="1:123" x14ac:dyDescent="0.25">
      <c r="A235" s="30">
        <v>1.2762815625000004</v>
      </c>
      <c r="C235"/>
      <c r="E235" t="s">
        <v>8</v>
      </c>
      <c r="F235" s="27" t="s">
        <v>7</v>
      </c>
      <c r="I235" s="27" t="s">
        <v>8</v>
      </c>
      <c r="J235" s="27" t="s">
        <v>7</v>
      </c>
      <c r="K235" s="27" t="s">
        <v>8</v>
      </c>
      <c r="L235" s="27" t="s">
        <v>7</v>
      </c>
      <c r="M235" s="27" t="s">
        <v>8</v>
      </c>
      <c r="N235" s="27" t="s">
        <v>7</v>
      </c>
      <c r="O235" s="27" t="s">
        <v>8</v>
      </c>
      <c r="U235" s="27" t="s">
        <v>8</v>
      </c>
      <c r="W235" s="27" t="s">
        <v>8</v>
      </c>
      <c r="X235" s="27" t="s">
        <v>7</v>
      </c>
      <c r="AA235" s="27" t="s">
        <v>8</v>
      </c>
      <c r="BH235" s="27" t="s">
        <v>7</v>
      </c>
      <c r="BI235" s="27" t="s">
        <v>8</v>
      </c>
      <c r="BK235" s="27" t="s">
        <v>8</v>
      </c>
      <c r="BL235" s="27" t="s">
        <v>7</v>
      </c>
      <c r="BM235" s="27" t="s">
        <v>8</v>
      </c>
      <c r="BN235" s="27" t="s">
        <v>7</v>
      </c>
      <c r="BQ235" s="27" t="s">
        <v>8</v>
      </c>
      <c r="BR235" s="27" t="s">
        <v>7</v>
      </c>
      <c r="BW235" s="27" t="s">
        <v>8</v>
      </c>
      <c r="CA235" s="27" t="s">
        <v>8</v>
      </c>
      <c r="CB235" s="27" t="s">
        <v>7</v>
      </c>
      <c r="CC235" s="27" t="s">
        <v>8</v>
      </c>
      <c r="CE235" s="31"/>
      <c r="DF235" s="27" t="s">
        <v>7</v>
      </c>
      <c r="DG235" s="27" t="s">
        <v>8</v>
      </c>
      <c r="DP235" s="27" t="s">
        <v>7</v>
      </c>
      <c r="DR235" s="27" t="s">
        <v>7</v>
      </c>
      <c r="DS235" s="27" t="s">
        <v>8</v>
      </c>
    </row>
    <row r="236" spans="1:123" x14ac:dyDescent="0.25">
      <c r="A236" s="30">
        <v>1.2155062500000002</v>
      </c>
      <c r="E236" t="s">
        <v>8</v>
      </c>
      <c r="F236" s="27" t="s">
        <v>7</v>
      </c>
      <c r="I236" s="27" t="s">
        <v>8</v>
      </c>
      <c r="J236" s="27" t="s">
        <v>7</v>
      </c>
      <c r="K236" s="27" t="s">
        <v>8</v>
      </c>
      <c r="L236" s="27" t="s">
        <v>7</v>
      </c>
      <c r="M236" s="27" t="s">
        <v>8</v>
      </c>
      <c r="N236" s="27" t="s">
        <v>7</v>
      </c>
      <c r="O236" s="27" t="s">
        <v>8</v>
      </c>
      <c r="P236" s="27" t="s">
        <v>7</v>
      </c>
      <c r="U236" s="27" t="s">
        <v>8</v>
      </c>
      <c r="V236" s="27" t="s">
        <v>7</v>
      </c>
      <c r="W236" s="27" t="s">
        <v>8</v>
      </c>
      <c r="X236" s="27" t="s">
        <v>7</v>
      </c>
      <c r="AA236" s="27" t="s">
        <v>8</v>
      </c>
      <c r="BH236" s="27" t="s">
        <v>7</v>
      </c>
      <c r="BI236" s="27" t="s">
        <v>8</v>
      </c>
      <c r="BJ236" s="27" t="s">
        <v>7</v>
      </c>
      <c r="BK236" s="27" t="s">
        <v>8</v>
      </c>
      <c r="BL236" s="27" t="s">
        <v>7</v>
      </c>
      <c r="BM236" s="27" t="s">
        <v>8</v>
      </c>
      <c r="BN236" s="27" t="s">
        <v>7</v>
      </c>
      <c r="BO236" s="27" t="s">
        <v>8</v>
      </c>
      <c r="BQ236" s="27" t="s">
        <v>8</v>
      </c>
      <c r="BR236" s="27" t="s">
        <v>7</v>
      </c>
      <c r="BU236" s="27" t="s">
        <v>8</v>
      </c>
      <c r="BW236" s="27" t="s">
        <v>8</v>
      </c>
      <c r="BX236" s="27" t="s">
        <v>7</v>
      </c>
      <c r="CA236" s="27" t="s">
        <v>8</v>
      </c>
      <c r="CB236" s="27" t="s">
        <v>7</v>
      </c>
      <c r="CC236" s="27" t="s">
        <v>8</v>
      </c>
      <c r="CD236" s="31"/>
      <c r="DF236" s="27" t="s">
        <v>7</v>
      </c>
      <c r="DR236" s="27" t="s">
        <v>7</v>
      </c>
      <c r="DS236" s="27" t="s">
        <v>8</v>
      </c>
    </row>
    <row r="237" spans="1:123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F237" s="27" t="s">
        <v>7</v>
      </c>
      <c r="I237" s="27" t="s">
        <v>8</v>
      </c>
      <c r="J237" s="27" t="s">
        <v>7</v>
      </c>
      <c r="K237" s="27" t="s">
        <v>8</v>
      </c>
      <c r="L237" s="27" t="s">
        <v>7</v>
      </c>
      <c r="M237" s="27" t="s">
        <v>8</v>
      </c>
      <c r="N237" s="27" t="s">
        <v>7</v>
      </c>
      <c r="O237" s="27" t="s">
        <v>8</v>
      </c>
      <c r="P237" s="27" t="s">
        <v>7</v>
      </c>
      <c r="Q237" s="27" t="s">
        <v>8</v>
      </c>
      <c r="U237" s="27" t="s">
        <v>8</v>
      </c>
      <c r="V237" s="27" t="s">
        <v>7</v>
      </c>
      <c r="W237" s="27" t="s">
        <v>8</v>
      </c>
      <c r="X237" s="27" t="s">
        <v>7</v>
      </c>
      <c r="AA237" s="27" t="s">
        <v>8</v>
      </c>
      <c r="BH237" s="27" t="s">
        <v>7</v>
      </c>
      <c r="BI237" s="27" t="s">
        <v>8</v>
      </c>
      <c r="BJ237" s="27" t="s">
        <v>7</v>
      </c>
      <c r="BK237" s="27" t="s">
        <v>8</v>
      </c>
      <c r="BL237" s="27" t="s">
        <v>7</v>
      </c>
      <c r="BM237" s="27" t="s">
        <v>8</v>
      </c>
      <c r="BN237" s="27" t="s">
        <v>7</v>
      </c>
      <c r="BO237" s="27" t="s">
        <v>8</v>
      </c>
      <c r="BP237" s="27" t="s">
        <v>7</v>
      </c>
      <c r="BQ237" s="27" t="s">
        <v>8</v>
      </c>
      <c r="BR237" s="27" t="s">
        <v>7</v>
      </c>
      <c r="BU237" s="27" t="s">
        <v>8</v>
      </c>
      <c r="BV237" s="27" t="s">
        <v>7</v>
      </c>
      <c r="BW237" s="27" t="s">
        <v>8</v>
      </c>
      <c r="BX237" s="27" t="s">
        <v>7</v>
      </c>
      <c r="BY237" s="27" t="s">
        <v>8</v>
      </c>
      <c r="CA237" s="27" t="s">
        <v>8</v>
      </c>
      <c r="CB237" s="27" t="s">
        <v>7</v>
      </c>
      <c r="CC237" s="31"/>
      <c r="DR237" s="27" t="s">
        <v>7</v>
      </c>
      <c r="DS237" s="27" t="s">
        <v>8</v>
      </c>
    </row>
    <row r="238" spans="1:123" x14ac:dyDescent="0.25">
      <c r="A238" s="30">
        <v>1.1025</v>
      </c>
      <c r="E238" t="s">
        <v>8</v>
      </c>
      <c r="F238" s="27" t="s">
        <v>7</v>
      </c>
      <c r="I238" s="27" t="s">
        <v>8</v>
      </c>
      <c r="J238" s="27" t="s">
        <v>7</v>
      </c>
      <c r="K238" s="27" t="s">
        <v>8</v>
      </c>
      <c r="L238" s="27" t="s">
        <v>7</v>
      </c>
      <c r="M238" s="27" t="s">
        <v>8</v>
      </c>
      <c r="N238" s="27" t="s">
        <v>7</v>
      </c>
      <c r="O238" s="27" t="s">
        <v>8</v>
      </c>
      <c r="P238" s="27" t="s">
        <v>7</v>
      </c>
      <c r="Q238" s="27" t="s">
        <v>8</v>
      </c>
      <c r="R238" s="27" t="s">
        <v>7</v>
      </c>
      <c r="U238" s="27" t="s">
        <v>8</v>
      </c>
      <c r="V238" s="27" t="s">
        <v>7</v>
      </c>
      <c r="W238" s="27" t="s">
        <v>8</v>
      </c>
      <c r="X238" s="27" t="s">
        <v>7</v>
      </c>
      <c r="AA238" s="27" t="s">
        <v>8</v>
      </c>
      <c r="BH238" s="27" t="s">
        <v>7</v>
      </c>
      <c r="BI238" s="27" t="s">
        <v>8</v>
      </c>
      <c r="BJ238" s="27" t="s">
        <v>7</v>
      </c>
      <c r="BK238" s="27" t="s">
        <v>8</v>
      </c>
      <c r="BL238" s="27" t="s">
        <v>7</v>
      </c>
      <c r="BM238" s="27" t="s">
        <v>8</v>
      </c>
      <c r="BN238" s="27" t="s">
        <v>7</v>
      </c>
      <c r="BO238" s="27" t="s">
        <v>8</v>
      </c>
      <c r="BP238" s="27" t="s">
        <v>7</v>
      </c>
      <c r="BQ238" s="27" t="s">
        <v>8</v>
      </c>
      <c r="BR238" s="27" t="s">
        <v>7</v>
      </c>
      <c r="BU238" s="27" t="s">
        <v>8</v>
      </c>
      <c r="BV238" s="27" t="s">
        <v>7</v>
      </c>
      <c r="BW238" s="27" t="s">
        <v>8</v>
      </c>
      <c r="BX238" s="27" t="s">
        <v>7</v>
      </c>
      <c r="BY238" s="27" t="s">
        <v>8</v>
      </c>
      <c r="BZ238" s="27" t="s">
        <v>7</v>
      </c>
      <c r="CA238" s="27" t="s">
        <v>8</v>
      </c>
      <c r="CB238" s="31"/>
      <c r="DR238" s="27" t="s">
        <v>7</v>
      </c>
      <c r="DS238" s="27" t="s">
        <v>8</v>
      </c>
    </row>
    <row r="239" spans="1:123" x14ac:dyDescent="0.25">
      <c r="A239" s="30">
        <v>1.05</v>
      </c>
      <c r="E239" t="s">
        <v>8</v>
      </c>
      <c r="F239" s="27" t="s">
        <v>7</v>
      </c>
      <c r="G239" s="27" t="s">
        <v>8</v>
      </c>
      <c r="I239" s="27" t="s">
        <v>8</v>
      </c>
      <c r="J239" s="27" t="s">
        <v>7</v>
      </c>
      <c r="K239" s="27" t="s">
        <v>8</v>
      </c>
      <c r="L239" s="27" t="s">
        <v>7</v>
      </c>
      <c r="M239" s="27" t="s">
        <v>8</v>
      </c>
      <c r="N239" s="27" t="s">
        <v>7</v>
      </c>
      <c r="P239" s="27" t="s">
        <v>7</v>
      </c>
      <c r="Q239" s="27" t="s">
        <v>8</v>
      </c>
      <c r="R239" s="27" t="s">
        <v>7</v>
      </c>
      <c r="S239" s="27" t="s">
        <v>8</v>
      </c>
      <c r="U239" s="27" t="s">
        <v>8</v>
      </c>
      <c r="V239" s="27" t="s">
        <v>7</v>
      </c>
      <c r="W239" s="27" t="s">
        <v>8</v>
      </c>
      <c r="X239" s="27" t="s">
        <v>7</v>
      </c>
      <c r="Y239" s="27" t="s">
        <v>8</v>
      </c>
      <c r="AA239" s="27" t="s">
        <v>8</v>
      </c>
      <c r="BH239" s="27" t="s">
        <v>7</v>
      </c>
      <c r="BJ239" s="27" t="s">
        <v>7</v>
      </c>
      <c r="BK239" s="27" t="s">
        <v>8</v>
      </c>
      <c r="BL239" s="27" t="s">
        <v>7</v>
      </c>
      <c r="BN239" s="27" t="s">
        <v>7</v>
      </c>
      <c r="BP239" s="27" t="s">
        <v>7</v>
      </c>
      <c r="BR239" s="27" t="s">
        <v>7</v>
      </c>
      <c r="BU239" s="27" t="s">
        <v>8</v>
      </c>
      <c r="BV239" s="27" t="s">
        <v>7</v>
      </c>
      <c r="BW239" s="27" t="s">
        <v>8</v>
      </c>
      <c r="BX239" s="27" t="s">
        <v>7</v>
      </c>
      <c r="BY239" s="27" t="s">
        <v>8</v>
      </c>
      <c r="BZ239" s="27" t="s">
        <v>7</v>
      </c>
      <c r="CA239" s="31" t="s">
        <v>8</v>
      </c>
      <c r="DR239" s="27" t="s">
        <v>7</v>
      </c>
    </row>
    <row r="240" spans="1:123" x14ac:dyDescent="0.25">
      <c r="A240" s="30">
        <v>1</v>
      </c>
      <c r="E240" s="29" t="s">
        <v>8</v>
      </c>
      <c r="F240" s="27" t="s">
        <v>7</v>
      </c>
      <c r="G240" s="27" t="s">
        <v>8</v>
      </c>
      <c r="H240" s="27" t="s">
        <v>7</v>
      </c>
      <c r="I240" s="27" t="s">
        <v>8</v>
      </c>
      <c r="J240" s="27" t="s">
        <v>7</v>
      </c>
      <c r="L240" s="27" t="s">
        <v>7</v>
      </c>
      <c r="M240" s="27" t="s">
        <v>8</v>
      </c>
      <c r="P240" s="27" t="s">
        <v>7</v>
      </c>
      <c r="Q240" s="27" t="s">
        <v>8</v>
      </c>
      <c r="R240" s="27" t="s">
        <v>7</v>
      </c>
      <c r="S240" s="27" t="s">
        <v>8</v>
      </c>
      <c r="T240" s="27" t="s">
        <v>7</v>
      </c>
      <c r="U240" s="27" t="s">
        <v>8</v>
      </c>
      <c r="V240" s="27" t="s">
        <v>7</v>
      </c>
      <c r="W240" s="27" t="s">
        <v>8</v>
      </c>
      <c r="X240" s="27" t="s">
        <v>7</v>
      </c>
      <c r="Y240" s="27" t="s">
        <v>8</v>
      </c>
      <c r="Z240" s="27" t="s">
        <v>7</v>
      </c>
      <c r="AA240" s="27" t="s">
        <v>8</v>
      </c>
      <c r="BJ240" s="27" t="s">
        <v>7</v>
      </c>
      <c r="BK240" s="27" t="s">
        <v>8</v>
      </c>
      <c r="BR240" s="27" t="s">
        <v>7</v>
      </c>
      <c r="BU240" s="27" t="s">
        <v>8</v>
      </c>
      <c r="BV240" s="27" t="s">
        <v>7</v>
      </c>
      <c r="BW240" s="27" t="s">
        <v>8</v>
      </c>
      <c r="BX240" s="18" t="s">
        <v>7</v>
      </c>
      <c r="BY240" s="27" t="s">
        <v>8</v>
      </c>
      <c r="BZ240" s="31" t="s">
        <v>7</v>
      </c>
    </row>
    <row r="241" spans="1:77" x14ac:dyDescent="0.25">
      <c r="A241" s="30">
        <v>0.952380952380952</v>
      </c>
      <c r="B241"/>
      <c r="C241"/>
      <c r="D241"/>
      <c r="E241"/>
      <c r="F241" s="27" t="s">
        <v>7</v>
      </c>
      <c r="G241" s="27" t="s">
        <v>8</v>
      </c>
      <c r="H241" s="27" t="s">
        <v>7</v>
      </c>
      <c r="I241" s="27" t="s">
        <v>8</v>
      </c>
      <c r="L241" s="27" t="s">
        <v>7</v>
      </c>
      <c r="M241" s="27" t="s">
        <v>8</v>
      </c>
      <c r="P241" s="27" t="s">
        <v>7</v>
      </c>
      <c r="R241" s="27" t="s">
        <v>7</v>
      </c>
      <c r="S241" s="27" t="s">
        <v>8</v>
      </c>
      <c r="T241" s="27" t="s">
        <v>7</v>
      </c>
      <c r="U241" s="27" t="s">
        <v>8</v>
      </c>
      <c r="V241" s="27" t="s">
        <v>7</v>
      </c>
      <c r="W241" s="27" t="s">
        <v>8</v>
      </c>
      <c r="X241" s="27" t="s">
        <v>7</v>
      </c>
      <c r="Y241" s="27" t="s">
        <v>8</v>
      </c>
      <c r="Z241" s="27" t="s">
        <v>7</v>
      </c>
      <c r="AA241" s="27" t="s">
        <v>8</v>
      </c>
      <c r="BJ241" s="27" t="s">
        <v>7</v>
      </c>
      <c r="BK241" s="27" t="s">
        <v>8</v>
      </c>
      <c r="BR241" s="27" t="s">
        <v>7</v>
      </c>
      <c r="BS241" s="27" t="s">
        <v>8</v>
      </c>
      <c r="BU241" s="27" t="s">
        <v>8</v>
      </c>
      <c r="BV241" s="27" t="s">
        <v>7</v>
      </c>
      <c r="BX241" s="27" t="s">
        <v>7</v>
      </c>
      <c r="BY241" s="31" t="s">
        <v>8</v>
      </c>
    </row>
    <row r="242" spans="1:77" x14ac:dyDescent="0.25">
      <c r="A242" s="30">
        <v>0.90702947845804915</v>
      </c>
      <c r="B242"/>
      <c r="C242"/>
      <c r="D242"/>
      <c r="E242"/>
      <c r="F242" s="27" t="s">
        <v>7</v>
      </c>
      <c r="G242" s="27" t="s">
        <v>8</v>
      </c>
      <c r="H242" s="27" t="s">
        <v>7</v>
      </c>
      <c r="I242" s="27" t="s">
        <v>8</v>
      </c>
      <c r="L242" s="27" t="s">
        <v>7</v>
      </c>
      <c r="R242" s="27" t="s">
        <v>7</v>
      </c>
      <c r="S242" s="27" t="s">
        <v>8</v>
      </c>
      <c r="T242" s="27" t="s">
        <v>7</v>
      </c>
      <c r="U242" s="27" t="s">
        <v>8</v>
      </c>
      <c r="V242" s="27" t="s">
        <v>7</v>
      </c>
      <c r="W242" s="27" t="s">
        <v>8</v>
      </c>
      <c r="X242" s="27" t="s">
        <v>7</v>
      </c>
      <c r="Y242" s="27" t="s">
        <v>8</v>
      </c>
      <c r="Z242" s="27" t="s">
        <v>7</v>
      </c>
      <c r="AA242" s="27" t="s">
        <v>8</v>
      </c>
      <c r="BJ242" s="27" t="s">
        <v>7</v>
      </c>
      <c r="BR242" s="27" t="s">
        <v>7</v>
      </c>
      <c r="BS242" s="27" t="s">
        <v>8</v>
      </c>
      <c r="BT242" s="27" t="s">
        <v>7</v>
      </c>
      <c r="BU242" s="27" t="s">
        <v>8</v>
      </c>
      <c r="BX242" s="31" t="s">
        <v>7</v>
      </c>
    </row>
    <row r="243" spans="1:77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  <c r="H243" s="27" t="s">
        <v>7</v>
      </c>
      <c r="I243" s="27" t="s">
        <v>8</v>
      </c>
      <c r="R243" s="27" t="s">
        <v>7</v>
      </c>
      <c r="S243" s="27" t="s">
        <v>8</v>
      </c>
      <c r="T243" s="27" t="s">
        <v>7</v>
      </c>
      <c r="U243" s="27" t="s">
        <v>8</v>
      </c>
      <c r="V243" s="27" t="s">
        <v>7</v>
      </c>
      <c r="W243" s="27" t="s">
        <v>8</v>
      </c>
      <c r="X243" s="27" t="s">
        <v>7</v>
      </c>
      <c r="Z243" s="27" t="s">
        <v>7</v>
      </c>
      <c r="AA243" s="27" t="s">
        <v>8</v>
      </c>
      <c r="BR243" s="27" t="s">
        <v>7</v>
      </c>
      <c r="BS243" s="27" t="s">
        <v>8</v>
      </c>
      <c r="BT243" s="27" t="s">
        <v>7</v>
      </c>
      <c r="BU243" s="27" t="s">
        <v>8</v>
      </c>
    </row>
    <row r="244" spans="1:77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H244" s="27" t="s">
        <v>7</v>
      </c>
      <c r="I244" s="27" t="s">
        <v>8</v>
      </c>
      <c r="R244" s="27" t="s">
        <v>7</v>
      </c>
      <c r="T244" s="27" t="s">
        <v>7</v>
      </c>
      <c r="U244" s="27" t="s">
        <v>8</v>
      </c>
      <c r="V244" s="27" t="s">
        <v>7</v>
      </c>
      <c r="Z244" s="27" t="s">
        <v>7</v>
      </c>
      <c r="BR244" s="27" t="s">
        <v>7</v>
      </c>
      <c r="BS244" s="27" t="s">
        <v>8</v>
      </c>
      <c r="BT244" s="27" t="s">
        <v>7</v>
      </c>
      <c r="BU244" s="27" t="s">
        <v>8</v>
      </c>
    </row>
    <row r="245" spans="1:77" x14ac:dyDescent="0.25">
      <c r="A245" s="30">
        <v>0.78352616646845741</v>
      </c>
      <c r="B245"/>
      <c r="C245"/>
      <c r="D245"/>
      <c r="E245"/>
      <c r="F245" s="27" t="s">
        <v>7</v>
      </c>
      <c r="H245" s="27" t="s">
        <v>7</v>
      </c>
      <c r="I245" s="27" t="s">
        <v>8</v>
      </c>
      <c r="T245" s="27" t="s">
        <v>7</v>
      </c>
      <c r="BR245" s="27" t="s">
        <v>7</v>
      </c>
      <c r="BT245" s="27" t="s">
        <v>7</v>
      </c>
    </row>
    <row r="246" spans="1:77" x14ac:dyDescent="0.25">
      <c r="A246" s="30">
        <v>0.74621539663662584</v>
      </c>
      <c r="B246"/>
      <c r="C246"/>
      <c r="D246"/>
      <c r="E246"/>
      <c r="H246" s="27" t="s">
        <v>7</v>
      </c>
      <c r="I246" s="27" t="s">
        <v>8</v>
      </c>
    </row>
    <row r="247" spans="1:77" x14ac:dyDescent="0.25">
      <c r="A247" s="30">
        <v>0.71068133013011958</v>
      </c>
      <c r="B247"/>
      <c r="C247"/>
      <c r="D247"/>
      <c r="E247"/>
      <c r="H247" s="27" t="s">
        <v>7</v>
      </c>
    </row>
    <row r="248" spans="1:77" x14ac:dyDescent="0.25">
      <c r="A248" s="30">
        <v>0.676839362028685</v>
      </c>
      <c r="B248"/>
      <c r="C248"/>
      <c r="D248"/>
      <c r="E248"/>
    </row>
    <row r="249" spans="1:77" x14ac:dyDescent="0.25">
      <c r="A249" s="30">
        <v>0.64460891621779492</v>
      </c>
      <c r="B249"/>
      <c r="C249"/>
      <c r="D249"/>
      <c r="E249"/>
    </row>
    <row r="250" spans="1:77" x14ac:dyDescent="0.25">
      <c r="A250" s="30">
        <v>0.61391325354075688</v>
      </c>
      <c r="B250"/>
      <c r="C250"/>
      <c r="D250"/>
      <c r="E250"/>
    </row>
    <row r="251" spans="1:77" x14ac:dyDescent="0.25">
      <c r="A251" s="30">
        <v>0.58467928908643485</v>
      </c>
      <c r="B251"/>
      <c r="C251"/>
      <c r="D251"/>
      <c r="E251"/>
    </row>
    <row r="252" spans="1:77" x14ac:dyDescent="0.25">
      <c r="A252" s="30">
        <v>0.55683741817755672</v>
      </c>
      <c r="B252"/>
      <c r="C252"/>
      <c r="D252"/>
      <c r="E252"/>
    </row>
    <row r="253" spans="1:77" x14ac:dyDescent="0.25">
      <c r="A253" s="30">
        <v>0.53032135064529184</v>
      </c>
      <c r="B253"/>
      <c r="C253"/>
      <c r="D253"/>
      <c r="E253"/>
    </row>
    <row r="254" spans="1:77" x14ac:dyDescent="0.25">
      <c r="A254" s="30">
        <v>0.50506795299551588</v>
      </c>
      <c r="B254"/>
      <c r="C254"/>
      <c r="D254"/>
      <c r="E254"/>
    </row>
    <row r="255" spans="1:77" x14ac:dyDescent="0.25">
      <c r="A255" s="30">
        <v>0.48101709809096732</v>
      </c>
      <c r="E255"/>
    </row>
    <row r="256" spans="1:77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78" operator="equal">
      <formula>$U$1</formula>
    </cfRule>
    <cfRule type="cellIs" dxfId="67" priority="879" operator="equal">
      <formula>$S$1</formula>
    </cfRule>
  </conditionalFormatting>
  <conditionalFormatting sqref="D136">
    <cfRule type="cellIs" dxfId="66" priority="876" operator="equal">
      <formula>$S$1</formula>
    </cfRule>
    <cfRule type="cellIs" dxfId="65" priority="877" operator="equal">
      <formula>$U$1</formula>
    </cfRule>
  </conditionalFormatting>
  <conditionalFormatting sqref="C162">
    <cfRule type="cellIs" dxfId="64" priority="874" operator="equal">
      <formula>$U$1</formula>
    </cfRule>
    <cfRule type="cellIs" dxfId="63" priority="875" operator="equal">
      <formula>$S$1</formula>
    </cfRule>
  </conditionalFormatting>
  <conditionalFormatting sqref="D162">
    <cfRule type="cellIs" dxfId="62" priority="872" operator="equal">
      <formula>$S$1</formula>
    </cfRule>
    <cfRule type="cellIs" dxfId="61" priority="873" operator="equal">
      <formula>$U$1</formula>
    </cfRule>
  </conditionalFormatting>
  <conditionalFormatting sqref="C187">
    <cfRule type="cellIs" dxfId="60" priority="870" operator="equal">
      <formula>$U$1</formula>
    </cfRule>
    <cfRule type="cellIs" dxfId="59" priority="871" operator="equal">
      <formula>$S$1</formula>
    </cfRule>
  </conditionalFormatting>
  <conditionalFormatting sqref="D187">
    <cfRule type="cellIs" dxfId="58" priority="868" operator="equal">
      <formula>$S$1</formula>
    </cfRule>
    <cfRule type="cellIs" dxfId="57" priority="869" operator="equal">
      <formula>$U$1</formula>
    </cfRule>
  </conditionalFormatting>
  <conditionalFormatting sqref="C212">
    <cfRule type="cellIs" dxfId="56" priority="866" operator="equal">
      <formula>$U$1</formula>
    </cfRule>
    <cfRule type="cellIs" dxfId="55" priority="867" operator="equal">
      <formula>$S$1</formula>
    </cfRule>
  </conditionalFormatting>
  <conditionalFormatting sqref="D212">
    <cfRule type="cellIs" dxfId="54" priority="864" operator="equal">
      <formula>$S$1</formula>
    </cfRule>
    <cfRule type="cellIs" dxfId="53" priority="865" operator="equal">
      <formula>$U$1</formula>
    </cfRule>
  </conditionalFormatting>
  <conditionalFormatting sqref="C237">
    <cfRule type="cellIs" dxfId="52" priority="862" operator="equal">
      <formula>$U$1</formula>
    </cfRule>
    <cfRule type="cellIs" dxfId="51" priority="863" operator="equal">
      <formula>$S$1</formula>
    </cfRule>
  </conditionalFormatting>
  <conditionalFormatting sqref="D237">
    <cfRule type="cellIs" dxfId="50" priority="860" operator="equal">
      <formula>$S$1</formula>
    </cfRule>
    <cfRule type="cellIs" dxfId="49" priority="861" operator="equal">
      <formula>$U$1</formula>
    </cfRule>
  </conditionalFormatting>
  <conditionalFormatting sqref="C106">
    <cfRule type="cellIs" dxfId="48" priority="858" operator="equal">
      <formula>$U$1</formula>
    </cfRule>
    <cfRule type="cellIs" dxfId="47" priority="859" operator="equal">
      <formula>$S$1</formula>
    </cfRule>
  </conditionalFormatting>
  <conditionalFormatting sqref="D106">
    <cfRule type="cellIs" dxfId="46" priority="856" operator="equal">
      <formula>$S$1</formula>
    </cfRule>
    <cfRule type="cellIs" dxfId="45" priority="857" operator="equal">
      <formula>$U$1</formula>
    </cfRule>
  </conditionalFormatting>
  <conditionalFormatting sqref="C81">
    <cfRule type="cellIs" dxfId="44" priority="854" operator="equal">
      <formula>$U$1</formula>
    </cfRule>
    <cfRule type="cellIs" dxfId="43" priority="855" operator="equal">
      <formula>$S$1</formula>
    </cfRule>
  </conditionalFormatting>
  <conditionalFormatting sqref="D81">
    <cfRule type="cellIs" dxfId="42" priority="852" operator="equal">
      <formula>$S$1</formula>
    </cfRule>
    <cfRule type="cellIs" dxfId="41" priority="853" operator="equal">
      <formula>$U$1</formula>
    </cfRule>
  </conditionalFormatting>
  <conditionalFormatting sqref="C56">
    <cfRule type="cellIs" dxfId="40" priority="850" operator="equal">
      <formula>$U$1</formula>
    </cfRule>
    <cfRule type="cellIs" dxfId="39" priority="851" operator="equal">
      <formula>$S$1</formula>
    </cfRule>
  </conditionalFormatting>
  <conditionalFormatting sqref="D56">
    <cfRule type="cellIs" dxfId="38" priority="848" operator="equal">
      <formula>$S$1</formula>
    </cfRule>
    <cfRule type="cellIs" dxfId="37" priority="849" operator="equal">
      <formula>$U$1</formula>
    </cfRule>
  </conditionalFormatting>
  <conditionalFormatting sqref="C31">
    <cfRule type="cellIs" dxfId="36" priority="846" operator="equal">
      <formula>$U$1</formula>
    </cfRule>
    <cfRule type="cellIs" dxfId="35" priority="847" operator="equal">
      <formula>$S$1</formula>
    </cfRule>
  </conditionalFormatting>
  <conditionalFormatting sqref="D31">
    <cfRule type="cellIs" dxfId="34" priority="844" operator="equal">
      <formula>$S$1</formula>
    </cfRule>
    <cfRule type="cellIs" dxfId="33" priority="8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T120" sqref="AT12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44" x14ac:dyDescent="0.25">
      <c r="A97" s="30">
        <v>9.849732675807628</v>
      </c>
      <c r="E97"/>
    </row>
    <row r="98" spans="1:44" x14ac:dyDescent="0.25">
      <c r="A98" s="30">
        <v>8.9543024325523888</v>
      </c>
      <c r="C98" s="1" t="s">
        <v>13</v>
      </c>
      <c r="E98"/>
    </row>
    <row r="99" spans="1:44" x14ac:dyDescent="0.25">
      <c r="A99" s="30">
        <v>8.140274938683989</v>
      </c>
      <c r="C99" s="1">
        <f>C88</f>
        <v>0</v>
      </c>
      <c r="E99"/>
    </row>
    <row r="100" spans="1:44" x14ac:dyDescent="0.25">
      <c r="A100" s="30">
        <v>7.4002499442581717</v>
      </c>
      <c r="C100"/>
      <c r="D100"/>
      <c r="E100"/>
    </row>
    <row r="101" spans="1:44" x14ac:dyDescent="0.25">
      <c r="A101" s="30">
        <v>6.72749994932561</v>
      </c>
      <c r="C101" s="1" t="s">
        <v>14</v>
      </c>
      <c r="E101"/>
    </row>
    <row r="102" spans="1:4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44" x14ac:dyDescent="0.25">
      <c r="A103" s="30">
        <v>5.5599173134922388</v>
      </c>
      <c r="E103"/>
    </row>
    <row r="104" spans="1:44" x14ac:dyDescent="0.25">
      <c r="A104" s="30">
        <v>5.0544702849929442</v>
      </c>
      <c r="E104"/>
    </row>
    <row r="105" spans="1:44" x14ac:dyDescent="0.25">
      <c r="A105" s="30">
        <v>4.594972986357222</v>
      </c>
      <c r="E105"/>
    </row>
    <row r="106" spans="1:44" x14ac:dyDescent="0.25">
      <c r="A106" s="30">
        <v>4.1772481694156562</v>
      </c>
      <c r="E106"/>
    </row>
    <row r="107" spans="1:44" x14ac:dyDescent="0.25">
      <c r="A107" s="30">
        <v>3.7974983358324148</v>
      </c>
      <c r="E107"/>
      <c r="W107" s="27" t="s">
        <v>8</v>
      </c>
    </row>
    <row r="108" spans="1:44" x14ac:dyDescent="0.25">
      <c r="A108" s="30">
        <v>3.4522712143931042</v>
      </c>
      <c r="E108"/>
      <c r="W108" s="27" t="s">
        <v>8</v>
      </c>
      <c r="X108" s="27" t="s">
        <v>7</v>
      </c>
    </row>
    <row r="109" spans="1:44" x14ac:dyDescent="0.25">
      <c r="A109" s="30">
        <v>3.1384283767210035</v>
      </c>
      <c r="E109"/>
      <c r="W109" s="27" t="s">
        <v>8</v>
      </c>
      <c r="X109" s="27" t="s">
        <v>7</v>
      </c>
      <c r="AA109" s="27" t="s">
        <v>8</v>
      </c>
      <c r="AQ109" s="27" t="s">
        <v>8</v>
      </c>
    </row>
    <row r="110" spans="1:44" x14ac:dyDescent="0.25">
      <c r="A110" s="30">
        <v>2.8531167061100029</v>
      </c>
      <c r="E110"/>
      <c r="U110" s="27" t="s">
        <v>8</v>
      </c>
      <c r="W110" s="27" t="s">
        <v>8</v>
      </c>
      <c r="X110" s="27" t="s">
        <v>7</v>
      </c>
      <c r="AA110" s="27" t="s">
        <v>8</v>
      </c>
      <c r="AB110" s="27" t="s">
        <v>7</v>
      </c>
      <c r="AK110" s="27" t="s">
        <v>8</v>
      </c>
      <c r="AQ110" s="27" t="s">
        <v>8</v>
      </c>
      <c r="AR110" s="27" t="s">
        <v>7</v>
      </c>
    </row>
    <row r="111" spans="1:44" x14ac:dyDescent="0.25">
      <c r="A111" s="30">
        <v>2.5937424601000023</v>
      </c>
      <c r="C111" s="1" t="str">
        <f>ADDRESS(C121-1,1,1,1)</f>
        <v>$A$119</v>
      </c>
      <c r="D111" s="1" t="str">
        <f>ADDRESS(C121-1,D121,1,1)</f>
        <v>$AT$119</v>
      </c>
      <c r="E111"/>
      <c r="S111" s="27" t="s">
        <v>8</v>
      </c>
      <c r="U111" s="27" t="s">
        <v>8</v>
      </c>
      <c r="V111" s="27" t="s">
        <v>7</v>
      </c>
      <c r="W111" s="27" t="s">
        <v>8</v>
      </c>
      <c r="X111" s="27" t="s">
        <v>7</v>
      </c>
      <c r="Y111" s="27" t="s">
        <v>8</v>
      </c>
      <c r="AA111" s="27" t="s">
        <v>8</v>
      </c>
      <c r="AB111" s="27" t="s">
        <v>7</v>
      </c>
      <c r="AK111" s="27" t="s">
        <v>8</v>
      </c>
      <c r="AL111" s="27" t="s">
        <v>7</v>
      </c>
      <c r="AQ111" s="27" t="s">
        <v>8</v>
      </c>
      <c r="AR111" s="27" t="s">
        <v>7</v>
      </c>
    </row>
    <row r="112" spans="1:44" x14ac:dyDescent="0.25">
      <c r="A112" s="30">
        <v>2.3579476910000019</v>
      </c>
      <c r="C112" s="1" t="str">
        <f>ADDRESS(C121,1,1,1)</f>
        <v>$A$120</v>
      </c>
      <c r="D112" s="1" t="str">
        <f>ADDRESS(C121,D121-1,1,1)</f>
        <v>$AS$120</v>
      </c>
      <c r="E112"/>
      <c r="Q112" s="27" t="s">
        <v>8</v>
      </c>
      <c r="S112" s="27" t="s">
        <v>8</v>
      </c>
      <c r="T112" s="27" t="s">
        <v>7</v>
      </c>
      <c r="U112" s="27" t="s">
        <v>8</v>
      </c>
      <c r="V112" s="27" t="s">
        <v>7</v>
      </c>
      <c r="W112" s="27" t="s">
        <v>8</v>
      </c>
      <c r="X112" s="27" t="s">
        <v>7</v>
      </c>
      <c r="Y112" s="27" t="s">
        <v>8</v>
      </c>
      <c r="Z112" s="27" t="s">
        <v>7</v>
      </c>
      <c r="AA112" s="27" t="s">
        <v>8</v>
      </c>
      <c r="AB112" s="27" t="s">
        <v>7</v>
      </c>
      <c r="AK112" s="27" t="s">
        <v>8</v>
      </c>
      <c r="AL112" s="27" t="s">
        <v>7</v>
      </c>
      <c r="AM112" s="27" t="s">
        <v>8</v>
      </c>
      <c r="AQ112" s="27" t="s">
        <v>8</v>
      </c>
      <c r="AR112" s="27" t="s">
        <v>7</v>
      </c>
    </row>
    <row r="113" spans="1:46" x14ac:dyDescent="0.25">
      <c r="A113" s="30">
        <v>2.1435888100000016</v>
      </c>
      <c r="C113" s="1" t="str">
        <f>ADDRESS(C121+1,1,1,1)</f>
        <v>$A$121</v>
      </c>
      <c r="D113" s="1" t="str">
        <f>ADDRESS(C121-1,D121+1,1,1)</f>
        <v>$AU$119</v>
      </c>
      <c r="Q113" s="27" t="s">
        <v>8</v>
      </c>
      <c r="R113" s="27" t="s">
        <v>7</v>
      </c>
      <c r="S113" s="27" t="s">
        <v>8</v>
      </c>
      <c r="T113" s="27" t="s">
        <v>7</v>
      </c>
      <c r="U113" s="27" t="s">
        <v>8</v>
      </c>
      <c r="V113" s="27" t="s">
        <v>7</v>
      </c>
      <c r="W113" s="27" t="s">
        <v>8</v>
      </c>
      <c r="X113" s="27" t="s">
        <v>7</v>
      </c>
      <c r="Y113" s="27" t="s">
        <v>8</v>
      </c>
      <c r="Z113" s="27" t="s">
        <v>7</v>
      </c>
      <c r="AA113" s="27" t="s">
        <v>8</v>
      </c>
      <c r="AB113" s="27" t="s">
        <v>7</v>
      </c>
      <c r="AK113" s="27" t="s">
        <v>8</v>
      </c>
      <c r="AL113" s="27" t="s">
        <v>7</v>
      </c>
      <c r="AM113" s="27" t="s">
        <v>8</v>
      </c>
      <c r="AN113" s="27" t="s">
        <v>7</v>
      </c>
      <c r="AO113" s="27" t="s">
        <v>8</v>
      </c>
      <c r="AQ113" s="27" t="s">
        <v>8</v>
      </c>
      <c r="AR113" s="27" t="s">
        <v>7</v>
      </c>
      <c r="AS113" s="27" t="s">
        <v>8</v>
      </c>
    </row>
    <row r="114" spans="1:46" x14ac:dyDescent="0.25">
      <c r="A114" s="30">
        <v>1.9487171000000014</v>
      </c>
      <c r="C114" s="1" t="str">
        <f>ADDRESS(C121,D121,1,1)</f>
        <v>$AT$120</v>
      </c>
      <c r="D114" s="1" t="str">
        <f>ADDRESS(C121+1,D121+1,1,1)</f>
        <v>$AU$121</v>
      </c>
      <c r="Q114" s="27" t="s">
        <v>8</v>
      </c>
      <c r="R114" s="27" t="s">
        <v>7</v>
      </c>
      <c r="S114" s="27" t="s">
        <v>8</v>
      </c>
      <c r="T114" s="27" t="s">
        <v>7</v>
      </c>
      <c r="U114" s="27" t="s">
        <v>8</v>
      </c>
      <c r="V114" s="27" t="s">
        <v>7</v>
      </c>
      <c r="X114" s="27" t="s">
        <v>7</v>
      </c>
      <c r="Z114" s="27" t="s">
        <v>7</v>
      </c>
      <c r="AB114" s="27" t="s">
        <v>7</v>
      </c>
      <c r="AK114" s="27" t="s">
        <v>8</v>
      </c>
      <c r="AL114" s="27" t="s">
        <v>7</v>
      </c>
      <c r="AM114" s="27" t="s">
        <v>8</v>
      </c>
      <c r="AN114" s="27" t="s">
        <v>7</v>
      </c>
      <c r="AO114" s="27" t="s">
        <v>8</v>
      </c>
      <c r="AP114" s="27" t="s">
        <v>7</v>
      </c>
      <c r="AQ114" s="27" t="s">
        <v>8</v>
      </c>
      <c r="AR114" s="27" t="s">
        <v>7</v>
      </c>
      <c r="AS114" s="27" t="s">
        <v>8</v>
      </c>
      <c r="AT114" s="27" t="s">
        <v>7</v>
      </c>
    </row>
    <row r="115" spans="1:46" x14ac:dyDescent="0.25">
      <c r="A115" s="30">
        <v>1.7715610000000011</v>
      </c>
      <c r="C115" s="1" t="str">
        <f>ADDRESS(C121+1,D121,1,1)</f>
        <v>$AT$121</v>
      </c>
      <c r="Q115" s="27" t="s">
        <v>8</v>
      </c>
      <c r="R115" s="27" t="s">
        <v>7</v>
      </c>
      <c r="S115" s="27" t="s">
        <v>8</v>
      </c>
      <c r="T115" s="27" t="s">
        <v>7</v>
      </c>
      <c r="U115" s="27" t="s">
        <v>8</v>
      </c>
      <c r="AB115" s="27" t="s">
        <v>7</v>
      </c>
      <c r="AK115" s="27" t="s">
        <v>8</v>
      </c>
      <c r="AL115" s="27" t="s">
        <v>7</v>
      </c>
      <c r="AN115" s="27" t="s">
        <v>7</v>
      </c>
      <c r="AO115" s="27" t="s">
        <v>8</v>
      </c>
      <c r="AP115" s="27" t="s">
        <v>7</v>
      </c>
      <c r="AQ115" s="27" t="s">
        <v>8</v>
      </c>
      <c r="AR115" s="27" t="s">
        <v>7</v>
      </c>
      <c r="AS115" s="27" t="s">
        <v>8</v>
      </c>
      <c r="AT115" s="27" t="s">
        <v>7</v>
      </c>
    </row>
    <row r="116" spans="1:46" x14ac:dyDescent="0.25">
      <c r="A116" s="30">
        <v>1.6105100000000008</v>
      </c>
      <c r="C116" s="1">
        <f>C117-1</f>
        <v>119</v>
      </c>
      <c r="Q116" s="27" t="s">
        <v>8</v>
      </c>
      <c r="R116" s="27" t="s">
        <v>7</v>
      </c>
      <c r="S116" s="27" t="s">
        <v>8</v>
      </c>
      <c r="T116" s="27" t="s">
        <v>7</v>
      </c>
      <c r="U116" s="27" t="s">
        <v>8</v>
      </c>
      <c r="AB116" s="27" t="s">
        <v>7</v>
      </c>
      <c r="AC116" s="27" t="s">
        <v>8</v>
      </c>
      <c r="AK116" s="27" t="s">
        <v>8</v>
      </c>
      <c r="AN116" s="27" t="s">
        <v>7</v>
      </c>
      <c r="AO116" s="27" t="s">
        <v>8</v>
      </c>
      <c r="AP116" s="27" t="s">
        <v>7</v>
      </c>
      <c r="AR116" s="27" t="s">
        <v>7</v>
      </c>
      <c r="AS116" s="27" t="s">
        <v>8</v>
      </c>
      <c r="AT116" s="27" t="s">
        <v>7</v>
      </c>
    </row>
    <row r="117" spans="1:46" x14ac:dyDescent="0.25">
      <c r="A117" s="30">
        <v>1.4641000000000006</v>
      </c>
      <c r="C117" s="1">
        <f>C121</f>
        <v>120</v>
      </c>
      <c r="D117" s="1">
        <f>D121</f>
        <v>46</v>
      </c>
      <c r="O117" s="27" t="s">
        <v>8</v>
      </c>
      <c r="Q117" s="27" t="s">
        <v>8</v>
      </c>
      <c r="R117" s="27" t="s">
        <v>7</v>
      </c>
      <c r="T117" s="27" t="s">
        <v>7</v>
      </c>
      <c r="U117" s="27" t="s">
        <v>8</v>
      </c>
      <c r="AB117" s="27" t="s">
        <v>7</v>
      </c>
      <c r="AC117" s="27" t="s">
        <v>8</v>
      </c>
      <c r="AD117" s="27" t="s">
        <v>7</v>
      </c>
      <c r="AE117" s="27" t="s">
        <v>8</v>
      </c>
      <c r="AG117" s="27" t="s">
        <v>8</v>
      </c>
      <c r="AK117" s="27" t="s">
        <v>8</v>
      </c>
      <c r="AN117" s="27" t="s">
        <v>7</v>
      </c>
      <c r="AR117" s="27" t="s">
        <v>7</v>
      </c>
      <c r="AS117" s="27" t="s">
        <v>8</v>
      </c>
      <c r="AT117" s="27" t="s">
        <v>7</v>
      </c>
    </row>
    <row r="118" spans="1:46" x14ac:dyDescent="0.25">
      <c r="A118" s="30">
        <v>1.3310000000000004</v>
      </c>
      <c r="C118" s="1">
        <f>C117+1</f>
        <v>121</v>
      </c>
      <c r="D118" s="1">
        <f>D117+1</f>
        <v>47</v>
      </c>
      <c r="E118" s="1" t="s">
        <v>8</v>
      </c>
      <c r="G118" s="27" t="s">
        <v>8</v>
      </c>
      <c r="I118" s="27" t="s">
        <v>8</v>
      </c>
      <c r="K118" s="27" t="s">
        <v>8</v>
      </c>
      <c r="O118" s="27" t="s">
        <v>8</v>
      </c>
      <c r="P118" s="27" t="s">
        <v>7</v>
      </c>
      <c r="Q118" s="27" t="s">
        <v>8</v>
      </c>
      <c r="T118" s="27" t="s">
        <v>7</v>
      </c>
      <c r="AB118" s="27" t="s">
        <v>7</v>
      </c>
      <c r="AC118" s="27" t="s">
        <v>8</v>
      </c>
      <c r="AD118" s="27" t="s">
        <v>7</v>
      </c>
      <c r="AE118" s="27" t="s">
        <v>8</v>
      </c>
      <c r="AF118" s="27" t="s">
        <v>7</v>
      </c>
      <c r="AG118" s="27" t="s">
        <v>8</v>
      </c>
      <c r="AH118" s="27" t="s">
        <v>7</v>
      </c>
      <c r="AK118" s="27" t="s">
        <v>8</v>
      </c>
      <c r="AR118" s="27" t="s">
        <v>7</v>
      </c>
      <c r="AS118" s="27" t="s">
        <v>8</v>
      </c>
      <c r="AT118" s="27" t="s">
        <v>7</v>
      </c>
    </row>
    <row r="119" spans="1:46" x14ac:dyDescent="0.25">
      <c r="A119" s="30">
        <v>1.2100000000000002</v>
      </c>
      <c r="E119" s="1" t="s">
        <v>8</v>
      </c>
      <c r="F119" s="27" t="s">
        <v>7</v>
      </c>
      <c r="G119" s="27" t="s">
        <v>8</v>
      </c>
      <c r="H119" s="27" t="s">
        <v>7</v>
      </c>
      <c r="I119" s="27" t="s">
        <v>8</v>
      </c>
      <c r="J119" s="27" t="s">
        <v>7</v>
      </c>
      <c r="K119" s="27" t="s">
        <v>8</v>
      </c>
      <c r="L119" s="27" t="s">
        <v>7</v>
      </c>
      <c r="M119" s="27" t="s">
        <v>8</v>
      </c>
      <c r="O119" s="27" t="s">
        <v>8</v>
      </c>
      <c r="P119" s="27" t="s">
        <v>7</v>
      </c>
      <c r="Q119" s="27" t="s">
        <v>8</v>
      </c>
      <c r="AB119" s="27" t="s">
        <v>7</v>
      </c>
      <c r="AD119" s="27" t="s">
        <v>7</v>
      </c>
      <c r="AE119" s="27" t="s">
        <v>8</v>
      </c>
      <c r="AF119" s="27" t="s">
        <v>7</v>
      </c>
      <c r="AG119" s="27" t="s">
        <v>8</v>
      </c>
      <c r="AH119" s="27" t="s">
        <v>7</v>
      </c>
      <c r="AI119" s="18" t="s">
        <v>8</v>
      </c>
      <c r="AK119" s="27" t="s">
        <v>8</v>
      </c>
      <c r="AR119" s="27" t="s">
        <v>7</v>
      </c>
      <c r="AT119" s="27" t="s">
        <v>7</v>
      </c>
    </row>
    <row r="120" spans="1:46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G120" s="27" t="s">
        <v>8</v>
      </c>
      <c r="H120" s="27" t="s">
        <v>7</v>
      </c>
      <c r="I120" s="27" t="s">
        <v>8</v>
      </c>
      <c r="J120" s="27" t="s">
        <v>7</v>
      </c>
      <c r="K120" s="27" t="s">
        <v>8</v>
      </c>
      <c r="L120" s="27" t="s">
        <v>7</v>
      </c>
      <c r="M120" s="27" t="s">
        <v>8</v>
      </c>
      <c r="N120" s="27" t="s">
        <v>7</v>
      </c>
      <c r="O120" s="27" t="s">
        <v>8</v>
      </c>
      <c r="P120" s="27" t="s">
        <v>7</v>
      </c>
      <c r="Q120" s="27" t="s">
        <v>8</v>
      </c>
      <c r="AD120" s="27" t="s">
        <v>7</v>
      </c>
      <c r="AE120" s="27" t="s">
        <v>8</v>
      </c>
      <c r="AF120" s="27" t="s">
        <v>7</v>
      </c>
      <c r="AH120" s="27" t="s">
        <v>7</v>
      </c>
      <c r="AI120" s="27" t="s">
        <v>8</v>
      </c>
      <c r="AJ120" s="27" t="s">
        <v>7</v>
      </c>
      <c r="AK120" s="27" t="s">
        <v>8</v>
      </c>
      <c r="AT120" s="27" t="s">
        <v>7</v>
      </c>
    </row>
    <row r="121" spans="1:46" x14ac:dyDescent="0.25">
      <c r="A121" s="30">
        <v>1</v>
      </c>
      <c r="C121" s="18">
        <v>120</v>
      </c>
      <c r="D121" s="19">
        <v>46</v>
      </c>
      <c r="E121" s="18" t="s">
        <v>8</v>
      </c>
      <c r="F121" s="27" t="s">
        <v>7</v>
      </c>
      <c r="G121" s="27" t="s">
        <v>8</v>
      </c>
      <c r="H121" s="27" t="s">
        <v>7</v>
      </c>
      <c r="J121" s="27" t="s">
        <v>7</v>
      </c>
      <c r="K121" s="27" t="s">
        <v>8</v>
      </c>
      <c r="L121" s="27" t="s">
        <v>7</v>
      </c>
      <c r="M121" s="27" t="s">
        <v>8</v>
      </c>
      <c r="N121" s="27" t="s">
        <v>7</v>
      </c>
      <c r="O121" s="27" t="s">
        <v>8</v>
      </c>
      <c r="P121" s="27" t="s">
        <v>7</v>
      </c>
      <c r="Q121" s="27" t="s">
        <v>8</v>
      </c>
      <c r="AD121" s="27" t="s">
        <v>7</v>
      </c>
      <c r="AE121" s="27" t="s">
        <v>8</v>
      </c>
      <c r="AH121" s="27" t="s">
        <v>7</v>
      </c>
      <c r="AI121" s="27" t="s">
        <v>8</v>
      </c>
      <c r="AJ121" s="27" t="s">
        <v>7</v>
      </c>
      <c r="AK121" s="27" t="s">
        <v>8</v>
      </c>
    </row>
    <row r="122" spans="1:46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  <c r="J122" s="27" t="s">
        <v>7</v>
      </c>
      <c r="L122" s="27" t="s">
        <v>7</v>
      </c>
      <c r="M122" s="27" t="s">
        <v>8</v>
      </c>
      <c r="N122" s="27" t="s">
        <v>7</v>
      </c>
      <c r="O122" s="27" t="s">
        <v>8</v>
      </c>
      <c r="P122" s="27" t="s">
        <v>7</v>
      </c>
      <c r="Q122" s="27" t="s">
        <v>8</v>
      </c>
      <c r="AD122" s="27" t="s">
        <v>7</v>
      </c>
      <c r="AH122" s="27" t="s">
        <v>7</v>
      </c>
      <c r="AI122" s="27" t="s">
        <v>8</v>
      </c>
      <c r="AJ122" s="27" t="s">
        <v>7</v>
      </c>
    </row>
    <row r="123" spans="1:46" x14ac:dyDescent="0.25">
      <c r="A123" s="30">
        <v>0.82644628099173523</v>
      </c>
      <c r="C123" s="1" t="str">
        <f>"R"&amp;C121</f>
        <v>R120</v>
      </c>
      <c r="D123" s="1" t="str">
        <f>"C"&amp;D121</f>
        <v>C46</v>
      </c>
      <c r="F123" s="27" t="s">
        <v>7</v>
      </c>
      <c r="G123" s="27" t="s">
        <v>8</v>
      </c>
      <c r="L123" s="27" t="s">
        <v>7</v>
      </c>
      <c r="N123" s="27" t="s">
        <v>7</v>
      </c>
      <c r="P123" s="27" t="s">
        <v>7</v>
      </c>
      <c r="AH123" s="27" t="s">
        <v>7</v>
      </c>
      <c r="AI123" s="27" t="s">
        <v>8</v>
      </c>
    </row>
    <row r="124" spans="1:4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H124" s="27" t="s">
        <v>7</v>
      </c>
    </row>
    <row r="125" spans="1:46" x14ac:dyDescent="0.25">
      <c r="A125" s="30">
        <v>0.68301345536507019</v>
      </c>
    </row>
    <row r="126" spans="1:46" x14ac:dyDescent="0.25">
      <c r="A126" s="30">
        <v>0.6209213230591546</v>
      </c>
      <c r="C126" s="1" t="s">
        <v>10</v>
      </c>
    </row>
    <row r="127" spans="1:46" x14ac:dyDescent="0.25">
      <c r="A127" s="30">
        <v>0.56447393005377677</v>
      </c>
      <c r="C127" s="30">
        <v>1.1000000000000001</v>
      </c>
      <c r="D127"/>
    </row>
    <row r="128" spans="1:46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62" operator="equal">
      <formula>$U$1</formula>
    </cfRule>
    <cfRule type="cellIs" dxfId="30" priority="863" operator="equal">
      <formula>$S$1</formula>
    </cfRule>
  </conditionalFormatting>
  <conditionalFormatting sqref="D136">
    <cfRule type="cellIs" dxfId="29" priority="860" operator="equal">
      <formula>$S$1</formula>
    </cfRule>
    <cfRule type="cellIs" dxfId="28" priority="861" operator="equal">
      <formula>$U$1</formula>
    </cfRule>
  </conditionalFormatting>
  <conditionalFormatting sqref="C102">
    <cfRule type="cellIs" dxfId="27" priority="858" operator="equal">
      <formula>$U$1</formula>
    </cfRule>
    <cfRule type="cellIs" dxfId="26" priority="859" operator="equal">
      <formula>$S$1</formula>
    </cfRule>
  </conditionalFormatting>
  <conditionalFormatting sqref="D102">
    <cfRule type="cellIs" dxfId="25" priority="856" operator="equal">
      <formula>$S$1</formula>
    </cfRule>
    <cfRule type="cellIs" dxfId="24" priority="857" operator="equal">
      <formula>$U$1</formula>
    </cfRule>
  </conditionalFormatting>
  <conditionalFormatting sqref="C77">
    <cfRule type="cellIs" dxfId="23" priority="854" operator="equal">
      <formula>$U$1</formula>
    </cfRule>
    <cfRule type="cellIs" dxfId="22" priority="855" operator="equal">
      <formula>$S$1</formula>
    </cfRule>
  </conditionalFormatting>
  <conditionalFormatting sqref="D77">
    <cfRule type="cellIs" dxfId="21" priority="852" operator="equal">
      <formula>$S$1</formula>
    </cfRule>
    <cfRule type="cellIs" dxfId="20" priority="853" operator="equal">
      <formula>$U$1</formula>
    </cfRule>
  </conditionalFormatting>
  <conditionalFormatting sqref="C52">
    <cfRule type="cellIs" dxfId="19" priority="850" operator="equal">
      <formula>$U$1</formula>
    </cfRule>
    <cfRule type="cellIs" dxfId="18" priority="851" operator="equal">
      <formula>$S$1</formula>
    </cfRule>
  </conditionalFormatting>
  <conditionalFormatting sqref="D52">
    <cfRule type="cellIs" dxfId="17" priority="848" operator="equal">
      <formula>$S$1</formula>
    </cfRule>
    <cfRule type="cellIs" dxfId="16" priority="849" operator="equal">
      <formula>$U$1</formula>
    </cfRule>
  </conditionalFormatting>
  <conditionalFormatting sqref="C26">
    <cfRule type="cellIs" dxfId="15" priority="846" operator="equal">
      <formula>$U$1</formula>
    </cfRule>
    <cfRule type="cellIs" dxfId="14" priority="847" operator="equal">
      <formula>$S$1</formula>
    </cfRule>
  </conditionalFormatting>
  <conditionalFormatting sqref="D26">
    <cfRule type="cellIs" dxfId="13" priority="844" operator="equal">
      <formula>$S$1</formula>
    </cfRule>
    <cfRule type="cellIs" dxfId="12" priority="8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2022-01-28T01:15:20Z</dcterms:modified>
</cp:coreProperties>
</file>