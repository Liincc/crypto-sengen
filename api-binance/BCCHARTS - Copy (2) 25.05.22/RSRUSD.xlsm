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FA75F19-761D-4C93-AACF-EA0C4E31322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4"/>
  <c r="C133" i="4" s="1"/>
  <c r="C136" i="4" s="1"/>
  <c r="D118" i="4"/>
  <c r="C118" i="4"/>
  <c r="C122" i="3"/>
  <c r="C133" i="3" s="1"/>
  <c r="C136" i="3" s="1"/>
  <c r="R765" i="1"/>
  <c r="S765" i="1" s="1"/>
  <c r="T765" i="1" s="1"/>
  <c r="C116" i="3"/>
  <c r="D136" i="5" l="1"/>
  <c r="C138" i="5" s="1"/>
  <c r="R764" i="1"/>
  <c r="D136" i="4"/>
  <c r="C138" i="4" s="1"/>
  <c r="D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<sst xmlns="http://schemas.openxmlformats.org/spreadsheetml/2006/main" count="6413" uniqueCount="34">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</sst>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1.7139999999999999E-2</c:v>
                </c:pt>
                <c:pt idx="1">
                  <c:v>1.7440000000000001E-2</c:v>
                </c:pt>
                <c:pt idx="2">
                  <c:v>1.7639999999999999E-2</c:v>
                </c:pt>
                <c:pt idx="3">
                  <c:v>1.762E-2</c:v>
                </c:pt>
                <c:pt idx="4">
                  <c:v>1.8839999999999999E-2</c:v>
                </c:pt>
                <c:pt idx="5">
                  <c:v>1.8259999999999998E-2</c:v>
                </c:pt>
                <c:pt idx="6">
                  <c:v>2.0289999999999999E-2</c:v>
                </c:pt>
                <c:pt idx="7">
                  <c:v>2.281E-2</c:v>
                </c:pt>
                <c:pt idx="8">
                  <c:v>2.3619999999999999E-2</c:v>
                </c:pt>
                <c:pt idx="9">
                  <c:v>2.4979999999999999E-2</c:v>
                </c:pt>
                <c:pt idx="10">
                  <c:v>2.5139999999999999E-2</c:v>
                </c:pt>
                <c:pt idx="11">
                  <c:v>2.6679999999999999E-2</c:v>
                </c:pt>
                <c:pt idx="12">
                  <c:v>2.6800000000000001E-2</c:v>
                </c:pt>
                <c:pt idx="13">
                  <c:v>2.6610000000000002E-2</c:v>
                </c:pt>
                <c:pt idx="14">
                  <c:v>2.6159999999999999E-2</c:v>
                </c:pt>
                <c:pt idx="15">
                  <c:v>2.7279999999999999E-2</c:v>
                </c:pt>
                <c:pt idx="16">
                  <c:v>2.503E-2</c:v>
                </c:pt>
                <c:pt idx="17">
                  <c:v>2.392E-2</c:v>
                </c:pt>
                <c:pt idx="18">
                  <c:v>2.5499999999999998E-2</c:v>
                </c:pt>
                <c:pt idx="19">
                  <c:v>2.4539999999999999E-2</c:v>
                </c:pt>
                <c:pt idx="20">
                  <c:v>2.545E-2</c:v>
                </c:pt>
                <c:pt idx="21">
                  <c:v>2.76E-2</c:v>
                </c:pt>
                <c:pt idx="22">
                  <c:v>2.8479999999999998E-2</c:v>
                </c:pt>
                <c:pt idx="23">
                  <c:v>3.1140000000000001E-2</c:v>
                </c:pt>
                <c:pt idx="24">
                  <c:v>3.022E-2</c:v>
                </c:pt>
                <c:pt idx="25">
                  <c:v>3.0939999999999999E-2</c:v>
                </c:pt>
                <c:pt idx="26">
                  <c:v>3.022E-2</c:v>
                </c:pt>
                <c:pt idx="27">
                  <c:v>2.8920000000000001E-2</c:v>
                </c:pt>
                <c:pt idx="28">
                  <c:v>2.9960000000000001E-2</c:v>
                </c:pt>
                <c:pt idx="29">
                  <c:v>2.9749999999999999E-2</c:v>
                </c:pt>
                <c:pt idx="30">
                  <c:v>2.9989999999999999E-2</c:v>
                </c:pt>
                <c:pt idx="31">
                  <c:v>3.3079999999999998E-2</c:v>
                </c:pt>
                <c:pt idx="32">
                  <c:v>3.3110000000000001E-2</c:v>
                </c:pt>
                <c:pt idx="33">
                  <c:v>3.3399999999999999E-2</c:v>
                </c:pt>
                <c:pt idx="34">
                  <c:v>3.3059999999999999E-2</c:v>
                </c:pt>
                <c:pt idx="35">
                  <c:v>3.2070000000000001E-2</c:v>
                </c:pt>
                <c:pt idx="36">
                  <c:v>2.963E-2</c:v>
                </c:pt>
                <c:pt idx="37">
                  <c:v>2.9940000000000001E-2</c:v>
                </c:pt>
                <c:pt idx="38">
                  <c:v>2.8889999999999999E-2</c:v>
                </c:pt>
                <c:pt idx="39">
                  <c:v>2.9700000000000001E-2</c:v>
                </c:pt>
                <c:pt idx="40">
                  <c:v>3.1329999999999997E-2</c:v>
                </c:pt>
                <c:pt idx="41">
                  <c:v>3.1739999999999997E-2</c:v>
                </c:pt>
                <c:pt idx="42">
                  <c:v>3.2809999999999999E-2</c:v>
                </c:pt>
                <c:pt idx="43">
                  <c:v>3.1949999999999999E-2</c:v>
                </c:pt>
                <c:pt idx="44">
                  <c:v>2.9700000000000001E-2</c:v>
                </c:pt>
                <c:pt idx="45">
                  <c:v>2.9780000000000001E-2</c:v>
                </c:pt>
                <c:pt idx="46">
                  <c:v>3.4419999999999999E-2</c:v>
                </c:pt>
                <c:pt idx="47">
                  <c:v>3.2590000000000001E-2</c:v>
                </c:pt>
                <c:pt idx="48">
                  <c:v>3.2259999999999997E-2</c:v>
                </c:pt>
                <c:pt idx="49">
                  <c:v>3.4110000000000001E-2</c:v>
                </c:pt>
                <c:pt idx="50">
                  <c:v>3.746E-2</c:v>
                </c:pt>
                <c:pt idx="51">
                  <c:v>3.5650000000000001E-2</c:v>
                </c:pt>
                <c:pt idx="52">
                  <c:v>3.4619999999999998E-2</c:v>
                </c:pt>
                <c:pt idx="53">
                  <c:v>3.4029999999999998E-2</c:v>
                </c:pt>
                <c:pt idx="54">
                  <c:v>3.755E-2</c:v>
                </c:pt>
                <c:pt idx="55">
                  <c:v>4.4490000000000002E-2</c:v>
                </c:pt>
                <c:pt idx="56">
                  <c:v>5.1049999999999998E-2</c:v>
                </c:pt>
                <c:pt idx="57">
                  <c:v>5.1490000000000001E-2</c:v>
                </c:pt>
                <c:pt idx="58">
                  <c:v>4.9959999999999997E-2</c:v>
                </c:pt>
                <c:pt idx="59">
                  <c:v>5.4179999999999999E-2</c:v>
                </c:pt>
                <c:pt idx="60">
                  <c:v>4.326E-2</c:v>
                </c:pt>
                <c:pt idx="61">
                  <c:v>3.5630000000000002E-2</c:v>
                </c:pt>
                <c:pt idx="62">
                  <c:v>3.354E-2</c:v>
                </c:pt>
                <c:pt idx="63">
                  <c:v>3.7719999999999997E-2</c:v>
                </c:pt>
                <c:pt idx="64">
                  <c:v>3.5310000000000001E-2</c:v>
                </c:pt>
                <c:pt idx="65">
                  <c:v>3.6139999999999999E-2</c:v>
                </c:pt>
                <c:pt idx="66">
                  <c:v>3.4729999999999997E-2</c:v>
                </c:pt>
                <c:pt idx="67">
                  <c:v>3.6810000000000002E-2</c:v>
                </c:pt>
                <c:pt idx="68">
                  <c:v>3.6900000000000002E-2</c:v>
                </c:pt>
                <c:pt idx="69">
                  <c:v>3.5929999999999997E-2</c:v>
                </c:pt>
                <c:pt idx="70">
                  <c:v>3.3300000000000003E-2</c:v>
                </c:pt>
                <c:pt idx="71">
                  <c:v>3.7159999999999999E-2</c:v>
                </c:pt>
                <c:pt idx="72">
                  <c:v>3.7130000000000003E-2</c:v>
                </c:pt>
                <c:pt idx="73">
                  <c:v>4.1790000000000001E-2</c:v>
                </c:pt>
                <c:pt idx="74">
                  <c:v>4.2759999999999999E-2</c:v>
                </c:pt>
                <c:pt idx="75">
                  <c:v>4.2000000000000003E-2</c:v>
                </c:pt>
                <c:pt idx="76">
                  <c:v>4.0930000000000001E-2</c:v>
                </c:pt>
                <c:pt idx="77">
                  <c:v>4.2500000000000003E-2</c:v>
                </c:pt>
                <c:pt idx="78">
                  <c:v>4.2040000000000001E-2</c:v>
                </c:pt>
                <c:pt idx="79">
                  <c:v>4.827E-2</c:v>
                </c:pt>
                <c:pt idx="80">
                  <c:v>4.4970000000000003E-2</c:v>
                </c:pt>
                <c:pt idx="81">
                  <c:v>4.4319999999999998E-2</c:v>
                </c:pt>
                <c:pt idx="82">
                  <c:v>4.2720000000000001E-2</c:v>
                </c:pt>
                <c:pt idx="83">
                  <c:v>4.4130000000000003E-2</c:v>
                </c:pt>
                <c:pt idx="84">
                  <c:v>4.3990000000000001E-2</c:v>
                </c:pt>
                <c:pt idx="85">
                  <c:v>4.5190000000000001E-2</c:v>
                </c:pt>
                <c:pt idx="86">
                  <c:v>4.1450000000000001E-2</c:v>
                </c:pt>
                <c:pt idx="87">
                  <c:v>4.0719999999999999E-2</c:v>
                </c:pt>
                <c:pt idx="88">
                  <c:v>4.0090000000000001E-2</c:v>
                </c:pt>
                <c:pt idx="89">
                  <c:v>3.6220000000000002E-2</c:v>
                </c:pt>
                <c:pt idx="90">
                  <c:v>3.7969999999999997E-2</c:v>
                </c:pt>
                <c:pt idx="91">
                  <c:v>3.7859999999999998E-2</c:v>
                </c:pt>
                <c:pt idx="92">
                  <c:v>3.6360000000000003E-2</c:v>
                </c:pt>
                <c:pt idx="93">
                  <c:v>4.3569999999999998E-2</c:v>
                </c:pt>
                <c:pt idx="94">
                  <c:v>3.9469999999999998E-2</c:v>
                </c:pt>
                <c:pt idx="95">
                  <c:v>3.9219999999999998E-2</c:v>
                </c:pt>
                <c:pt idx="96">
                  <c:v>4.0660000000000002E-2</c:v>
                </c:pt>
                <c:pt idx="97">
                  <c:v>4.122E-2</c:v>
                </c:pt>
                <c:pt idx="98">
                  <c:v>3.7519999999999998E-2</c:v>
                </c:pt>
                <c:pt idx="99">
                  <c:v>3.5770000000000003E-2</c:v>
                </c:pt>
                <c:pt idx="100">
                  <c:v>3.347E-2</c:v>
                </c:pt>
                <c:pt idx="101">
                  <c:v>3.4139999999999997E-2</c:v>
                </c:pt>
                <c:pt idx="102">
                  <c:v>3.5189999999999999E-2</c:v>
                </c:pt>
                <c:pt idx="103">
                  <c:v>3.7019999999999997E-2</c:v>
                </c:pt>
                <c:pt idx="104">
                  <c:v>3.4549999999999997E-2</c:v>
                </c:pt>
                <c:pt idx="105">
                  <c:v>3.4209999999999997E-2</c:v>
                </c:pt>
                <c:pt idx="106">
                  <c:v>3.3820000000000003E-2</c:v>
                </c:pt>
                <c:pt idx="107">
                  <c:v>3.3430000000000001E-2</c:v>
                </c:pt>
                <c:pt idx="108">
                  <c:v>3.4759999999999999E-2</c:v>
                </c:pt>
                <c:pt idx="109">
                  <c:v>3.5639999999999998E-2</c:v>
                </c:pt>
                <c:pt idx="110">
                  <c:v>3.9129999999999998E-2</c:v>
                </c:pt>
                <c:pt idx="111">
                  <c:v>3.7569999999999999E-2</c:v>
                </c:pt>
                <c:pt idx="112">
                  <c:v>3.7260000000000001E-2</c:v>
                </c:pt>
                <c:pt idx="113">
                  <c:v>3.773E-2</c:v>
                </c:pt>
                <c:pt idx="114">
                  <c:v>3.943E-2</c:v>
                </c:pt>
                <c:pt idx="115">
                  <c:v>3.5069999999999997E-2</c:v>
                </c:pt>
                <c:pt idx="116">
                  <c:v>3.6729999999999999E-2</c:v>
                </c:pt>
                <c:pt idx="117">
                  <c:v>3.4750000000000003E-2</c:v>
                </c:pt>
                <c:pt idx="118">
                  <c:v>3.3509999999999998E-2</c:v>
                </c:pt>
                <c:pt idx="119">
                  <c:v>3.023E-2</c:v>
                </c:pt>
                <c:pt idx="120">
                  <c:v>2.8230000000000002E-2</c:v>
                </c:pt>
                <c:pt idx="121">
                  <c:v>2.734E-2</c:v>
                </c:pt>
                <c:pt idx="122">
                  <c:v>2.8629999999999999E-2</c:v>
                </c:pt>
                <c:pt idx="123">
                  <c:v>3.0210000000000001E-2</c:v>
                </c:pt>
                <c:pt idx="124">
                  <c:v>3.1440000000000003E-2</c:v>
                </c:pt>
                <c:pt idx="125">
                  <c:v>3.2070000000000001E-2</c:v>
                </c:pt>
                <c:pt idx="126">
                  <c:v>3.6240000000000001E-2</c:v>
                </c:pt>
                <c:pt idx="127">
                  <c:v>3.0890000000000001E-2</c:v>
                </c:pt>
                <c:pt idx="128">
                  <c:v>2.7969999999999998E-2</c:v>
                </c:pt>
                <c:pt idx="129">
                  <c:v>3.363E-2</c:v>
                </c:pt>
                <c:pt idx="130">
                  <c:v>3.705E-2</c:v>
                </c:pt>
                <c:pt idx="131">
                  <c:v>3.9309999999999998E-2</c:v>
                </c:pt>
                <c:pt idx="132">
                  <c:v>3.9199999999999999E-2</c:v>
                </c:pt>
                <c:pt idx="133">
                  <c:v>4.1750000000000002E-2</c:v>
                </c:pt>
                <c:pt idx="134">
                  <c:v>4.0719999999999999E-2</c:v>
                </c:pt>
                <c:pt idx="135">
                  <c:v>3.712E-2</c:v>
                </c:pt>
                <c:pt idx="136">
                  <c:v>3.5749999999999997E-2</c:v>
                </c:pt>
                <c:pt idx="137">
                  <c:v>3.7760000000000002E-2</c:v>
                </c:pt>
                <c:pt idx="138">
                  <c:v>3.6380000000000003E-2</c:v>
                </c:pt>
                <c:pt idx="139">
                  <c:v>3.6269999999999997E-2</c:v>
                </c:pt>
                <c:pt idx="140">
                  <c:v>3.8960000000000002E-2</c:v>
                </c:pt>
                <c:pt idx="141">
                  <c:v>3.8980000000000001E-2</c:v>
                </c:pt>
                <c:pt idx="142">
                  <c:v>3.9300000000000002E-2</c:v>
                </c:pt>
                <c:pt idx="143">
                  <c:v>4.913E-2</c:v>
                </c:pt>
                <c:pt idx="144">
                  <c:v>5.126E-2</c:v>
                </c:pt>
                <c:pt idx="145">
                  <c:v>4.8529999999999997E-2</c:v>
                </c:pt>
                <c:pt idx="146">
                  <c:v>4.8550000000000003E-2</c:v>
                </c:pt>
                <c:pt idx="147">
                  <c:v>4.9450000000000001E-2</c:v>
                </c:pt>
                <c:pt idx="148">
                  <c:v>4.8399999999999999E-2</c:v>
                </c:pt>
                <c:pt idx="149">
                  <c:v>4.598E-2</c:v>
                </c:pt>
                <c:pt idx="150">
                  <c:v>4.8320000000000002E-2</c:v>
                </c:pt>
                <c:pt idx="151">
                  <c:v>4.9450000000000001E-2</c:v>
                </c:pt>
                <c:pt idx="152">
                  <c:v>5.0680000000000003E-2</c:v>
                </c:pt>
                <c:pt idx="153">
                  <c:v>5.3359999999999998E-2</c:v>
                </c:pt>
                <c:pt idx="154">
                  <c:v>5.008E-2</c:v>
                </c:pt>
                <c:pt idx="155">
                  <c:v>5.4300000000000001E-2</c:v>
                </c:pt>
                <c:pt idx="156">
                  <c:v>5.4089999999999999E-2</c:v>
                </c:pt>
                <c:pt idx="157">
                  <c:v>5.0560000000000001E-2</c:v>
                </c:pt>
                <c:pt idx="158">
                  <c:v>4.9390000000000003E-2</c:v>
                </c:pt>
                <c:pt idx="159">
                  <c:v>4.7629999999999999E-2</c:v>
                </c:pt>
                <c:pt idx="160">
                  <c:v>5.0479999999999997E-2</c:v>
                </c:pt>
                <c:pt idx="161">
                  <c:v>4.3610000000000003E-2</c:v>
                </c:pt>
                <c:pt idx="162">
                  <c:v>3.95E-2</c:v>
                </c:pt>
                <c:pt idx="163">
                  <c:v>4.0759999999999998E-2</c:v>
                </c:pt>
                <c:pt idx="164">
                  <c:v>4.3060000000000001E-2</c:v>
                </c:pt>
                <c:pt idx="165">
                  <c:v>4.2020000000000002E-2</c:v>
                </c:pt>
                <c:pt idx="166">
                  <c:v>4.1549999999999997E-2</c:v>
                </c:pt>
                <c:pt idx="167">
                  <c:v>4.24E-2</c:v>
                </c:pt>
                <c:pt idx="168">
                  <c:v>3.8460000000000001E-2</c:v>
                </c:pt>
                <c:pt idx="169">
                  <c:v>3.9919999999999997E-2</c:v>
                </c:pt>
                <c:pt idx="170">
                  <c:v>3.9390000000000001E-2</c:v>
                </c:pt>
                <c:pt idx="171">
                  <c:v>3.8530000000000002E-2</c:v>
                </c:pt>
                <c:pt idx="172">
                  <c:v>3.6499999999999998E-2</c:v>
                </c:pt>
                <c:pt idx="173">
                  <c:v>3.8789999999999998E-2</c:v>
                </c:pt>
                <c:pt idx="174">
                  <c:v>3.9820000000000001E-2</c:v>
                </c:pt>
                <c:pt idx="175">
                  <c:v>3.9530000000000003E-2</c:v>
                </c:pt>
                <c:pt idx="176">
                  <c:v>3.7280000000000001E-2</c:v>
                </c:pt>
                <c:pt idx="177">
                  <c:v>3.6139999999999999E-2</c:v>
                </c:pt>
                <c:pt idx="178">
                  <c:v>3.2939999999999997E-2</c:v>
                </c:pt>
                <c:pt idx="179">
                  <c:v>3.0859999999999999E-2</c:v>
                </c:pt>
                <c:pt idx="180">
                  <c:v>3.1949999999999999E-2</c:v>
                </c:pt>
                <c:pt idx="181">
                  <c:v>3.1289999999999998E-2</c:v>
                </c:pt>
                <c:pt idx="182">
                  <c:v>3.1399999999999997E-2</c:v>
                </c:pt>
                <c:pt idx="183">
                  <c:v>3.1669999999999997E-2</c:v>
                </c:pt>
                <c:pt idx="184">
                  <c:v>2.8479999999999998E-2</c:v>
                </c:pt>
                <c:pt idx="185">
                  <c:v>2.8139999999999998E-2</c:v>
                </c:pt>
                <c:pt idx="186">
                  <c:v>2.7089999999999999E-2</c:v>
                </c:pt>
                <c:pt idx="187">
                  <c:v>2.3720000000000001E-2</c:v>
                </c:pt>
                <c:pt idx="188">
                  <c:v>2.2800000000000001E-2</c:v>
                </c:pt>
                <c:pt idx="189">
                  <c:v>2.146E-2</c:v>
                </c:pt>
                <c:pt idx="190">
                  <c:v>1.9429999999999999E-2</c:v>
                </c:pt>
                <c:pt idx="191">
                  <c:v>1.7270000000000001E-2</c:v>
                </c:pt>
                <c:pt idx="192">
                  <c:v>1.8159999999999999E-2</c:v>
                </c:pt>
                <c:pt idx="193">
                  <c:v>1.968E-2</c:v>
                </c:pt>
                <c:pt idx="194">
                  <c:v>1.9699999999999999E-2</c:v>
                </c:pt>
                <c:pt idx="195">
                  <c:v>1.968E-2</c:v>
                </c:pt>
                <c:pt idx="196">
                  <c:v>2.0590000000000001E-2</c:v>
                </c:pt>
                <c:pt idx="197">
                  <c:v>2.2210000000000001E-2</c:v>
                </c:pt>
                <c:pt idx="198">
                  <c:v>2.1829999999999999E-2</c:v>
                </c:pt>
                <c:pt idx="199">
                  <c:v>2.2720000000000001E-2</c:v>
                </c:pt>
                <c:pt idx="200">
                  <c:v>2.3869999999999999E-2</c:v>
                </c:pt>
                <c:pt idx="201">
                  <c:v>2.334E-2</c:v>
                </c:pt>
                <c:pt idx="202">
                  <c:v>2.4160000000000001E-2</c:v>
                </c:pt>
                <c:pt idx="203">
                  <c:v>2.4289999999999999E-2</c:v>
                </c:pt>
                <c:pt idx="204">
                  <c:v>2.639E-2</c:v>
                </c:pt>
                <c:pt idx="205">
                  <c:v>2.5360000000000001E-2</c:v>
                </c:pt>
                <c:pt idx="206">
                  <c:v>2.4320000000000001E-2</c:v>
                </c:pt>
                <c:pt idx="207">
                  <c:v>2.5350000000000001E-2</c:v>
                </c:pt>
                <c:pt idx="208">
                  <c:v>2.452E-2</c:v>
                </c:pt>
                <c:pt idx="209">
                  <c:v>2.316E-2</c:v>
                </c:pt>
                <c:pt idx="210">
                  <c:v>2.334E-2</c:v>
                </c:pt>
                <c:pt idx="211">
                  <c:v>2.4340000000000001E-2</c:v>
                </c:pt>
                <c:pt idx="212">
                  <c:v>2.4639999999999999E-2</c:v>
                </c:pt>
                <c:pt idx="213">
                  <c:v>2.3130000000000001E-2</c:v>
                </c:pt>
                <c:pt idx="214">
                  <c:v>2.2329999999999999E-2</c:v>
                </c:pt>
                <c:pt idx="215">
                  <c:v>2.1430000000000001E-2</c:v>
                </c:pt>
                <c:pt idx="216">
                  <c:v>2.0559999999999998E-2</c:v>
                </c:pt>
                <c:pt idx="217">
                  <c:v>2.3449999999999999E-2</c:v>
                </c:pt>
                <c:pt idx="218">
                  <c:v>2.2939999999999999E-2</c:v>
                </c:pt>
                <c:pt idx="219">
                  <c:v>2.1499999999999998E-2</c:v>
                </c:pt>
                <c:pt idx="220">
                  <c:v>2.1819999999999999E-2</c:v>
                </c:pt>
                <c:pt idx="221">
                  <c:v>2.9170000000000001E-2</c:v>
                </c:pt>
                <c:pt idx="222">
                  <c:v>2.8080000000000001E-2</c:v>
                </c:pt>
                <c:pt idx="223">
                  <c:v>2.7890000000000002E-2</c:v>
                </c:pt>
                <c:pt idx="224">
                  <c:v>2.997E-2</c:v>
                </c:pt>
                <c:pt idx="225">
                  <c:v>3.041E-2</c:v>
                </c:pt>
                <c:pt idx="226">
                  <c:v>3.1609999999999999E-2</c:v>
                </c:pt>
                <c:pt idx="227">
                  <c:v>3.2099999999999997E-2</c:v>
                </c:pt>
                <c:pt idx="228">
                  <c:v>3.1009999999999999E-2</c:v>
                </c:pt>
                <c:pt idx="229">
                  <c:v>2.8230000000000002E-2</c:v>
                </c:pt>
                <c:pt idx="230">
                  <c:v>2.8559999999999999E-2</c:v>
                </c:pt>
                <c:pt idx="231">
                  <c:v>3.0970000000000001E-2</c:v>
                </c:pt>
                <c:pt idx="232">
                  <c:v>3.39E-2</c:v>
                </c:pt>
                <c:pt idx="233">
                  <c:v>3.2210000000000003E-2</c:v>
                </c:pt>
                <c:pt idx="234">
                  <c:v>3.338E-2</c:v>
                </c:pt>
                <c:pt idx="235">
                  <c:v>3.7310000000000003E-2</c:v>
                </c:pt>
                <c:pt idx="236">
                  <c:v>3.44E-2</c:v>
                </c:pt>
                <c:pt idx="237">
                  <c:v>3.6679999999999997E-2</c:v>
                </c:pt>
                <c:pt idx="238">
                  <c:v>4.1930000000000002E-2</c:v>
                </c:pt>
                <c:pt idx="239">
                  <c:v>3.9379999999999998E-2</c:v>
                </c:pt>
                <c:pt idx="240">
                  <c:v>3.764E-2</c:v>
                </c:pt>
                <c:pt idx="241">
                  <c:v>3.9780000000000003E-2</c:v>
                </c:pt>
                <c:pt idx="242">
                  <c:v>3.3110000000000001E-2</c:v>
                </c:pt>
                <c:pt idx="243">
                  <c:v>3.1350000000000003E-2</c:v>
                </c:pt>
                <c:pt idx="244">
                  <c:v>3.4229999999999997E-2</c:v>
                </c:pt>
                <c:pt idx="245">
                  <c:v>3.984E-2</c:v>
                </c:pt>
                <c:pt idx="246">
                  <c:v>4.3040000000000002E-2</c:v>
                </c:pt>
                <c:pt idx="247">
                  <c:v>3.7879999999999997E-2</c:v>
                </c:pt>
                <c:pt idx="248">
                  <c:v>4.0730000000000002E-2</c:v>
                </c:pt>
                <c:pt idx="249">
                  <c:v>2.9649999999999999E-2</c:v>
                </c:pt>
                <c:pt idx="250">
                  <c:v>3.4939999999999999E-2</c:v>
                </c:pt>
                <c:pt idx="251">
                  <c:v>3.8980000000000001E-2</c:v>
                </c:pt>
                <c:pt idx="252">
                  <c:v>4.6890000000000001E-2</c:v>
                </c:pt>
                <c:pt idx="253">
                  <c:v>4.1110000000000001E-2</c:v>
                </c:pt>
                <c:pt idx="254">
                  <c:v>6.5530000000000005E-2</c:v>
                </c:pt>
                <c:pt idx="255">
                  <c:v>6.4170000000000005E-2</c:v>
                </c:pt>
                <c:pt idx="256">
                  <c:v>7.0199999999999999E-2</c:v>
                </c:pt>
                <c:pt idx="257">
                  <c:v>7.0830000000000004E-2</c:v>
                </c:pt>
                <c:pt idx="258">
                  <c:v>7.8229999999999994E-2</c:v>
                </c:pt>
                <c:pt idx="259">
                  <c:v>6.8690000000000001E-2</c:v>
                </c:pt>
                <c:pt idx="260">
                  <c:v>6.7900000000000002E-2</c:v>
                </c:pt>
                <c:pt idx="261">
                  <c:v>7.9990000000000006E-2</c:v>
                </c:pt>
                <c:pt idx="262">
                  <c:v>7.6780000000000001E-2</c:v>
                </c:pt>
                <c:pt idx="263">
                  <c:v>8.9889999999999998E-2</c:v>
                </c:pt>
                <c:pt idx="264">
                  <c:v>7.9619999999999996E-2</c:v>
                </c:pt>
                <c:pt idx="265">
                  <c:v>8.047E-2</c:v>
                </c:pt>
                <c:pt idx="266">
                  <c:v>8.0659999999999996E-2</c:v>
                </c:pt>
                <c:pt idx="267">
                  <c:v>8.3830000000000002E-2</c:v>
                </c:pt>
                <c:pt idx="268">
                  <c:v>7.9060000000000005E-2</c:v>
                </c:pt>
                <c:pt idx="269">
                  <c:v>8.9419999999999999E-2</c:v>
                </c:pt>
                <c:pt idx="270">
                  <c:v>8.6989999999999998E-2</c:v>
                </c:pt>
                <c:pt idx="271">
                  <c:v>9.085E-2</c:v>
                </c:pt>
                <c:pt idx="272">
                  <c:v>9.1800000000000007E-2</c:v>
                </c:pt>
                <c:pt idx="273">
                  <c:v>8.3610000000000004E-2</c:v>
                </c:pt>
                <c:pt idx="274">
                  <c:v>8.4089999999999998E-2</c:v>
                </c:pt>
                <c:pt idx="275">
                  <c:v>8.8550000000000004E-2</c:v>
                </c:pt>
                <c:pt idx="276">
                  <c:v>8.1989999999999993E-2</c:v>
                </c:pt>
                <c:pt idx="277">
                  <c:v>6.744E-2</c:v>
                </c:pt>
                <c:pt idx="278">
                  <c:v>6.9080000000000003E-2</c:v>
                </c:pt>
                <c:pt idx="279">
                  <c:v>7.7200000000000005E-2</c:v>
                </c:pt>
                <c:pt idx="280">
                  <c:v>8.566E-2</c:v>
                </c:pt>
                <c:pt idx="281">
                  <c:v>9.1600000000000001E-2</c:v>
                </c:pt>
                <c:pt idx="282">
                  <c:v>8.9829999999999993E-2</c:v>
                </c:pt>
                <c:pt idx="283">
                  <c:v>8.2220000000000001E-2</c:v>
                </c:pt>
                <c:pt idx="284">
                  <c:v>9.4670000000000004E-2</c:v>
                </c:pt>
                <c:pt idx="285">
                  <c:v>0.10201</c:v>
                </c:pt>
                <c:pt idx="286">
                  <c:v>0.11101999999999999</c:v>
                </c:pt>
                <c:pt idx="287">
                  <c:v>0.10016</c:v>
                </c:pt>
                <c:pt idx="288">
                  <c:v>8.4860000000000005E-2</c:v>
                </c:pt>
                <c:pt idx="289">
                  <c:v>8.5629999999999998E-2</c:v>
                </c:pt>
                <c:pt idx="290">
                  <c:v>8.3320000000000005E-2</c:v>
                </c:pt>
                <c:pt idx="291">
                  <c:v>8.6199999999999999E-2</c:v>
                </c:pt>
                <c:pt idx="292">
                  <c:v>9.0060000000000001E-2</c:v>
                </c:pt>
                <c:pt idx="293">
                  <c:v>7.7950000000000005E-2</c:v>
                </c:pt>
                <c:pt idx="294">
                  <c:v>8.2739999999999994E-2</c:v>
                </c:pt>
                <c:pt idx="295">
                  <c:v>7.6539999999999997E-2</c:v>
                </c:pt>
                <c:pt idx="296">
                  <c:v>8.2799999999999999E-2</c:v>
                </c:pt>
                <c:pt idx="297">
                  <c:v>8.516E-2</c:v>
                </c:pt>
                <c:pt idx="298">
                  <c:v>8.8020000000000001E-2</c:v>
                </c:pt>
                <c:pt idx="299">
                  <c:v>8.0269999999999994E-2</c:v>
                </c:pt>
                <c:pt idx="300">
                  <c:v>8.7370000000000003E-2</c:v>
                </c:pt>
                <c:pt idx="301">
                  <c:v>8.8010000000000005E-2</c:v>
                </c:pt>
                <c:pt idx="302">
                  <c:v>8.9819999999999997E-2</c:v>
                </c:pt>
                <c:pt idx="303">
                  <c:v>9.1920000000000002E-2</c:v>
                </c:pt>
                <c:pt idx="304">
                  <c:v>8.727E-2</c:v>
                </c:pt>
                <c:pt idx="305">
                  <c:v>8.3629999999999996E-2</c:v>
                </c:pt>
                <c:pt idx="306">
                  <c:v>8.276E-2</c:v>
                </c:pt>
                <c:pt idx="307">
                  <c:v>8.0659999999999996E-2</c:v>
                </c:pt>
                <c:pt idx="308">
                  <c:v>7.3669999999999999E-2</c:v>
                </c:pt>
                <c:pt idx="309">
                  <c:v>7.1840000000000001E-2</c:v>
                </c:pt>
                <c:pt idx="310">
                  <c:v>8.0379999999999993E-2</c:v>
                </c:pt>
                <c:pt idx="311">
                  <c:v>8.5540000000000005E-2</c:v>
                </c:pt>
                <c:pt idx="312">
                  <c:v>9.4780000000000003E-2</c:v>
                </c:pt>
                <c:pt idx="313">
                  <c:v>8.7040000000000006E-2</c:v>
                </c:pt>
                <c:pt idx="314">
                  <c:v>9.4159999999999994E-2</c:v>
                </c:pt>
                <c:pt idx="315">
                  <c:v>7.9450000000000007E-2</c:v>
                </c:pt>
                <c:pt idx="316">
                  <c:v>8.1110000000000002E-2</c:v>
                </c:pt>
                <c:pt idx="317">
                  <c:v>7.9000000000000001E-2</c:v>
                </c:pt>
                <c:pt idx="318">
                  <c:v>8.1220000000000001E-2</c:v>
                </c:pt>
                <c:pt idx="319">
                  <c:v>6.8129999999999996E-2</c:v>
                </c:pt>
                <c:pt idx="320">
                  <c:v>7.3160000000000003E-2</c:v>
                </c:pt>
                <c:pt idx="321">
                  <c:v>6.6820000000000004E-2</c:v>
                </c:pt>
                <c:pt idx="322">
                  <c:v>7.0999999999999994E-2</c:v>
                </c:pt>
                <c:pt idx="323">
                  <c:v>6.7669999999999994E-2</c:v>
                </c:pt>
                <c:pt idx="324">
                  <c:v>7.3300000000000004E-2</c:v>
                </c:pt>
                <c:pt idx="325">
                  <c:v>7.7420000000000003E-2</c:v>
                </c:pt>
                <c:pt idx="326">
                  <c:v>7.4329999999999993E-2</c:v>
                </c:pt>
                <c:pt idx="327">
                  <c:v>5.9790000000000003E-2</c:v>
                </c:pt>
                <c:pt idx="328">
                  <c:v>5.9880000000000003E-2</c:v>
                </c:pt>
                <c:pt idx="329">
                  <c:v>5.8340000000000003E-2</c:v>
                </c:pt>
                <c:pt idx="330">
                  <c:v>6.1719999999999997E-2</c:v>
                </c:pt>
                <c:pt idx="331">
                  <c:v>6.1179999999999998E-2</c:v>
                </c:pt>
                <c:pt idx="332">
                  <c:v>5.6820000000000002E-2</c:v>
                </c:pt>
                <c:pt idx="333">
                  <c:v>5.2850000000000001E-2</c:v>
                </c:pt>
                <c:pt idx="334">
                  <c:v>5.2780000000000001E-2</c:v>
                </c:pt>
                <c:pt idx="335">
                  <c:v>4.5850000000000002E-2</c:v>
                </c:pt>
                <c:pt idx="336">
                  <c:v>4.1619999999999997E-2</c:v>
                </c:pt>
                <c:pt idx="337">
                  <c:v>4.3970000000000002E-2</c:v>
                </c:pt>
                <c:pt idx="338">
                  <c:v>4.3779999999999999E-2</c:v>
                </c:pt>
                <c:pt idx="339">
                  <c:v>5.1740000000000001E-2</c:v>
                </c:pt>
                <c:pt idx="340">
                  <c:v>5.5219999999999998E-2</c:v>
                </c:pt>
                <c:pt idx="341">
                  <c:v>5.5539999999999999E-2</c:v>
                </c:pt>
                <c:pt idx="342">
                  <c:v>6.0449999999999997E-2</c:v>
                </c:pt>
                <c:pt idx="343">
                  <c:v>6.2630000000000005E-2</c:v>
                </c:pt>
                <c:pt idx="344">
                  <c:v>5.7169999999999999E-2</c:v>
                </c:pt>
                <c:pt idx="345">
                  <c:v>5.5599999999999997E-2</c:v>
                </c:pt>
                <c:pt idx="346">
                  <c:v>5.7000000000000002E-2</c:v>
                </c:pt>
                <c:pt idx="347">
                  <c:v>6.2210000000000001E-2</c:v>
                </c:pt>
                <c:pt idx="348">
                  <c:v>7.195E-2</c:v>
                </c:pt>
                <c:pt idx="349">
                  <c:v>6.9000000000000006E-2</c:v>
                </c:pt>
                <c:pt idx="350">
                  <c:v>5.9729999999999998E-2</c:v>
                </c:pt>
                <c:pt idx="351">
                  <c:v>5.3929999999999999E-2</c:v>
                </c:pt>
                <c:pt idx="352">
                  <c:v>5.0310000000000001E-2</c:v>
                </c:pt>
                <c:pt idx="353">
                  <c:v>4.1919999999999999E-2</c:v>
                </c:pt>
                <c:pt idx="354">
                  <c:v>3.7749999999999999E-2</c:v>
                </c:pt>
                <c:pt idx="355">
                  <c:v>3.993E-2</c:v>
                </c:pt>
                <c:pt idx="356">
                  <c:v>4.4909999999999999E-2</c:v>
                </c:pt>
                <c:pt idx="357">
                  <c:v>3.8879999999999998E-2</c:v>
                </c:pt>
                <c:pt idx="358">
                  <c:v>3.9849999999999997E-2</c:v>
                </c:pt>
                <c:pt idx="359">
                  <c:v>4.0919999999999998E-2</c:v>
                </c:pt>
                <c:pt idx="360">
                  <c:v>3.7109999999999997E-2</c:v>
                </c:pt>
                <c:pt idx="361">
                  <c:v>3.363E-2</c:v>
                </c:pt>
                <c:pt idx="362">
                  <c:v>3.5459999999999998E-2</c:v>
                </c:pt>
                <c:pt idx="363">
                  <c:v>3.4340000000000002E-2</c:v>
                </c:pt>
                <c:pt idx="364">
                  <c:v>3.3369999999999997E-2</c:v>
                </c:pt>
                <c:pt idx="365">
                  <c:v>3.2219999999999999E-2</c:v>
                </c:pt>
                <c:pt idx="366">
                  <c:v>3.6729999999999999E-2</c:v>
                </c:pt>
                <c:pt idx="367">
                  <c:v>3.5810000000000002E-2</c:v>
                </c:pt>
                <c:pt idx="368">
                  <c:v>3.9010000000000003E-2</c:v>
                </c:pt>
                <c:pt idx="369">
                  <c:v>3.8120000000000001E-2</c:v>
                </c:pt>
                <c:pt idx="370">
                  <c:v>3.8019999999999998E-2</c:v>
                </c:pt>
                <c:pt idx="371">
                  <c:v>3.3610000000000001E-2</c:v>
                </c:pt>
                <c:pt idx="372">
                  <c:v>4.224E-2</c:v>
                </c:pt>
                <c:pt idx="373">
                  <c:v>4.1619999999999997E-2</c:v>
                </c:pt>
                <c:pt idx="374">
                  <c:v>4.7129999999999998E-2</c:v>
                </c:pt>
                <c:pt idx="375">
                  <c:v>4.0129999999999999E-2</c:v>
                </c:pt>
                <c:pt idx="376">
                  <c:v>4.0219999999999999E-2</c:v>
                </c:pt>
                <c:pt idx="377">
                  <c:v>3.8640000000000001E-2</c:v>
                </c:pt>
                <c:pt idx="378">
                  <c:v>4.0140000000000002E-2</c:v>
                </c:pt>
                <c:pt idx="379">
                  <c:v>4.0370000000000003E-2</c:v>
                </c:pt>
                <c:pt idx="380">
                  <c:v>3.6630000000000003E-2</c:v>
                </c:pt>
                <c:pt idx="381">
                  <c:v>3.9129999999999998E-2</c:v>
                </c:pt>
                <c:pt idx="382">
                  <c:v>4.2810000000000001E-2</c:v>
                </c:pt>
                <c:pt idx="383">
                  <c:v>4.6510000000000003E-2</c:v>
                </c:pt>
                <c:pt idx="384">
                  <c:v>4.2549999999999998E-2</c:v>
                </c:pt>
                <c:pt idx="385">
                  <c:v>3.9989999999999998E-2</c:v>
                </c:pt>
                <c:pt idx="386">
                  <c:v>3.977E-2</c:v>
                </c:pt>
                <c:pt idx="387">
                  <c:v>4.1000000000000002E-2</c:v>
                </c:pt>
                <c:pt idx="388">
                  <c:v>3.0779999999999998E-2</c:v>
                </c:pt>
                <c:pt idx="389">
                  <c:v>3.2340000000000001E-2</c:v>
                </c:pt>
                <c:pt idx="390">
                  <c:v>2.903E-2</c:v>
                </c:pt>
                <c:pt idx="391">
                  <c:v>2.5190000000000001E-2</c:v>
                </c:pt>
                <c:pt idx="392">
                  <c:v>2.0029999999999999E-2</c:v>
                </c:pt>
                <c:pt idx="393">
                  <c:v>1.9400000000000001E-2</c:v>
                </c:pt>
                <c:pt idx="394">
                  <c:v>1.9359999999999999E-2</c:v>
                </c:pt>
                <c:pt idx="395">
                  <c:v>1.983E-2</c:v>
                </c:pt>
                <c:pt idx="396">
                  <c:v>1.754E-2</c:v>
                </c:pt>
                <c:pt idx="397">
                  <c:v>1.7239999999999998E-2</c:v>
                </c:pt>
                <c:pt idx="398">
                  <c:v>1.7090000000000001E-2</c:v>
                </c:pt>
                <c:pt idx="399">
                  <c:v>1.7930000000000001E-2</c:v>
                </c:pt>
                <c:pt idx="400">
                  <c:v>1.6379999999999999E-2</c:v>
                </c:pt>
                <c:pt idx="401">
                  <c:v>1.8970000000000001E-2</c:v>
                </c:pt>
                <c:pt idx="402">
                  <c:v>1.8780000000000002E-2</c:v>
                </c:pt>
                <c:pt idx="403">
                  <c:v>2.0480000000000002E-2</c:v>
                </c:pt>
                <c:pt idx="404">
                  <c:v>2.1870000000000001E-2</c:v>
                </c:pt>
                <c:pt idx="405">
                  <c:v>2.2200000000000001E-2</c:v>
                </c:pt>
                <c:pt idx="406">
                  <c:v>2.0809999999999999E-2</c:v>
                </c:pt>
                <c:pt idx="407">
                  <c:v>2.0820000000000002E-2</c:v>
                </c:pt>
                <c:pt idx="408">
                  <c:v>1.9029999999999998E-2</c:v>
                </c:pt>
                <c:pt idx="409">
                  <c:v>1.917E-2</c:v>
                </c:pt>
                <c:pt idx="410">
                  <c:v>1.8880000000000001E-2</c:v>
                </c:pt>
                <c:pt idx="411">
                  <c:v>1.8669999999999999E-2</c:v>
                </c:pt>
                <c:pt idx="412">
                  <c:v>1.7600000000000001E-2</c:v>
                </c:pt>
                <c:pt idx="413">
                  <c:v>1.8970000000000001E-2</c:v>
                </c:pt>
                <c:pt idx="414">
                  <c:v>1.9720000000000001E-2</c:v>
                </c:pt>
                <c:pt idx="415">
                  <c:v>1.7649999999999999E-2</c:v>
                </c:pt>
                <c:pt idx="416">
                  <c:v>2.0109999999999999E-2</c:v>
                </c:pt>
                <c:pt idx="417">
                  <c:v>1.9040000000000001E-2</c:v>
                </c:pt>
                <c:pt idx="418">
                  <c:v>1.975E-2</c:v>
                </c:pt>
                <c:pt idx="419">
                  <c:v>1.8120000000000001E-2</c:v>
                </c:pt>
                <c:pt idx="420">
                  <c:v>2.102E-2</c:v>
                </c:pt>
                <c:pt idx="421">
                  <c:v>2.1069999999999998E-2</c:v>
                </c:pt>
                <c:pt idx="422">
                  <c:v>1.9550000000000001E-2</c:v>
                </c:pt>
                <c:pt idx="423">
                  <c:v>2.146E-2</c:v>
                </c:pt>
                <c:pt idx="424">
                  <c:v>1.9570000000000001E-2</c:v>
                </c:pt>
                <c:pt idx="425">
                  <c:v>1.9400000000000001E-2</c:v>
                </c:pt>
                <c:pt idx="426">
                  <c:v>1.8519999999999998E-2</c:v>
                </c:pt>
                <c:pt idx="427">
                  <c:v>1.9230000000000001E-2</c:v>
                </c:pt>
                <c:pt idx="428">
                  <c:v>1.993E-2</c:v>
                </c:pt>
                <c:pt idx="429">
                  <c:v>2.368E-2</c:v>
                </c:pt>
                <c:pt idx="430">
                  <c:v>2.274E-2</c:v>
                </c:pt>
                <c:pt idx="431">
                  <c:v>2.214E-2</c:v>
                </c:pt>
                <c:pt idx="432">
                  <c:v>2.401E-2</c:v>
                </c:pt>
                <c:pt idx="433">
                  <c:v>2.3859999999999999E-2</c:v>
                </c:pt>
                <c:pt idx="434">
                  <c:v>2.137E-2</c:v>
                </c:pt>
                <c:pt idx="435">
                  <c:v>0.02</c:v>
                </c:pt>
                <c:pt idx="436">
                  <c:v>2.086E-2</c:v>
                </c:pt>
                <c:pt idx="437">
                  <c:v>1.7309999999999999E-2</c:v>
                </c:pt>
                <c:pt idx="438">
                  <c:v>1.546E-2</c:v>
                </c:pt>
                <c:pt idx="439">
                  <c:v>1.6119999999999999E-2</c:v>
                </c:pt>
                <c:pt idx="440">
                  <c:v>1.7749999999999998E-2</c:v>
                </c:pt>
                <c:pt idx="441">
                  <c:v>1.5890000000000001E-2</c:v>
                </c:pt>
                <c:pt idx="442">
                  <c:v>1.7129999999999999E-2</c:v>
                </c:pt>
                <c:pt idx="443">
                  <c:v>1.7500000000000002E-2</c:v>
                </c:pt>
                <c:pt idx="444">
                  <c:v>1.457E-2</c:v>
                </c:pt>
                <c:pt idx="445">
                  <c:v>1.443E-2</c:v>
                </c:pt>
                <c:pt idx="446">
                  <c:v>1.2760000000000001E-2</c:v>
                </c:pt>
                <c:pt idx="447">
                  <c:v>1.4710000000000001E-2</c:v>
                </c:pt>
                <c:pt idx="448">
                  <c:v>1.174E-2</c:v>
                </c:pt>
                <c:pt idx="449">
                  <c:v>1.022E-2</c:v>
                </c:pt>
                <c:pt idx="450">
                  <c:v>1.0710000000000001E-2</c:v>
                </c:pt>
                <c:pt idx="451">
                  <c:v>1.0829999999999999E-2</c:v>
                </c:pt>
                <c:pt idx="452">
                  <c:v>1.2030000000000001E-2</c:v>
                </c:pt>
                <c:pt idx="453">
                  <c:v>1.158E-2</c:v>
                </c:pt>
                <c:pt idx="454">
                  <c:v>1.218E-2</c:v>
                </c:pt>
                <c:pt idx="455">
                  <c:v>1.1950000000000001E-2</c:v>
                </c:pt>
                <c:pt idx="456">
                  <c:v>1.3849999999999999E-2</c:v>
                </c:pt>
                <c:pt idx="457">
                  <c:v>1.457E-2</c:v>
                </c:pt>
                <c:pt idx="458">
                  <c:v>1.5679999999999999E-2</c:v>
                </c:pt>
                <c:pt idx="459">
                  <c:v>1.677E-2</c:v>
                </c:pt>
                <c:pt idx="460">
                  <c:v>1.491E-2</c:v>
                </c:pt>
                <c:pt idx="461">
                  <c:v>1.4019999999999999E-2</c:v>
                </c:pt>
                <c:pt idx="462">
                  <c:v>1.4409999999999999E-2</c:v>
                </c:pt>
                <c:pt idx="463">
                  <c:v>1.2880000000000001E-2</c:v>
                </c:pt>
                <c:pt idx="464">
                  <c:v>9.4999999999999998E-3</c:v>
                </c:pt>
                <c:pt idx="465">
                  <c:v>1.115E-2</c:v>
                </c:pt>
                <c:pt idx="466">
                  <c:v>1.188E-2</c:v>
                </c:pt>
                <c:pt idx="467">
                  <c:v>1.026E-2</c:v>
                </c:pt>
                <c:pt idx="468">
                  <c:v>9.4900000000000002E-3</c:v>
                </c:pt>
                <c:pt idx="469">
                  <c:v>1.153E-2</c:v>
                </c:pt>
                <c:pt idx="470">
                  <c:v>1.214E-2</c:v>
                </c:pt>
                <c:pt idx="471">
                  <c:v>9.8399999999999998E-3</c:v>
                </c:pt>
                <c:pt idx="472">
                  <c:v>9.4900000000000002E-3</c:v>
                </c:pt>
                <c:pt idx="473">
                  <c:v>9.0600000000000003E-3</c:v>
                </c:pt>
                <c:pt idx="474">
                  <c:v>8.8100000000000001E-3</c:v>
                </c:pt>
                <c:pt idx="475">
                  <c:v>9.5899999999999996E-3</c:v>
                </c:pt>
                <c:pt idx="476">
                  <c:v>8.6599999999999993E-3</c:v>
                </c:pt>
                <c:pt idx="477">
                  <c:v>8.3000000000000001E-3</c:v>
                </c:pt>
                <c:pt idx="478">
                  <c:v>7.9000000000000008E-3</c:v>
                </c:pt>
                <c:pt idx="479">
                  <c:v>9.0699999999999999E-3</c:v>
                </c:pt>
                <c:pt idx="480">
                  <c:v>9.5399999999999999E-3</c:v>
                </c:pt>
                <c:pt idx="481">
                  <c:v>9.8399999999999998E-3</c:v>
                </c:pt>
                <c:pt idx="482">
                  <c:v>8.8299999999999993E-3</c:v>
                </c:pt>
                <c:pt idx="483">
                  <c:v>9.9799999999999993E-3</c:v>
                </c:pt>
                <c:pt idx="484">
                  <c:v>9.5999999999999992E-3</c:v>
                </c:pt>
                <c:pt idx="485">
                  <c:v>1.0540000000000001E-2</c:v>
                </c:pt>
                <c:pt idx="486">
                  <c:v>1.065E-2</c:v>
                </c:pt>
                <c:pt idx="487">
                  <c:v>1.171E-2</c:v>
                </c:pt>
                <c:pt idx="488">
                  <c:v>1.2239999999999999E-2</c:v>
                </c:pt>
                <c:pt idx="489">
                  <c:v>1.248E-2</c:v>
                </c:pt>
                <c:pt idx="490">
                  <c:v>1.2880000000000001E-2</c:v>
                </c:pt>
                <c:pt idx="491">
                  <c:v>1.055E-2</c:v>
                </c:pt>
                <c:pt idx="492">
                  <c:v>1.2699999999999999E-2</c:v>
                </c:pt>
                <c:pt idx="493">
                  <c:v>1.2800000000000001E-2</c:v>
                </c:pt>
                <c:pt idx="494">
                  <c:v>1.387E-2</c:v>
                </c:pt>
                <c:pt idx="495">
                  <c:v>1.512E-2</c:v>
                </c:pt>
                <c:pt idx="496">
                  <c:v>1.35E-2</c:v>
                </c:pt>
                <c:pt idx="497">
                  <c:v>1.388E-2</c:v>
                </c:pt>
                <c:pt idx="498">
                  <c:v>1.4030000000000001E-2</c:v>
                </c:pt>
                <c:pt idx="499">
                  <c:v>1.4590000000000001E-2</c:v>
                </c:pt>
                <c:pt idx="500">
                  <c:v>1.6879999999999999E-2</c:v>
                </c:pt>
                <c:pt idx="501">
                  <c:v>1.6799999999999999E-2</c:v>
                </c:pt>
                <c:pt idx="502">
                  <c:v>1.8169999999999999E-2</c:v>
                </c:pt>
                <c:pt idx="503">
                  <c:v>1.6969999999999999E-2</c:v>
                </c:pt>
                <c:pt idx="504">
                  <c:v>1.737E-2</c:v>
                </c:pt>
                <c:pt idx="505">
                  <c:v>1.787E-2</c:v>
                </c:pt>
                <c:pt idx="506">
                  <c:v>1.585E-2</c:v>
                </c:pt>
                <c:pt idx="507">
                  <c:v>1.644E-2</c:v>
                </c:pt>
                <c:pt idx="508">
                  <c:v>1.8669999999999999E-2</c:v>
                </c:pt>
                <c:pt idx="509">
                  <c:v>1.6299999999999999E-2</c:v>
                </c:pt>
                <c:pt idx="510">
                  <c:v>2.002E-2</c:v>
                </c:pt>
                <c:pt idx="511">
                  <c:v>1.9769999999999999E-2</c:v>
                </c:pt>
                <c:pt idx="512">
                  <c:v>2.7220000000000001E-2</c:v>
                </c:pt>
                <c:pt idx="513">
                  <c:v>2.741E-2</c:v>
                </c:pt>
                <c:pt idx="514">
                  <c:v>2.8410000000000001E-2</c:v>
                </c:pt>
                <c:pt idx="515">
                  <c:v>2.7189999999999999E-2</c:v>
                </c:pt>
                <c:pt idx="516">
                  <c:v>2.443E-2</c:v>
                </c:pt>
                <c:pt idx="517">
                  <c:v>2.5909999999999999E-2</c:v>
                </c:pt>
                <c:pt idx="518">
                  <c:v>2.4E-2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7-4569-846E-F810E6F7EE2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1.5150681371364767</c:v>
                </c:pt>
                <c:pt idx="1">
                  <c:v>1.608951571619236</c:v>
                </c:pt>
                <c:pt idx="2">
                  <c:v>3.2869932261646873</c:v>
                </c:pt>
                <c:pt idx="3">
                  <c:v>3.7600328618789765</c:v>
                </c:pt>
                <c:pt idx="4">
                  <c:v>3.8635437853730008</c:v>
                </c:pt>
                <c:pt idx="5">
                  <c:v>1.8562081696795776</c:v>
                </c:pt>
                <c:pt idx="6">
                  <c:v>3.2749288009361228</c:v>
                </c:pt>
                <c:pt idx="7">
                  <c:v>5.3597460881697234</c:v>
                </c:pt>
                <c:pt idx="8">
                  <c:v>7.4166775894380148</c:v>
                </c:pt>
                <c:pt idx="9">
                  <c:v>9.3574728804380136</c:v>
                </c:pt>
                <c:pt idx="10">
                  <c:v>8.8051265032490438</c:v>
                </c:pt>
                <c:pt idx="11">
                  <c:v>9.6989075316665208</c:v>
                </c:pt>
                <c:pt idx="12">
                  <c:v>9.2649625772230468</c:v>
                </c:pt>
                <c:pt idx="13">
                  <c:v>8.3506424465492817</c:v>
                </c:pt>
                <c:pt idx="14">
                  <c:v>7.3313308025872539</c:v>
                </c:pt>
                <c:pt idx="15">
                  <c:v>10.242591318921949</c:v>
                </c:pt>
                <c:pt idx="16">
                  <c:v>6.9906265307424702</c:v>
                </c:pt>
                <c:pt idx="17">
                  <c:v>5.4069551451952966</c:v>
                </c:pt>
                <c:pt idx="18">
                  <c:v>6.3291079193235982</c:v>
                </c:pt>
                <c:pt idx="19">
                  <c:v>5.8545788025194749</c:v>
                </c:pt>
                <c:pt idx="20">
                  <c:v>6.6810256109144373</c:v>
                </c:pt>
                <c:pt idx="21">
                  <c:v>9.8476664763563804</c:v>
                </c:pt>
                <c:pt idx="22">
                  <c:v>11.537150365523045</c:v>
                </c:pt>
                <c:pt idx="23">
                  <c:v>14.326021009059854</c:v>
                </c:pt>
                <c:pt idx="24">
                  <c:v>14.183787890275537</c:v>
                </c:pt>
                <c:pt idx="25">
                  <c:v>15.166110735275534</c:v>
                </c:pt>
                <c:pt idx="26">
                  <c:v>15.912577095441314</c:v>
                </c:pt>
                <c:pt idx="27">
                  <c:v>14.290684383441313</c:v>
                </c:pt>
                <c:pt idx="28">
                  <c:v>15.651169565174877</c:v>
                </c:pt>
                <c:pt idx="29">
                  <c:v>15.553950240097954</c:v>
                </c:pt>
                <c:pt idx="30">
                  <c:v>16.916186949201407</c:v>
                </c:pt>
                <c:pt idx="31">
                  <c:v>21.160772281091905</c:v>
                </c:pt>
                <c:pt idx="32">
                  <c:v>24.309007072278469</c:v>
                </c:pt>
                <c:pt idx="33">
                  <c:v>24.860690307709032</c:v>
                </c:pt>
                <c:pt idx="34">
                  <c:v>25.603719478872296</c:v>
                </c:pt>
                <c:pt idx="35">
                  <c:v>25.637267458030522</c:v>
                </c:pt>
                <c:pt idx="36">
                  <c:v>22.478799927940702</c:v>
                </c:pt>
                <c:pt idx="37">
                  <c:v>23.991317415283355</c:v>
                </c:pt>
                <c:pt idx="38">
                  <c:v>21.836984291306074</c:v>
                </c:pt>
                <c:pt idx="39">
                  <c:v>20.732422083425423</c:v>
                </c:pt>
                <c:pt idx="40">
                  <c:v>25.125688006505428</c:v>
                </c:pt>
                <c:pt idx="41">
                  <c:v>28.029969301365245</c:v>
                </c:pt>
                <c:pt idx="42">
                  <c:v>29.744602386028369</c:v>
                </c:pt>
                <c:pt idx="43">
                  <c:v>30.469207387800154</c:v>
                </c:pt>
                <c:pt idx="44">
                  <c:v>28.524541438208466</c:v>
                </c:pt>
                <c:pt idx="45">
                  <c:v>26.157703400545103</c:v>
                </c:pt>
                <c:pt idx="46">
                  <c:v>29.199594242628436</c:v>
                </c:pt>
                <c:pt idx="47">
                  <c:v>29.32029312181211</c:v>
                </c:pt>
                <c:pt idx="48">
                  <c:v>29.069651423263721</c:v>
                </c:pt>
                <c:pt idx="49">
                  <c:v>33.105146755098261</c:v>
                </c:pt>
                <c:pt idx="50">
                  <c:v>43.259800941502299</c:v>
                </c:pt>
                <c:pt idx="51">
                  <c:v>38.571419969219463</c:v>
                </c:pt>
                <c:pt idx="52">
                  <c:v>39.113571227953408</c:v>
                </c:pt>
                <c:pt idx="53">
                  <c:v>32.280577307456198</c:v>
                </c:pt>
                <c:pt idx="54">
                  <c:v>35.419720072544138</c:v>
                </c:pt>
                <c:pt idx="55">
                  <c:v>33.508294085630823</c:v>
                </c:pt>
                <c:pt idx="56">
                  <c:v>37.572058745630819</c:v>
                </c:pt>
                <c:pt idx="57">
                  <c:v>48.030573981887819</c:v>
                </c:pt>
                <c:pt idx="58">
                  <c:v>45.398897541389893</c:v>
                </c:pt>
                <c:pt idx="59">
                  <c:v>61.525798219949586</c:v>
                </c:pt>
                <c:pt idx="60">
                  <c:v>26.611639271060472</c:v>
                </c:pt>
                <c:pt idx="61">
                  <c:v>8.2464585815888576</c:v>
                </c:pt>
                <c:pt idx="62">
                  <c:v>6.9805086083217667</c:v>
                </c:pt>
                <c:pt idx="63">
                  <c:v>11.74951817011026</c:v>
                </c:pt>
                <c:pt idx="64">
                  <c:v>11.679493842015038</c:v>
                </c:pt>
                <c:pt idx="65">
                  <c:v>12.058026445434392</c:v>
                </c:pt>
                <c:pt idx="66">
                  <c:v>10.622396933426517</c:v>
                </c:pt>
                <c:pt idx="67">
                  <c:v>11.870601674519856</c:v>
                </c:pt>
                <c:pt idx="68">
                  <c:v>13.182243084732617</c:v>
                </c:pt>
                <c:pt idx="69">
                  <c:v>11.464000464026723</c:v>
                </c:pt>
                <c:pt idx="70">
                  <c:v>9.832746349603136</c:v>
                </c:pt>
                <c:pt idx="71">
                  <c:v>12.67855554901468</c:v>
                </c:pt>
                <c:pt idx="72">
                  <c:v>10.757910572541958</c:v>
                </c:pt>
                <c:pt idx="73">
                  <c:v>14.900274975923772</c:v>
                </c:pt>
                <c:pt idx="74">
                  <c:v>18.177402403614455</c:v>
                </c:pt>
                <c:pt idx="75">
                  <c:v>18.005132024831852</c:v>
                </c:pt>
                <c:pt idx="76">
                  <c:v>17.145951413784232</c:v>
                </c:pt>
                <c:pt idx="77">
                  <c:v>17.494082557763289</c:v>
                </c:pt>
                <c:pt idx="78">
                  <c:v>17.261366694152407</c:v>
                </c:pt>
                <c:pt idx="79">
                  <c:v>19.180012096881462</c:v>
                </c:pt>
                <c:pt idx="80">
                  <c:v>13.77632105031396</c:v>
                </c:pt>
                <c:pt idx="81">
                  <c:v>11.283173220368683</c:v>
                </c:pt>
                <c:pt idx="82">
                  <c:v>11.056681150277287</c:v>
                </c:pt>
                <c:pt idx="83">
                  <c:v>11.383961458749587</c:v>
                </c:pt>
                <c:pt idx="84">
                  <c:v>12.255957262921402</c:v>
                </c:pt>
                <c:pt idx="85">
                  <c:v>16.75331042291112</c:v>
                </c:pt>
                <c:pt idx="86">
                  <c:v>11.799638273339692</c:v>
                </c:pt>
                <c:pt idx="87">
                  <c:v>12.397521435245011</c:v>
                </c:pt>
                <c:pt idx="88">
                  <c:v>8.8821675824511921</c:v>
                </c:pt>
                <c:pt idx="89">
                  <c:v>2.7801881186161306</c:v>
                </c:pt>
                <c:pt idx="90">
                  <c:v>5.5115435783972115</c:v>
                </c:pt>
                <c:pt idx="91">
                  <c:v>6.5581627772051654</c:v>
                </c:pt>
                <c:pt idx="92">
                  <c:v>5.6284805409142589</c:v>
                </c:pt>
                <c:pt idx="93">
                  <c:v>12.187942631513243</c:v>
                </c:pt>
                <c:pt idx="94">
                  <c:v>8.747768078541462</c:v>
                </c:pt>
                <c:pt idx="95">
                  <c:v>10.731918053614423</c:v>
                </c:pt>
                <c:pt idx="96">
                  <c:v>13.56961491600955</c:v>
                </c:pt>
                <c:pt idx="97">
                  <c:v>15.691077671717656</c:v>
                </c:pt>
                <c:pt idx="98">
                  <c:v>10.058482078746941</c:v>
                </c:pt>
                <c:pt idx="99">
                  <c:v>9.7937251586734497</c:v>
                </c:pt>
                <c:pt idx="100">
                  <c:v>7.3302439649759581</c:v>
                </c:pt>
                <c:pt idx="101">
                  <c:v>8.302653257443211</c:v>
                </c:pt>
                <c:pt idx="102">
                  <c:v>9.7321883817524935</c:v>
                </c:pt>
                <c:pt idx="103">
                  <c:v>10.44455485719528</c:v>
                </c:pt>
                <c:pt idx="104">
                  <c:v>9.0461991827604979</c:v>
                </c:pt>
                <c:pt idx="105">
                  <c:v>6.2701065499730957</c:v>
                </c:pt>
                <c:pt idx="106">
                  <c:v>8.8362383122205266</c:v>
                </c:pt>
                <c:pt idx="107">
                  <c:v>7.6342158651331378</c:v>
                </c:pt>
                <c:pt idx="108">
                  <c:v>7.20268437909405</c:v>
                </c:pt>
                <c:pt idx="109">
                  <c:v>8.3605377513162793</c:v>
                </c:pt>
                <c:pt idx="110">
                  <c:v>10.542901427126809</c:v>
                </c:pt>
                <c:pt idx="111">
                  <c:v>10.323175388888476</c:v>
                </c:pt>
                <c:pt idx="112">
                  <c:v>12.310758530270196</c:v>
                </c:pt>
                <c:pt idx="113">
                  <c:v>13.321578500493818</c:v>
                </c:pt>
                <c:pt idx="114">
                  <c:v>13.734747201636681</c:v>
                </c:pt>
                <c:pt idx="115">
                  <c:v>7.6701023816366822</c:v>
                </c:pt>
                <c:pt idx="116">
                  <c:v>8.0466805289563403</c:v>
                </c:pt>
                <c:pt idx="117">
                  <c:v>6.6103340038218681</c:v>
                </c:pt>
                <c:pt idx="118">
                  <c:v>6.5346350066511327</c:v>
                </c:pt>
                <c:pt idx="119">
                  <c:v>2.7858019522536641</c:v>
                </c:pt>
                <c:pt idx="120">
                  <c:v>1.2073347007368107</c:v>
                </c:pt>
                <c:pt idx="121">
                  <c:v>1.7125227574579971</c:v>
                </c:pt>
                <c:pt idx="122">
                  <c:v>4.0090920043599603</c:v>
                </c:pt>
                <c:pt idx="123">
                  <c:v>6.824557281067448</c:v>
                </c:pt>
                <c:pt idx="124">
                  <c:v>6.1486670426379977</c:v>
                </c:pt>
                <c:pt idx="125">
                  <c:v>6.9966641695563592</c:v>
                </c:pt>
                <c:pt idx="126">
                  <c:v>11.065319707118057</c:v>
                </c:pt>
                <c:pt idx="127">
                  <c:v>5.7899644744434999</c:v>
                </c:pt>
                <c:pt idx="128">
                  <c:v>2.9238268797023812</c:v>
                </c:pt>
                <c:pt idx="129">
                  <c:v>6.1732272030045445</c:v>
                </c:pt>
                <c:pt idx="130">
                  <c:v>7.7698023908111482</c:v>
                </c:pt>
                <c:pt idx="131">
                  <c:v>8.9646616598936557</c:v>
                </c:pt>
                <c:pt idx="132">
                  <c:v>9.7955597813736635</c:v>
                </c:pt>
                <c:pt idx="133">
                  <c:v>12.688578908099737</c:v>
                </c:pt>
                <c:pt idx="134">
                  <c:v>14.117690839112187</c:v>
                </c:pt>
                <c:pt idx="135">
                  <c:v>10.846876605356323</c:v>
                </c:pt>
                <c:pt idx="136">
                  <c:v>11.527430500228117</c:v>
                </c:pt>
                <c:pt idx="137">
                  <c:v>11.216436508674219</c:v>
                </c:pt>
                <c:pt idx="138">
                  <c:v>10.264476067159066</c:v>
                </c:pt>
                <c:pt idx="139">
                  <c:v>11.380528685080854</c:v>
                </c:pt>
                <c:pt idx="140">
                  <c:v>13.338333542963452</c:v>
                </c:pt>
                <c:pt idx="141">
                  <c:v>15.314245268132808</c:v>
                </c:pt>
                <c:pt idx="142">
                  <c:v>13.102205233959134</c:v>
                </c:pt>
                <c:pt idx="143">
                  <c:v>17.168317388516751</c:v>
                </c:pt>
                <c:pt idx="144">
                  <c:v>16.689000693825836</c:v>
                </c:pt>
                <c:pt idx="145">
                  <c:v>16.51773536370473</c:v>
                </c:pt>
                <c:pt idx="146">
                  <c:v>18.567825446930819</c:v>
                </c:pt>
                <c:pt idx="147">
                  <c:v>20.331493427787468</c:v>
                </c:pt>
                <c:pt idx="148">
                  <c:v>20.667972711122712</c:v>
                </c:pt>
                <c:pt idx="149">
                  <c:v>18.132963274391209</c:v>
                </c:pt>
                <c:pt idx="150">
                  <c:v>20.52295143783801</c:v>
                </c:pt>
                <c:pt idx="151">
                  <c:v>21.621315939460768</c:v>
                </c:pt>
                <c:pt idx="152">
                  <c:v>22.542474875301103</c:v>
                </c:pt>
                <c:pt idx="153">
                  <c:v>23.949654399970516</c:v>
                </c:pt>
                <c:pt idx="154">
                  <c:v>21.218545757750388</c:v>
                </c:pt>
                <c:pt idx="155">
                  <c:v>24.721610746274976</c:v>
                </c:pt>
                <c:pt idx="156">
                  <c:v>33.041124942301934</c:v>
                </c:pt>
                <c:pt idx="157">
                  <c:v>28.648909708553219</c:v>
                </c:pt>
                <c:pt idx="158">
                  <c:v>29.990147806781064</c:v>
                </c:pt>
                <c:pt idx="159">
                  <c:v>29.5279993672426</c:v>
                </c:pt>
                <c:pt idx="160">
                  <c:v>32.106587485898203</c:v>
                </c:pt>
                <c:pt idx="161">
                  <c:v>26.779872685623495</c:v>
                </c:pt>
                <c:pt idx="162">
                  <c:v>22.583186548827907</c:v>
                </c:pt>
                <c:pt idx="163">
                  <c:v>23.314355747687053</c:v>
                </c:pt>
                <c:pt idx="164">
                  <c:v>28.353297136508118</c:v>
                </c:pt>
                <c:pt idx="165">
                  <c:v>31.931738584803856</c:v>
                </c:pt>
                <c:pt idx="166">
                  <c:v>29.390713930344226</c:v>
                </c:pt>
                <c:pt idx="167">
                  <c:v>28.472896666623303</c:v>
                </c:pt>
                <c:pt idx="168">
                  <c:v>25.240027307429898</c:v>
                </c:pt>
                <c:pt idx="169">
                  <c:v>26.407222475748952</c:v>
                </c:pt>
                <c:pt idx="170">
                  <c:v>29.864844852755173</c:v>
                </c:pt>
                <c:pt idx="171">
                  <c:v>29.705887225749741</c:v>
                </c:pt>
                <c:pt idx="172">
                  <c:v>27.741791993891724</c:v>
                </c:pt>
                <c:pt idx="173">
                  <c:v>30.040487903112943</c:v>
                </c:pt>
                <c:pt idx="174">
                  <c:v>32.28056224016423</c:v>
                </c:pt>
                <c:pt idx="175">
                  <c:v>33.148715364018777</c:v>
                </c:pt>
                <c:pt idx="176">
                  <c:v>29.558601002879527</c:v>
                </c:pt>
                <c:pt idx="177">
                  <c:v>28.268486406839926</c:v>
                </c:pt>
                <c:pt idx="178">
                  <c:v>21.654369641403139</c:v>
                </c:pt>
                <c:pt idx="179">
                  <c:v>19.354464998523152</c:v>
                </c:pt>
                <c:pt idx="180">
                  <c:v>23.032631682915724</c:v>
                </c:pt>
                <c:pt idx="181">
                  <c:v>21.337263095815231</c:v>
                </c:pt>
                <c:pt idx="182">
                  <c:v>20.299572116000519</c:v>
                </c:pt>
                <c:pt idx="183">
                  <c:v>22.58448229695291</c:v>
                </c:pt>
                <c:pt idx="184">
                  <c:v>16.748169113148343</c:v>
                </c:pt>
                <c:pt idx="185">
                  <c:v>18.150739740607804</c:v>
                </c:pt>
                <c:pt idx="186">
                  <c:v>25.665538041147201</c:v>
                </c:pt>
                <c:pt idx="187">
                  <c:v>22.482294745626461</c:v>
                </c:pt>
                <c:pt idx="188">
                  <c:v>21.918707942615089</c:v>
                </c:pt>
                <c:pt idx="189">
                  <c:v>20.294757114441751</c:v>
                </c:pt>
                <c:pt idx="190">
                  <c:v>17.588029913841748</c:v>
                </c:pt>
                <c:pt idx="191">
                  <c:v>15.523440276941749</c:v>
                </c:pt>
                <c:pt idx="192">
                  <c:v>16.522875129285179</c:v>
                </c:pt>
                <c:pt idx="193">
                  <c:v>18.882037993608261</c:v>
                </c:pt>
                <c:pt idx="194">
                  <c:v>20.084597069051302</c:v>
                </c:pt>
                <c:pt idx="195">
                  <c:v>19.543049089742897</c:v>
                </c:pt>
                <c:pt idx="196">
                  <c:v>21.500714813008301</c:v>
                </c:pt>
                <c:pt idx="197">
                  <c:v>23.629276014125185</c:v>
                </c:pt>
                <c:pt idx="198">
                  <c:v>21.680760794812052</c:v>
                </c:pt>
                <c:pt idx="199">
                  <c:v>22.713433970332058</c:v>
                </c:pt>
                <c:pt idx="200">
                  <c:v>23.806037417222811</c:v>
                </c:pt>
                <c:pt idx="201">
                  <c:v>23.620968170648734</c:v>
                </c:pt>
                <c:pt idx="202">
                  <c:v>24.568758240688737</c:v>
                </c:pt>
                <c:pt idx="203">
                  <c:v>24.254874959960411</c:v>
                </c:pt>
                <c:pt idx="204">
                  <c:v>26.319989129360419</c:v>
                </c:pt>
                <c:pt idx="205">
                  <c:v>26.806158852250736</c:v>
                </c:pt>
                <c:pt idx="206">
                  <c:v>26.041228836735588</c:v>
                </c:pt>
                <c:pt idx="207">
                  <c:v>26.053808930228119</c:v>
                </c:pt>
                <c:pt idx="208">
                  <c:v>25.531613240228118</c:v>
                </c:pt>
                <c:pt idx="209">
                  <c:v>24.265829766599254</c:v>
                </c:pt>
                <c:pt idx="210">
                  <c:v>22.933024522599258</c:v>
                </c:pt>
                <c:pt idx="211">
                  <c:v>22.856196011520829</c:v>
                </c:pt>
                <c:pt idx="212">
                  <c:v>21.929828068908378</c:v>
                </c:pt>
                <c:pt idx="213">
                  <c:v>21.606131856794978</c:v>
                </c:pt>
                <c:pt idx="214">
                  <c:v>21.012614707437173</c:v>
                </c:pt>
                <c:pt idx="215">
                  <c:v>18.474056026114429</c:v>
                </c:pt>
                <c:pt idx="216">
                  <c:v>15.837640169005992</c:v>
                </c:pt>
                <c:pt idx="217">
                  <c:v>19.351311157956275</c:v>
                </c:pt>
                <c:pt idx="218">
                  <c:v>18.633064548233879</c:v>
                </c:pt>
                <c:pt idx="219">
                  <c:v>18.144782601868087</c:v>
                </c:pt>
                <c:pt idx="220">
                  <c:v>20.432175893037066</c:v>
                </c:pt>
                <c:pt idx="221">
                  <c:v>25.929324040643625</c:v>
                </c:pt>
                <c:pt idx="222">
                  <c:v>23.940813952439079</c:v>
                </c:pt>
                <c:pt idx="223">
                  <c:v>24.596956038550186</c:v>
                </c:pt>
                <c:pt idx="224">
                  <c:v>25.656625353992109</c:v>
                </c:pt>
                <c:pt idx="225">
                  <c:v>26.515769164877714</c:v>
                </c:pt>
                <c:pt idx="226">
                  <c:v>28.571169356538583</c:v>
                </c:pt>
                <c:pt idx="227">
                  <c:v>29.302446848853762</c:v>
                </c:pt>
                <c:pt idx="228">
                  <c:v>26.347904356023268</c:v>
                </c:pt>
                <c:pt idx="229">
                  <c:v>23.843774814717662</c:v>
                </c:pt>
                <c:pt idx="230">
                  <c:v>20.776889524468615</c:v>
                </c:pt>
                <c:pt idx="231">
                  <c:v>22.565608988594597</c:v>
                </c:pt>
                <c:pt idx="232">
                  <c:v>25.485400926811739</c:v>
                </c:pt>
                <c:pt idx="233">
                  <c:v>23.037137670475289</c:v>
                </c:pt>
                <c:pt idx="234">
                  <c:v>21.932700068475278</c:v>
                </c:pt>
                <c:pt idx="235">
                  <c:v>24.450281609372084</c:v>
                </c:pt>
                <c:pt idx="236">
                  <c:v>23.073956180840597</c:v>
                </c:pt>
                <c:pt idx="237">
                  <c:v>25.082109908749342</c:v>
                </c:pt>
                <c:pt idx="238">
                  <c:v>26.858223187949868</c:v>
                </c:pt>
                <c:pt idx="239">
                  <c:v>25.173459150847723</c:v>
                </c:pt>
                <c:pt idx="240">
                  <c:v>24.557276378156413</c:v>
                </c:pt>
                <c:pt idx="241">
                  <c:v>27.191134435460597</c:v>
                </c:pt>
                <c:pt idx="242">
                  <c:v>22.528088864815206</c:v>
                </c:pt>
                <c:pt idx="243">
                  <c:v>21.024782553250603</c:v>
                </c:pt>
                <c:pt idx="244">
                  <c:v>22.180058757782319</c:v>
                </c:pt>
                <c:pt idx="245">
                  <c:v>24.995192484079102</c:v>
                </c:pt>
                <c:pt idx="246">
                  <c:v>26.046238713360349</c:v>
                </c:pt>
                <c:pt idx="247">
                  <c:v>20.755395290504513</c:v>
                </c:pt>
                <c:pt idx="248">
                  <c:v>20.919251216227121</c:v>
                </c:pt>
                <c:pt idx="249">
                  <c:v>15.73129893189663</c:v>
                </c:pt>
                <c:pt idx="250">
                  <c:v>16.049635026317684</c:v>
                </c:pt>
                <c:pt idx="251">
                  <c:v>18.603550546453071</c:v>
                </c:pt>
                <c:pt idx="252">
                  <c:v>20.371821635423661</c:v>
                </c:pt>
                <c:pt idx="253">
                  <c:v>17.63300860950983</c:v>
                </c:pt>
                <c:pt idx="254">
                  <c:v>19.310658871966844</c:v>
                </c:pt>
                <c:pt idx="255">
                  <c:v>20.243264901265135</c:v>
                </c:pt>
                <c:pt idx="256">
                  <c:v>22.199148524803888</c:v>
                </c:pt>
                <c:pt idx="257">
                  <c:v>22.853566182795007</c:v>
                </c:pt>
                <c:pt idx="258">
                  <c:v>26.066487686170124</c:v>
                </c:pt>
                <c:pt idx="259">
                  <c:v>23.274156011319572</c:v>
                </c:pt>
                <c:pt idx="260">
                  <c:v>22.017712121170014</c:v>
                </c:pt>
                <c:pt idx="261">
                  <c:v>25.09883185080162</c:v>
                </c:pt>
                <c:pt idx="262">
                  <c:v>23.025899526760231</c:v>
                </c:pt>
                <c:pt idx="263">
                  <c:v>25.129847347318851</c:v>
                </c:pt>
                <c:pt idx="264">
                  <c:v>19.373333523798848</c:v>
                </c:pt>
                <c:pt idx="265">
                  <c:v>20.378417075071575</c:v>
                </c:pt>
                <c:pt idx="266">
                  <c:v>19.865592912820794</c:v>
                </c:pt>
                <c:pt idx="267">
                  <c:v>21.462250985231609</c:v>
                </c:pt>
                <c:pt idx="268">
                  <c:v>19.639973119619949</c:v>
                </c:pt>
                <c:pt idx="269">
                  <c:v>23.546264565678051</c:v>
                </c:pt>
                <c:pt idx="270">
                  <c:v>23.949015881364272</c:v>
                </c:pt>
                <c:pt idx="271">
                  <c:v>24.729307826440973</c:v>
                </c:pt>
                <c:pt idx="272">
                  <c:v>26.640509136036929</c:v>
                </c:pt>
                <c:pt idx="273">
                  <c:v>23.731797336756237</c:v>
                </c:pt>
                <c:pt idx="274">
                  <c:v>25.778468877619993</c:v>
                </c:pt>
                <c:pt idx="275">
                  <c:v>27.342313988842612</c:v>
                </c:pt>
                <c:pt idx="276">
                  <c:v>23.126913090548619</c:v>
                </c:pt>
                <c:pt idx="277">
                  <c:v>18.848330737452486</c:v>
                </c:pt>
                <c:pt idx="278">
                  <c:v>20.775280328257082</c:v>
                </c:pt>
                <c:pt idx="279">
                  <c:v>26.346612232675991</c:v>
                </c:pt>
                <c:pt idx="280">
                  <c:v>27.35671348592043</c:v>
                </c:pt>
                <c:pt idx="281">
                  <c:v>33.914659149093737</c:v>
                </c:pt>
                <c:pt idx="282">
                  <c:v>35.575010866721371</c:v>
                </c:pt>
                <c:pt idx="283">
                  <c:v>32.145650939187448</c:v>
                </c:pt>
                <c:pt idx="284">
                  <c:v>36.03270797293942</c:v>
                </c:pt>
                <c:pt idx="285">
                  <c:v>35.537073813214477</c:v>
                </c:pt>
                <c:pt idx="286">
                  <c:v>40.679369900320765</c:v>
                </c:pt>
                <c:pt idx="287">
                  <c:v>36.468201227329722</c:v>
                </c:pt>
                <c:pt idx="288">
                  <c:v>30.519968377482602</c:v>
                </c:pt>
                <c:pt idx="289">
                  <c:v>29.587377995999752</c:v>
                </c:pt>
                <c:pt idx="290">
                  <c:v>29.210615601563351</c:v>
                </c:pt>
                <c:pt idx="291">
                  <c:v>30.850606591681693</c:v>
                </c:pt>
                <c:pt idx="292">
                  <c:v>34.926227421425772</c:v>
                </c:pt>
                <c:pt idx="293">
                  <c:v>28.988723497750097</c:v>
                </c:pt>
                <c:pt idx="294">
                  <c:v>30.709507348195167</c:v>
                </c:pt>
                <c:pt idx="295">
                  <c:v>28.924144257867713</c:v>
                </c:pt>
                <c:pt idx="296">
                  <c:v>30.605452625409384</c:v>
                </c:pt>
                <c:pt idx="297">
                  <c:v>31.801930643179208</c:v>
                </c:pt>
                <c:pt idx="298">
                  <c:v>33.031030089562265</c:v>
                </c:pt>
                <c:pt idx="299">
                  <c:v>30.289898255596871</c:v>
                </c:pt>
                <c:pt idx="300">
                  <c:v>32.747577252764771</c:v>
                </c:pt>
                <c:pt idx="301">
                  <c:v>34.120328192932725</c:v>
                </c:pt>
                <c:pt idx="302">
                  <c:v>34.250364093653246</c:v>
                </c:pt>
                <c:pt idx="303">
                  <c:v>34.99951071847773</c:v>
                </c:pt>
                <c:pt idx="304">
                  <c:v>34.593716310635756</c:v>
                </c:pt>
                <c:pt idx="305">
                  <c:v>33.662661197744519</c:v>
                </c:pt>
                <c:pt idx="306">
                  <c:v>34.141020748014959</c:v>
                </c:pt>
                <c:pt idx="307">
                  <c:v>32.770354126560832</c:v>
                </c:pt>
                <c:pt idx="308">
                  <c:v>31.605187327522959</c:v>
                </c:pt>
                <c:pt idx="309">
                  <c:v>30.302736393479222</c:v>
                </c:pt>
                <c:pt idx="310">
                  <c:v>32.902808954535182</c:v>
                </c:pt>
                <c:pt idx="311">
                  <c:v>36.507192404278868</c:v>
                </c:pt>
                <c:pt idx="312">
                  <c:v>39.282099885118214</c:v>
                </c:pt>
                <c:pt idx="313">
                  <c:v>37.623413753075305</c:v>
                </c:pt>
                <c:pt idx="314">
                  <c:v>42.353644032073419</c:v>
                </c:pt>
                <c:pt idx="315">
                  <c:v>37.288066615922034</c:v>
                </c:pt>
                <c:pt idx="316">
                  <c:v>38.972416273181963</c:v>
                </c:pt>
                <c:pt idx="317">
                  <c:v>38.172037590940299</c:v>
                </c:pt>
                <c:pt idx="318">
                  <c:v>41.381657099526514</c:v>
                </c:pt>
                <c:pt idx="319">
                  <c:v>37.47689617566413</c:v>
                </c:pt>
                <c:pt idx="320">
                  <c:v>39.744179277764893</c:v>
                </c:pt>
                <c:pt idx="321">
                  <c:v>37.567917788761939</c:v>
                </c:pt>
                <c:pt idx="322">
                  <c:v>40.269493279826349</c:v>
                </c:pt>
                <c:pt idx="323">
                  <c:v>39.711791300579648</c:v>
                </c:pt>
                <c:pt idx="324">
                  <c:v>42.507729735377545</c:v>
                </c:pt>
                <c:pt idx="325">
                  <c:v>46.413670378172213</c:v>
                </c:pt>
                <c:pt idx="326">
                  <c:v>42.72315139347598</c:v>
                </c:pt>
                <c:pt idx="327">
                  <c:v>36.98691922282638</c:v>
                </c:pt>
                <c:pt idx="328">
                  <c:v>36.55832870036626</c:v>
                </c:pt>
                <c:pt idx="329">
                  <c:v>35.259203315991257</c:v>
                </c:pt>
                <c:pt idx="330">
                  <c:v>36.396495351621951</c:v>
                </c:pt>
                <c:pt idx="331">
                  <c:v>39.407708193017456</c:v>
                </c:pt>
                <c:pt idx="332">
                  <c:v>36.507351836917223</c:v>
                </c:pt>
                <c:pt idx="333">
                  <c:v>34.744024289405026</c:v>
                </c:pt>
                <c:pt idx="334">
                  <c:v>31.459453905418304</c:v>
                </c:pt>
                <c:pt idx="335">
                  <c:v>30.925145450669831</c:v>
                </c:pt>
                <c:pt idx="336">
                  <c:v>30.844389317733889</c:v>
                </c:pt>
                <c:pt idx="337">
                  <c:v>34.683013696417966</c:v>
                </c:pt>
                <c:pt idx="338">
                  <c:v>37.525698936875749</c:v>
                </c:pt>
                <c:pt idx="339">
                  <c:v>37.215678827881653</c:v>
                </c:pt>
                <c:pt idx="340">
                  <c:v>34.862451346788347</c:v>
                </c:pt>
                <c:pt idx="341">
                  <c:v>36.275366236123702</c:v>
                </c:pt>
                <c:pt idx="342">
                  <c:v>37.498321062553138</c:v>
                </c:pt>
                <c:pt idx="343">
                  <c:v>37.51112230589478</c:v>
                </c:pt>
                <c:pt idx="344">
                  <c:v>36.793142753927633</c:v>
                </c:pt>
                <c:pt idx="345">
                  <c:v>34.52794757684363</c:v>
                </c:pt>
                <c:pt idx="346">
                  <c:v>36.215258308094924</c:v>
                </c:pt>
                <c:pt idx="347">
                  <c:v>34.852914866529709</c:v>
                </c:pt>
                <c:pt idx="348">
                  <c:v>39.019255740230889</c:v>
                </c:pt>
                <c:pt idx="349">
                  <c:v>37.411368695367202</c:v>
                </c:pt>
                <c:pt idx="350">
                  <c:v>33.823972719361059</c:v>
                </c:pt>
                <c:pt idx="351">
                  <c:v>30.23269242169231</c:v>
                </c:pt>
                <c:pt idx="352">
                  <c:v>26.065477671385651</c:v>
                </c:pt>
                <c:pt idx="353">
                  <c:v>21.737026954008904</c:v>
                </c:pt>
                <c:pt idx="354">
                  <c:v>19.513904523496588</c:v>
                </c:pt>
                <c:pt idx="355">
                  <c:v>19.346740226481664</c:v>
                </c:pt>
                <c:pt idx="356">
                  <c:v>21.878626398883135</c:v>
                </c:pt>
                <c:pt idx="357">
                  <c:v>17.792946616299364</c:v>
                </c:pt>
                <c:pt idx="358">
                  <c:v>16.56573957618194</c:v>
                </c:pt>
                <c:pt idx="359">
                  <c:v>16.919430729022178</c:v>
                </c:pt>
                <c:pt idx="360">
                  <c:v>13.056686302015814</c:v>
                </c:pt>
                <c:pt idx="361">
                  <c:v>9.7863823954488502</c:v>
                </c:pt>
                <c:pt idx="362">
                  <c:v>11.406297577092234</c:v>
                </c:pt>
                <c:pt idx="363">
                  <c:v>11.03871260704636</c:v>
                </c:pt>
                <c:pt idx="364">
                  <c:v>13.072865859557877</c:v>
                </c:pt>
                <c:pt idx="365">
                  <c:v>13.989442229988814</c:v>
                </c:pt>
                <c:pt idx="366">
                  <c:v>16.584309173229961</c:v>
                </c:pt>
                <c:pt idx="367">
                  <c:v>15.199489452440496</c:v>
                </c:pt>
                <c:pt idx="368">
                  <c:v>19.016776042838899</c:v>
                </c:pt>
                <c:pt idx="369">
                  <c:v>19.849059794550893</c:v>
                </c:pt>
                <c:pt idx="370">
                  <c:v>20.786152377372677</c:v>
                </c:pt>
                <c:pt idx="371">
                  <c:v>18.15296896042976</c:v>
                </c:pt>
                <c:pt idx="372">
                  <c:v>22.721576249680005</c:v>
                </c:pt>
                <c:pt idx="373">
                  <c:v>20.561751095385009</c:v>
                </c:pt>
                <c:pt idx="374">
                  <c:v>26.120030041340517</c:v>
                </c:pt>
                <c:pt idx="375">
                  <c:v>21.250734042536489</c:v>
                </c:pt>
                <c:pt idx="376">
                  <c:v>19.961566480214234</c:v>
                </c:pt>
                <c:pt idx="377">
                  <c:v>23.853391741316223</c:v>
                </c:pt>
                <c:pt idx="378">
                  <c:v>24.593418173375046</c:v>
                </c:pt>
                <c:pt idx="379">
                  <c:v>25.293280618405877</c:v>
                </c:pt>
                <c:pt idx="380">
                  <c:v>20.345257945456812</c:v>
                </c:pt>
                <c:pt idx="381">
                  <c:v>25.561733117327634</c:v>
                </c:pt>
                <c:pt idx="382">
                  <c:v>22.437104742343791</c:v>
                </c:pt>
                <c:pt idx="383">
                  <c:v>23.963223252654473</c:v>
                </c:pt>
                <c:pt idx="384">
                  <c:v>21.174777548994292</c:v>
                </c:pt>
                <c:pt idx="385">
                  <c:v>17.853446006412138</c:v>
                </c:pt>
                <c:pt idx="386">
                  <c:v>16.443851685148754</c:v>
                </c:pt>
                <c:pt idx="387">
                  <c:v>19.982848299993027</c:v>
                </c:pt>
                <c:pt idx="388">
                  <c:v>12.034902163564448</c:v>
                </c:pt>
                <c:pt idx="389">
                  <c:v>12.669469138245212</c:v>
                </c:pt>
                <c:pt idx="390">
                  <c:v>13.174784842744247</c:v>
                </c:pt>
                <c:pt idx="391">
                  <c:v>10.998330713180614</c:v>
                </c:pt>
                <c:pt idx="392">
                  <c:v>4.4013877999690703</c:v>
                </c:pt>
                <c:pt idx="393">
                  <c:v>3.5022983034366018</c:v>
                </c:pt>
                <c:pt idx="394">
                  <c:v>3.4651148050891463</c:v>
                </c:pt>
                <c:pt idx="395">
                  <c:v>2.8808906313841725</c:v>
                </c:pt>
                <c:pt idx="396">
                  <c:v>0.19498774074984376</c:v>
                </c:pt>
                <c:pt idx="397">
                  <c:v>-1.4524606159247756E-2</c:v>
                </c:pt>
                <c:pt idx="398">
                  <c:v>-1.0113853249794662</c:v>
                </c:pt>
                <c:pt idx="399">
                  <c:v>0.54757609199637414</c:v>
                </c:pt>
                <c:pt idx="400">
                  <c:v>-1.7241876231036311</c:v>
                </c:pt>
                <c:pt idx="401">
                  <c:v>-0.69709151310362949</c:v>
                </c:pt>
                <c:pt idx="402">
                  <c:v>-0.6880476183585319</c:v>
                </c:pt>
                <c:pt idx="403">
                  <c:v>0.77574002635788386</c:v>
                </c:pt>
                <c:pt idx="404">
                  <c:v>1.9891545363578793</c:v>
                </c:pt>
                <c:pt idx="405">
                  <c:v>3.5273448199973312</c:v>
                </c:pt>
                <c:pt idx="406">
                  <c:v>1.631093711740067</c:v>
                </c:pt>
                <c:pt idx="407">
                  <c:v>2.9607281760232573</c:v>
                </c:pt>
                <c:pt idx="408">
                  <c:v>0.67348348883782538</c:v>
                </c:pt>
                <c:pt idx="409">
                  <c:v>1.1055440717718927</c:v>
                </c:pt>
                <c:pt idx="410">
                  <c:v>0.42747569277189629</c:v>
                </c:pt>
                <c:pt idx="411">
                  <c:v>1.6253384123565104</c:v>
                </c:pt>
                <c:pt idx="412">
                  <c:v>1.3525371169376628</c:v>
                </c:pt>
                <c:pt idx="413">
                  <c:v>2.6315442875828197</c:v>
                </c:pt>
                <c:pt idx="414">
                  <c:v>4.0087482508211574</c:v>
                </c:pt>
                <c:pt idx="415">
                  <c:v>3.3411492267731524</c:v>
                </c:pt>
                <c:pt idx="416">
                  <c:v>5.9536172813559372</c:v>
                </c:pt>
                <c:pt idx="417">
                  <c:v>4.2481933005698442</c:v>
                </c:pt>
                <c:pt idx="418">
                  <c:v>5.5201118573219796</c:v>
                </c:pt>
                <c:pt idx="419">
                  <c:v>5.1249471590944351</c:v>
                </c:pt>
                <c:pt idx="420">
                  <c:v>7.5664469482220946</c:v>
                </c:pt>
                <c:pt idx="421">
                  <c:v>7.5485781025416765</c:v>
                </c:pt>
                <c:pt idx="422">
                  <c:v>6.1945240735976803</c:v>
                </c:pt>
                <c:pt idx="423">
                  <c:v>9.0562221447372124</c:v>
                </c:pt>
                <c:pt idx="424">
                  <c:v>7.113652184243386</c:v>
                </c:pt>
                <c:pt idx="425">
                  <c:v>6.7131656502172392</c:v>
                </c:pt>
                <c:pt idx="426">
                  <c:v>6.5315711229983044</c:v>
                </c:pt>
                <c:pt idx="427">
                  <c:v>7.4386191993238899</c:v>
                </c:pt>
                <c:pt idx="428">
                  <c:v>3.6172978967426772</c:v>
                </c:pt>
                <c:pt idx="429">
                  <c:v>6.5237354204746802</c:v>
                </c:pt>
                <c:pt idx="430">
                  <c:v>8.273425303827624</c:v>
                </c:pt>
                <c:pt idx="431">
                  <c:v>8.1307965712501566</c:v>
                </c:pt>
                <c:pt idx="432">
                  <c:v>9.0212865458215834</c:v>
                </c:pt>
                <c:pt idx="433">
                  <c:v>11.56954469367809</c:v>
                </c:pt>
                <c:pt idx="434">
                  <c:v>9.2314852702284842</c:v>
                </c:pt>
                <c:pt idx="435">
                  <c:v>6.4568966845905509</c:v>
                </c:pt>
                <c:pt idx="436">
                  <c:v>6.1331181386060569</c:v>
                </c:pt>
                <c:pt idx="437">
                  <c:v>-0.22424763493511499</c:v>
                </c:pt>
                <c:pt idx="438">
                  <c:v>-3.7353843772087911</c:v>
                </c:pt>
                <c:pt idx="439">
                  <c:v>-2.7146628330659341</c:v>
                </c:pt>
                <c:pt idx="440">
                  <c:v>-0.56479208162449002</c:v>
                </c:pt>
                <c:pt idx="441">
                  <c:v>-4.422484811071179</c:v>
                </c:pt>
                <c:pt idx="442">
                  <c:v>0.42093708870276242</c:v>
                </c:pt>
                <c:pt idx="443">
                  <c:v>3.1045037109608291</c:v>
                </c:pt>
                <c:pt idx="444">
                  <c:v>-2.507672415411033</c:v>
                </c:pt>
                <c:pt idx="445">
                  <c:v>-4.7922107205767768</c:v>
                </c:pt>
                <c:pt idx="446">
                  <c:v>-8.4326897526822631</c:v>
                </c:pt>
                <c:pt idx="447">
                  <c:v>-3.2267356442070678</c:v>
                </c:pt>
                <c:pt idx="448">
                  <c:v>-9.2016922151328888</c:v>
                </c:pt>
                <c:pt idx="449">
                  <c:v>-13.189895330547989</c:v>
                </c:pt>
                <c:pt idx="450">
                  <c:v>-14.286338600352867</c:v>
                </c:pt>
                <c:pt idx="451">
                  <c:v>-15.59879302283114</c:v>
                </c:pt>
                <c:pt idx="452">
                  <c:v>-11.412869631199555</c:v>
                </c:pt>
                <c:pt idx="453">
                  <c:v>-12.613753758352843</c:v>
                </c:pt>
                <c:pt idx="454">
                  <c:v>-9.8412248805353286</c:v>
                </c:pt>
                <c:pt idx="455">
                  <c:v>-15.189559001263651</c:v>
                </c:pt>
                <c:pt idx="456">
                  <c:v>-10.926102065608136</c:v>
                </c:pt>
                <c:pt idx="457">
                  <c:v>-10.672964543131597</c:v>
                </c:pt>
                <c:pt idx="458">
                  <c:v>-7.6963027823623573</c:v>
                </c:pt>
                <c:pt idx="459">
                  <c:v>-6.8346818029119536</c:v>
                </c:pt>
                <c:pt idx="460">
                  <c:v>-11.446654063307554</c:v>
                </c:pt>
                <c:pt idx="461">
                  <c:v>-14.391316578539188</c:v>
                </c:pt>
                <c:pt idx="462">
                  <c:v>-5.2585173869285606</c:v>
                </c:pt>
                <c:pt idx="463">
                  <c:v>-4.1870461666251915</c:v>
                </c:pt>
                <c:pt idx="464">
                  <c:v>-6.950930558618416</c:v>
                </c:pt>
                <c:pt idx="465">
                  <c:v>-4.4524047366618955</c:v>
                </c:pt>
                <c:pt idx="466">
                  <c:v>-4.22490617332687</c:v>
                </c:pt>
                <c:pt idx="467">
                  <c:v>-5.4079542483268712</c:v>
                </c:pt>
                <c:pt idx="468">
                  <c:v>-6.4859862944325641</c:v>
                </c:pt>
                <c:pt idx="469">
                  <c:v>-4.0324678485623338</c:v>
                </c:pt>
                <c:pt idx="470">
                  <c:v>-3.7291555377976287</c:v>
                </c:pt>
                <c:pt idx="471">
                  <c:v>-6.7572006145341152</c:v>
                </c:pt>
                <c:pt idx="472">
                  <c:v>-6.4074341180566377</c:v>
                </c:pt>
                <c:pt idx="473">
                  <c:v>-6.9025226027233044</c:v>
                </c:pt>
                <c:pt idx="474">
                  <c:v>-7.5266479533012873</c:v>
                </c:pt>
                <c:pt idx="475">
                  <c:v>-5.8461178825326918</c:v>
                </c:pt>
                <c:pt idx="476">
                  <c:v>-7.6685618846070689</c:v>
                </c:pt>
                <c:pt idx="477">
                  <c:v>-8.0385589864382361</c:v>
                </c:pt>
                <c:pt idx="478">
                  <c:v>-8.8996861800068654</c:v>
                </c:pt>
                <c:pt idx="479">
                  <c:v>-7.9637265036694433</c:v>
                </c:pt>
                <c:pt idx="480">
                  <c:v>-7.624127057571882</c:v>
                </c:pt>
                <c:pt idx="481">
                  <c:v>-7.2766170053751607</c:v>
                </c:pt>
                <c:pt idx="482">
                  <c:v>-8.488952530671714</c:v>
                </c:pt>
                <c:pt idx="483">
                  <c:v>-7.6925742545305349</c:v>
                </c:pt>
                <c:pt idx="484">
                  <c:v>-7.7157495831254685</c:v>
                </c:pt>
                <c:pt idx="485">
                  <c:v>-7.2350670139845255</c:v>
                </c:pt>
                <c:pt idx="486">
                  <c:v>-8.6866875472819647</c:v>
                </c:pt>
                <c:pt idx="487">
                  <c:v>-7.6082822397314018</c:v>
                </c:pt>
                <c:pt idx="488">
                  <c:v>-7.2054410359882333</c:v>
                </c:pt>
                <c:pt idx="489">
                  <c:v>-6.9009294062673012</c:v>
                </c:pt>
                <c:pt idx="490">
                  <c:v>-7.0547258485719366</c:v>
                </c:pt>
                <c:pt idx="491">
                  <c:v>-8.2530713636775719</c:v>
                </c:pt>
                <c:pt idx="492">
                  <c:v>-7.4072379339358498</c:v>
                </c:pt>
                <c:pt idx="493">
                  <c:v>-7.2263885709728859</c:v>
                </c:pt>
                <c:pt idx="494">
                  <c:v>-5.6415719449274331</c:v>
                </c:pt>
                <c:pt idx="495">
                  <c:v>-4.995260263419496</c:v>
                </c:pt>
                <c:pt idx="496">
                  <c:v>-5.4210183982790001</c:v>
                </c:pt>
                <c:pt idx="497">
                  <c:v>-5.0785160915991971</c:v>
                </c:pt>
                <c:pt idx="498">
                  <c:v>-4.7365116719598523</c:v>
                </c:pt>
                <c:pt idx="499">
                  <c:v>-4.4513994941408495</c:v>
                </c:pt>
                <c:pt idx="500">
                  <c:v>-3.7756927778028211</c:v>
                </c:pt>
                <c:pt idx="501">
                  <c:v>-3.7059147241451647</c:v>
                </c:pt>
                <c:pt idx="502">
                  <c:v>-3.3040262224588886</c:v>
                </c:pt>
                <c:pt idx="503">
                  <c:v>-3.8244174419818222</c:v>
                </c:pt>
                <c:pt idx="504">
                  <c:v>-4.1322826876484884</c:v>
                </c:pt>
                <c:pt idx="505">
                  <c:v>-3.8111802436484892</c:v>
                </c:pt>
                <c:pt idx="506">
                  <c:v>-4.367835026855011</c:v>
                </c:pt>
                <c:pt idx="507">
                  <c:v>-3.9674589032797209</c:v>
                </c:pt>
                <c:pt idx="508">
                  <c:v>-3.8954646276532965</c:v>
                </c:pt>
                <c:pt idx="509">
                  <c:v>-4.6983351902955723</c:v>
                </c:pt>
                <c:pt idx="510">
                  <c:v>-3.868618479219359</c:v>
                </c:pt>
                <c:pt idx="511">
                  <c:v>-4.1075577114449233</c:v>
                </c:pt>
                <c:pt idx="512">
                  <c:v>-2.6827791651023305</c:v>
                </c:pt>
                <c:pt idx="513">
                  <c:v>-2.2106935550806259</c:v>
                </c:pt>
                <c:pt idx="514">
                  <c:v>-1.95544042833216</c:v>
                </c:pt>
                <c:pt idx="515">
                  <c:v>-1.2782721448199665</c:v>
                </c:pt>
                <c:pt idx="516">
                  <c:v>-0.71663665834937829</c:v>
                </c:pt>
                <c:pt idx="517">
                  <c:v>-0.37340214531027238</c:v>
                </c:pt>
                <c:pt idx="518">
                  <c:v>-0.35149396384931503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E7-4569-846E-F810E6F7E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6747231"/>
        <c:axId val="1596734335"/>
      </c:lineChart>
      <c:dateAx>
        <c:axId val="15967472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734335"/>
        <c:crosses val="autoZero"/>
        <c:auto val="1"/>
        <c:lblOffset val="100"/>
        <c:baseTimeUnit val="days"/>
      </c:dateAx>
      <c:valAx>
        <c:axId val="1596734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747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ED15C1D-FF05-4DBC-B085-2C34833FF50C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3DFCB2-AE73-4A87-BAFC-5993E531B2C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0.11899999999999999</v>
      </c>
      <c r="D2" s="4">
        <f>MIN(D3:D1912)</f>
        <v>7.5100000000000002E-3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1.745E-2</v>
      </c>
      <c r="C5">
        <v>1.7680000000000001E-2</v>
      </c>
      <c r="D5">
        <v>1.7100000000000001E-2</v>
      </c>
      <c r="E5">
        <v>1.7139999999999999E-2</v>
      </c>
      <c r="F5">
        <v>10890478.4</v>
      </c>
      <c r="G5">
        <v>1.7139999999999999E-2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-0.86206896551724721</v>
      </c>
      <c r="Q5">
        <f t="shared" ref="Q5" si="1">F5*P5</f>
        <v>-9388343.4482759256</v>
      </c>
      <c r="R5">
        <f t="shared" ref="R5" si="2">R6+Q5</f>
        <v>151506813.71364766</v>
      </c>
      <c r="S5">
        <f t="shared" ref="S5" si="3">R5/100000</f>
        <v>1515.0681371364767</v>
      </c>
      <c r="T5">
        <f t="shared" ref="T5" si="4">S5/1000</f>
        <v>1.5150681371364767</v>
      </c>
    </row>
    <row r="6" spans="1:20" x14ac:dyDescent="0.25">
      <c r="A6" s="5">
        <v>44587</v>
      </c>
      <c r="B6">
        <v>1.7639999999999999E-2</v>
      </c>
      <c r="C6">
        <v>1.934E-2</v>
      </c>
      <c r="D6">
        <v>1.7139999999999999E-2</v>
      </c>
      <c r="E6">
        <v>1.7440000000000001E-2</v>
      </c>
      <c r="F6">
        <v>230730727.5</v>
      </c>
      <c r="G6">
        <v>1.7440000000000001E-2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-0.72727272727272585</v>
      </c>
      <c r="Q6">
        <f t="shared" ref="Q6" si="6">F6*P6</f>
        <v>-167804165.45454514</v>
      </c>
      <c r="R6">
        <f t="shared" ref="R6" si="7">R7+Q6</f>
        <v>160895157.16192359</v>
      </c>
      <c r="S6">
        <f t="shared" ref="S6" si="8">R6/100000</f>
        <v>1608.9515716192359</v>
      </c>
      <c r="T6">
        <f t="shared" ref="T6" si="9">S6/1000</f>
        <v>1.608951571619236</v>
      </c>
    </row>
    <row r="7" spans="1:20" x14ac:dyDescent="0.25">
      <c r="A7" s="5">
        <v>44586</v>
      </c>
      <c r="B7">
        <v>1.7610000000000001E-2</v>
      </c>
      <c r="C7">
        <v>1.8489999999999999E-2</v>
      </c>
      <c r="D7">
        <v>1.7090000000000001E-2</v>
      </c>
      <c r="E7">
        <v>1.7639999999999999E-2</v>
      </c>
      <c r="F7">
        <v>220751830</v>
      </c>
      <c r="G7">
        <v>1.7639999999999999E-2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-0.21428571428571569</v>
      </c>
      <c r="Q7">
        <f t="shared" ref="Q7" si="11">F7*P7</f>
        <v>-47303963.57142888</v>
      </c>
      <c r="R7">
        <f t="shared" ref="R7" si="12">R8+Q7</f>
        <v>328699322.61646873</v>
      </c>
      <c r="S7">
        <f t="shared" ref="S7" si="13">R7/100000</f>
        <v>3286.9932261646873</v>
      </c>
      <c r="T7">
        <f t="shared" ref="T7" si="14">S7/1000</f>
        <v>3.2869932261646873</v>
      </c>
    </row>
    <row r="8" spans="1:20" x14ac:dyDescent="0.25">
      <c r="A8" s="5">
        <v>44585</v>
      </c>
      <c r="B8">
        <v>1.882E-2</v>
      </c>
      <c r="C8">
        <v>1.891E-2</v>
      </c>
      <c r="D8">
        <v>1.6400000000000001E-2</v>
      </c>
      <c r="E8">
        <v>1.762E-2</v>
      </c>
      <c r="F8">
        <v>371160597.10000002</v>
      </c>
      <c r="G8">
        <v>1.762E-2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-2.7888446215139705E-2</v>
      </c>
      <c r="Q8">
        <f t="shared" ref="Q8" si="16">F8*P8</f>
        <v>-10351092.349402489</v>
      </c>
      <c r="R8">
        <f t="shared" ref="R8" si="17">R9+Q8</f>
        <v>376003286.18789762</v>
      </c>
      <c r="S8">
        <f t="shared" ref="S8" si="18">R8/100000</f>
        <v>3760.0328618789763</v>
      </c>
      <c r="T8">
        <f t="shared" ref="T8" si="19">S8/1000</f>
        <v>3.7600328618789765</v>
      </c>
    </row>
    <row r="9" spans="1:20" x14ac:dyDescent="0.25">
      <c r="A9" s="5">
        <v>44584</v>
      </c>
      <c r="B9">
        <v>1.8280000000000001E-2</v>
      </c>
      <c r="C9">
        <v>1.915E-2</v>
      </c>
      <c r="D9">
        <v>1.7780000000000001E-2</v>
      </c>
      <c r="E9">
        <v>1.8839999999999999E-2</v>
      </c>
      <c r="F9">
        <v>366673305.80000001</v>
      </c>
      <c r="G9">
        <v>1.8839999999999999E-2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0.54744525547445066</v>
      </c>
      <c r="Q9">
        <f t="shared" ref="Q9" si="21">F9*P9</f>
        <v>200733561.56934237</v>
      </c>
      <c r="R9">
        <f t="shared" ref="R9" si="22">R10+Q9</f>
        <v>386354378.53730011</v>
      </c>
      <c r="S9">
        <f t="shared" ref="S9" si="23">R9/100000</f>
        <v>3863.5437853730009</v>
      </c>
      <c r="T9">
        <f t="shared" ref="T9" si="24">S9/1000</f>
        <v>3.8635437853730008</v>
      </c>
    </row>
    <row r="10" spans="1:20" x14ac:dyDescent="0.25">
      <c r="A10" s="5">
        <v>44583</v>
      </c>
      <c r="B10">
        <v>2.026E-2</v>
      </c>
      <c r="C10">
        <v>2.0629999999999999E-2</v>
      </c>
      <c r="D10">
        <v>1.6809999999999999E-2</v>
      </c>
      <c r="E10">
        <v>1.8259999999999998E-2</v>
      </c>
      <c r="F10">
        <v>589077479.5</v>
      </c>
      <c r="G10">
        <v>1.8259999999999998E-2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-0.24083769633507868</v>
      </c>
      <c r="Q10">
        <f t="shared" ref="Q10" si="26">F10*P10</f>
        <v>-141872063.12565455</v>
      </c>
      <c r="R10">
        <f t="shared" ref="R10" si="27">R11+Q10</f>
        <v>185620816.96795776</v>
      </c>
      <c r="S10">
        <f t="shared" ref="S10" si="28">R10/100000</f>
        <v>1856.2081696795776</v>
      </c>
      <c r="T10">
        <f t="shared" ref="T10" si="29">S10/1000</f>
        <v>1.8562081696795776</v>
      </c>
    </row>
    <row r="11" spans="1:20" x14ac:dyDescent="0.25">
      <c r="A11" s="5">
        <v>44582</v>
      </c>
      <c r="B11">
        <v>2.2780000000000002E-2</v>
      </c>
      <c r="C11">
        <v>2.3040000000000001E-2</v>
      </c>
      <c r="D11">
        <v>1.9230000000000001E-2</v>
      </c>
      <c r="E11">
        <v>2.0289999999999999E-2</v>
      </c>
      <c r="F11">
        <v>470009104.39999998</v>
      </c>
      <c r="G11">
        <v>2.0289999999999999E-2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-0.44356955380577523</v>
      </c>
      <c r="Q11">
        <f t="shared" ref="Q11" si="31">F11*P11</f>
        <v>-208481728.72336</v>
      </c>
      <c r="R11">
        <f t="shared" ref="R11" si="32">R12+Q11</f>
        <v>327492880.09361231</v>
      </c>
      <c r="S11">
        <f t="shared" ref="S11" si="33">R11/100000</f>
        <v>3274.928800936123</v>
      </c>
      <c r="T11">
        <f t="shared" ref="T11" si="34">S11/1000</f>
        <v>3.2749288009361228</v>
      </c>
    </row>
    <row r="12" spans="1:20" x14ac:dyDescent="0.25">
      <c r="A12" s="5">
        <v>44581</v>
      </c>
      <c r="B12">
        <v>2.3619999999999999E-2</v>
      </c>
      <c r="C12">
        <v>2.512E-2</v>
      </c>
      <c r="D12">
        <v>2.266E-2</v>
      </c>
      <c r="E12">
        <v>2.281E-2</v>
      </c>
      <c r="F12">
        <v>234261643.19999999</v>
      </c>
      <c r="G12">
        <v>2.281E-2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-0.87804878048780421</v>
      </c>
      <c r="Q12">
        <f t="shared" ref="Q12" si="36">F12*P12</f>
        <v>-205693150.12682909</v>
      </c>
      <c r="R12">
        <f t="shared" ref="R12" si="37">R13+Q12</f>
        <v>535974608.81697232</v>
      </c>
      <c r="S12">
        <f t="shared" ref="S12" si="38">R12/100000</f>
        <v>5359.7460881697234</v>
      </c>
      <c r="T12">
        <f t="shared" ref="T12" si="39">S12/1000</f>
        <v>5.3597460881697234</v>
      </c>
    </row>
    <row r="13" spans="1:20" x14ac:dyDescent="0.25">
      <c r="A13" s="5">
        <v>44580</v>
      </c>
      <c r="B13">
        <v>2.4979999999999999E-2</v>
      </c>
      <c r="C13">
        <v>2.513E-2</v>
      </c>
      <c r="D13">
        <v>2.3619999999999999E-2</v>
      </c>
      <c r="E13">
        <v>2.3619999999999999E-2</v>
      </c>
      <c r="F13">
        <v>194079529.09999999</v>
      </c>
      <c r="G13">
        <v>2.3619999999999999E-2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-1</v>
      </c>
      <c r="Q13">
        <f t="shared" ref="Q13" si="41">F13*P13</f>
        <v>-194079529.09999999</v>
      </c>
      <c r="R13">
        <f t="shared" ref="R13" si="42">R14+Q13</f>
        <v>741667758.9438014</v>
      </c>
      <c r="S13">
        <f t="shared" ref="S13" si="43">R13/100000</f>
        <v>7416.6775894380144</v>
      </c>
      <c r="T13">
        <f t="shared" ref="T13" si="44">S13/1000</f>
        <v>7.4166775894380148</v>
      </c>
    </row>
    <row r="14" spans="1:20" x14ac:dyDescent="0.25">
      <c r="A14" s="5">
        <v>44579</v>
      </c>
      <c r="B14">
        <v>2.5139999999999999E-2</v>
      </c>
      <c r="C14">
        <v>2.5430000000000001E-2</v>
      </c>
      <c r="D14">
        <v>2.4160000000000001E-2</v>
      </c>
      <c r="E14">
        <v>2.4979999999999999E-2</v>
      </c>
      <c r="F14">
        <v>189589161.90000001</v>
      </c>
      <c r="G14">
        <v>2.4979999999999999E-2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0.29133858267716162</v>
      </c>
      <c r="Q14">
        <f t="shared" ref="Q14" si="46">F14*P14</f>
        <v>55234637.718896933</v>
      </c>
      <c r="R14">
        <f t="shared" ref="R14" si="47">R15+Q14</f>
        <v>935747288.04380143</v>
      </c>
      <c r="S14">
        <f t="shared" ref="S14" si="48">R14/100000</f>
        <v>9357.4728804380138</v>
      </c>
      <c r="T14">
        <f t="shared" ref="T14" si="49">S14/1000</f>
        <v>9.3574728804380136</v>
      </c>
    </row>
    <row r="15" spans="1:20" x14ac:dyDescent="0.25">
      <c r="A15" s="5">
        <v>44578</v>
      </c>
      <c r="B15">
        <v>2.6700000000000002E-2</v>
      </c>
      <c r="C15">
        <v>2.6839999999999999E-2</v>
      </c>
      <c r="D15">
        <v>2.478E-2</v>
      </c>
      <c r="E15">
        <v>2.5139999999999999E-2</v>
      </c>
      <c r="F15">
        <v>137402158.09999999</v>
      </c>
      <c r="G15">
        <v>2.5139999999999999E-2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-0.65048543689320448</v>
      </c>
      <c r="Q15">
        <f t="shared" ref="Q15" si="51">F15*P15</f>
        <v>-89378102.841747656</v>
      </c>
      <c r="R15">
        <f t="shared" ref="R15" si="52">R16+Q15</f>
        <v>880512650.32490444</v>
      </c>
      <c r="S15">
        <f t="shared" ref="S15" si="53">R15/100000</f>
        <v>8805.1265032490446</v>
      </c>
      <c r="T15">
        <f t="shared" ref="T15" si="54">S15/1000</f>
        <v>8.8051265032490438</v>
      </c>
    </row>
    <row r="16" spans="1:20" x14ac:dyDescent="0.25">
      <c r="A16" s="5">
        <v>44577</v>
      </c>
      <c r="B16">
        <v>2.6790000000000001E-2</v>
      </c>
      <c r="C16">
        <v>2.7089999999999999E-2</v>
      </c>
      <c r="D16">
        <v>2.5940000000000001E-2</v>
      </c>
      <c r="E16">
        <v>2.6679999999999999E-2</v>
      </c>
      <c r="F16">
        <v>151223241.69999999</v>
      </c>
      <c r="G16">
        <v>2.6679999999999999E-2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0.28695652173912822</v>
      </c>
      <c r="Q16">
        <f t="shared" ref="Q16" si="56">F16*P16</f>
        <v>43394495.444347486</v>
      </c>
      <c r="R16">
        <f t="shared" ref="R16" si="57">R17+Q16</f>
        <v>969890753.16665208</v>
      </c>
      <c r="S16">
        <f t="shared" ref="S16" si="58">R16/100000</f>
        <v>9698.9075316665203</v>
      </c>
      <c r="T16">
        <f t="shared" ref="T16" si="59">S16/1000</f>
        <v>9.6989075316665208</v>
      </c>
    </row>
    <row r="17" spans="1:20" x14ac:dyDescent="0.25">
      <c r="A17" s="5">
        <v>44576</v>
      </c>
      <c r="B17">
        <v>2.6599999999999999E-2</v>
      </c>
      <c r="C17">
        <v>2.7119999999999998E-2</v>
      </c>
      <c r="D17">
        <v>2.571E-2</v>
      </c>
      <c r="E17">
        <v>2.6800000000000001E-2</v>
      </c>
      <c r="F17">
        <v>167427452.5</v>
      </c>
      <c r="G17">
        <v>2.6800000000000001E-2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0.54609929078014496</v>
      </c>
      <c r="Q17">
        <f t="shared" ref="Q17" si="61">F17*P17</f>
        <v>91432013.067376405</v>
      </c>
      <c r="R17">
        <f t="shared" ref="R17" si="62">R18+Q17</f>
        <v>926496257.72230458</v>
      </c>
      <c r="S17">
        <f t="shared" ref="S17" si="63">R17/100000</f>
        <v>9264.9625772230465</v>
      </c>
      <c r="T17">
        <f t="shared" ref="T17" si="64">S17/1000</f>
        <v>9.2649625772230468</v>
      </c>
    </row>
    <row r="18" spans="1:20" x14ac:dyDescent="0.25">
      <c r="A18" s="5">
        <v>44575</v>
      </c>
      <c r="B18">
        <v>2.6190000000000001E-2</v>
      </c>
      <c r="C18">
        <v>2.6890000000000001E-2</v>
      </c>
      <c r="D18">
        <v>2.5309999999999999E-2</v>
      </c>
      <c r="E18">
        <v>2.6610000000000002E-2</v>
      </c>
      <c r="F18">
        <v>157893372.30000001</v>
      </c>
      <c r="G18">
        <v>2.6610000000000002E-2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0.64556962025316622</v>
      </c>
      <c r="Q18">
        <f t="shared" ref="Q18" si="66">F18*P18</f>
        <v>101931164.3962028</v>
      </c>
      <c r="R18">
        <f t="shared" ref="R18" si="67">R19+Q18</f>
        <v>835064244.65492821</v>
      </c>
      <c r="S18">
        <f t="shared" ref="S18" si="68">R18/100000</f>
        <v>8350.6424465492819</v>
      </c>
      <c r="T18">
        <f t="shared" ref="T18" si="69">S18/1000</f>
        <v>8.3506424465492817</v>
      </c>
    </row>
    <row r="19" spans="1:20" x14ac:dyDescent="0.25">
      <c r="A19" s="5">
        <v>44574</v>
      </c>
      <c r="B19">
        <v>2.7279999999999999E-2</v>
      </c>
      <c r="C19">
        <v>2.8500000000000001E-2</v>
      </c>
      <c r="D19">
        <v>2.605E-2</v>
      </c>
      <c r="E19">
        <v>2.6159999999999999E-2</v>
      </c>
      <c r="F19">
        <v>319847007.39999998</v>
      </c>
      <c r="G19">
        <v>2.6159999999999999E-2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-0.91020408163265387</v>
      </c>
      <c r="Q19">
        <f t="shared" ref="Q19" si="71">F19*P19</f>
        <v>-291126051.63346964</v>
      </c>
      <c r="R19">
        <f t="shared" ref="R19" si="72">R20+Q19</f>
        <v>733133080.2587254</v>
      </c>
      <c r="S19">
        <f t="shared" ref="S19" si="73">R19/100000</f>
        <v>7331.3308025872539</v>
      </c>
      <c r="T19">
        <f t="shared" ref="T19" si="74">S19/1000</f>
        <v>7.3313308025872539</v>
      </c>
    </row>
    <row r="20" spans="1:20" x14ac:dyDescent="0.25">
      <c r="A20" s="5">
        <v>44573</v>
      </c>
      <c r="B20">
        <v>2.5049999999999999E-2</v>
      </c>
      <c r="C20">
        <v>2.7380000000000002E-2</v>
      </c>
      <c r="D20">
        <v>2.504E-2</v>
      </c>
      <c r="E20">
        <v>2.7279999999999999E-2</v>
      </c>
      <c r="F20">
        <v>355588673.10000002</v>
      </c>
      <c r="G20">
        <v>2.7279999999999999E-2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0.91452991452991217</v>
      </c>
      <c r="Q20">
        <f t="shared" ref="Q20" si="76">F20*P20</f>
        <v>325196478.81794792</v>
      </c>
      <c r="R20">
        <f t="shared" ref="R20" si="77">R21+Q20</f>
        <v>1024259131.892195</v>
      </c>
      <c r="S20">
        <f t="shared" ref="S20" si="78">R20/100000</f>
        <v>10242.59131892195</v>
      </c>
      <c r="T20">
        <f t="shared" ref="T20" si="79">S20/1000</f>
        <v>10.242591318921949</v>
      </c>
    </row>
    <row r="21" spans="1:20" x14ac:dyDescent="0.25">
      <c r="A21" s="5">
        <v>44572</v>
      </c>
      <c r="B21">
        <v>2.3949999999999999E-2</v>
      </c>
      <c r="C21">
        <v>2.5239999999999999E-2</v>
      </c>
      <c r="D21">
        <v>2.3650000000000001E-2</v>
      </c>
      <c r="E21">
        <v>2.503E-2</v>
      </c>
      <c r="F21">
        <v>215216880.59999999</v>
      </c>
      <c r="G21">
        <v>2.503E-2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0.7358490566037752</v>
      </c>
      <c r="Q21">
        <f t="shared" ref="Q21" si="81">F21*P21</f>
        <v>158367138.55471733</v>
      </c>
      <c r="R21">
        <f t="shared" ref="R21" si="82">R22+Q21</f>
        <v>699062653.074247</v>
      </c>
      <c r="S21">
        <f t="shared" ref="S21" si="83">R21/100000</f>
        <v>6990.6265307424701</v>
      </c>
      <c r="T21">
        <f t="shared" ref="T21" si="84">S21/1000</f>
        <v>6.9906265307424702</v>
      </c>
    </row>
    <row r="22" spans="1:20" x14ac:dyDescent="0.25">
      <c r="A22" s="5">
        <v>44571</v>
      </c>
      <c r="B22">
        <v>2.5499999999999998E-2</v>
      </c>
      <c r="C22">
        <v>2.5729999999999999E-2</v>
      </c>
      <c r="D22">
        <v>2.308E-2</v>
      </c>
      <c r="E22">
        <v>2.392E-2</v>
      </c>
      <c r="F22">
        <v>251928335.19999999</v>
      </c>
      <c r="G22">
        <v>2.392E-2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-0.36603773584905613</v>
      </c>
      <c r="Q22">
        <f t="shared" ref="Q22" si="86">F22*P22</f>
        <v>-92215277.41283007</v>
      </c>
      <c r="R22">
        <f t="shared" ref="R22" si="87">R23+Q22</f>
        <v>540695514.5195297</v>
      </c>
      <c r="S22">
        <f t="shared" ref="S22" si="88">R22/100000</f>
        <v>5406.9551451952966</v>
      </c>
      <c r="T22">
        <f t="shared" ref="T22" si="89">S22/1000</f>
        <v>5.4069551451952966</v>
      </c>
    </row>
    <row r="23" spans="1:20" x14ac:dyDescent="0.25">
      <c r="A23" s="5">
        <v>44570</v>
      </c>
      <c r="B23">
        <v>2.4500000000000001E-2</v>
      </c>
      <c r="C23">
        <v>2.6249999999999999E-2</v>
      </c>
      <c r="D23">
        <v>2.4309999999999998E-2</v>
      </c>
      <c r="E23">
        <v>2.5499999999999998E-2</v>
      </c>
      <c r="F23">
        <v>209224201.5</v>
      </c>
      <c r="G23">
        <v>2.5499999999999998E-2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0.22680412371133982</v>
      </c>
      <c r="Q23">
        <f t="shared" ref="Q23" si="91">F23*P23</f>
        <v>47452911.680412292</v>
      </c>
      <c r="R23">
        <f t="shared" ref="R23" si="92">R24+Q23</f>
        <v>632910791.93235981</v>
      </c>
      <c r="S23">
        <f t="shared" ref="S23" si="93">R23/100000</f>
        <v>6329.1079193235983</v>
      </c>
      <c r="T23">
        <f t="shared" ref="T23" si="94">S23/1000</f>
        <v>6.3291079193235982</v>
      </c>
    </row>
    <row r="24" spans="1:20" x14ac:dyDescent="0.25">
      <c r="A24" s="5">
        <v>44569</v>
      </c>
      <c r="B24">
        <v>2.5520000000000001E-2</v>
      </c>
      <c r="C24">
        <v>2.6100000000000002E-2</v>
      </c>
      <c r="D24">
        <v>2.3720000000000001E-2</v>
      </c>
      <c r="E24">
        <v>2.4539999999999999E-2</v>
      </c>
      <c r="F24">
        <v>265803162.69999999</v>
      </c>
      <c r="G24">
        <v>2.4539999999999999E-2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-0.31092436974790105</v>
      </c>
      <c r="Q24">
        <f t="shared" ref="Q24" si="96">F24*P24</f>
        <v>-82644680.8394963</v>
      </c>
      <c r="R24">
        <f t="shared" ref="R24" si="97">R25+Q24</f>
        <v>585457880.25194752</v>
      </c>
      <c r="S24">
        <f t="shared" ref="S24" si="98">R24/100000</f>
        <v>5854.5788025194752</v>
      </c>
      <c r="T24">
        <f t="shared" ref="T24" si="99">S24/1000</f>
        <v>5.8545788025194749</v>
      </c>
    </row>
    <row r="25" spans="1:20" x14ac:dyDescent="0.25">
      <c r="A25" s="5">
        <v>44568</v>
      </c>
      <c r="B25">
        <v>2.76E-2</v>
      </c>
      <c r="C25">
        <v>2.7740000000000001E-2</v>
      </c>
      <c r="D25">
        <v>2.5069999999999999E-2</v>
      </c>
      <c r="E25">
        <v>2.545E-2</v>
      </c>
      <c r="F25">
        <v>442666550.30000001</v>
      </c>
      <c r="G25">
        <v>2.545E-2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-0.71535580524344455</v>
      </c>
      <c r="Q25">
        <f t="shared" ref="Q25" si="101">F25*P25</f>
        <v>-316664086.54419428</v>
      </c>
      <c r="R25">
        <f t="shared" ref="R25" si="102">R26+Q25</f>
        <v>668102561.09144378</v>
      </c>
      <c r="S25">
        <f t="shared" ref="S25" si="103">R25/100000</f>
        <v>6681.0256109144375</v>
      </c>
      <c r="T25">
        <f t="shared" ref="T25" si="104">S25/1000</f>
        <v>6.6810256109144373</v>
      </c>
    </row>
    <row r="26" spans="1:20" x14ac:dyDescent="0.25">
      <c r="A26" s="5">
        <v>44567</v>
      </c>
      <c r="B26">
        <v>2.8459999999999999E-2</v>
      </c>
      <c r="C26">
        <v>2.8709999999999999E-2</v>
      </c>
      <c r="D26">
        <v>2.7269999999999999E-2</v>
      </c>
      <c r="E26">
        <v>2.76E-2</v>
      </c>
      <c r="F26">
        <v>311904718</v>
      </c>
      <c r="G26">
        <v>2.76E-2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-0.54166666666666619</v>
      </c>
      <c r="Q26">
        <f t="shared" ref="Q26" si="106">F26*P26</f>
        <v>-168948388.91666651</v>
      </c>
      <c r="R26">
        <f t="shared" ref="R26" si="107">R27+Q26</f>
        <v>984766647.635638</v>
      </c>
      <c r="S26">
        <f t="shared" ref="S26" si="108">R26/100000</f>
        <v>9847.6664763563804</v>
      </c>
      <c r="T26">
        <f t="shared" ref="T26" si="109">S26/1000</f>
        <v>9.8476664763563804</v>
      </c>
    </row>
    <row r="27" spans="1:20" x14ac:dyDescent="0.25">
      <c r="A27" s="5">
        <v>44566</v>
      </c>
      <c r="B27">
        <v>3.116E-2</v>
      </c>
      <c r="C27">
        <v>3.2890000000000003E-2</v>
      </c>
      <c r="D27">
        <v>2.7320000000000001E-2</v>
      </c>
      <c r="E27">
        <v>2.8479999999999998E-2</v>
      </c>
      <c r="F27">
        <v>477969522.60000002</v>
      </c>
      <c r="G27">
        <v>2.8479999999999998E-2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-0.58348294434470471</v>
      </c>
      <c r="Q27">
        <f t="shared" ref="Q27" si="111">F27*P27</f>
        <v>-278887064.35368091</v>
      </c>
      <c r="R27">
        <f t="shared" ref="R27" si="112">R28+Q27</f>
        <v>1153715036.5523045</v>
      </c>
      <c r="S27">
        <f t="shared" ref="S27" si="113">R27/100000</f>
        <v>11537.150365523044</v>
      </c>
      <c r="T27">
        <f t="shared" ref="T27" si="114">S27/1000</f>
        <v>11.537150365523045</v>
      </c>
    </row>
    <row r="28" spans="1:20" x14ac:dyDescent="0.25">
      <c r="A28" s="5">
        <v>44565</v>
      </c>
      <c r="B28">
        <v>3.024E-2</v>
      </c>
      <c r="C28">
        <v>3.261E-2</v>
      </c>
      <c r="D28">
        <v>2.955E-2</v>
      </c>
      <c r="E28">
        <v>3.1140000000000001E-2</v>
      </c>
      <c r="F28">
        <v>362694452.89999998</v>
      </c>
      <c r="G28">
        <v>3.1140000000000001E-2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3.921568627451047E-2</v>
      </c>
      <c r="Q28">
        <f t="shared" ref="Q28" si="116">F28*P28</f>
        <v>14223311.878431613</v>
      </c>
      <c r="R28">
        <f t="shared" ref="R28" si="117">R29+Q28</f>
        <v>1432602100.9059854</v>
      </c>
      <c r="S28">
        <f t="shared" ref="S28" si="118">R28/100000</f>
        <v>14326.021009059854</v>
      </c>
      <c r="T28">
        <f t="shared" ref="T28" si="119">S28/1000</f>
        <v>14.326021009059854</v>
      </c>
    </row>
    <row r="29" spans="1:20" x14ac:dyDescent="0.25">
      <c r="A29" s="5">
        <v>44564</v>
      </c>
      <c r="B29">
        <v>3.0929999999999999E-2</v>
      </c>
      <c r="C29">
        <v>3.1640000000000001E-2</v>
      </c>
      <c r="D29">
        <v>2.9499999999999998E-2</v>
      </c>
      <c r="E29">
        <v>3.022E-2</v>
      </c>
      <c r="F29">
        <v>300310126.89999998</v>
      </c>
      <c r="G29">
        <v>3.022E-2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-0.32710280373831696</v>
      </c>
      <c r="Q29">
        <f t="shared" ref="Q29" si="121">F29*P29</f>
        <v>-98232284.499999747</v>
      </c>
      <c r="R29">
        <f t="shared" ref="R29" si="122">R30+Q29</f>
        <v>1418378789.0275538</v>
      </c>
      <c r="S29">
        <f t="shared" ref="S29" si="123">R29/100000</f>
        <v>14183.787890275538</v>
      </c>
      <c r="T29">
        <f t="shared" ref="T29" si="124">S29/1000</f>
        <v>14.183787890275537</v>
      </c>
    </row>
    <row r="30" spans="1:20" x14ac:dyDescent="0.25">
      <c r="A30" s="5">
        <v>44563</v>
      </c>
      <c r="B30">
        <v>3.0179999999999998E-2</v>
      </c>
      <c r="C30">
        <v>3.3340000000000002E-2</v>
      </c>
      <c r="D30">
        <v>2.9600000000000001E-2</v>
      </c>
      <c r="E30">
        <v>3.0939999999999999E-2</v>
      </c>
      <c r="F30">
        <v>263375866.69999999</v>
      </c>
      <c r="G30">
        <v>3.0939999999999999E-2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-0.28342245989304954</v>
      </c>
      <c r="Q30">
        <f t="shared" ref="Q30" si="126">F30*P30</f>
        <v>-74646636.016577914</v>
      </c>
      <c r="R30">
        <f t="shared" ref="R30" si="127">R31+Q30</f>
        <v>1516611073.5275536</v>
      </c>
      <c r="S30">
        <f t="shared" ref="S30" si="128">R30/100000</f>
        <v>15166.110735275535</v>
      </c>
      <c r="T30">
        <f t="shared" ref="T30" si="129">S30/1000</f>
        <v>15.166110735275534</v>
      </c>
    </row>
    <row r="31" spans="1:20" x14ac:dyDescent="0.25">
      <c r="A31" s="5">
        <v>44562</v>
      </c>
      <c r="B31">
        <v>2.894E-2</v>
      </c>
      <c r="C31">
        <v>3.022E-2</v>
      </c>
      <c r="D31">
        <v>2.8899999999999999E-2</v>
      </c>
      <c r="E31">
        <v>3.022E-2</v>
      </c>
      <c r="F31">
        <v>162189271.19999999</v>
      </c>
      <c r="G31">
        <v>3.022E-2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1</v>
      </c>
      <c r="Q31">
        <f t="shared" ref="Q31" si="131">F31*P31</f>
        <v>162189271.19999999</v>
      </c>
      <c r="R31">
        <f t="shared" ref="R31" si="132">R32+Q31</f>
        <v>1591257709.5441315</v>
      </c>
      <c r="S31">
        <f t="shared" ref="S31" si="133">R31/100000</f>
        <v>15912.577095441315</v>
      </c>
      <c r="T31">
        <f t="shared" ref="T31" si="134">S31/1000</f>
        <v>15.912577095441314</v>
      </c>
    </row>
    <row r="32" spans="1:20" x14ac:dyDescent="0.25">
      <c r="A32" s="5">
        <v>44561</v>
      </c>
      <c r="B32">
        <v>2.9960000000000001E-2</v>
      </c>
      <c r="C32">
        <v>3.107E-2</v>
      </c>
      <c r="D32">
        <v>2.818E-2</v>
      </c>
      <c r="E32">
        <v>2.8920000000000001E-2</v>
      </c>
      <c r="F32">
        <v>278851218.10000002</v>
      </c>
      <c r="G32">
        <v>2.8920000000000001E-2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-0.4878892733564007</v>
      </c>
      <c r="Q32">
        <f t="shared" ref="Q32" si="136">F32*P32</f>
        <v>-136048518.17335624</v>
      </c>
      <c r="R32">
        <f t="shared" ref="R32" si="137">R33+Q32</f>
        <v>1429068438.3441315</v>
      </c>
      <c r="S32">
        <f t="shared" ref="S32" si="138">R32/100000</f>
        <v>14290.684383441314</v>
      </c>
      <c r="T32">
        <f t="shared" ref="T32" si="139">S32/1000</f>
        <v>14.290684383441313</v>
      </c>
    </row>
    <row r="33" spans="1:20" x14ac:dyDescent="0.25">
      <c r="A33" s="5">
        <v>44560</v>
      </c>
      <c r="B33">
        <v>2.972E-2</v>
      </c>
      <c r="C33">
        <v>3.1150000000000001E-2</v>
      </c>
      <c r="D33">
        <v>2.8680000000000001E-2</v>
      </c>
      <c r="E33">
        <v>2.9960000000000001E-2</v>
      </c>
      <c r="F33">
        <v>266813036.59999999</v>
      </c>
      <c r="G33">
        <v>2.9960000000000001E-2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3.6437246963562674E-2</v>
      </c>
      <c r="Q33">
        <f t="shared" ref="Q33" si="141">F33*P33</f>
        <v>9721932.5076922867</v>
      </c>
      <c r="R33">
        <f t="shared" ref="R33" si="142">R34+Q33</f>
        <v>1565116956.5174878</v>
      </c>
      <c r="S33">
        <f t="shared" ref="S33" si="143">R33/100000</f>
        <v>15651.169565174878</v>
      </c>
      <c r="T33">
        <f t="shared" ref="T33" si="144">S33/1000</f>
        <v>15.651169565174877</v>
      </c>
    </row>
    <row r="34" spans="1:20" x14ac:dyDescent="0.25">
      <c r="A34" s="5">
        <v>44559</v>
      </c>
      <c r="B34">
        <v>3.0009999999999998E-2</v>
      </c>
      <c r="C34">
        <v>3.1350000000000003E-2</v>
      </c>
      <c r="D34">
        <v>2.903E-2</v>
      </c>
      <c r="E34">
        <v>2.9749999999999999E-2</v>
      </c>
      <c r="F34">
        <v>359135132.39999998</v>
      </c>
      <c r="G34">
        <v>2.9749999999999999E-2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-0.3793103448275883</v>
      </c>
      <c r="Q34">
        <f t="shared" ref="Q34" si="146">F34*P34</f>
        <v>-136223670.91034555</v>
      </c>
      <c r="R34">
        <f t="shared" ref="R34" si="147">R35+Q34</f>
        <v>1555395024.0097954</v>
      </c>
      <c r="S34">
        <f t="shared" ref="S34" si="148">R34/100000</f>
        <v>15553.950240097955</v>
      </c>
      <c r="T34">
        <f t="shared" ref="T34" si="149">S34/1000</f>
        <v>15.553950240097954</v>
      </c>
    </row>
    <row r="35" spans="1:20" x14ac:dyDescent="0.25">
      <c r="A35" s="5">
        <v>44558</v>
      </c>
      <c r="B35">
        <v>3.3079999999999998E-2</v>
      </c>
      <c r="C35">
        <v>3.3079999999999998E-2</v>
      </c>
      <c r="D35">
        <v>2.9610000000000001E-2</v>
      </c>
      <c r="E35">
        <v>2.9989999999999999E-2</v>
      </c>
      <c r="F35">
        <v>543494874.60000002</v>
      </c>
      <c r="G35">
        <v>2.9989999999999999E-2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-0.78097982708933789</v>
      </c>
      <c r="Q35">
        <f t="shared" ref="Q35" si="151">F35*P35</f>
        <v>-424458533.18904942</v>
      </c>
      <c r="R35">
        <f t="shared" ref="R35" si="152">R36+Q35</f>
        <v>1691618694.920141</v>
      </c>
      <c r="S35">
        <f t="shared" ref="S35" si="153">R35/100000</f>
        <v>16916.186949201408</v>
      </c>
      <c r="T35">
        <f t="shared" ref="T35" si="154">S35/1000</f>
        <v>16.916186949201407</v>
      </c>
    </row>
    <row r="36" spans="1:20" x14ac:dyDescent="0.25">
      <c r="A36" s="5">
        <v>44557</v>
      </c>
      <c r="B36">
        <v>3.313E-2</v>
      </c>
      <c r="C36">
        <v>3.551E-2</v>
      </c>
      <c r="D36">
        <v>3.2829999999999998E-2</v>
      </c>
      <c r="E36">
        <v>3.3079999999999998E-2</v>
      </c>
      <c r="F36">
        <v>387030699.10000002</v>
      </c>
      <c r="G36">
        <v>3.3079999999999998E-2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-0.81343283582089554</v>
      </c>
      <c r="Q36">
        <f t="shared" ref="Q36" si="156">F36*P36</f>
        <v>-314823479.11865675</v>
      </c>
      <c r="R36">
        <f t="shared" ref="R36" si="157">R37+Q36</f>
        <v>2116077228.1091905</v>
      </c>
      <c r="S36">
        <f t="shared" ref="S36" si="158">R36/100000</f>
        <v>21160.772281091904</v>
      </c>
      <c r="T36">
        <f t="shared" ref="T36" si="159">S36/1000</f>
        <v>21.160772281091905</v>
      </c>
    </row>
    <row r="37" spans="1:20" x14ac:dyDescent="0.25">
      <c r="A37" s="5">
        <v>44556</v>
      </c>
      <c r="B37">
        <v>3.3399999999999999E-2</v>
      </c>
      <c r="C37">
        <v>3.4770000000000002E-2</v>
      </c>
      <c r="D37">
        <v>3.1890000000000002E-2</v>
      </c>
      <c r="E37">
        <v>3.3110000000000001E-2</v>
      </c>
      <c r="F37">
        <v>361101754.10000002</v>
      </c>
      <c r="G37">
        <v>3.3110000000000001E-2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-0.15277777777777876</v>
      </c>
      <c r="Q37">
        <f t="shared" ref="Q37" si="161">F37*P37</f>
        <v>-55168323.543055914</v>
      </c>
      <c r="R37">
        <f t="shared" ref="R37" si="162">R38+Q37</f>
        <v>2430900707.2278471</v>
      </c>
      <c r="S37">
        <f t="shared" ref="S37" si="163">R37/100000</f>
        <v>24309.007072278469</v>
      </c>
      <c r="T37">
        <f t="shared" ref="T37" si="164">S37/1000</f>
        <v>24.309007072278469</v>
      </c>
    </row>
    <row r="38" spans="1:20" x14ac:dyDescent="0.25">
      <c r="A38" s="5">
        <v>44555</v>
      </c>
      <c r="B38">
        <v>3.3070000000000002E-2</v>
      </c>
      <c r="C38">
        <v>3.4849999999999999E-2</v>
      </c>
      <c r="D38">
        <v>3.2399999999999998E-2</v>
      </c>
      <c r="E38">
        <v>3.3399999999999999E-2</v>
      </c>
      <c r="F38">
        <v>404538104.30000001</v>
      </c>
      <c r="G38">
        <v>3.3399999999999999E-2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-0.18367346938775464</v>
      </c>
      <c r="Q38">
        <f t="shared" ref="Q38" si="166">F38*P38</f>
        <v>-74302917.116326347</v>
      </c>
      <c r="R38">
        <f t="shared" ref="R38" si="167">R39+Q38</f>
        <v>2486069030.7709031</v>
      </c>
      <c r="S38">
        <f t="shared" ref="S38" si="168">R38/100000</f>
        <v>24860.690307709032</v>
      </c>
      <c r="T38">
        <f t="shared" ref="T38" si="169">S38/1000</f>
        <v>24.860690307709032</v>
      </c>
    </row>
    <row r="39" spans="1:20" x14ac:dyDescent="0.25">
      <c r="A39" s="5">
        <v>44554</v>
      </c>
      <c r="B39">
        <v>3.211E-2</v>
      </c>
      <c r="C39">
        <v>3.465E-2</v>
      </c>
      <c r="D39">
        <v>3.1489999999999997E-2</v>
      </c>
      <c r="E39">
        <v>3.3059999999999999E-2</v>
      </c>
      <c r="F39">
        <v>530058070.69999999</v>
      </c>
      <c r="G39">
        <v>3.3059999999999999E-2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-6.3291139240503691E-3</v>
      </c>
      <c r="Q39">
        <f t="shared" ref="Q39" si="171">F39*P39</f>
        <v>-3354797.9158226447</v>
      </c>
      <c r="R39">
        <f t="shared" ref="R39" si="172">R40+Q39</f>
        <v>2560371947.8872294</v>
      </c>
      <c r="S39">
        <f t="shared" ref="S39" si="173">R39/100000</f>
        <v>25603.719478872295</v>
      </c>
      <c r="T39">
        <f t="shared" ref="T39" si="174">S39/1000</f>
        <v>25.603719478872296</v>
      </c>
    </row>
    <row r="40" spans="1:20" x14ac:dyDescent="0.25">
      <c r="A40" s="5">
        <v>44553</v>
      </c>
      <c r="B40">
        <v>2.963E-2</v>
      </c>
      <c r="C40">
        <v>3.2390000000000002E-2</v>
      </c>
      <c r="D40">
        <v>2.9049999999999999E-2</v>
      </c>
      <c r="E40">
        <v>3.2070000000000001E-2</v>
      </c>
      <c r="F40">
        <v>390714131.5</v>
      </c>
      <c r="G40">
        <v>3.2070000000000001E-2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0.80838323353293373</v>
      </c>
      <c r="Q40">
        <f t="shared" ref="Q40" si="176">F40*P40</f>
        <v>315846753.00898188</v>
      </c>
      <c r="R40">
        <f t="shared" ref="R40" si="177">R41+Q40</f>
        <v>2563726745.8030519</v>
      </c>
      <c r="S40">
        <f t="shared" ref="S40" si="178">R40/100000</f>
        <v>25637.267458030521</v>
      </c>
      <c r="T40">
        <f t="shared" ref="T40" si="179">S40/1000</f>
        <v>25.637267458030522</v>
      </c>
    </row>
    <row r="41" spans="1:20" x14ac:dyDescent="0.25">
      <c r="A41" s="5">
        <v>44552</v>
      </c>
      <c r="B41">
        <v>2.9929999999999998E-2</v>
      </c>
      <c r="C41">
        <v>3.074E-2</v>
      </c>
      <c r="D41">
        <v>2.9309999999999999E-2</v>
      </c>
      <c r="E41">
        <v>2.963E-2</v>
      </c>
      <c r="F41">
        <v>273784811</v>
      </c>
      <c r="G41">
        <v>2.963E-2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-0.5524475524475515</v>
      </c>
      <c r="Q41">
        <f t="shared" ref="Q41" si="181">F41*P41</f>
        <v>-151251748.73426548</v>
      </c>
      <c r="R41">
        <f t="shared" ref="R41" si="182">R42+Q41</f>
        <v>2247879992.7940702</v>
      </c>
      <c r="S41">
        <f t="shared" ref="S41" si="183">R41/100000</f>
        <v>22478.799927940701</v>
      </c>
      <c r="T41">
        <f t="shared" ref="T41" si="184">S41/1000</f>
        <v>22.478799927940702</v>
      </c>
    </row>
    <row r="42" spans="1:20" x14ac:dyDescent="0.25">
      <c r="A42" s="5">
        <v>44551</v>
      </c>
      <c r="B42">
        <v>2.8899999999999999E-2</v>
      </c>
      <c r="C42">
        <v>3.0169999999999999E-2</v>
      </c>
      <c r="D42">
        <v>2.8410000000000001E-2</v>
      </c>
      <c r="E42">
        <v>2.9940000000000001E-2</v>
      </c>
      <c r="F42">
        <v>291663561.39999998</v>
      </c>
      <c r="G42">
        <v>2.9940000000000001E-2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0.73863636363636609</v>
      </c>
      <c r="Q42">
        <f t="shared" ref="Q42" si="186">F42*P42</f>
        <v>215433312.39772797</v>
      </c>
      <c r="R42">
        <f t="shared" ref="R42" si="187">R43+Q42</f>
        <v>2399131741.5283356</v>
      </c>
      <c r="S42">
        <f t="shared" ref="S42" si="188">R42/100000</f>
        <v>23991.317415283356</v>
      </c>
      <c r="T42">
        <f t="shared" ref="T42" si="189">S42/1000</f>
        <v>23.991317415283355</v>
      </c>
    </row>
    <row r="43" spans="1:20" x14ac:dyDescent="0.25">
      <c r="A43" s="5">
        <v>44550</v>
      </c>
      <c r="B43">
        <v>2.9700000000000001E-2</v>
      </c>
      <c r="C43">
        <v>2.9780000000000001E-2</v>
      </c>
      <c r="D43">
        <v>2.7349999999999999E-2</v>
      </c>
      <c r="E43">
        <v>2.8889999999999999E-2</v>
      </c>
      <c r="F43">
        <v>412936333.10000002</v>
      </c>
      <c r="G43">
        <v>2.8889999999999999E-2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0.26748971193415527</v>
      </c>
      <c r="Q43">
        <f t="shared" ref="Q43" si="191">F43*P43</f>
        <v>110456220.78806539</v>
      </c>
      <c r="R43">
        <f t="shared" ref="R43" si="192">R44+Q43</f>
        <v>2183698429.1306076</v>
      </c>
      <c r="S43">
        <f t="shared" ref="S43" si="193">R43/100000</f>
        <v>21836.984291306075</v>
      </c>
      <c r="T43">
        <f t="shared" ref="T43" si="194">S43/1000</f>
        <v>21.836984291306074</v>
      </c>
    </row>
    <row r="44" spans="1:20" x14ac:dyDescent="0.25">
      <c r="A44" s="5">
        <v>44549</v>
      </c>
      <c r="B44">
        <v>3.1329999999999997E-2</v>
      </c>
      <c r="C44">
        <v>3.134E-2</v>
      </c>
      <c r="D44">
        <v>2.9590000000000002E-2</v>
      </c>
      <c r="E44">
        <v>2.9700000000000001E-2</v>
      </c>
      <c r="F44">
        <v>502497736.30000001</v>
      </c>
      <c r="G44">
        <v>2.9700000000000001E-2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-0.87428571428571533</v>
      </c>
      <c r="Q44">
        <f t="shared" ref="Q44" si="196">F44*P44</f>
        <v>-439326592.30800056</v>
      </c>
      <c r="R44">
        <f t="shared" ref="R44" si="197">R45+Q44</f>
        <v>2073242208.3425422</v>
      </c>
      <c r="S44">
        <f t="shared" ref="S44" si="198">R44/100000</f>
        <v>20732.422083425423</v>
      </c>
      <c r="T44">
        <f t="shared" ref="T44" si="199">S44/1000</f>
        <v>20.732422083425423</v>
      </c>
    </row>
    <row r="45" spans="1:20" x14ac:dyDescent="0.25">
      <c r="A45" s="5">
        <v>44548</v>
      </c>
      <c r="B45">
        <v>3.175E-2</v>
      </c>
      <c r="C45">
        <v>3.4209999999999997E-2</v>
      </c>
      <c r="D45">
        <v>3.1E-2</v>
      </c>
      <c r="E45">
        <v>3.1329999999999997E-2</v>
      </c>
      <c r="F45">
        <v>365597763</v>
      </c>
      <c r="G45">
        <v>3.1329999999999997E-2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-0.79439252336448773</v>
      </c>
      <c r="Q45">
        <f t="shared" ref="Q45" si="201">F45*P45</f>
        <v>-290428129.48598194</v>
      </c>
      <c r="R45">
        <f t="shared" ref="R45" si="202">R46+Q45</f>
        <v>2512568800.6505427</v>
      </c>
      <c r="S45">
        <f t="shared" ref="S45" si="203">R45/100000</f>
        <v>25125.688006505428</v>
      </c>
      <c r="T45">
        <f t="shared" ref="T45" si="204">S45/1000</f>
        <v>25.125688006505428</v>
      </c>
    </row>
    <row r="46" spans="1:20" x14ac:dyDescent="0.25">
      <c r="A46" s="5">
        <v>44547</v>
      </c>
      <c r="B46">
        <v>3.2870000000000003E-2</v>
      </c>
      <c r="C46">
        <v>3.4950000000000002E-2</v>
      </c>
      <c r="D46">
        <v>3.0259999999999999E-2</v>
      </c>
      <c r="E46">
        <v>3.1739999999999997E-2</v>
      </c>
      <c r="F46">
        <v>464834055.89999998</v>
      </c>
      <c r="G46">
        <v>3.1739999999999997E-2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-0.36886993603411611</v>
      </c>
      <c r="Q46">
        <f t="shared" ref="Q46" si="206">F46*P46</f>
        <v>-171463308.46631175</v>
      </c>
      <c r="R46">
        <f t="shared" ref="R46" si="207">R47+Q46</f>
        <v>2802996930.1365247</v>
      </c>
      <c r="S46">
        <f t="shared" ref="S46" si="208">R46/100000</f>
        <v>28029.969301365247</v>
      </c>
      <c r="T46">
        <f t="shared" ref="T46" si="209">S46/1000</f>
        <v>28.029969301365245</v>
      </c>
    </row>
    <row r="47" spans="1:20" x14ac:dyDescent="0.25">
      <c r="A47" s="5">
        <v>44546</v>
      </c>
      <c r="B47">
        <v>3.1980000000000001E-2</v>
      </c>
      <c r="C47">
        <v>3.4200000000000001E-2</v>
      </c>
      <c r="D47">
        <v>3.1789999999999999E-2</v>
      </c>
      <c r="E47">
        <v>3.2809999999999999E-2</v>
      </c>
      <c r="F47">
        <v>471972447.10000002</v>
      </c>
      <c r="G47">
        <v>3.2809999999999999E-2</v>
      </c>
      <c r="L47" t="s">
        <v>7</v>
      </c>
      <c r="M47" t="s">
        <v>8</v>
      </c>
      <c r="N47" t="s">
        <v>7</v>
      </c>
      <c r="P47">
        <f t="shared" ref="P47" si="210">IF(C47=D47,0,((E47-D47)-(C47-E47))/(C47-D47))</f>
        <v>-0.15352697095435763</v>
      </c>
      <c r="Q47">
        <f t="shared" ref="Q47" si="211">F47*P47</f>
        <v>-72460500.1771788</v>
      </c>
      <c r="R47">
        <f t="shared" ref="R47" si="212">R48+Q47</f>
        <v>2974460238.6028366</v>
      </c>
      <c r="S47">
        <f t="shared" ref="S47" si="213">R47/100000</f>
        <v>29744.602386028368</v>
      </c>
      <c r="T47">
        <f t="shared" ref="T47" si="214">S47/1000</f>
        <v>29.744602386028369</v>
      </c>
    </row>
    <row r="48" spans="1:20" x14ac:dyDescent="0.25">
      <c r="A48" s="5">
        <v>44545</v>
      </c>
      <c r="B48">
        <v>2.9700000000000001E-2</v>
      </c>
      <c r="C48">
        <v>3.4000000000000002E-2</v>
      </c>
      <c r="D48">
        <v>2.8219999999999999E-2</v>
      </c>
      <c r="E48">
        <v>3.1949999999999999E-2</v>
      </c>
      <c r="F48">
        <v>669057689.79999995</v>
      </c>
      <c r="G48">
        <v>3.1949999999999999E-2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0.29065743944636613</v>
      </c>
      <c r="Q48">
        <f t="shared" ref="Q48" si="216">F48*P48</f>
        <v>194466594.95916909</v>
      </c>
      <c r="R48">
        <f t="shared" ref="R48" si="217">R49+Q48</f>
        <v>3046920738.7800155</v>
      </c>
      <c r="S48">
        <f t="shared" ref="S48" si="218">R48/100000</f>
        <v>30469.207387800154</v>
      </c>
      <c r="T48">
        <f t="shared" ref="T48" si="219">S48/1000</f>
        <v>30.469207387800154</v>
      </c>
    </row>
    <row r="49" spans="1:20" x14ac:dyDescent="0.25">
      <c r="A49" s="5">
        <v>44544</v>
      </c>
      <c r="B49">
        <v>2.9790000000000001E-2</v>
      </c>
      <c r="C49">
        <v>3.0190000000000002E-2</v>
      </c>
      <c r="D49">
        <v>2.8170000000000001E-2</v>
      </c>
      <c r="E49">
        <v>2.9700000000000001E-2</v>
      </c>
      <c r="F49">
        <v>459712772.69999999</v>
      </c>
      <c r="G49">
        <v>2.9700000000000001E-2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0.5148514851485142</v>
      </c>
      <c r="Q49">
        <f t="shared" ref="Q49" si="221">F49*P49</f>
        <v>236683803.76633632</v>
      </c>
      <c r="R49">
        <f t="shared" ref="R49" si="222">R50+Q49</f>
        <v>2852454143.8208466</v>
      </c>
      <c r="S49">
        <f t="shared" ref="S49" si="223">R49/100000</f>
        <v>28524.541438208467</v>
      </c>
      <c r="T49">
        <f t="shared" ref="T49" si="224">S49/1000</f>
        <v>28.524541438208466</v>
      </c>
    </row>
    <row r="50" spans="1:20" x14ac:dyDescent="0.25">
      <c r="A50" s="5">
        <v>44543</v>
      </c>
      <c r="B50">
        <v>3.4349999999999999E-2</v>
      </c>
      <c r="C50">
        <v>3.4759999999999999E-2</v>
      </c>
      <c r="D50">
        <v>2.9000000000000001E-2</v>
      </c>
      <c r="E50">
        <v>2.9780000000000001E-2</v>
      </c>
      <c r="F50">
        <v>417173601.19999999</v>
      </c>
      <c r="G50">
        <v>2.9780000000000001E-2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-0.72916666666666674</v>
      </c>
      <c r="Q50">
        <f t="shared" ref="Q50" si="226">F50*P50</f>
        <v>-304189084.20833337</v>
      </c>
      <c r="R50">
        <f t="shared" ref="R50" si="227">R51+Q50</f>
        <v>2615770340.0545101</v>
      </c>
      <c r="S50">
        <f t="shared" ref="S50" si="228">R50/100000</f>
        <v>26157.703400545102</v>
      </c>
      <c r="T50">
        <f t="shared" ref="T50" si="229">S50/1000</f>
        <v>26.157703400545103</v>
      </c>
    </row>
    <row r="51" spans="1:20" x14ac:dyDescent="0.25">
      <c r="A51" s="5">
        <v>44542</v>
      </c>
      <c r="B51">
        <v>3.4209999999999997E-2</v>
      </c>
      <c r="C51">
        <v>3.5950000000000003E-2</v>
      </c>
      <c r="D51">
        <v>3.3009999999999998E-2</v>
      </c>
      <c r="E51">
        <v>3.4419999999999999E-2</v>
      </c>
      <c r="F51">
        <v>295712254</v>
      </c>
      <c r="G51">
        <v>3.4419999999999999E-2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-4.0816326530612873E-2</v>
      </c>
      <c r="Q51">
        <f t="shared" ref="Q51" si="231">F51*P51</f>
        <v>-12069887.918367533</v>
      </c>
      <c r="R51">
        <f t="shared" ref="R51" si="232">R52+Q51</f>
        <v>2919959424.2628436</v>
      </c>
      <c r="S51">
        <f t="shared" ref="S51" si="233">R51/100000</f>
        <v>29199.594242628435</v>
      </c>
      <c r="T51">
        <f t="shared" ref="T51" si="234">S51/1000</f>
        <v>29.199594242628436</v>
      </c>
    </row>
    <row r="52" spans="1:20" x14ac:dyDescent="0.25">
      <c r="A52" s="5">
        <v>44541</v>
      </c>
      <c r="B52">
        <v>3.2239999999999998E-2</v>
      </c>
      <c r="C52">
        <v>3.2739999999999998E-2</v>
      </c>
      <c r="D52">
        <v>3.15E-2</v>
      </c>
      <c r="E52">
        <v>3.2590000000000001E-2</v>
      </c>
      <c r="F52">
        <v>33063373</v>
      </c>
      <c r="G52">
        <v>3.2590000000000001E-2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0.75806451612903614</v>
      </c>
      <c r="Q52">
        <f t="shared" ref="Q52" si="236">F52*P52</f>
        <v>25064169.854838837</v>
      </c>
      <c r="R52">
        <f t="shared" ref="R52" si="237">R53+Q52</f>
        <v>2932029312.181211</v>
      </c>
      <c r="S52">
        <f t="shared" ref="S52" si="238">R52/100000</f>
        <v>29320.293121812108</v>
      </c>
      <c r="T52">
        <f t="shared" ref="T52" si="239">S52/1000</f>
        <v>29.32029312181211</v>
      </c>
    </row>
    <row r="53" spans="1:20" x14ac:dyDescent="0.25">
      <c r="A53" s="5">
        <v>44540</v>
      </c>
      <c r="B53">
        <v>3.4110000000000001E-2</v>
      </c>
      <c r="C53">
        <v>3.6220000000000002E-2</v>
      </c>
      <c r="D53">
        <v>3.2050000000000002E-2</v>
      </c>
      <c r="E53">
        <v>3.2259999999999997E-2</v>
      </c>
      <c r="F53">
        <v>448747080.89999998</v>
      </c>
      <c r="G53">
        <v>3.2259999999999997E-2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-0.89928057553957075</v>
      </c>
      <c r="Q53">
        <f t="shared" ref="Q53" si="241">F53*P53</f>
        <v>-403549533.18345428</v>
      </c>
      <c r="R53">
        <f t="shared" ref="R53" si="242">R54+Q53</f>
        <v>2906965142.3263721</v>
      </c>
      <c r="S53">
        <f t="shared" ref="S53" si="243">R53/100000</f>
        <v>29069.65142326372</v>
      </c>
      <c r="T53">
        <f t="shared" ref="T53" si="244">S53/1000</f>
        <v>29.069651423263721</v>
      </c>
    </row>
    <row r="54" spans="1:20" x14ac:dyDescent="0.25">
      <c r="A54" s="5">
        <v>44539</v>
      </c>
      <c r="B54">
        <v>3.7499999999999999E-2</v>
      </c>
      <c r="C54">
        <v>4.0869999999999997E-2</v>
      </c>
      <c r="D54">
        <v>3.3939999999999998E-2</v>
      </c>
      <c r="E54">
        <v>3.4110000000000001E-2</v>
      </c>
      <c r="F54">
        <v>1067856654.2</v>
      </c>
      <c r="G54">
        <v>3.4110000000000001E-2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-0.95093795093794997</v>
      </c>
      <c r="Q54">
        <f t="shared" ref="Q54" si="246">F54*P54</f>
        <v>-1015465418.640403</v>
      </c>
      <c r="R54">
        <f t="shared" ref="R54" si="247">R55+Q54</f>
        <v>3310514675.5098267</v>
      </c>
      <c r="S54">
        <f t="shared" ref="S54" si="248">R54/100000</f>
        <v>33105.146755098263</v>
      </c>
      <c r="T54">
        <f t="shared" ref="T54" si="249">S54/1000</f>
        <v>33.105146755098261</v>
      </c>
    </row>
    <row r="55" spans="1:20" x14ac:dyDescent="0.25">
      <c r="A55" s="5">
        <v>44538</v>
      </c>
      <c r="B55">
        <v>3.5650000000000001E-2</v>
      </c>
      <c r="C55">
        <v>3.7859999999999998E-2</v>
      </c>
      <c r="D55">
        <v>3.39E-2</v>
      </c>
      <c r="E55">
        <v>3.746E-2</v>
      </c>
      <c r="F55">
        <v>587531286.39999998</v>
      </c>
      <c r="G55">
        <v>3.746E-2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0.79797979797979912</v>
      </c>
      <c r="Q55">
        <f t="shared" ref="Q55" si="251">F55*P55</f>
        <v>468838097.22828346</v>
      </c>
      <c r="R55">
        <f t="shared" ref="R55" si="252">R56+Q55</f>
        <v>4325980094.1502295</v>
      </c>
      <c r="S55">
        <f t="shared" ref="S55" si="253">R55/100000</f>
        <v>43259.800941502297</v>
      </c>
      <c r="T55">
        <f t="shared" ref="T55" si="254">S55/1000</f>
        <v>43.259800941502299</v>
      </c>
    </row>
    <row r="56" spans="1:20" x14ac:dyDescent="0.25">
      <c r="A56" s="5">
        <v>44537</v>
      </c>
      <c r="B56">
        <v>3.4599999999999999E-2</v>
      </c>
      <c r="C56">
        <v>3.7999999999999999E-2</v>
      </c>
      <c r="D56">
        <v>3.3640000000000003E-2</v>
      </c>
      <c r="E56">
        <v>3.5650000000000001E-2</v>
      </c>
      <c r="F56">
        <v>695229261.20000005</v>
      </c>
      <c r="G56">
        <v>3.5650000000000001E-2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-7.7981651376146863E-2</v>
      </c>
      <c r="Q56">
        <f t="shared" ref="Q56" si="256">F56*P56</f>
        <v>-54215125.873394549</v>
      </c>
      <c r="R56">
        <f t="shared" ref="R56" si="257">R57+Q56</f>
        <v>3857141996.921946</v>
      </c>
      <c r="S56">
        <f t="shared" ref="S56" si="258">R56/100000</f>
        <v>38571.41996921946</v>
      </c>
      <c r="T56">
        <f t="shared" ref="T56" si="259">S56/1000</f>
        <v>38.571419969219463</v>
      </c>
    </row>
    <row r="57" spans="1:20" x14ac:dyDescent="0.25">
      <c r="A57" s="5">
        <v>44536</v>
      </c>
      <c r="B57">
        <v>3.4029999999999998E-2</v>
      </c>
      <c r="C57">
        <v>3.4889999999999997E-2</v>
      </c>
      <c r="D57">
        <v>2.9520000000000001E-2</v>
      </c>
      <c r="E57">
        <v>3.4619999999999998E-2</v>
      </c>
      <c r="F57">
        <v>759693112.89999998</v>
      </c>
      <c r="G57">
        <v>3.4619999999999998E-2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0.89944134078212301</v>
      </c>
      <c r="Q57">
        <f t="shared" ref="Q57" si="261">F57*P57</f>
        <v>683299392.04972076</v>
      </c>
      <c r="R57">
        <f t="shared" ref="R57" si="262">R58+Q57</f>
        <v>3911357122.7953405</v>
      </c>
      <c r="S57">
        <f t="shared" ref="S57" si="263">R57/100000</f>
        <v>39113.571227953405</v>
      </c>
      <c r="T57">
        <f t="shared" ref="T57" si="264">S57/1000</f>
        <v>39.113571227953408</v>
      </c>
    </row>
    <row r="58" spans="1:20" x14ac:dyDescent="0.25">
      <c r="A58" s="5">
        <v>44535</v>
      </c>
      <c r="B58">
        <v>3.7560000000000003E-2</v>
      </c>
      <c r="C58">
        <v>3.9030000000000002E-2</v>
      </c>
      <c r="D58">
        <v>3.2320000000000002E-2</v>
      </c>
      <c r="E58">
        <v>3.4029999999999998E-2</v>
      </c>
      <c r="F58">
        <v>640232460.60000002</v>
      </c>
      <c r="G58">
        <v>3.4029999999999998E-2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-0.49031296572280297</v>
      </c>
      <c r="Q58">
        <f t="shared" ref="Q58" si="266">F58*P58</f>
        <v>-313914276.50879359</v>
      </c>
      <c r="R58">
        <f t="shared" ref="R58" si="267">R59+Q58</f>
        <v>3228057730.7456198</v>
      </c>
      <c r="S58">
        <f t="shared" ref="S58" si="268">R58/100000</f>
        <v>32280.577307456198</v>
      </c>
      <c r="T58">
        <f t="shared" ref="T58" si="269">S58/1000</f>
        <v>32.280577307456198</v>
      </c>
    </row>
    <row r="59" spans="1:20" x14ac:dyDescent="0.25">
      <c r="A59" s="5">
        <v>44534</v>
      </c>
      <c r="B59">
        <v>4.4470000000000003E-2</v>
      </c>
      <c r="C59">
        <v>4.4679999999999997E-2</v>
      </c>
      <c r="D59">
        <v>2.8299999999999999E-2</v>
      </c>
      <c r="E59">
        <v>3.755E-2</v>
      </c>
      <c r="F59">
        <v>1476847059.7</v>
      </c>
      <c r="G59">
        <v>3.755E-2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0.12942612942612966</v>
      </c>
      <c r="Q59">
        <f t="shared" ref="Q59" si="271">F59*P59</f>
        <v>191142598.69133124</v>
      </c>
      <c r="R59">
        <f t="shared" ref="R59" si="272">R60+Q59</f>
        <v>3541972007.2544136</v>
      </c>
      <c r="S59">
        <f t="shared" ref="S59" si="273">R59/100000</f>
        <v>35419.720072544136</v>
      </c>
      <c r="T59">
        <f t="shared" ref="T59" si="274">S59/1000</f>
        <v>35.419720072544138</v>
      </c>
    </row>
    <row r="60" spans="1:20" x14ac:dyDescent="0.25">
      <c r="A60" s="5">
        <v>44533</v>
      </c>
      <c r="B60">
        <v>5.0990000000000001E-2</v>
      </c>
      <c r="C60">
        <v>5.1459999999999999E-2</v>
      </c>
      <c r="D60">
        <v>4.2439999999999999E-2</v>
      </c>
      <c r="E60">
        <v>4.4490000000000002E-2</v>
      </c>
      <c r="F60">
        <v>745023521</v>
      </c>
      <c r="G60">
        <v>4.4490000000000002E-2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-0.54545454545454475</v>
      </c>
      <c r="Q60">
        <f t="shared" ref="Q60" si="276">F60*P60</f>
        <v>-406376465.99999946</v>
      </c>
      <c r="R60">
        <f t="shared" ref="R60" si="277">R61+Q60</f>
        <v>3350829408.5630822</v>
      </c>
      <c r="S60">
        <f t="shared" ref="S60" si="278">R60/100000</f>
        <v>33508.29408563082</v>
      </c>
      <c r="T60">
        <f t="shared" ref="T60" si="279">S60/1000</f>
        <v>33.508294085630823</v>
      </c>
    </row>
    <row r="61" spans="1:20" x14ac:dyDescent="0.25">
      <c r="A61" s="5">
        <v>44532</v>
      </c>
      <c r="B61">
        <v>5.1459999999999999E-2</v>
      </c>
      <c r="C61">
        <v>5.8970000000000002E-2</v>
      </c>
      <c r="D61">
        <v>4.8230000000000002E-2</v>
      </c>
      <c r="E61">
        <v>5.1049999999999998E-2</v>
      </c>
      <c r="F61">
        <v>2202440267.4000001</v>
      </c>
      <c r="G61">
        <v>5.1049999999999998E-2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-0.47486033519553145</v>
      </c>
      <c r="Q61">
        <f t="shared" ref="Q61" si="281">F61*P61</f>
        <v>-1045851523.6257</v>
      </c>
      <c r="R61">
        <f t="shared" ref="R61" si="282">R62+Q61</f>
        <v>3757205874.5630817</v>
      </c>
      <c r="S61">
        <f t="shared" ref="S61" si="283">R61/100000</f>
        <v>37572.05874563082</v>
      </c>
      <c r="T61">
        <f t="shared" ref="T61" si="284">S61/1000</f>
        <v>37.572058745630819</v>
      </c>
    </row>
    <row r="62" spans="1:20" x14ac:dyDescent="0.25">
      <c r="A62" s="5">
        <v>44531</v>
      </c>
      <c r="B62">
        <v>4.9970000000000001E-2</v>
      </c>
      <c r="C62">
        <v>5.33E-2</v>
      </c>
      <c r="D62">
        <v>4.8480000000000002E-2</v>
      </c>
      <c r="E62">
        <v>5.1490000000000001E-2</v>
      </c>
      <c r="F62">
        <v>1057056703.6</v>
      </c>
      <c r="G62">
        <v>5.1490000000000001E-2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0.24896265560165978</v>
      </c>
      <c r="Q62">
        <f t="shared" ref="Q62" si="286">F62*P62</f>
        <v>263167644.04979256</v>
      </c>
      <c r="R62">
        <f t="shared" ref="R62" si="287">R63+Q62</f>
        <v>4803057398.1887817</v>
      </c>
      <c r="S62">
        <f t="shared" ref="S62" si="288">R62/100000</f>
        <v>48030.573981887821</v>
      </c>
      <c r="T62">
        <f t="shared" ref="T62" si="289">S62/1000</f>
        <v>48.030573981887819</v>
      </c>
    </row>
    <row r="63" spans="1:20" x14ac:dyDescent="0.25">
      <c r="A63" s="5">
        <v>44530</v>
      </c>
      <c r="B63">
        <v>5.4190000000000002E-2</v>
      </c>
      <c r="C63">
        <v>5.6739999999999999E-2</v>
      </c>
      <c r="D63">
        <v>4.811E-2</v>
      </c>
      <c r="E63">
        <v>4.9959999999999997E-2</v>
      </c>
      <c r="F63">
        <v>2823025412.9000001</v>
      </c>
      <c r="G63">
        <v>4.9959999999999997E-2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-0.57126303592120564</v>
      </c>
      <c r="Q63">
        <f t="shared" ref="Q63" si="291">F63*P63</f>
        <v>-1612690067.8559692</v>
      </c>
      <c r="R63">
        <f t="shared" ref="R63" si="292">R64+Q63</f>
        <v>4539889754.1389894</v>
      </c>
      <c r="S63">
        <f t="shared" ref="S63" si="293">R63/100000</f>
        <v>45398.897541389895</v>
      </c>
      <c r="T63">
        <f t="shared" ref="T63" si="294">S63/1000</f>
        <v>45.398897541389893</v>
      </c>
    </row>
    <row r="64" spans="1:20" x14ac:dyDescent="0.25">
      <c r="A64" s="5">
        <v>44529</v>
      </c>
      <c r="B64">
        <v>4.326E-2</v>
      </c>
      <c r="C64">
        <v>5.5800000000000002E-2</v>
      </c>
      <c r="D64">
        <v>4.2270000000000002E-2</v>
      </c>
      <c r="E64">
        <v>5.4179999999999999E-2</v>
      </c>
      <c r="F64">
        <v>4590753844.3000002</v>
      </c>
      <c r="G64">
        <v>5.4179999999999999E-2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0.76053215077605274</v>
      </c>
      <c r="Q64">
        <f t="shared" ref="Q64" si="296">F64*P64</f>
        <v>3491415894.8889117</v>
      </c>
      <c r="R64">
        <f t="shared" ref="R64" si="297">R65+Q64</f>
        <v>6152579821.9949589</v>
      </c>
      <c r="S64">
        <f t="shared" ref="S64" si="298">R64/100000</f>
        <v>61525.798219949589</v>
      </c>
      <c r="T64">
        <f t="shared" ref="T64" si="299">S64/1000</f>
        <v>61.525798219949586</v>
      </c>
    </row>
    <row r="65" spans="1:20" x14ac:dyDescent="0.25">
      <c r="A65" s="5">
        <v>44528</v>
      </c>
      <c r="B65">
        <v>3.5589999999999997E-2</v>
      </c>
      <c r="C65">
        <v>4.3970000000000002E-2</v>
      </c>
      <c r="D65">
        <v>3.3750000000000002E-2</v>
      </c>
      <c r="E65">
        <v>4.326E-2</v>
      </c>
      <c r="F65">
        <v>2132865302.8</v>
      </c>
      <c r="G65">
        <v>4.326E-2</v>
      </c>
      <c r="L65" t="s">
        <v>8</v>
      </c>
      <c r="M65" t="s">
        <v>8</v>
      </c>
      <c r="N65" t="s">
        <v>8</v>
      </c>
      <c r="P65">
        <f t="shared" ref="P65" si="300">IF(C65=D65,0,((E65-D65)-(C65-E65))/(C65-D65))</f>
        <v>0.86105675146770988</v>
      </c>
      <c r="Q65">
        <f t="shared" ref="Q65" si="301">F65*P65</f>
        <v>1836518068.9471614</v>
      </c>
      <c r="R65">
        <f t="shared" ref="R65" si="302">R66+Q65</f>
        <v>2661163927.1060472</v>
      </c>
      <c r="S65">
        <f t="shared" ref="S65" si="303">R65/100000</f>
        <v>26611.63927106047</v>
      </c>
      <c r="T65">
        <f t="shared" ref="T65" si="304">S65/1000</f>
        <v>26.611639271060472</v>
      </c>
    </row>
    <row r="66" spans="1:20" x14ac:dyDescent="0.25">
      <c r="A66" s="5">
        <v>44527</v>
      </c>
      <c r="B66">
        <v>3.356E-2</v>
      </c>
      <c r="C66">
        <v>3.6659999999999998E-2</v>
      </c>
      <c r="D66">
        <v>3.3439999999999998E-2</v>
      </c>
      <c r="E66">
        <v>3.5630000000000002E-2</v>
      </c>
      <c r="F66">
        <v>351410251.19999999</v>
      </c>
      <c r="G66">
        <v>3.5630000000000002E-2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0.36024844720497146</v>
      </c>
      <c r="Q66">
        <f t="shared" ref="Q66" si="306">F66*P66</f>
        <v>126594997.32670896</v>
      </c>
      <c r="R66">
        <f t="shared" ref="R66" si="307">R67+Q66</f>
        <v>824645858.1588856</v>
      </c>
      <c r="S66">
        <f t="shared" ref="S66" si="308">R66/100000</f>
        <v>8246.4585815888568</v>
      </c>
      <c r="T66">
        <f t="shared" ref="T66" si="309">S66/1000</f>
        <v>8.2464585815888576</v>
      </c>
    </row>
    <row r="67" spans="1:20" x14ac:dyDescent="0.25">
      <c r="A67" s="5">
        <v>44526</v>
      </c>
      <c r="B67">
        <v>3.773E-2</v>
      </c>
      <c r="C67">
        <v>3.925E-2</v>
      </c>
      <c r="D67">
        <v>3.2820000000000002E-2</v>
      </c>
      <c r="E67">
        <v>3.354E-2</v>
      </c>
      <c r="F67">
        <v>614523677</v>
      </c>
      <c r="G67">
        <v>3.354E-2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-0.77604976671850745</v>
      </c>
      <c r="Q67">
        <f t="shared" ref="Q67" si="311">F67*P67</f>
        <v>-476900956.1788494</v>
      </c>
      <c r="R67">
        <f t="shared" ref="R67" si="312">R68+Q67</f>
        <v>698050860.83217669</v>
      </c>
      <c r="S67">
        <f t="shared" ref="S67" si="313">R67/100000</f>
        <v>6980.5086083217666</v>
      </c>
      <c r="T67">
        <f t="shared" ref="T67" si="314">S67/1000</f>
        <v>6.9805086083217667</v>
      </c>
    </row>
    <row r="68" spans="1:20" x14ac:dyDescent="0.25">
      <c r="A68" s="5">
        <v>44525</v>
      </c>
      <c r="B68">
        <v>3.6859999999999997E-2</v>
      </c>
      <c r="C68">
        <v>3.8960000000000002E-2</v>
      </c>
      <c r="D68">
        <v>3.644E-2</v>
      </c>
      <c r="E68">
        <v>3.7719999999999997E-2</v>
      </c>
      <c r="F68">
        <v>441153267</v>
      </c>
      <c r="G68">
        <v>3.7719999999999997E-2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1.5873015873012465E-2</v>
      </c>
      <c r="Q68">
        <f t="shared" ref="Q68" si="316">F68*P68</f>
        <v>7002432.8095223065</v>
      </c>
      <c r="R68">
        <f t="shared" ref="R68" si="317">R69+Q68</f>
        <v>1174951817.0110261</v>
      </c>
      <c r="S68">
        <f t="shared" ref="S68" si="318">R68/100000</f>
        <v>11749.518170110261</v>
      </c>
      <c r="T68">
        <f t="shared" ref="T68" si="319">S68/1000</f>
        <v>11.74951817011026</v>
      </c>
    </row>
    <row r="69" spans="1:20" x14ac:dyDescent="0.25">
      <c r="A69" s="5">
        <v>44524</v>
      </c>
      <c r="B69">
        <v>3.6130000000000002E-2</v>
      </c>
      <c r="C69">
        <v>3.6299999999999999E-2</v>
      </c>
      <c r="D69">
        <v>3.5060000000000001E-2</v>
      </c>
      <c r="E69">
        <v>3.5310000000000001E-2</v>
      </c>
      <c r="F69">
        <v>63429787.600000001</v>
      </c>
      <c r="G69">
        <v>3.5310000000000001E-2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-0.59677419354838612</v>
      </c>
      <c r="Q69">
        <f t="shared" ref="Q69" si="321">F69*P69</f>
        <v>-37853260.341935426</v>
      </c>
      <c r="R69">
        <f t="shared" ref="R69" si="322">R70+Q69</f>
        <v>1167949384.2015038</v>
      </c>
      <c r="S69">
        <f t="shared" ref="S69" si="323">R69/100000</f>
        <v>11679.493842015037</v>
      </c>
      <c r="T69">
        <f t="shared" ref="T69" si="324">S69/1000</f>
        <v>11.679493842015038</v>
      </c>
    </row>
    <row r="70" spans="1:20" x14ac:dyDescent="0.25">
      <c r="A70" s="5">
        <v>44523</v>
      </c>
      <c r="B70">
        <v>3.474E-2</v>
      </c>
      <c r="C70">
        <v>3.6659999999999998E-2</v>
      </c>
      <c r="D70">
        <v>3.4119999999999998E-2</v>
      </c>
      <c r="E70">
        <v>3.6139999999999999E-2</v>
      </c>
      <c r="F70">
        <v>243099930.69999999</v>
      </c>
      <c r="G70">
        <v>3.6139999999999999E-2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0.5905511811023626</v>
      </c>
      <c r="Q70">
        <f t="shared" ref="Q70" si="326">F70*P70</f>
        <v>143562951.20078748</v>
      </c>
      <c r="R70">
        <f t="shared" ref="R70" si="327">R71+Q70</f>
        <v>1205802644.5434391</v>
      </c>
      <c r="S70">
        <f t="shared" ref="S70" si="328">R70/100000</f>
        <v>12058.026445434392</v>
      </c>
      <c r="T70">
        <f t="shared" ref="T70" si="329">S70/1000</f>
        <v>12.058026445434392</v>
      </c>
    </row>
    <row r="71" spans="1:20" x14ac:dyDescent="0.25">
      <c r="A71" s="5">
        <v>44522</v>
      </c>
      <c r="B71">
        <v>3.6859999999999997E-2</v>
      </c>
      <c r="C71">
        <v>3.6990000000000002E-2</v>
      </c>
      <c r="D71">
        <v>3.3989999999999999E-2</v>
      </c>
      <c r="E71">
        <v>3.4729999999999997E-2</v>
      </c>
      <c r="F71">
        <v>246356198.90000001</v>
      </c>
      <c r="G71">
        <v>3.4729999999999997E-2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-0.50666666666666871</v>
      </c>
      <c r="Q71">
        <f t="shared" ref="Q71" si="331">F71*P71</f>
        <v>-124820474.10933384</v>
      </c>
      <c r="R71">
        <f t="shared" ref="R71" si="332">R72+Q71</f>
        <v>1062239693.3426517</v>
      </c>
      <c r="S71">
        <f t="shared" ref="S71" si="333">R71/100000</f>
        <v>10622.396933426517</v>
      </c>
      <c r="T71">
        <f t="shared" ref="T71" si="334">S71/1000</f>
        <v>10.622396933426517</v>
      </c>
    </row>
    <row r="72" spans="1:20" x14ac:dyDescent="0.25">
      <c r="A72" s="5">
        <v>44521</v>
      </c>
      <c r="B72">
        <v>3.6909999999999998E-2</v>
      </c>
      <c r="C72">
        <v>3.95E-2</v>
      </c>
      <c r="D72">
        <v>3.5740000000000001E-2</v>
      </c>
      <c r="E72">
        <v>3.6810000000000002E-2</v>
      </c>
      <c r="F72">
        <v>304430352</v>
      </c>
      <c r="G72">
        <v>3.6810000000000002E-2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-0.43085106382978633</v>
      </c>
      <c r="Q72">
        <f t="shared" ref="Q72" si="336">F72*P72</f>
        <v>-131164141.02127632</v>
      </c>
      <c r="R72">
        <f t="shared" ref="R72" si="337">R73+Q72</f>
        <v>1187060167.4519856</v>
      </c>
      <c r="S72">
        <f t="shared" ref="S72" si="338">R72/100000</f>
        <v>11870.601674519856</v>
      </c>
      <c r="T72">
        <f t="shared" ref="T72" si="339">S72/1000</f>
        <v>11.870601674519856</v>
      </c>
    </row>
    <row r="73" spans="1:20" x14ac:dyDescent="0.25">
      <c r="A73" s="5">
        <v>44520</v>
      </c>
      <c r="B73">
        <v>3.5920000000000001E-2</v>
      </c>
      <c r="C73">
        <v>3.7199999999999997E-2</v>
      </c>
      <c r="D73">
        <v>3.5159999999999997E-2</v>
      </c>
      <c r="E73">
        <v>3.6900000000000002E-2</v>
      </c>
      <c r="F73">
        <v>243417704.59999999</v>
      </c>
      <c r="G73">
        <v>3.6900000000000002E-2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0.70588235294118162</v>
      </c>
      <c r="Q73">
        <f t="shared" ref="Q73" si="341">F73*P73</f>
        <v>171824262.07058948</v>
      </c>
      <c r="R73">
        <f t="shared" ref="R73" si="342">R74+Q73</f>
        <v>1318224308.4732618</v>
      </c>
      <c r="S73">
        <f t="shared" ref="S73" si="343">R73/100000</f>
        <v>13182.243084732618</v>
      </c>
      <c r="T73">
        <f t="shared" ref="T73" si="344">S73/1000</f>
        <v>13.182243084732617</v>
      </c>
    </row>
    <row r="74" spans="1:20" x14ac:dyDescent="0.25">
      <c r="A74" s="5">
        <v>44519</v>
      </c>
      <c r="B74">
        <v>3.329E-2</v>
      </c>
      <c r="C74">
        <v>3.6470000000000002E-2</v>
      </c>
      <c r="D74">
        <v>3.2739999999999998E-2</v>
      </c>
      <c r="E74">
        <v>3.5929999999999997E-2</v>
      </c>
      <c r="F74">
        <v>229606711.19999999</v>
      </c>
      <c r="G74">
        <v>3.5929999999999997E-2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0.71045576407506428</v>
      </c>
      <c r="Q74">
        <f t="shared" ref="Q74" si="346">F74*P74</f>
        <v>163125411.44235861</v>
      </c>
      <c r="R74">
        <f t="shared" ref="R74" si="347">R75+Q74</f>
        <v>1146400046.4026723</v>
      </c>
      <c r="S74">
        <f t="shared" ref="S74" si="348">R74/100000</f>
        <v>11464.000464026723</v>
      </c>
      <c r="T74">
        <f t="shared" ref="T74" si="349">S74/1000</f>
        <v>11.464000464026723</v>
      </c>
    </row>
    <row r="75" spans="1:20" x14ac:dyDescent="0.25">
      <c r="A75" s="5">
        <v>44518</v>
      </c>
      <c r="B75">
        <v>3.7179999999999998E-2</v>
      </c>
      <c r="C75">
        <v>3.7490000000000002E-2</v>
      </c>
      <c r="D75">
        <v>3.2120000000000003E-2</v>
      </c>
      <c r="E75">
        <v>3.3300000000000003E-2</v>
      </c>
      <c r="F75">
        <v>507707488.39999998</v>
      </c>
      <c r="G75">
        <v>3.3300000000000003E-2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-0.56052141527001842</v>
      </c>
      <c r="Q75">
        <f t="shared" ref="Q75" si="351">F75*P75</f>
        <v>-284580919.94115442</v>
      </c>
      <c r="R75">
        <f t="shared" ref="R75" si="352">R76+Q75</f>
        <v>983274634.96031356</v>
      </c>
      <c r="S75">
        <f t="shared" ref="S75" si="353">R75/100000</f>
        <v>9832.746349603136</v>
      </c>
      <c r="T75">
        <f t="shared" ref="T75" si="354">S75/1000</f>
        <v>9.832746349603136</v>
      </c>
    </row>
    <row r="76" spans="1:20" x14ac:dyDescent="0.25">
      <c r="A76" s="5">
        <v>44517</v>
      </c>
      <c r="B76">
        <v>3.7100000000000001E-2</v>
      </c>
      <c r="C76">
        <v>3.764E-2</v>
      </c>
      <c r="D76">
        <v>3.5439999999999999E-2</v>
      </c>
      <c r="E76">
        <v>3.7159999999999999E-2</v>
      </c>
      <c r="F76">
        <v>340759592.60000002</v>
      </c>
      <c r="G76">
        <v>3.7159999999999999E-2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0.5636363636363626</v>
      </c>
      <c r="Q76">
        <f t="shared" ref="Q76" si="356">F76*P76</f>
        <v>192064497.64727238</v>
      </c>
      <c r="R76">
        <f t="shared" ref="R76" si="357">R77+Q76</f>
        <v>1267855554.901468</v>
      </c>
      <c r="S76">
        <f t="shared" ref="S76" si="358">R76/100000</f>
        <v>12678.55554901468</v>
      </c>
      <c r="T76">
        <f t="shared" ref="T76" si="359">S76/1000</f>
        <v>12.67855554901468</v>
      </c>
    </row>
    <row r="77" spans="1:20" x14ac:dyDescent="0.25">
      <c r="A77" s="5">
        <v>44516</v>
      </c>
      <c r="B77">
        <v>4.1790000000000001E-2</v>
      </c>
      <c r="C77">
        <v>4.1790000000000001E-2</v>
      </c>
      <c r="D77">
        <v>3.6290000000000003E-2</v>
      </c>
      <c r="E77">
        <v>3.7130000000000003E-2</v>
      </c>
      <c r="F77">
        <v>596413723</v>
      </c>
      <c r="G77">
        <v>3.7130000000000003E-2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-0.69454545454545424</v>
      </c>
      <c r="Q77">
        <f t="shared" ref="Q77" si="361">F77*P77</f>
        <v>-414236440.33818161</v>
      </c>
      <c r="R77">
        <f t="shared" ref="R77" si="362">R78+Q77</f>
        <v>1075791057.2541957</v>
      </c>
      <c r="S77">
        <f t="shared" ref="S77" si="363">R77/100000</f>
        <v>10757.910572541958</v>
      </c>
      <c r="T77">
        <f t="shared" ref="T77" si="364">S77/1000</f>
        <v>10.757910572541958</v>
      </c>
    </row>
    <row r="78" spans="1:20" x14ac:dyDescent="0.25">
      <c r="A78" s="5">
        <v>44515</v>
      </c>
      <c r="B78">
        <v>4.2770000000000002E-2</v>
      </c>
      <c r="C78">
        <v>4.4769999999999997E-2</v>
      </c>
      <c r="D78">
        <v>4.1439999999999998E-2</v>
      </c>
      <c r="E78">
        <v>4.1790000000000001E-2</v>
      </c>
      <c r="F78">
        <v>414936666.69999999</v>
      </c>
      <c r="G78">
        <v>4.1790000000000001E-2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-0.78978978978978787</v>
      </c>
      <c r="Q78">
        <f t="shared" ref="Q78" si="366">F78*P78</f>
        <v>-327712742.76906824</v>
      </c>
      <c r="R78">
        <f t="shared" ref="R78" si="367">R79+Q78</f>
        <v>1490027497.5923772</v>
      </c>
      <c r="S78">
        <f t="shared" ref="S78" si="368">R78/100000</f>
        <v>14900.274975923772</v>
      </c>
      <c r="T78">
        <f t="shared" ref="T78" si="369">S78/1000</f>
        <v>14.900274975923772</v>
      </c>
    </row>
    <row r="79" spans="1:20" x14ac:dyDescent="0.25">
      <c r="A79" s="5">
        <v>44514</v>
      </c>
      <c r="B79">
        <v>4.2020000000000002E-2</v>
      </c>
      <c r="C79">
        <v>4.4080000000000001E-2</v>
      </c>
      <c r="D79">
        <v>4.1320000000000003E-2</v>
      </c>
      <c r="E79">
        <v>4.2759999999999999E-2</v>
      </c>
      <c r="F79">
        <v>396221871.19999999</v>
      </c>
      <c r="G79">
        <v>4.2759999999999999E-2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4.3478260869563468E-2</v>
      </c>
      <c r="Q79">
        <f t="shared" ref="Q79" si="371">F79*P79</f>
        <v>17227037.878260177</v>
      </c>
      <c r="R79">
        <f t="shared" ref="R79" si="372">R80+Q79</f>
        <v>1817740240.3614454</v>
      </c>
      <c r="S79">
        <f t="shared" ref="S79" si="373">R79/100000</f>
        <v>18177.402403614455</v>
      </c>
      <c r="T79">
        <f t="shared" ref="T79" si="374">S79/1000</f>
        <v>18.177402403614455</v>
      </c>
    </row>
    <row r="80" spans="1:20" x14ac:dyDescent="0.25">
      <c r="A80" s="5">
        <v>44513</v>
      </c>
      <c r="B80">
        <v>4.0969999999999999E-2</v>
      </c>
      <c r="C80">
        <v>4.2520000000000002E-2</v>
      </c>
      <c r="D80">
        <v>4.0840000000000001E-2</v>
      </c>
      <c r="E80">
        <v>4.2000000000000003E-2</v>
      </c>
      <c r="F80">
        <v>225534910.40000001</v>
      </c>
      <c r="G80">
        <v>4.2000000000000003E-2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0.38095238095238176</v>
      </c>
      <c r="Q80">
        <f t="shared" ref="Q80" si="376">F80*P80</f>
        <v>85918061.104762092</v>
      </c>
      <c r="R80">
        <f t="shared" ref="R80" si="377">R81+Q80</f>
        <v>1800513202.4831853</v>
      </c>
      <c r="S80">
        <f t="shared" ref="S80" si="378">R80/100000</f>
        <v>18005.132024831852</v>
      </c>
      <c r="T80">
        <f t="shared" ref="T80" si="379">S80/1000</f>
        <v>18.005132024831852</v>
      </c>
    </row>
    <row r="81" spans="1:20" x14ac:dyDescent="0.25">
      <c r="A81" s="5">
        <v>44512</v>
      </c>
      <c r="B81">
        <v>4.24E-2</v>
      </c>
      <c r="C81">
        <v>4.3040000000000002E-2</v>
      </c>
      <c r="D81">
        <v>3.9219999999999998E-2</v>
      </c>
      <c r="E81">
        <v>4.0930000000000001E-2</v>
      </c>
      <c r="F81">
        <v>332465242.5</v>
      </c>
      <c r="G81">
        <v>4.0930000000000001E-2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-0.10471204188481602</v>
      </c>
      <c r="Q81">
        <f t="shared" ref="Q81" si="381">F81*P81</f>
        <v>-34813114.397905514</v>
      </c>
      <c r="R81">
        <f t="shared" ref="R81" si="382">R82+Q81</f>
        <v>1714595141.3784232</v>
      </c>
      <c r="S81">
        <f t="shared" ref="S81" si="383">R81/100000</f>
        <v>17145.951413784231</v>
      </c>
      <c r="T81">
        <f t="shared" ref="T81" si="384">S81/1000</f>
        <v>17.145951413784232</v>
      </c>
    </row>
    <row r="82" spans="1:20" x14ac:dyDescent="0.25">
      <c r="A82" s="5">
        <v>44511</v>
      </c>
      <c r="B82">
        <v>4.2049999999999997E-2</v>
      </c>
      <c r="C82">
        <v>4.3610000000000003E-2</v>
      </c>
      <c r="D82">
        <v>4.122E-2</v>
      </c>
      <c r="E82">
        <v>4.2500000000000003E-2</v>
      </c>
      <c r="F82">
        <v>327171125.89999998</v>
      </c>
      <c r="G82">
        <v>4.2500000000000003E-2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7.1129707112972076E-2</v>
      </c>
      <c r="Q82">
        <f t="shared" ref="Q82" si="386">F82*P82</f>
        <v>23271586.361088309</v>
      </c>
      <c r="R82">
        <f t="shared" ref="R82" si="387">R83+Q82</f>
        <v>1749408255.7763288</v>
      </c>
      <c r="S82">
        <f t="shared" ref="S82" si="388">R82/100000</f>
        <v>17494.08255776329</v>
      </c>
      <c r="T82">
        <f t="shared" ref="T82" si="389">S82/1000</f>
        <v>17.494082557763289</v>
      </c>
    </row>
    <row r="83" spans="1:20" x14ac:dyDescent="0.25">
      <c r="A83" s="5">
        <v>44510</v>
      </c>
      <c r="B83">
        <v>4.8250000000000001E-2</v>
      </c>
      <c r="C83">
        <v>4.8320000000000002E-2</v>
      </c>
      <c r="D83">
        <v>3.8649999999999997E-2</v>
      </c>
      <c r="E83">
        <v>4.2040000000000001E-2</v>
      </c>
      <c r="F83">
        <v>641982735.10000002</v>
      </c>
      <c r="G83">
        <v>4.2040000000000001E-2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-0.29886246122026838</v>
      </c>
      <c r="Q83">
        <f t="shared" ref="Q83" si="391">F83*P83</f>
        <v>-191864540.27290559</v>
      </c>
      <c r="R83">
        <f t="shared" ref="R83" si="392">R84+Q83</f>
        <v>1726136669.4152405</v>
      </c>
      <c r="S83">
        <f t="shared" ref="S83" si="393">R83/100000</f>
        <v>17261.366694152406</v>
      </c>
      <c r="T83">
        <f t="shared" ref="T83" si="394">S83/1000</f>
        <v>17.261366694152407</v>
      </c>
    </row>
    <row r="84" spans="1:20" x14ac:dyDescent="0.25">
      <c r="A84" s="5">
        <v>44509</v>
      </c>
      <c r="B84">
        <v>4.4970000000000003E-2</v>
      </c>
      <c r="C84">
        <v>4.8680000000000001E-2</v>
      </c>
      <c r="D84">
        <v>4.4310000000000002E-2</v>
      </c>
      <c r="E84">
        <v>4.827E-2</v>
      </c>
      <c r="F84">
        <v>665186757</v>
      </c>
      <c r="G84">
        <v>4.827E-2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0.81235697940503393</v>
      </c>
      <c r="Q84">
        <f t="shared" ref="Q84" si="396">F84*P84</f>
        <v>540369104.65675032</v>
      </c>
      <c r="R84">
        <f t="shared" ref="R84" si="397">R85+Q84</f>
        <v>1918001209.6881461</v>
      </c>
      <c r="S84">
        <f t="shared" ref="S84" si="398">R84/100000</f>
        <v>19180.012096881463</v>
      </c>
      <c r="T84">
        <f t="shared" ref="T84" si="399">S84/1000</f>
        <v>19.180012096881462</v>
      </c>
    </row>
    <row r="85" spans="1:20" x14ac:dyDescent="0.25">
      <c r="A85" s="5">
        <v>44508</v>
      </c>
      <c r="B85">
        <v>4.4310000000000002E-2</v>
      </c>
      <c r="C85">
        <v>4.5220000000000003E-2</v>
      </c>
      <c r="D85">
        <v>4.3209999999999998E-2</v>
      </c>
      <c r="E85">
        <v>4.4970000000000003E-2</v>
      </c>
      <c r="F85">
        <v>331869346.89999998</v>
      </c>
      <c r="G85">
        <v>4.4970000000000003E-2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0.75124378109452772</v>
      </c>
      <c r="Q85">
        <f t="shared" ref="Q85" si="401">F85*P85</f>
        <v>249314782.99452746</v>
      </c>
      <c r="R85">
        <f t="shared" ref="R85" si="402">R86+Q85</f>
        <v>1377632105.0313959</v>
      </c>
      <c r="S85">
        <f t="shared" ref="S85" si="403">R85/100000</f>
        <v>13776.32105031396</v>
      </c>
      <c r="T85">
        <f t="shared" ref="T85" si="404">S85/1000</f>
        <v>13.77632105031396</v>
      </c>
    </row>
    <row r="86" spans="1:20" x14ac:dyDescent="0.25">
      <c r="A86" s="5">
        <v>44507</v>
      </c>
      <c r="B86">
        <v>4.2729999999999997E-2</v>
      </c>
      <c r="C86">
        <v>4.6050000000000001E-2</v>
      </c>
      <c r="D86">
        <v>4.233E-2</v>
      </c>
      <c r="E86">
        <v>4.4319999999999998E-2</v>
      </c>
      <c r="F86">
        <v>324057884.89999998</v>
      </c>
      <c r="G86">
        <v>4.4319999999999998E-2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6.9892473118278564E-2</v>
      </c>
      <c r="Q86">
        <f t="shared" ref="Q86" si="406">F86*P86</f>
        <v>22649207.009139456</v>
      </c>
      <c r="R86">
        <f t="shared" ref="R86" si="407">R87+Q86</f>
        <v>1128317322.0368683</v>
      </c>
      <c r="S86">
        <f t="shared" ref="S86" si="408">R86/100000</f>
        <v>11283.173220368682</v>
      </c>
      <c r="T86">
        <f t="shared" ref="T86" si="409">S86/1000</f>
        <v>11.283173220368683</v>
      </c>
    </row>
    <row r="87" spans="1:20" x14ac:dyDescent="0.25">
      <c r="A87" s="5">
        <v>44506</v>
      </c>
      <c r="B87">
        <v>4.4119999999999999E-2</v>
      </c>
      <c r="C87">
        <v>4.4690000000000001E-2</v>
      </c>
      <c r="D87">
        <v>4.1259999999999998E-2</v>
      </c>
      <c r="E87">
        <v>4.2720000000000001E-2</v>
      </c>
      <c r="F87">
        <v>220112050.59999999</v>
      </c>
      <c r="G87">
        <v>4.2720000000000001E-2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-0.14868804664722921</v>
      </c>
      <c r="Q87">
        <f t="shared" ref="Q87" si="411">F87*P87</f>
        <v>-32728030.847230073</v>
      </c>
      <c r="R87">
        <f t="shared" ref="R87" si="412">R88+Q87</f>
        <v>1105668115.0277288</v>
      </c>
      <c r="S87">
        <f t="shared" ref="S87" si="413">R87/100000</f>
        <v>11056.681150277287</v>
      </c>
      <c r="T87">
        <f t="shared" ref="T87" si="414">S87/1000</f>
        <v>11.056681150277287</v>
      </c>
    </row>
    <row r="88" spans="1:20" x14ac:dyDescent="0.25">
      <c r="A88" s="5">
        <v>44505</v>
      </c>
      <c r="B88">
        <v>4.3959999999999999E-2</v>
      </c>
      <c r="C88">
        <v>4.5940000000000002E-2</v>
      </c>
      <c r="D88">
        <v>4.3029999999999999E-2</v>
      </c>
      <c r="E88">
        <v>4.4130000000000003E-2</v>
      </c>
      <c r="F88">
        <v>357395463.39999998</v>
      </c>
      <c r="G88">
        <v>4.4130000000000003E-2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-0.24398625429553081</v>
      </c>
      <c r="Q88">
        <f t="shared" ref="Q88" si="416">F88*P88</f>
        <v>-87199580.417181462</v>
      </c>
      <c r="R88">
        <f t="shared" ref="R88" si="417">R89+Q88</f>
        <v>1138396145.8749588</v>
      </c>
      <c r="S88">
        <f t="shared" ref="S88" si="418">R88/100000</f>
        <v>11383.961458749587</v>
      </c>
      <c r="T88">
        <f t="shared" ref="T88" si="419">S88/1000</f>
        <v>11.383961458749587</v>
      </c>
    </row>
    <row r="89" spans="1:20" x14ac:dyDescent="0.25">
      <c r="A89" s="5">
        <v>44504</v>
      </c>
      <c r="B89">
        <v>4.5240000000000002E-2</v>
      </c>
      <c r="C89">
        <v>4.8320000000000002E-2</v>
      </c>
      <c r="D89">
        <v>4.2479999999999997E-2</v>
      </c>
      <c r="E89">
        <v>4.3990000000000001E-2</v>
      </c>
      <c r="F89">
        <v>931366753.70000005</v>
      </c>
      <c r="G89">
        <v>4.3990000000000001E-2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-0.48287671232876606</v>
      </c>
      <c r="Q89">
        <f t="shared" ref="Q89" si="421">F89*P89</f>
        <v>-449735315.99897164</v>
      </c>
      <c r="R89">
        <f t="shared" ref="R89" si="422">R90+Q89</f>
        <v>1225595726.2921402</v>
      </c>
      <c r="S89">
        <f t="shared" ref="S89" si="423">R89/100000</f>
        <v>12255.957262921402</v>
      </c>
      <c r="T89">
        <f t="shared" ref="T89" si="424">S89/1000</f>
        <v>12.255957262921402</v>
      </c>
    </row>
    <row r="90" spans="1:20" x14ac:dyDescent="0.25">
      <c r="A90" s="5">
        <v>44503</v>
      </c>
      <c r="B90">
        <v>4.1450000000000001E-2</v>
      </c>
      <c r="C90">
        <v>4.7230000000000001E-2</v>
      </c>
      <c r="D90">
        <v>4.0090000000000001E-2</v>
      </c>
      <c r="E90">
        <v>4.5190000000000001E-2</v>
      </c>
      <c r="F90">
        <v>1155856834.9000001</v>
      </c>
      <c r="G90">
        <v>4.5190000000000001E-2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0.42857142857142855</v>
      </c>
      <c r="Q90">
        <f t="shared" ref="Q90" si="426">F90*P90</f>
        <v>495367214.95714289</v>
      </c>
      <c r="R90">
        <f t="shared" ref="R90" si="427">R91+Q90</f>
        <v>1675331042.2911119</v>
      </c>
      <c r="S90">
        <f t="shared" ref="S90" si="428">R90/100000</f>
        <v>16753.31042291112</v>
      </c>
      <c r="T90">
        <f t="shared" ref="T90" si="429">S90/1000</f>
        <v>16.75331042291112</v>
      </c>
    </row>
    <row r="91" spans="1:20" x14ac:dyDescent="0.25">
      <c r="A91" s="5">
        <v>44502</v>
      </c>
      <c r="B91">
        <v>4.0660000000000002E-2</v>
      </c>
      <c r="C91">
        <v>4.335E-2</v>
      </c>
      <c r="D91">
        <v>3.9969999999999999E-2</v>
      </c>
      <c r="E91">
        <v>4.1450000000000001E-2</v>
      </c>
      <c r="F91">
        <v>481153592.19999999</v>
      </c>
      <c r="G91">
        <v>4.1450000000000001E-2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-0.1242603550295848</v>
      </c>
      <c r="Q91">
        <f t="shared" ref="Q91" si="431">F91*P91</f>
        <v>-59788316.190532058</v>
      </c>
      <c r="R91">
        <f t="shared" ref="R91" si="432">R92+Q91</f>
        <v>1179963827.3339691</v>
      </c>
      <c r="S91">
        <f t="shared" ref="S91" si="433">R91/100000</f>
        <v>11799.638273339691</v>
      </c>
      <c r="T91">
        <f t="shared" ref="T91" si="434">S91/1000</f>
        <v>11.799638273339692</v>
      </c>
    </row>
    <row r="92" spans="1:20" x14ac:dyDescent="0.25">
      <c r="A92" s="5">
        <v>44501</v>
      </c>
      <c r="B92">
        <v>4.0099999999999997E-2</v>
      </c>
      <c r="C92">
        <v>4.1869999999999997E-2</v>
      </c>
      <c r="D92">
        <v>3.7019999999999997E-2</v>
      </c>
      <c r="E92">
        <v>4.0719999999999999E-2</v>
      </c>
      <c r="F92">
        <v>668606517.10000002</v>
      </c>
      <c r="G92">
        <v>4.0719999999999999E-2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0.52577319587628935</v>
      </c>
      <c r="Q92">
        <f t="shared" ref="Q92" si="436">F92*P92</f>
        <v>351535385.27938193</v>
      </c>
      <c r="R92">
        <f t="shared" ref="R92" si="437">R93+Q92</f>
        <v>1239752143.5245011</v>
      </c>
      <c r="S92">
        <f t="shared" ref="S92" si="438">R92/100000</f>
        <v>12397.521435245011</v>
      </c>
      <c r="T92">
        <f t="shared" ref="T92" si="439">S92/1000</f>
        <v>12.397521435245011</v>
      </c>
    </row>
    <row r="93" spans="1:20" x14ac:dyDescent="0.25">
      <c r="A93" s="5">
        <v>44500</v>
      </c>
      <c r="B93">
        <v>3.6150000000000002E-2</v>
      </c>
      <c r="C93">
        <v>4.0989999999999999E-2</v>
      </c>
      <c r="D93">
        <v>3.6139999999999999E-2</v>
      </c>
      <c r="E93">
        <v>4.0090000000000001E-2</v>
      </c>
      <c r="F93">
        <v>970314767.20000005</v>
      </c>
      <c r="G93">
        <v>4.0090000000000001E-2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0.62886597938144417</v>
      </c>
      <c r="Q93">
        <f t="shared" ref="Q93" si="441">F93*P93</f>
        <v>610197946.38350606</v>
      </c>
      <c r="R93">
        <f t="shared" ref="R93" si="442">R94+Q93</f>
        <v>888216758.24511909</v>
      </c>
      <c r="S93">
        <f t="shared" ref="S93" si="443">R93/100000</f>
        <v>8882.1675824511913</v>
      </c>
      <c r="T93">
        <f t="shared" ref="T93" si="444">S93/1000</f>
        <v>8.8821675824511921</v>
      </c>
    </row>
    <row r="94" spans="1:20" x14ac:dyDescent="0.25">
      <c r="A94" s="5">
        <v>44499</v>
      </c>
      <c r="B94">
        <v>3.7920000000000002E-2</v>
      </c>
      <c r="C94">
        <v>3.7969999999999997E-2</v>
      </c>
      <c r="D94">
        <v>3.5959999999999999E-2</v>
      </c>
      <c r="E94">
        <v>3.6220000000000002E-2</v>
      </c>
      <c r="F94">
        <v>368458018.39999998</v>
      </c>
      <c r="G94">
        <v>3.6220000000000002E-2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-0.74129353233830497</v>
      </c>
      <c r="Q94">
        <f t="shared" ref="Q94" si="446">F94*P94</f>
        <v>-273135545.97810817</v>
      </c>
      <c r="R94">
        <f t="shared" ref="R94" si="447">R95+Q94</f>
        <v>278018811.86161304</v>
      </c>
      <c r="S94">
        <f t="shared" ref="S94" si="448">R94/100000</f>
        <v>2780.1881186161304</v>
      </c>
      <c r="T94">
        <f t="shared" ref="T94" si="449">S94/1000</f>
        <v>2.7801881186161306</v>
      </c>
    </row>
    <row r="95" spans="1:20" x14ac:dyDescent="0.25">
      <c r="A95" s="5">
        <v>44498</v>
      </c>
      <c r="B95">
        <v>3.7870000000000001E-2</v>
      </c>
      <c r="C95">
        <v>3.8989999999999997E-2</v>
      </c>
      <c r="D95">
        <v>3.7479999999999999E-2</v>
      </c>
      <c r="E95">
        <v>3.7969999999999997E-2</v>
      </c>
      <c r="F95">
        <v>298187734</v>
      </c>
      <c r="G95">
        <v>3.7969999999999997E-2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-0.35099337748344606</v>
      </c>
      <c r="Q95">
        <f t="shared" ref="Q95" si="451">F95*P95</f>
        <v>-104661919.8807954</v>
      </c>
      <c r="R95">
        <f t="shared" ref="R95" si="452">R96+Q95</f>
        <v>551154357.8397212</v>
      </c>
      <c r="S95">
        <f t="shared" ref="S95" si="453">R95/100000</f>
        <v>5511.5435783972116</v>
      </c>
      <c r="T95">
        <f t="shared" ref="T95" si="454">S95/1000</f>
        <v>5.5115435783972115</v>
      </c>
    </row>
    <row r="96" spans="1:20" x14ac:dyDescent="0.25">
      <c r="A96" s="5">
        <v>44497</v>
      </c>
      <c r="B96">
        <v>3.6400000000000002E-2</v>
      </c>
      <c r="C96">
        <v>3.9699999999999999E-2</v>
      </c>
      <c r="D96">
        <v>3.5299999999999998E-2</v>
      </c>
      <c r="E96">
        <v>3.7859999999999998E-2</v>
      </c>
      <c r="F96">
        <v>568139144.39999998</v>
      </c>
      <c r="G96">
        <v>3.7859999999999998E-2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0.16363636363636325</v>
      </c>
      <c r="Q96">
        <f t="shared" ref="Q96" si="456">F96*P96</f>
        <v>92968223.629090682</v>
      </c>
      <c r="R96">
        <f t="shared" ref="R96" si="457">R97+Q96</f>
        <v>655816277.72051656</v>
      </c>
      <c r="S96">
        <f t="shared" ref="S96" si="458">R96/100000</f>
        <v>6558.1627772051652</v>
      </c>
      <c r="T96">
        <f t="shared" ref="T96" si="459">S96/1000</f>
        <v>6.5581627772051654</v>
      </c>
    </row>
    <row r="97" spans="1:20" x14ac:dyDescent="0.25">
      <c r="A97" s="5">
        <v>44496</v>
      </c>
      <c r="B97">
        <v>4.3610000000000003E-2</v>
      </c>
      <c r="C97">
        <v>4.4850000000000001E-2</v>
      </c>
      <c r="D97">
        <v>3.5000000000000003E-2</v>
      </c>
      <c r="E97">
        <v>3.6360000000000003E-2</v>
      </c>
      <c r="F97">
        <v>906180948</v>
      </c>
      <c r="G97">
        <v>3.6360000000000003E-2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-0.7238578680203045</v>
      </c>
      <c r="Q97">
        <f t="shared" ref="Q97" si="461">F97*P97</f>
        <v>-655946209.05989838</v>
      </c>
      <c r="R97">
        <f t="shared" ref="R97" si="462">R98+Q97</f>
        <v>562848054.0914259</v>
      </c>
      <c r="S97">
        <f t="shared" ref="S97" si="463">R97/100000</f>
        <v>5628.4805409142591</v>
      </c>
      <c r="T97">
        <f t="shared" ref="T97" si="464">S97/1000</f>
        <v>5.6284805409142589</v>
      </c>
    </row>
    <row r="98" spans="1:20" x14ac:dyDescent="0.25">
      <c r="A98" s="5">
        <v>44495</v>
      </c>
      <c r="B98">
        <v>3.9460000000000002E-2</v>
      </c>
      <c r="C98">
        <v>4.5499999999999999E-2</v>
      </c>
      <c r="D98">
        <v>3.9120000000000002E-2</v>
      </c>
      <c r="E98">
        <v>4.3569999999999998E-2</v>
      </c>
      <c r="F98">
        <v>870964827.29999995</v>
      </c>
      <c r="G98">
        <v>4.3569999999999998E-2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0.39498432601880812</v>
      </c>
      <c r="Q98">
        <f t="shared" ref="Q98" si="466">F98*P98</f>
        <v>344017455.29717809</v>
      </c>
      <c r="R98">
        <f t="shared" ref="R98" si="467">R99+Q98</f>
        <v>1218794263.1513243</v>
      </c>
      <c r="S98">
        <f t="shared" ref="S98" si="468">R98/100000</f>
        <v>12187.942631513242</v>
      </c>
      <c r="T98">
        <f t="shared" ref="T98" si="469">S98/1000</f>
        <v>12.187942631513243</v>
      </c>
    </row>
    <row r="99" spans="1:20" x14ac:dyDescent="0.25">
      <c r="A99" s="5">
        <v>44494</v>
      </c>
      <c r="B99">
        <v>3.9219999999999998E-2</v>
      </c>
      <c r="C99">
        <v>4.1390000000000003E-2</v>
      </c>
      <c r="D99">
        <v>3.9059999999999997E-2</v>
      </c>
      <c r="E99">
        <v>3.9469999999999998E-2</v>
      </c>
      <c r="F99">
        <v>306163539.19999999</v>
      </c>
      <c r="G99">
        <v>3.9469999999999998E-2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-0.64806866952789732</v>
      </c>
      <c r="Q99">
        <f t="shared" ref="Q99" si="471">F99*P99</f>
        <v>-198414997.50729623</v>
      </c>
      <c r="R99">
        <f t="shared" ref="R99" si="472">R100+Q99</f>
        <v>874776807.85414612</v>
      </c>
      <c r="S99">
        <f t="shared" ref="S99" si="473">R99/100000</f>
        <v>8747.7680785414614</v>
      </c>
      <c r="T99">
        <f t="shared" ref="T99" si="474">S99/1000</f>
        <v>8.747768078541462</v>
      </c>
    </row>
    <row r="100" spans="1:20" x14ac:dyDescent="0.25">
      <c r="A100" s="5">
        <v>44493</v>
      </c>
      <c r="B100">
        <v>4.0660000000000002E-2</v>
      </c>
      <c r="C100">
        <v>4.2900000000000001E-2</v>
      </c>
      <c r="D100">
        <v>3.8800000000000001E-2</v>
      </c>
      <c r="E100">
        <v>3.9219999999999998E-2</v>
      </c>
      <c r="F100">
        <v>356888255.69999999</v>
      </c>
      <c r="G100">
        <v>3.9219999999999998E-2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-0.79512195121951379</v>
      </c>
      <c r="Q100">
        <f t="shared" ref="Q100" si="476">F100*P100</f>
        <v>-283769686.23951274</v>
      </c>
      <c r="R100">
        <f t="shared" ref="R100" si="477">R101+Q100</f>
        <v>1073191805.3614423</v>
      </c>
      <c r="S100">
        <f t="shared" ref="S100" si="478">R100/100000</f>
        <v>10731.918053614423</v>
      </c>
      <c r="T100">
        <f t="shared" ref="T100" si="479">S100/1000</f>
        <v>10.731918053614423</v>
      </c>
    </row>
    <row r="101" spans="1:20" x14ac:dyDescent="0.25">
      <c r="A101" s="5">
        <v>44492</v>
      </c>
      <c r="B101">
        <v>4.122E-2</v>
      </c>
      <c r="C101">
        <v>4.3499999999999997E-2</v>
      </c>
      <c r="D101">
        <v>3.9800000000000002E-2</v>
      </c>
      <c r="E101">
        <v>4.0660000000000002E-2</v>
      </c>
      <c r="F101">
        <v>396434959.39999998</v>
      </c>
      <c r="G101">
        <v>4.0660000000000002E-2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-0.53513513513513467</v>
      </c>
      <c r="Q101">
        <f t="shared" ref="Q101" si="481">F101*P101</f>
        <v>-212146275.57081062</v>
      </c>
      <c r="R101">
        <f t="shared" ref="R101" si="482">R102+Q101</f>
        <v>1356961491.600955</v>
      </c>
      <c r="S101">
        <f t="shared" ref="S101" si="483">R101/100000</f>
        <v>13569.61491600955</v>
      </c>
      <c r="T101">
        <f t="shared" ref="T101" si="484">S101/1000</f>
        <v>13.56961491600955</v>
      </c>
    </row>
    <row r="102" spans="1:20" x14ac:dyDescent="0.25">
      <c r="A102" s="5">
        <v>44491</v>
      </c>
      <c r="B102">
        <v>3.7510000000000002E-2</v>
      </c>
      <c r="C102">
        <v>4.2009999999999999E-2</v>
      </c>
      <c r="D102">
        <v>3.7229999999999999E-2</v>
      </c>
      <c r="E102">
        <v>4.122E-2</v>
      </c>
      <c r="F102">
        <v>841368966.70000005</v>
      </c>
      <c r="G102">
        <v>4.122E-2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0.66945606694560711</v>
      </c>
      <c r="Q102">
        <f t="shared" ref="Q102" si="486">F102*P102</f>
        <v>563259559.29707146</v>
      </c>
      <c r="R102">
        <f t="shared" ref="R102" si="487">R103+Q102</f>
        <v>1569107767.1717656</v>
      </c>
      <c r="S102">
        <f t="shared" ref="S102" si="488">R102/100000</f>
        <v>15691.077671717656</v>
      </c>
      <c r="T102">
        <f t="shared" ref="T102" si="489">S102/1000</f>
        <v>15.691077671717656</v>
      </c>
    </row>
    <row r="103" spans="1:20" x14ac:dyDescent="0.25">
      <c r="A103" s="5">
        <v>44490</v>
      </c>
      <c r="B103">
        <v>3.5770000000000003E-2</v>
      </c>
      <c r="C103">
        <v>3.9699999999999999E-2</v>
      </c>
      <c r="D103">
        <v>3.5209999999999998E-2</v>
      </c>
      <c r="E103">
        <v>3.7519999999999998E-2</v>
      </c>
      <c r="F103">
        <v>914429670.10000002</v>
      </c>
      <c r="G103">
        <v>3.7519999999999998E-2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2.8953229398663283E-2</v>
      </c>
      <c r="Q103">
        <f t="shared" ref="Q103" si="491">F103*P103</f>
        <v>26475692.00734929</v>
      </c>
      <c r="R103">
        <f t="shared" ref="R103" si="492">R104+Q103</f>
        <v>1005848207.8746941</v>
      </c>
      <c r="S103">
        <f t="shared" ref="S103" si="493">R103/100000</f>
        <v>10058.482078746942</v>
      </c>
      <c r="T103">
        <f t="shared" ref="T103" si="494">S103/1000</f>
        <v>10.058482078746941</v>
      </c>
    </row>
    <row r="104" spans="1:20" x14ac:dyDescent="0.25">
      <c r="A104" s="5">
        <v>44489</v>
      </c>
      <c r="B104">
        <v>3.347E-2</v>
      </c>
      <c r="C104">
        <v>3.6429999999999997E-2</v>
      </c>
      <c r="D104">
        <v>3.286E-2</v>
      </c>
      <c r="E104">
        <v>3.5770000000000003E-2</v>
      </c>
      <c r="F104">
        <v>390872349.39999998</v>
      </c>
      <c r="G104">
        <v>3.5770000000000003E-2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0.63025210084033922</v>
      </c>
      <c r="Q104">
        <f t="shared" ref="Q104" si="496">F104*P104</f>
        <v>246348119.3697491</v>
      </c>
      <c r="R104">
        <f t="shared" ref="R104" si="497">R105+Q104</f>
        <v>979372515.86734486</v>
      </c>
      <c r="S104">
        <f t="shared" ref="S104" si="498">R104/100000</f>
        <v>9793.7251586734492</v>
      </c>
      <c r="T104">
        <f t="shared" ref="T104" si="499">S104/1000</f>
        <v>9.7937251586734497</v>
      </c>
    </row>
    <row r="105" spans="1:20" x14ac:dyDescent="0.25">
      <c r="A105" s="5">
        <v>44488</v>
      </c>
      <c r="B105">
        <v>3.415E-2</v>
      </c>
      <c r="C105">
        <v>3.5040000000000002E-2</v>
      </c>
      <c r="D105">
        <v>3.2750000000000001E-2</v>
      </c>
      <c r="E105">
        <v>3.347E-2</v>
      </c>
      <c r="F105">
        <v>261978503.5</v>
      </c>
      <c r="G105">
        <v>3.347E-2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-0.37117903930131152</v>
      </c>
      <c r="Q105">
        <f t="shared" ref="Q105" si="501">F105*P105</f>
        <v>-97240929.246725276</v>
      </c>
      <c r="R105">
        <f t="shared" ref="R105" si="502">R106+Q105</f>
        <v>733024396.49759579</v>
      </c>
      <c r="S105">
        <f t="shared" ref="S105" si="503">R105/100000</f>
        <v>7330.2439649759581</v>
      </c>
      <c r="T105">
        <f t="shared" ref="T105" si="504">S105/1000</f>
        <v>7.3302439649759581</v>
      </c>
    </row>
    <row r="106" spans="1:20" x14ac:dyDescent="0.25">
      <c r="A106" s="5">
        <v>44487</v>
      </c>
      <c r="B106">
        <v>3.5189999999999999E-2</v>
      </c>
      <c r="C106">
        <v>3.5700000000000003E-2</v>
      </c>
      <c r="D106">
        <v>3.3759999999999998E-2</v>
      </c>
      <c r="E106">
        <v>3.4139999999999997E-2</v>
      </c>
      <c r="F106">
        <v>235025266.19999999</v>
      </c>
      <c r="G106">
        <v>3.4139999999999997E-2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-0.60824742268041487</v>
      </c>
      <c r="Q106">
        <f t="shared" ref="Q106" si="506">F106*P106</f>
        <v>-142953512.43092841</v>
      </c>
      <c r="R106">
        <f t="shared" ref="R106" si="507">R107+Q106</f>
        <v>830265325.74432111</v>
      </c>
      <c r="S106">
        <f t="shared" ref="S106" si="508">R106/100000</f>
        <v>8302.6532574432113</v>
      </c>
      <c r="T106">
        <f t="shared" ref="T106" si="509">S106/1000</f>
        <v>8.302653257443211</v>
      </c>
    </row>
    <row r="107" spans="1:20" x14ac:dyDescent="0.25">
      <c r="A107" s="5">
        <v>44486</v>
      </c>
      <c r="B107">
        <v>3.7069999999999999E-2</v>
      </c>
      <c r="C107">
        <v>3.764E-2</v>
      </c>
      <c r="D107">
        <v>3.3619999999999997E-2</v>
      </c>
      <c r="E107">
        <v>3.5189999999999999E-2</v>
      </c>
      <c r="F107">
        <v>325421958.10000002</v>
      </c>
      <c r="G107">
        <v>3.5189999999999999E-2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-0.21890547263681548</v>
      </c>
      <c r="Q107">
        <f t="shared" ref="Q107" si="511">F107*P107</f>
        <v>-71236647.544278473</v>
      </c>
      <c r="R107">
        <f t="shared" ref="R107" si="512">R108+Q107</f>
        <v>973218838.17524946</v>
      </c>
      <c r="S107">
        <f t="shared" ref="S107" si="513">R107/100000</f>
        <v>9732.188381752494</v>
      </c>
      <c r="T107">
        <f t="shared" ref="T107" si="514">S107/1000</f>
        <v>9.7321883817524935</v>
      </c>
    </row>
    <row r="108" spans="1:20" x14ac:dyDescent="0.25">
      <c r="A108" s="5">
        <v>44485</v>
      </c>
      <c r="B108">
        <v>3.4549999999999997E-2</v>
      </c>
      <c r="C108">
        <v>3.8649999999999997E-2</v>
      </c>
      <c r="D108">
        <v>3.4509999999999999E-2</v>
      </c>
      <c r="E108">
        <v>3.7019999999999997E-2</v>
      </c>
      <c r="F108">
        <v>657862783.20000005</v>
      </c>
      <c r="G108">
        <v>3.7019999999999997E-2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0.21256038647342979</v>
      </c>
      <c r="Q108">
        <f t="shared" ref="Q108" si="516">F108*P108</f>
        <v>139835567.44347817</v>
      </c>
      <c r="R108">
        <f t="shared" ref="R108" si="517">R109+Q108</f>
        <v>1044455485.719528</v>
      </c>
      <c r="S108">
        <f t="shared" ref="S108" si="518">R108/100000</f>
        <v>10444.55485719528</v>
      </c>
      <c r="T108">
        <f t="shared" ref="T108" si="519">S108/1000</f>
        <v>10.44455485719528</v>
      </c>
    </row>
    <row r="109" spans="1:20" x14ac:dyDescent="0.25">
      <c r="A109" s="5">
        <v>44484</v>
      </c>
      <c r="B109">
        <v>3.4209999999999997E-2</v>
      </c>
      <c r="C109">
        <v>3.4979999999999997E-2</v>
      </c>
      <c r="D109">
        <v>3.2439999999999997E-2</v>
      </c>
      <c r="E109">
        <v>3.4549999999999997E-2</v>
      </c>
      <c r="F109">
        <v>419718767.10000002</v>
      </c>
      <c r="G109">
        <v>3.4549999999999997E-2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0.66141732283464594</v>
      </c>
      <c r="Q109">
        <f t="shared" ref="Q109" si="521">F109*P109</f>
        <v>277609263.27874029</v>
      </c>
      <c r="R109">
        <f t="shared" ref="R109" si="522">R110+Q109</f>
        <v>904619918.27604985</v>
      </c>
      <c r="S109">
        <f t="shared" ref="S109" si="523">R109/100000</f>
        <v>9046.1991827604979</v>
      </c>
      <c r="T109">
        <f t="shared" ref="T109" si="524">S109/1000</f>
        <v>9.0461991827604979</v>
      </c>
    </row>
    <row r="110" spans="1:20" x14ac:dyDescent="0.25">
      <c r="A110" s="5">
        <v>44483</v>
      </c>
      <c r="B110">
        <v>3.381E-2</v>
      </c>
      <c r="C110">
        <v>3.7379999999999997E-2</v>
      </c>
      <c r="D110">
        <v>3.3500000000000002E-2</v>
      </c>
      <c r="E110">
        <v>3.4209999999999997E-2</v>
      </c>
      <c r="F110">
        <v>404739481.19999999</v>
      </c>
      <c r="G110">
        <v>3.4209999999999997E-2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-0.63402061855670289</v>
      </c>
      <c r="Q110">
        <f t="shared" ref="Q110" si="526">F110*P110</f>
        <v>-256613176.22474301</v>
      </c>
      <c r="R110">
        <f t="shared" ref="R110" si="527">R111+Q110</f>
        <v>627010654.99730957</v>
      </c>
      <c r="S110">
        <f t="shared" ref="S110" si="528">R110/100000</f>
        <v>6270.1065499730958</v>
      </c>
      <c r="T110">
        <f t="shared" ref="T110" si="529">S110/1000</f>
        <v>6.2701065499730957</v>
      </c>
    </row>
    <row r="111" spans="1:20" x14ac:dyDescent="0.25">
      <c r="A111" s="5">
        <v>44482</v>
      </c>
      <c r="B111">
        <v>3.3430000000000001E-2</v>
      </c>
      <c r="C111">
        <v>3.4349999999999999E-2</v>
      </c>
      <c r="D111">
        <v>3.2289999999999999E-2</v>
      </c>
      <c r="E111">
        <v>3.3820000000000003E-2</v>
      </c>
      <c r="F111">
        <v>247616624.09999999</v>
      </c>
      <c r="G111">
        <v>3.3820000000000003E-2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0.48543689320388744</v>
      </c>
      <c r="Q111">
        <f t="shared" ref="Q111" si="531">F111*P111</f>
        <v>120202244.70873883</v>
      </c>
      <c r="R111">
        <f t="shared" ref="R111" si="532">R112+Q111</f>
        <v>883623831.22205257</v>
      </c>
      <c r="S111">
        <f t="shared" ref="S111" si="533">R111/100000</f>
        <v>8836.2383122205265</v>
      </c>
      <c r="T111">
        <f t="shared" ref="T111" si="534">S111/1000</f>
        <v>8.8362383122205266</v>
      </c>
    </row>
    <row r="112" spans="1:20" x14ac:dyDescent="0.25">
      <c r="A112" s="5">
        <v>44481</v>
      </c>
      <c r="B112">
        <v>3.4750000000000003E-2</v>
      </c>
      <c r="C112">
        <v>3.4750000000000003E-2</v>
      </c>
      <c r="D112">
        <v>3.168E-2</v>
      </c>
      <c r="E112">
        <v>3.3430000000000001E-2</v>
      </c>
      <c r="F112">
        <v>308093409.80000001</v>
      </c>
      <c r="G112">
        <v>3.3430000000000001E-2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0.14006514657980434</v>
      </c>
      <c r="Q112">
        <f t="shared" ref="Q112" si="536">F112*P112</f>
        <v>43153148.603908733</v>
      </c>
      <c r="R112">
        <f t="shared" ref="R112" si="537">R113+Q112</f>
        <v>763421586.51331377</v>
      </c>
      <c r="S112">
        <f t="shared" ref="S112" si="538">R112/100000</f>
        <v>7634.2158651331374</v>
      </c>
      <c r="T112">
        <f t="shared" ref="T112" si="539">S112/1000</f>
        <v>7.6342158651331378</v>
      </c>
    </row>
    <row r="113" spans="1:20" x14ac:dyDescent="0.25">
      <c r="A113" s="5">
        <v>44480</v>
      </c>
      <c r="B113">
        <v>3.5610000000000003E-2</v>
      </c>
      <c r="C113">
        <v>3.7130000000000003E-2</v>
      </c>
      <c r="D113">
        <v>3.3890000000000003E-2</v>
      </c>
      <c r="E113">
        <v>3.4759999999999999E-2</v>
      </c>
      <c r="F113">
        <v>250096328.40000001</v>
      </c>
      <c r="G113">
        <v>3.4759999999999999E-2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-0.46296296296296552</v>
      </c>
      <c r="Q113">
        <f t="shared" ref="Q113" si="541">F113*P113</f>
        <v>-115785337.22222286</v>
      </c>
      <c r="R113">
        <f t="shared" ref="R113" si="542">R114+Q113</f>
        <v>720268437.90940499</v>
      </c>
      <c r="S113">
        <f t="shared" ref="S113" si="543">R113/100000</f>
        <v>7202.6843790940502</v>
      </c>
      <c r="T113">
        <f t="shared" ref="T113" si="544">S113/1000</f>
        <v>7.20268437909405</v>
      </c>
    </row>
    <row r="114" spans="1:20" x14ac:dyDescent="0.25">
      <c r="A114" s="5">
        <v>44479</v>
      </c>
      <c r="B114">
        <v>3.9129999999999998E-2</v>
      </c>
      <c r="C114">
        <v>3.918E-2</v>
      </c>
      <c r="D114">
        <v>3.5380000000000002E-2</v>
      </c>
      <c r="E114">
        <v>3.5639999999999998E-2</v>
      </c>
      <c r="F114">
        <v>252834816.09999999</v>
      </c>
      <c r="G114">
        <v>3.5639999999999998E-2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-0.8631578947368439</v>
      </c>
      <c r="Q114">
        <f t="shared" ref="Q114" si="546">F114*P114</f>
        <v>-218236367.58105308</v>
      </c>
      <c r="R114">
        <f t="shared" ref="R114" si="547">R115+Q114</f>
        <v>836053775.1316278</v>
      </c>
      <c r="S114">
        <f t="shared" ref="S114" si="548">R114/100000</f>
        <v>8360.5377513162784</v>
      </c>
      <c r="T114">
        <f t="shared" ref="T114" si="549">S114/1000</f>
        <v>8.3605377513162793</v>
      </c>
    </row>
    <row r="115" spans="1:20" x14ac:dyDescent="0.25">
      <c r="A115" s="5">
        <v>44478</v>
      </c>
      <c r="B115">
        <v>3.7589999999999998E-2</v>
      </c>
      <c r="C115">
        <v>4.0960000000000003E-2</v>
      </c>
      <c r="D115">
        <v>3.7100000000000001E-2</v>
      </c>
      <c r="E115">
        <v>3.9129999999999998E-2</v>
      </c>
      <c r="F115">
        <v>424071253.80000001</v>
      </c>
      <c r="G115">
        <v>3.9129999999999998E-2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5.1813471502588533E-2</v>
      </c>
      <c r="Q115">
        <f t="shared" ref="Q115" si="551">F115*P115</f>
        <v>21972603.82383329</v>
      </c>
      <c r="R115">
        <f t="shared" ref="R115" si="552">R116+Q115</f>
        <v>1054290142.7126809</v>
      </c>
      <c r="S115">
        <f t="shared" ref="S115" si="553">R115/100000</f>
        <v>10542.90142712681</v>
      </c>
      <c r="T115">
        <f t="shared" ref="T115" si="554">S115/1000</f>
        <v>10.542901427126809</v>
      </c>
    </row>
    <row r="116" spans="1:20" x14ac:dyDescent="0.25">
      <c r="A116" s="5">
        <v>44477</v>
      </c>
      <c r="B116">
        <v>3.7280000000000001E-2</v>
      </c>
      <c r="C116">
        <v>4.02E-2</v>
      </c>
      <c r="D116">
        <v>3.6479999999999999E-2</v>
      </c>
      <c r="E116">
        <v>3.7569999999999999E-2</v>
      </c>
      <c r="F116">
        <v>480117486.10000002</v>
      </c>
      <c r="G116">
        <v>3.7569999999999999E-2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-0.41397849462365571</v>
      </c>
      <c r="Q116">
        <f t="shared" ref="Q116" si="556">F116*P116</f>
        <v>-198758314.13817197</v>
      </c>
      <c r="R116">
        <f t="shared" ref="R116" si="557">R117+Q116</f>
        <v>1032317538.8888476</v>
      </c>
      <c r="S116">
        <f t="shared" ref="S116" si="558">R116/100000</f>
        <v>10323.175388888476</v>
      </c>
      <c r="T116">
        <f t="shared" ref="T116" si="559">S116/1000</f>
        <v>10.323175388888476</v>
      </c>
    </row>
    <row r="117" spans="1:20" x14ac:dyDescent="0.25">
      <c r="A117" s="5">
        <v>44476</v>
      </c>
      <c r="B117">
        <v>3.773E-2</v>
      </c>
      <c r="C117">
        <v>3.8809999999999997E-2</v>
      </c>
      <c r="D117">
        <v>3.644E-2</v>
      </c>
      <c r="E117">
        <v>3.7260000000000001E-2</v>
      </c>
      <c r="F117">
        <v>328170319.10000002</v>
      </c>
      <c r="G117">
        <v>3.7260000000000001E-2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-0.30801687763712887</v>
      </c>
      <c r="Q117">
        <f t="shared" ref="Q117" si="561">F117*P117</f>
        <v>-101081997.02236225</v>
      </c>
      <c r="R117">
        <f t="shared" ref="R117" si="562">R118+Q117</f>
        <v>1231075853.0270195</v>
      </c>
      <c r="S117">
        <f t="shared" ref="S117" si="563">R117/100000</f>
        <v>12310.758530270195</v>
      </c>
      <c r="T117">
        <f t="shared" ref="T117" si="564">S117/1000</f>
        <v>12.310758530270196</v>
      </c>
    </row>
    <row r="118" spans="1:20" x14ac:dyDescent="0.25">
      <c r="A118" s="5">
        <v>44475</v>
      </c>
      <c r="B118">
        <v>3.943E-2</v>
      </c>
      <c r="C118">
        <v>3.9800000000000002E-2</v>
      </c>
      <c r="D118">
        <v>3.6020000000000003E-2</v>
      </c>
      <c r="E118">
        <v>3.773E-2</v>
      </c>
      <c r="F118">
        <v>433827136.19999999</v>
      </c>
      <c r="G118">
        <v>3.773E-2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-9.5238095238096898E-2</v>
      </c>
      <c r="Q118">
        <f t="shared" ref="Q118" si="566">F118*P118</f>
        <v>-41316870.11428643</v>
      </c>
      <c r="R118">
        <f t="shared" ref="R118" si="567">R119+Q118</f>
        <v>1332157850.0493817</v>
      </c>
      <c r="S118">
        <f t="shared" ref="S118" si="568">R118/100000</f>
        <v>13321.578500493817</v>
      </c>
      <c r="T118">
        <f t="shared" ref="T118" si="569">S118/1000</f>
        <v>13.321578500493818</v>
      </c>
    </row>
    <row r="119" spans="1:20" x14ac:dyDescent="0.25">
      <c r="A119" s="5">
        <v>44474</v>
      </c>
      <c r="B119">
        <v>3.5119999999999998E-2</v>
      </c>
      <c r="C119">
        <v>3.952E-2</v>
      </c>
      <c r="D119">
        <v>3.4660000000000003E-2</v>
      </c>
      <c r="E119">
        <v>3.943E-2</v>
      </c>
      <c r="F119">
        <v>629790039</v>
      </c>
      <c r="G119">
        <v>3.943E-2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0.96296296296296302</v>
      </c>
      <c r="Q119">
        <f t="shared" ref="Q119" si="571">F119*P119</f>
        <v>606464482</v>
      </c>
      <c r="R119">
        <f t="shared" ref="R119" si="572">R120+Q119</f>
        <v>1373474720.1636682</v>
      </c>
      <c r="S119">
        <f t="shared" ref="S119" si="573">R119/100000</f>
        <v>13734.747201636681</v>
      </c>
      <c r="T119">
        <f t="shared" ref="T119" si="574">S119/1000</f>
        <v>13.734747201636681</v>
      </c>
    </row>
    <row r="120" spans="1:20" x14ac:dyDescent="0.25">
      <c r="A120" s="5">
        <v>44473</v>
      </c>
      <c r="B120">
        <v>3.6819999999999999E-2</v>
      </c>
      <c r="C120">
        <v>3.696E-2</v>
      </c>
      <c r="D120">
        <v>3.3550000000000003E-2</v>
      </c>
      <c r="E120">
        <v>3.5069999999999997E-2</v>
      </c>
      <c r="F120">
        <v>347062562.80000001</v>
      </c>
      <c r="G120">
        <v>3.5069999999999997E-2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-0.10850439882698229</v>
      </c>
      <c r="Q120">
        <f t="shared" ref="Q120" si="576">F120*P120</f>
        <v>-37657814.731965788</v>
      </c>
      <c r="R120">
        <f t="shared" ref="R120" si="577">R121+Q120</f>
        <v>767010238.16366827</v>
      </c>
      <c r="S120">
        <f t="shared" ref="S120" si="578">R120/100000</f>
        <v>7670.1023816366824</v>
      </c>
      <c r="T120">
        <f t="shared" ref="T120" si="579">S120/1000</f>
        <v>7.6701023816366822</v>
      </c>
    </row>
    <row r="121" spans="1:20" x14ac:dyDescent="0.25">
      <c r="A121" s="5">
        <v>44472</v>
      </c>
      <c r="B121">
        <v>3.4810000000000001E-2</v>
      </c>
      <c r="C121">
        <v>3.7999999999999999E-2</v>
      </c>
      <c r="D121">
        <v>3.3910000000000003E-2</v>
      </c>
      <c r="E121">
        <v>3.6729999999999999E-2</v>
      </c>
      <c r="F121">
        <v>379010147.60000002</v>
      </c>
      <c r="G121">
        <v>3.6729999999999999E-2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0.37897310513447363</v>
      </c>
      <c r="Q121">
        <f t="shared" ref="Q121" si="581">F121*P121</f>
        <v>143634652.51344717</v>
      </c>
      <c r="R121">
        <f t="shared" ref="R121" si="582">R122+Q121</f>
        <v>804668052.89563406</v>
      </c>
      <c r="S121">
        <f t="shared" ref="S121" si="583">R121/100000</f>
        <v>8046.6805289563408</v>
      </c>
      <c r="T121">
        <f t="shared" ref="T121" si="584">S121/1000</f>
        <v>8.0466805289563403</v>
      </c>
    </row>
    <row r="122" spans="1:20" x14ac:dyDescent="0.25">
      <c r="A122" s="5">
        <v>44471</v>
      </c>
      <c r="B122">
        <v>3.3509999999999998E-2</v>
      </c>
      <c r="C122">
        <v>3.635E-2</v>
      </c>
      <c r="D122">
        <v>3.3070000000000002E-2</v>
      </c>
      <c r="E122">
        <v>3.4750000000000003E-2</v>
      </c>
      <c r="F122">
        <v>310365888.39999998</v>
      </c>
      <c r="G122">
        <v>3.4750000000000003E-2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2.439024390244016E-2</v>
      </c>
      <c r="Q122">
        <f t="shared" ref="Q122" si="586">F122*P122</f>
        <v>7569899.7170735225</v>
      </c>
      <c r="R122">
        <f t="shared" ref="R122" si="587">R123+Q122</f>
        <v>661033400.38218689</v>
      </c>
      <c r="S122">
        <f t="shared" ref="S122" si="588">R122/100000</f>
        <v>6610.3340038218685</v>
      </c>
      <c r="T122">
        <f t="shared" ref="T122" si="589">S122/1000</f>
        <v>6.6103340038218681</v>
      </c>
    </row>
    <row r="123" spans="1:20" x14ac:dyDescent="0.25">
      <c r="A123" s="5">
        <v>44470</v>
      </c>
      <c r="B123">
        <v>3.022E-2</v>
      </c>
      <c r="C123">
        <v>3.3599999999999998E-2</v>
      </c>
      <c r="D123">
        <v>2.9649999999999999E-2</v>
      </c>
      <c r="E123">
        <v>3.3509999999999998E-2</v>
      </c>
      <c r="F123">
        <v>392782243.10000002</v>
      </c>
      <c r="G123">
        <v>3.3509999999999998E-2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0.95443037974683553</v>
      </c>
      <c r="Q123">
        <f t="shared" ref="Q123" si="591">F123*P123</f>
        <v>374883305.43974692</v>
      </c>
      <c r="R123">
        <f t="shared" ref="R123" si="592">R124+Q123</f>
        <v>653463500.66511333</v>
      </c>
      <c r="S123">
        <f t="shared" ref="S123" si="593">R123/100000</f>
        <v>6534.6350066511332</v>
      </c>
      <c r="T123">
        <f t="shared" ref="T123" si="594">S123/1000</f>
        <v>6.5346350066511327</v>
      </c>
    </row>
    <row r="124" spans="1:20" x14ac:dyDescent="0.25">
      <c r="A124" s="5">
        <v>44469</v>
      </c>
      <c r="B124">
        <v>2.8230000000000002E-2</v>
      </c>
      <c r="C124">
        <v>3.074E-2</v>
      </c>
      <c r="D124">
        <v>2.8070000000000001E-2</v>
      </c>
      <c r="E124">
        <v>3.023E-2</v>
      </c>
      <c r="F124">
        <v>255424700.69999999</v>
      </c>
      <c r="G124">
        <v>3.023E-2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0.61797752808988748</v>
      </c>
      <c r="Q124">
        <f t="shared" ref="Q124" si="596">F124*P124</f>
        <v>157846725.15168536</v>
      </c>
      <c r="R124">
        <f t="shared" ref="R124" si="597">R125+Q124</f>
        <v>278580195.22536641</v>
      </c>
      <c r="S124">
        <f t="shared" ref="S124" si="598">R124/100000</f>
        <v>2785.8019522536642</v>
      </c>
      <c r="T124">
        <f t="shared" ref="T124" si="599">S124/1000</f>
        <v>2.7858019522536641</v>
      </c>
    </row>
    <row r="125" spans="1:20" x14ac:dyDescent="0.25">
      <c r="A125" s="5">
        <v>44468</v>
      </c>
      <c r="B125">
        <v>2.733E-2</v>
      </c>
      <c r="C125">
        <v>2.9829999999999999E-2</v>
      </c>
      <c r="D125">
        <v>2.7140000000000001E-2</v>
      </c>
      <c r="E125">
        <v>2.8230000000000002E-2</v>
      </c>
      <c r="F125">
        <v>266461935.80000001</v>
      </c>
      <c r="G125">
        <v>2.8230000000000002E-2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-0.18959107806691336</v>
      </c>
      <c r="Q125">
        <f t="shared" ref="Q125" si="601">F125*P125</f>
        <v>-50518805.672118656</v>
      </c>
      <c r="R125">
        <f t="shared" ref="R125" si="602">R126+Q125</f>
        <v>120733470.07368106</v>
      </c>
      <c r="S125">
        <f t="shared" ref="S125" si="603">R125/100000</f>
        <v>1207.3347007368106</v>
      </c>
      <c r="T125">
        <f t="shared" ref="T125" si="604">S125/1000</f>
        <v>1.2073347007368107</v>
      </c>
    </row>
    <row r="126" spans="1:20" x14ac:dyDescent="0.25">
      <c r="A126" s="5">
        <v>44467</v>
      </c>
      <c r="B126">
        <v>2.8629999999999999E-2</v>
      </c>
      <c r="C126">
        <v>2.9690000000000001E-2</v>
      </c>
      <c r="D126">
        <v>2.7140000000000001E-2</v>
      </c>
      <c r="E126">
        <v>2.734E-2</v>
      </c>
      <c r="F126">
        <v>272383794.39999998</v>
      </c>
      <c r="G126">
        <v>2.734E-2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-0.84313725490196179</v>
      </c>
      <c r="Q126">
        <f t="shared" ref="Q126" si="606">F126*P126</f>
        <v>-229656924.69019634</v>
      </c>
      <c r="R126">
        <f t="shared" ref="R126" si="607">R127+Q126</f>
        <v>171252275.74579972</v>
      </c>
      <c r="S126">
        <f t="shared" ref="S126" si="608">R126/100000</f>
        <v>1712.5227574579972</v>
      </c>
      <c r="T126">
        <f t="shared" ref="T126" si="609">S126/1000</f>
        <v>1.7125227574579971</v>
      </c>
    </row>
    <row r="127" spans="1:20" x14ac:dyDescent="0.25">
      <c r="A127" s="5">
        <v>44466</v>
      </c>
      <c r="B127">
        <v>3.0169999999999999E-2</v>
      </c>
      <c r="C127">
        <v>3.1519999999999999E-2</v>
      </c>
      <c r="D127">
        <v>2.8580000000000001E-2</v>
      </c>
      <c r="E127">
        <v>2.8629999999999999E-2</v>
      </c>
      <c r="F127">
        <v>291460137.80000001</v>
      </c>
      <c r="G127">
        <v>2.8629999999999999E-2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-0.96598639455782453</v>
      </c>
      <c r="Q127">
        <f t="shared" ref="Q127" si="611">F127*P127</f>
        <v>-281546527.67074871</v>
      </c>
      <c r="R127">
        <f t="shared" ref="R127" si="612">R128+Q127</f>
        <v>400909200.43599606</v>
      </c>
      <c r="S127">
        <f t="shared" ref="S127" si="613">R127/100000</f>
        <v>4009.0920043599604</v>
      </c>
      <c r="T127">
        <f t="shared" ref="T127" si="614">S127/1000</f>
        <v>4.0090920043599603</v>
      </c>
    </row>
    <row r="128" spans="1:20" x14ac:dyDescent="0.25">
      <c r="A128" s="5">
        <v>44465</v>
      </c>
      <c r="B128">
        <v>3.1419999999999997E-2</v>
      </c>
      <c r="C128">
        <v>3.1519999999999999E-2</v>
      </c>
      <c r="D128">
        <v>2.826E-2</v>
      </c>
      <c r="E128">
        <v>3.0210000000000001E-2</v>
      </c>
      <c r="F128">
        <v>344281590.19999999</v>
      </c>
      <c r="G128">
        <v>3.0210000000000001E-2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0.19631901840490856</v>
      </c>
      <c r="Q128">
        <f t="shared" ref="Q128" si="616">F128*P128</f>
        <v>67589023.84294498</v>
      </c>
      <c r="R128">
        <f t="shared" ref="R128" si="617">R129+Q128</f>
        <v>682455728.10674477</v>
      </c>
      <c r="S128">
        <f t="shared" ref="S128" si="618">R128/100000</f>
        <v>6824.5572810674475</v>
      </c>
      <c r="T128">
        <f t="shared" ref="T128" si="619">S128/1000</f>
        <v>6.824557281067448</v>
      </c>
    </row>
    <row r="129" spans="1:20" x14ac:dyDescent="0.25">
      <c r="A129" s="5">
        <v>44464</v>
      </c>
      <c r="B129">
        <v>3.209E-2</v>
      </c>
      <c r="C129">
        <v>3.2989999999999998E-2</v>
      </c>
      <c r="D129">
        <v>3.0540000000000001E-2</v>
      </c>
      <c r="E129">
        <v>3.1440000000000003E-2</v>
      </c>
      <c r="F129">
        <v>319629686.30000001</v>
      </c>
      <c r="G129">
        <v>3.1440000000000003E-2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-0.26530612244897755</v>
      </c>
      <c r="Q129">
        <f t="shared" ref="Q129" si="621">F129*P129</f>
        <v>-84799712.691836089</v>
      </c>
      <c r="R129">
        <f t="shared" ref="R129" si="622">R130+Q129</f>
        <v>614866704.26379979</v>
      </c>
      <c r="S129">
        <f t="shared" ref="S129" si="623">R129/100000</f>
        <v>6148.6670426379978</v>
      </c>
      <c r="T129">
        <f t="shared" ref="T129" si="624">S129/1000</f>
        <v>6.1486670426379977</v>
      </c>
    </row>
    <row r="130" spans="1:20" x14ac:dyDescent="0.25">
      <c r="A130" s="5">
        <v>44463</v>
      </c>
      <c r="B130">
        <v>3.6240000000000001E-2</v>
      </c>
      <c r="C130">
        <v>3.696E-2</v>
      </c>
      <c r="D130">
        <v>2.9909999999999999E-2</v>
      </c>
      <c r="E130">
        <v>3.2070000000000001E-2</v>
      </c>
      <c r="F130">
        <v>1050696759.7</v>
      </c>
      <c r="G130">
        <v>3.2070000000000001E-2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-0.38723404255319094</v>
      </c>
      <c r="Q130">
        <f t="shared" ref="Q130" si="626">F130*P130</f>
        <v>-406865553.75616968</v>
      </c>
      <c r="R130">
        <f t="shared" ref="R130" si="627">R131+Q130</f>
        <v>699666416.95563591</v>
      </c>
      <c r="S130">
        <f t="shared" ref="S130" si="628">R130/100000</f>
        <v>6996.6641695563594</v>
      </c>
      <c r="T130">
        <f t="shared" ref="T130" si="629">S130/1000</f>
        <v>6.9966641695563592</v>
      </c>
    </row>
    <row r="131" spans="1:20" x14ac:dyDescent="0.25">
      <c r="A131" s="5">
        <v>44462</v>
      </c>
      <c r="B131">
        <v>3.0880000000000001E-2</v>
      </c>
      <c r="C131">
        <v>3.7379999999999997E-2</v>
      </c>
      <c r="D131">
        <v>3.0190000000000002E-2</v>
      </c>
      <c r="E131">
        <v>3.6240000000000001E-2</v>
      </c>
      <c r="F131">
        <v>772501102.29999995</v>
      </c>
      <c r="G131">
        <v>3.6240000000000001E-2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0.68289290681502202</v>
      </c>
      <c r="Q131">
        <f t="shared" ref="Q131" si="631">F131*P131</f>
        <v>527535523.26745564</v>
      </c>
      <c r="R131">
        <f t="shared" ref="R131" si="632">R132+Q131</f>
        <v>1106531970.7118056</v>
      </c>
      <c r="S131">
        <f t="shared" ref="S131" si="633">R131/100000</f>
        <v>11065.319707118057</v>
      </c>
      <c r="T131">
        <f t="shared" ref="T131" si="634">S131/1000</f>
        <v>11.065319707118057</v>
      </c>
    </row>
    <row r="132" spans="1:20" x14ac:dyDescent="0.25">
      <c r="A132" s="5">
        <v>44461</v>
      </c>
      <c r="B132">
        <v>2.7969999999999998E-2</v>
      </c>
      <c r="C132">
        <v>3.1519999999999999E-2</v>
      </c>
      <c r="D132">
        <v>2.758E-2</v>
      </c>
      <c r="E132">
        <v>3.0890000000000001E-2</v>
      </c>
      <c r="F132">
        <v>421365004.60000002</v>
      </c>
      <c r="G132">
        <v>3.0890000000000001E-2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0.68020304568527978</v>
      </c>
      <c r="Q132">
        <f t="shared" ref="Q132" si="636">F132*P132</f>
        <v>286613759.47411191</v>
      </c>
      <c r="R132">
        <f t="shared" ref="R132" si="637">R133+Q132</f>
        <v>578996447.44435</v>
      </c>
      <c r="S132">
        <f t="shared" ref="S132" si="638">R132/100000</f>
        <v>5789.9644744435</v>
      </c>
      <c r="T132">
        <f t="shared" ref="T132" si="639">S132/1000</f>
        <v>5.7899644744434999</v>
      </c>
    </row>
    <row r="133" spans="1:20" x14ac:dyDescent="0.25">
      <c r="A133" s="5">
        <v>44460</v>
      </c>
      <c r="B133">
        <v>3.0589999999999999E-2</v>
      </c>
      <c r="C133">
        <v>3.2460000000000003E-2</v>
      </c>
      <c r="D133">
        <v>2.69E-2</v>
      </c>
      <c r="E133">
        <v>2.7969999999999998E-2</v>
      </c>
      <c r="F133">
        <v>528265081.80000001</v>
      </c>
      <c r="G133">
        <v>2.7969999999999998E-2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-0.61510791366906559</v>
      </c>
      <c r="Q133">
        <f t="shared" ref="Q133" si="641">F133*P133</f>
        <v>-324940032.33021629</v>
      </c>
      <c r="R133">
        <f t="shared" ref="R133" si="642">R134+Q133</f>
        <v>292382687.97023809</v>
      </c>
      <c r="S133">
        <f t="shared" ref="S133" si="643">R133/100000</f>
        <v>2923.8268797023811</v>
      </c>
      <c r="T133">
        <f t="shared" ref="T133" si="644">S133/1000</f>
        <v>2.9238268797023812</v>
      </c>
    </row>
    <row r="134" spans="1:20" x14ac:dyDescent="0.25">
      <c r="A134" s="5">
        <v>44459</v>
      </c>
      <c r="B134">
        <v>3.705E-2</v>
      </c>
      <c r="C134">
        <v>3.7100000000000001E-2</v>
      </c>
      <c r="D134">
        <v>3.286E-2</v>
      </c>
      <c r="E134">
        <v>3.363E-2</v>
      </c>
      <c r="F134">
        <v>250721436.90000001</v>
      </c>
      <c r="G134">
        <v>3.363E-2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-0.63679245283018882</v>
      </c>
      <c r="Q134">
        <f t="shared" ref="Q134" si="646">F134*P134</f>
        <v>-159657518.78066042</v>
      </c>
      <c r="R134">
        <f t="shared" ref="R134" si="647">R135+Q134</f>
        <v>617322720.30045438</v>
      </c>
      <c r="S134">
        <f t="shared" ref="S134" si="648">R134/100000</f>
        <v>6173.2272030045442</v>
      </c>
      <c r="T134">
        <f t="shared" ref="T134" si="649">S134/1000</f>
        <v>6.1732272030045445</v>
      </c>
    </row>
    <row r="135" spans="1:20" x14ac:dyDescent="0.25">
      <c r="A135" s="5">
        <v>44458</v>
      </c>
      <c r="B135">
        <v>3.9309999999999998E-2</v>
      </c>
      <c r="C135">
        <v>3.9379999999999998E-2</v>
      </c>
      <c r="D135">
        <v>3.635E-2</v>
      </c>
      <c r="E135">
        <v>3.705E-2</v>
      </c>
      <c r="F135">
        <v>222111876.40000001</v>
      </c>
      <c r="G135">
        <v>3.705E-2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-0.53795379537953814</v>
      </c>
      <c r="Q135">
        <f t="shared" ref="Q135" si="651">F135*P135</f>
        <v>-119485926.90825087</v>
      </c>
      <c r="R135">
        <f t="shared" ref="R135" si="652">R136+Q135</f>
        <v>776980239.08111477</v>
      </c>
      <c r="S135">
        <f t="shared" ref="S135" si="653">R135/100000</f>
        <v>7769.8023908111481</v>
      </c>
      <c r="T135">
        <f t="shared" ref="T135" si="654">S135/1000</f>
        <v>7.7698023908111482</v>
      </c>
    </row>
    <row r="136" spans="1:20" x14ac:dyDescent="0.25">
      <c r="A136" s="5">
        <v>44457</v>
      </c>
      <c r="B136">
        <v>3.9210000000000002E-2</v>
      </c>
      <c r="C136">
        <v>4.1070000000000002E-2</v>
      </c>
      <c r="D136">
        <v>3.832E-2</v>
      </c>
      <c r="E136">
        <v>3.9309999999999998E-2</v>
      </c>
      <c r="F136">
        <v>296749329.10000002</v>
      </c>
      <c r="G136">
        <v>3.9309999999999998E-2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-0.28000000000000225</v>
      </c>
      <c r="Q136">
        <f t="shared" ref="Q136" si="656">F136*P136</f>
        <v>-83089812.148000672</v>
      </c>
      <c r="R136">
        <f t="shared" ref="R136" si="657">R137+Q136</f>
        <v>896466165.9893657</v>
      </c>
      <c r="S136">
        <f t="shared" ref="S136" si="658">R136/100000</f>
        <v>8964.6616598936562</v>
      </c>
      <c r="T136">
        <f t="shared" ref="T136" si="659">S136/1000</f>
        <v>8.9646616598936557</v>
      </c>
    </row>
    <row r="137" spans="1:20" x14ac:dyDescent="0.25">
      <c r="A137" s="5">
        <v>44456</v>
      </c>
      <c r="B137">
        <v>4.1750000000000002E-2</v>
      </c>
      <c r="C137">
        <v>4.1820000000000003E-2</v>
      </c>
      <c r="D137">
        <v>3.8789999999999998E-2</v>
      </c>
      <c r="E137">
        <v>3.9199999999999999E-2</v>
      </c>
      <c r="F137">
        <v>396644703.80000001</v>
      </c>
      <c r="G137">
        <v>3.9199999999999999E-2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-0.72937293729372943</v>
      </c>
      <c r="Q137">
        <f t="shared" ref="Q137" si="661">F137*P137</f>
        <v>-289301912.6726073</v>
      </c>
      <c r="R137">
        <f t="shared" ref="R137" si="662">R138+Q137</f>
        <v>979555978.13736641</v>
      </c>
      <c r="S137">
        <f t="shared" ref="S137" si="663">R137/100000</f>
        <v>9795.559781373664</v>
      </c>
      <c r="T137">
        <f t="shared" ref="T137" si="664">S137/1000</f>
        <v>9.7955597813736635</v>
      </c>
    </row>
    <row r="138" spans="1:20" x14ac:dyDescent="0.25">
      <c r="A138" s="5">
        <v>44455</v>
      </c>
      <c r="B138">
        <v>4.0730000000000002E-2</v>
      </c>
      <c r="C138">
        <v>4.5830000000000003E-2</v>
      </c>
      <c r="D138">
        <v>3.8600000000000002E-2</v>
      </c>
      <c r="E138">
        <v>4.1750000000000002E-2</v>
      </c>
      <c r="F138">
        <v>1111019275.4000001</v>
      </c>
      <c r="G138">
        <v>4.1750000000000002E-2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-0.12863070539419091</v>
      </c>
      <c r="Q138">
        <f t="shared" ref="Q138" si="666">F138*P138</f>
        <v>-142911193.10124487</v>
      </c>
      <c r="R138">
        <f t="shared" ref="R138" si="667">R139+Q138</f>
        <v>1268857890.8099737</v>
      </c>
      <c r="S138">
        <f t="shared" ref="S138" si="668">R138/100000</f>
        <v>12688.578908099737</v>
      </c>
      <c r="T138">
        <f t="shared" ref="T138" si="669">S138/1000</f>
        <v>12.688578908099737</v>
      </c>
    </row>
    <row r="139" spans="1:20" x14ac:dyDescent="0.25">
      <c r="A139" s="5">
        <v>44454</v>
      </c>
      <c r="B139">
        <v>3.7109999999999997E-2</v>
      </c>
      <c r="C139">
        <v>4.1300000000000003E-2</v>
      </c>
      <c r="D139">
        <v>3.7039999999999997E-2</v>
      </c>
      <c r="E139">
        <v>4.0719999999999999E-2</v>
      </c>
      <c r="F139">
        <v>449473181.80000001</v>
      </c>
      <c r="G139">
        <v>4.0719999999999999E-2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0.72769953051643044</v>
      </c>
      <c r="Q139">
        <f t="shared" ref="Q139" si="671">F139*P139</f>
        <v>327081423.37558621</v>
      </c>
      <c r="R139">
        <f t="shared" ref="R139" si="672">R140+Q139</f>
        <v>1411769083.9112186</v>
      </c>
      <c r="S139">
        <f t="shared" ref="S139" si="673">R139/100000</f>
        <v>14117.690839112187</v>
      </c>
      <c r="T139">
        <f t="shared" ref="T139" si="674">S139/1000</f>
        <v>14.117690839112187</v>
      </c>
    </row>
    <row r="140" spans="1:20" x14ac:dyDescent="0.25">
      <c r="A140" s="5">
        <v>44453</v>
      </c>
      <c r="B140">
        <v>3.5700000000000003E-2</v>
      </c>
      <c r="C140">
        <v>3.9899999999999998E-2</v>
      </c>
      <c r="D140">
        <v>3.5220000000000001E-2</v>
      </c>
      <c r="E140">
        <v>3.712E-2</v>
      </c>
      <c r="F140">
        <v>361930935</v>
      </c>
      <c r="G140">
        <v>3.712E-2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-0.18803418803418792</v>
      </c>
      <c r="Q140">
        <f t="shared" ref="Q140" si="676">F140*P140</f>
        <v>-68055389.487179443</v>
      </c>
      <c r="R140">
        <f t="shared" ref="R140" si="677">R141+Q140</f>
        <v>1084687660.5356324</v>
      </c>
      <c r="S140">
        <f t="shared" ref="S140" si="678">R140/100000</f>
        <v>10846.876605356323</v>
      </c>
      <c r="T140">
        <f t="shared" ref="T140" si="679">S140/1000</f>
        <v>10.846876605356323</v>
      </c>
    </row>
    <row r="141" spans="1:20" x14ac:dyDescent="0.25">
      <c r="A141" s="5">
        <v>44452</v>
      </c>
      <c r="B141">
        <v>3.7760000000000002E-2</v>
      </c>
      <c r="C141">
        <v>3.8199999999999998E-2</v>
      </c>
      <c r="D141">
        <v>3.2820000000000002E-2</v>
      </c>
      <c r="E141">
        <v>3.5749999999999997E-2</v>
      </c>
      <c r="F141">
        <v>348572432.19999999</v>
      </c>
      <c r="G141">
        <v>3.5749999999999997E-2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8.9219330855017598E-2</v>
      </c>
      <c r="Q141">
        <f t="shared" ref="Q141" si="681">F141*P141</f>
        <v>31099399.155389987</v>
      </c>
      <c r="R141">
        <f t="shared" ref="R141" si="682">R142+Q141</f>
        <v>1152743050.0228119</v>
      </c>
      <c r="S141">
        <f t="shared" ref="S141" si="683">R141/100000</f>
        <v>11527.430500228118</v>
      </c>
      <c r="T141">
        <f t="shared" ref="T141" si="684">S141/1000</f>
        <v>11.527430500228117</v>
      </c>
    </row>
    <row r="142" spans="1:20" x14ac:dyDescent="0.25">
      <c r="A142" s="5">
        <v>44451</v>
      </c>
      <c r="B142">
        <v>3.6380000000000003E-2</v>
      </c>
      <c r="C142">
        <v>3.8830000000000003E-2</v>
      </c>
      <c r="D142">
        <v>3.5529999999999999E-2</v>
      </c>
      <c r="E142">
        <v>3.7760000000000002E-2</v>
      </c>
      <c r="F142">
        <v>270816332.5</v>
      </c>
      <c r="G142">
        <v>3.7760000000000002E-2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0.35151515151515145</v>
      </c>
      <c r="Q142">
        <f t="shared" ref="Q142" si="686">F142*P142</f>
        <v>95196044.151515126</v>
      </c>
      <c r="R142">
        <f t="shared" ref="R142" si="687">R143+Q142</f>
        <v>1121643650.8674219</v>
      </c>
      <c r="S142">
        <f t="shared" ref="S142" si="688">R142/100000</f>
        <v>11216.436508674218</v>
      </c>
      <c r="T142">
        <f t="shared" ref="T142" si="689">S142/1000</f>
        <v>11.216436508674219</v>
      </c>
    </row>
    <row r="143" spans="1:20" x14ac:dyDescent="0.25">
      <c r="A143" s="5">
        <v>44450</v>
      </c>
      <c r="B143">
        <v>3.6269999999999997E-2</v>
      </c>
      <c r="C143">
        <v>3.8890000000000001E-2</v>
      </c>
      <c r="D143">
        <v>3.5310000000000001E-2</v>
      </c>
      <c r="E143">
        <v>3.6380000000000003E-2</v>
      </c>
      <c r="F143">
        <v>277463081.39999998</v>
      </c>
      <c r="G143">
        <v>3.6380000000000003E-2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-0.40223463687150751</v>
      </c>
      <c r="Q143">
        <f t="shared" ref="Q143" si="691">F143*P143</f>
        <v>-111605261.79217853</v>
      </c>
      <c r="R143">
        <f t="shared" ref="R143" si="692">R144+Q143</f>
        <v>1026447606.7159067</v>
      </c>
      <c r="S143">
        <f t="shared" ref="S143" si="693">R143/100000</f>
        <v>10264.476067159067</v>
      </c>
      <c r="T143">
        <f t="shared" ref="T143" si="694">S143/1000</f>
        <v>10.264476067159066</v>
      </c>
    </row>
    <row r="144" spans="1:20" x14ac:dyDescent="0.25">
      <c r="A144" s="5">
        <v>44449</v>
      </c>
      <c r="B144">
        <v>3.8929999999999999E-2</v>
      </c>
      <c r="C144">
        <v>4.0050000000000002E-2</v>
      </c>
      <c r="D144">
        <v>3.5110000000000002E-2</v>
      </c>
      <c r="E144">
        <v>3.6269999999999997E-2</v>
      </c>
      <c r="F144">
        <v>369143358.69999999</v>
      </c>
      <c r="G144">
        <v>3.6269999999999997E-2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-0.53036437246963786</v>
      </c>
      <c r="Q144">
        <f t="shared" ref="Q144" si="696">F144*P144</f>
        <v>-195780485.78825992</v>
      </c>
      <c r="R144">
        <f t="shared" ref="R144" si="697">R145+Q144</f>
        <v>1138052868.5080853</v>
      </c>
      <c r="S144">
        <f t="shared" ref="S144" si="698">R144/100000</f>
        <v>11380.528685080853</v>
      </c>
      <c r="T144">
        <f t="shared" ref="T144" si="699">S144/1000</f>
        <v>11.380528685080854</v>
      </c>
    </row>
    <row r="145" spans="1:20" x14ac:dyDescent="0.25">
      <c r="A145" s="5">
        <v>44448</v>
      </c>
      <c r="B145">
        <v>3.8929999999999999E-2</v>
      </c>
      <c r="C145">
        <v>4.2450000000000002E-2</v>
      </c>
      <c r="D145">
        <v>3.7490000000000002E-2</v>
      </c>
      <c r="E145">
        <v>3.8960000000000002E-2</v>
      </c>
      <c r="F145">
        <v>485174364.19999999</v>
      </c>
      <c r="G145">
        <v>3.8960000000000002E-2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-0.40725806451612928</v>
      </c>
      <c r="Q145">
        <f t="shared" ref="Q145" si="701">F145*P145</f>
        <v>-197591172.51693559</v>
      </c>
      <c r="R145">
        <f t="shared" ref="R145" si="702">R146+Q145</f>
        <v>1333833354.2963452</v>
      </c>
      <c r="S145">
        <f t="shared" ref="S145" si="703">R145/100000</f>
        <v>13338.333542963452</v>
      </c>
      <c r="T145">
        <f t="shared" ref="T145" si="704">S145/1000</f>
        <v>13.338333542963452</v>
      </c>
    </row>
    <row r="146" spans="1:20" x14ac:dyDescent="0.25">
      <c r="A146" s="5">
        <v>44447</v>
      </c>
      <c r="B146">
        <v>3.9329999999999997E-2</v>
      </c>
      <c r="C146">
        <v>4.0570000000000002E-2</v>
      </c>
      <c r="D146">
        <v>3.5099999999999999E-2</v>
      </c>
      <c r="E146">
        <v>3.8980000000000001E-2</v>
      </c>
      <c r="F146">
        <v>528378121.69999999</v>
      </c>
      <c r="G146">
        <v>3.8980000000000001E-2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0.4186471663619743</v>
      </c>
      <c r="Q146">
        <f t="shared" ref="Q146" si="706">F146*P146</f>
        <v>221204003.4173674</v>
      </c>
      <c r="R146">
        <f t="shared" ref="R146" si="707">R147+Q146</f>
        <v>1531424526.8132808</v>
      </c>
      <c r="S146">
        <f t="shared" ref="S146" si="708">R146/100000</f>
        <v>15314.245268132809</v>
      </c>
      <c r="T146">
        <f t="shared" ref="T146" si="709">S146/1000</f>
        <v>15.314245268132808</v>
      </c>
    </row>
    <row r="147" spans="1:20" x14ac:dyDescent="0.25">
      <c r="A147" s="5">
        <v>44446</v>
      </c>
      <c r="B147">
        <v>4.9169999999999998E-2</v>
      </c>
      <c r="C147">
        <v>4.9549999999999997E-2</v>
      </c>
      <c r="D147">
        <v>3.61E-2</v>
      </c>
      <c r="E147">
        <v>3.9300000000000002E-2</v>
      </c>
      <c r="F147">
        <v>775733453.60000002</v>
      </c>
      <c r="G147">
        <v>3.9300000000000002E-2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-0.52416356877323389</v>
      </c>
      <c r="Q147">
        <f t="shared" ref="Q147" si="711">F147*P147</f>
        <v>-406611215.45576185</v>
      </c>
      <c r="R147">
        <f t="shared" ref="R147" si="712">R148+Q147</f>
        <v>1310220523.3959134</v>
      </c>
      <c r="S147">
        <f t="shared" ref="S147" si="713">R147/100000</f>
        <v>13102.205233959134</v>
      </c>
      <c r="T147">
        <f t="shared" ref="T147" si="714">S147/1000</f>
        <v>13.102205233959134</v>
      </c>
    </row>
    <row r="148" spans="1:20" x14ac:dyDescent="0.25">
      <c r="A148" s="5">
        <v>44445</v>
      </c>
      <c r="B148">
        <v>5.1270000000000003E-2</v>
      </c>
      <c r="C148">
        <v>5.2699999999999997E-2</v>
      </c>
      <c r="D148">
        <v>4.4999999999999998E-2</v>
      </c>
      <c r="E148">
        <v>4.913E-2</v>
      </c>
      <c r="F148">
        <v>659060455.20000005</v>
      </c>
      <c r="G148">
        <v>4.913E-2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7.2727272727273376E-2</v>
      </c>
      <c r="Q148">
        <f t="shared" ref="Q148" si="716">F148*P148</f>
        <v>47931669.469091341</v>
      </c>
      <c r="R148">
        <f t="shared" ref="R148" si="717">R149+Q148</f>
        <v>1716831738.8516753</v>
      </c>
      <c r="S148">
        <f t="shared" ref="S148" si="718">R148/100000</f>
        <v>17168.317388516753</v>
      </c>
      <c r="T148">
        <f t="shared" ref="T148" si="719">S148/1000</f>
        <v>17.168317388516751</v>
      </c>
    </row>
    <row r="149" spans="1:20" x14ac:dyDescent="0.25">
      <c r="A149" s="5">
        <v>44444</v>
      </c>
      <c r="B149">
        <v>4.854E-2</v>
      </c>
      <c r="C149">
        <v>5.3999999999999999E-2</v>
      </c>
      <c r="D149">
        <v>4.8219999999999999E-2</v>
      </c>
      <c r="E149">
        <v>5.126E-2</v>
      </c>
      <c r="F149">
        <v>329971202.69999999</v>
      </c>
      <c r="G149">
        <v>5.126E-2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5.1903114186851493E-2</v>
      </c>
      <c r="Q149">
        <f t="shared" ref="Q149" si="721">F149*P149</f>
        <v>17126533.012110818</v>
      </c>
      <c r="R149">
        <f t="shared" ref="R149" si="722">R150+Q149</f>
        <v>1668900069.3825839</v>
      </c>
      <c r="S149">
        <f t="shared" ref="S149" si="723">R149/100000</f>
        <v>16689.000693825838</v>
      </c>
      <c r="T149">
        <f t="shared" ref="T149" si="724">S149/1000</f>
        <v>16.689000693825836</v>
      </c>
    </row>
    <row r="150" spans="1:20" x14ac:dyDescent="0.25">
      <c r="A150" s="5">
        <v>44443</v>
      </c>
      <c r="B150">
        <v>4.8590000000000001E-2</v>
      </c>
      <c r="C150">
        <v>5.0470000000000001E-2</v>
      </c>
      <c r="D150">
        <v>4.8169999999999998E-2</v>
      </c>
      <c r="E150">
        <v>4.8529999999999997E-2</v>
      </c>
      <c r="F150">
        <v>298430834.89999998</v>
      </c>
      <c r="G150">
        <v>4.8529999999999997E-2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-0.68695652173913158</v>
      </c>
      <c r="Q150">
        <f t="shared" ref="Q150" si="726">F150*P150</f>
        <v>-205009008.32260901</v>
      </c>
      <c r="R150">
        <f t="shared" ref="R150" si="727">R151+Q150</f>
        <v>1651773536.3704731</v>
      </c>
      <c r="S150">
        <f t="shared" ref="S150" si="728">R150/100000</f>
        <v>16517.735363704731</v>
      </c>
      <c r="T150">
        <f t="shared" ref="T150" si="729">S150/1000</f>
        <v>16.51773536370473</v>
      </c>
    </row>
    <row r="151" spans="1:20" x14ac:dyDescent="0.25">
      <c r="A151" s="5">
        <v>44442</v>
      </c>
      <c r="B151">
        <v>4.9450000000000001E-2</v>
      </c>
      <c r="C151">
        <v>5.0900000000000001E-2</v>
      </c>
      <c r="D151">
        <v>4.7969999999999999E-2</v>
      </c>
      <c r="E151">
        <v>4.8550000000000003E-2</v>
      </c>
      <c r="F151">
        <v>291951818.30000001</v>
      </c>
      <c r="G151">
        <v>4.8550000000000003E-2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-0.60409556313992918</v>
      </c>
      <c r="Q151">
        <f t="shared" ref="Q151" si="731">F151*P151</f>
        <v>-176366798.08566478</v>
      </c>
      <c r="R151">
        <f t="shared" ref="R151" si="732">R152+Q151</f>
        <v>1856782544.6930821</v>
      </c>
      <c r="S151">
        <f t="shared" ref="S151" si="733">R151/100000</f>
        <v>18567.825446930819</v>
      </c>
      <c r="T151">
        <f t="shared" ref="T151" si="734">S151/1000</f>
        <v>18.567825446930819</v>
      </c>
    </row>
    <row r="152" spans="1:20" x14ac:dyDescent="0.25">
      <c r="A152" s="5">
        <v>44441</v>
      </c>
      <c r="B152">
        <v>4.8399999999999999E-2</v>
      </c>
      <c r="C152">
        <v>5.1330000000000001E-2</v>
      </c>
      <c r="D152">
        <v>4.7840000000000001E-2</v>
      </c>
      <c r="E152">
        <v>4.9450000000000001E-2</v>
      </c>
      <c r="F152">
        <v>434930629.19999999</v>
      </c>
      <c r="G152">
        <v>4.9450000000000001E-2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-7.7363896848137367E-2</v>
      </c>
      <c r="Q152">
        <f t="shared" ref="Q152" si="736">F152*P152</f>
        <v>-33647928.333524279</v>
      </c>
      <c r="R152">
        <f t="shared" ref="R152" si="737">R153+Q152</f>
        <v>2033149342.7787468</v>
      </c>
      <c r="S152">
        <f t="shared" ref="S152" si="738">R152/100000</f>
        <v>20331.493427787467</v>
      </c>
      <c r="T152">
        <f t="shared" ref="T152" si="739">S152/1000</f>
        <v>20.331493427787468</v>
      </c>
    </row>
    <row r="153" spans="1:20" x14ac:dyDescent="0.25">
      <c r="A153" s="5">
        <v>44440</v>
      </c>
      <c r="B153">
        <v>4.5909999999999999E-2</v>
      </c>
      <c r="C153">
        <v>4.9299999999999997E-2</v>
      </c>
      <c r="D153">
        <v>4.4569999999999999E-2</v>
      </c>
      <c r="E153">
        <v>4.8399999999999999E-2</v>
      </c>
      <c r="F153">
        <v>409235311.80000001</v>
      </c>
      <c r="G153">
        <v>4.8399999999999999E-2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0.61945031712473642</v>
      </c>
      <c r="Q153">
        <f t="shared" ref="Q153" si="741">F153*P153</f>
        <v>253500943.67315039</v>
      </c>
      <c r="R153">
        <f t="shared" ref="R153" si="742">R154+Q153</f>
        <v>2066797271.1122711</v>
      </c>
      <c r="S153">
        <f t="shared" ref="S153" si="743">R153/100000</f>
        <v>20667.972711122711</v>
      </c>
      <c r="T153">
        <f t="shared" ref="T153" si="744">S153/1000</f>
        <v>20.667972711122712</v>
      </c>
    </row>
    <row r="154" spans="1:20" x14ac:dyDescent="0.25">
      <c r="A154" s="5">
        <v>44439</v>
      </c>
      <c r="B154">
        <v>4.8370000000000003E-2</v>
      </c>
      <c r="C154">
        <v>5.0790000000000002E-2</v>
      </c>
      <c r="D154">
        <v>4.4679999999999997E-2</v>
      </c>
      <c r="E154">
        <v>4.598E-2</v>
      </c>
      <c r="F154">
        <v>416034976.60000002</v>
      </c>
      <c r="G154">
        <v>4.598E-2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-0.57446808510638248</v>
      </c>
      <c r="Q154">
        <f t="shared" ref="Q154" si="746">F154*P154</f>
        <v>-238998816.34468067</v>
      </c>
      <c r="R154">
        <f t="shared" ref="R154" si="747">R155+Q154</f>
        <v>1813296327.4391208</v>
      </c>
      <c r="S154">
        <f t="shared" ref="S154" si="748">R154/100000</f>
        <v>18132.963274391208</v>
      </c>
      <c r="T154">
        <f t="shared" ref="T154" si="749">S154/1000</f>
        <v>18.132963274391209</v>
      </c>
    </row>
    <row r="155" spans="1:20" x14ac:dyDescent="0.25">
      <c r="A155" s="5">
        <v>44438</v>
      </c>
      <c r="B155">
        <v>4.9439999999999998E-2</v>
      </c>
      <c r="C155">
        <v>5.1540000000000002E-2</v>
      </c>
      <c r="D155">
        <v>4.6530000000000002E-2</v>
      </c>
      <c r="E155">
        <v>4.8320000000000002E-2</v>
      </c>
      <c r="F155">
        <v>384811619.10000002</v>
      </c>
      <c r="G155">
        <v>4.8320000000000002E-2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-0.28542914171656697</v>
      </c>
      <c r="Q155">
        <f t="shared" ref="Q155" si="751">F155*P155</f>
        <v>-109836450.16227549</v>
      </c>
      <c r="R155">
        <f t="shared" ref="R155" si="752">R156+Q155</f>
        <v>2052295143.7838013</v>
      </c>
      <c r="S155">
        <f t="shared" ref="S155" si="753">R155/100000</f>
        <v>20522.951437838012</v>
      </c>
      <c r="T155">
        <f t="shared" ref="T155" si="754">S155/1000</f>
        <v>20.52295143783801</v>
      </c>
    </row>
    <row r="156" spans="1:20" x14ac:dyDescent="0.25">
      <c r="A156" s="5">
        <v>44437</v>
      </c>
      <c r="B156">
        <v>5.0720000000000001E-2</v>
      </c>
      <c r="C156">
        <v>5.2420000000000001E-2</v>
      </c>
      <c r="D156">
        <v>4.7660000000000001E-2</v>
      </c>
      <c r="E156">
        <v>4.9450000000000001E-2</v>
      </c>
      <c r="F156">
        <v>371586147</v>
      </c>
      <c r="G156">
        <v>4.9450000000000001E-2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-0.24789915966386564</v>
      </c>
      <c r="Q156">
        <f t="shared" ref="Q156" si="756">F156*P156</f>
        <v>-92115893.584033653</v>
      </c>
      <c r="R156">
        <f t="shared" ref="R156" si="757">R157+Q156</f>
        <v>2162131593.9460769</v>
      </c>
      <c r="S156">
        <f t="shared" ref="S156" si="758">R156/100000</f>
        <v>21621.315939460768</v>
      </c>
      <c r="T156">
        <f t="shared" ref="T156" si="759">S156/1000</f>
        <v>21.621315939460768</v>
      </c>
    </row>
    <row r="157" spans="1:20" x14ac:dyDescent="0.25">
      <c r="A157" s="5">
        <v>44436</v>
      </c>
      <c r="B157">
        <v>5.3400000000000003E-2</v>
      </c>
      <c r="C157">
        <v>5.3769999999999998E-2</v>
      </c>
      <c r="D157">
        <v>5.0139999999999997E-2</v>
      </c>
      <c r="E157">
        <v>5.0680000000000003E-2</v>
      </c>
      <c r="F157">
        <v>200316144.09999999</v>
      </c>
      <c r="G157">
        <v>5.0680000000000003E-2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-0.70247933884297209</v>
      </c>
      <c r="Q157">
        <f t="shared" ref="Q157" si="761">F157*P157</f>
        <v>-140717952.46694151</v>
      </c>
      <c r="R157">
        <f t="shared" ref="R157" si="762">R158+Q157</f>
        <v>2254247487.5301104</v>
      </c>
      <c r="S157">
        <f t="shared" ref="S157" si="763">R157/100000</f>
        <v>22542.474875301104</v>
      </c>
      <c r="T157">
        <f t="shared" ref="T157" si="764">S157/1000</f>
        <v>22.542474875301103</v>
      </c>
    </row>
    <row r="158" spans="1:20" x14ac:dyDescent="0.25">
      <c r="A158" s="5">
        <v>44435</v>
      </c>
      <c r="B158">
        <v>4.9979999999999997E-2</v>
      </c>
      <c r="C158">
        <v>5.484E-2</v>
      </c>
      <c r="D158">
        <v>4.7390000000000002E-2</v>
      </c>
      <c r="E158">
        <v>5.3359999999999998E-2</v>
      </c>
      <c r="F158">
        <v>453157224.60000002</v>
      </c>
      <c r="G158">
        <v>5.3359999999999998E-2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0.60268456375838864</v>
      </c>
      <c r="Q158">
        <f t="shared" ref="Q158" si="766">F158*P158</f>
        <v>273110864.22201318</v>
      </c>
      <c r="R158">
        <f t="shared" ref="R158" si="767">R159+Q158</f>
        <v>2394965439.9970517</v>
      </c>
      <c r="S158">
        <f t="shared" ref="S158" si="768">R158/100000</f>
        <v>23949.654399970517</v>
      </c>
      <c r="T158">
        <f t="shared" ref="T158" si="769">S158/1000</f>
        <v>23.949654399970516</v>
      </c>
    </row>
    <row r="159" spans="1:20" x14ac:dyDescent="0.25">
      <c r="A159" s="5">
        <v>44434</v>
      </c>
      <c r="B159">
        <v>5.4300000000000001E-2</v>
      </c>
      <c r="C159">
        <v>5.7349999999999998E-2</v>
      </c>
      <c r="D159">
        <v>4.8809999999999999E-2</v>
      </c>
      <c r="E159">
        <v>5.008E-2</v>
      </c>
      <c r="F159">
        <v>498602916.69999999</v>
      </c>
      <c r="G159">
        <v>5.008E-2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-0.70257611241217788</v>
      </c>
      <c r="Q159">
        <f t="shared" ref="Q159" si="771">F159*P159</f>
        <v>-350306498.85245895</v>
      </c>
      <c r="R159">
        <f t="shared" ref="R159" si="772">R160+Q159</f>
        <v>2121854575.7750387</v>
      </c>
      <c r="S159">
        <f t="shared" ref="S159" si="773">R159/100000</f>
        <v>21218.545757750388</v>
      </c>
      <c r="T159">
        <f t="shared" ref="T159" si="774">S159/1000</f>
        <v>21.218545757750388</v>
      </c>
    </row>
    <row r="160" spans="1:20" x14ac:dyDescent="0.25">
      <c r="A160" s="5">
        <v>44433</v>
      </c>
      <c r="B160">
        <v>5.4050000000000001E-2</v>
      </c>
      <c r="C160">
        <v>6.0999999999999999E-2</v>
      </c>
      <c r="D160">
        <v>5.3580000000000003E-2</v>
      </c>
      <c r="E160">
        <v>5.4300000000000001E-2</v>
      </c>
      <c r="F160">
        <v>1032287547.4</v>
      </c>
      <c r="G160">
        <v>5.4300000000000001E-2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-0.80592991913746659</v>
      </c>
      <c r="Q160">
        <f t="shared" ref="Q160" si="776">F160*P160</f>
        <v>-831951419.6026957</v>
      </c>
      <c r="R160">
        <f t="shared" ref="R160" si="777">R161+Q160</f>
        <v>2472161074.6274977</v>
      </c>
      <c r="S160">
        <f t="shared" ref="S160" si="778">R160/100000</f>
        <v>24721.610746274975</v>
      </c>
      <c r="T160">
        <f t="shared" ref="T160" si="779">S160/1000</f>
        <v>24.721610746274976</v>
      </c>
    </row>
    <row r="161" spans="1:20" x14ac:dyDescent="0.25">
      <c r="A161" s="5">
        <v>44432</v>
      </c>
      <c r="B161">
        <v>5.0549999999999998E-2</v>
      </c>
      <c r="C161">
        <v>5.6930000000000001E-2</v>
      </c>
      <c r="D161">
        <v>4.7219999999999998E-2</v>
      </c>
      <c r="E161">
        <v>5.4089999999999999E-2</v>
      </c>
      <c r="F161">
        <v>1058273199</v>
      </c>
      <c r="G161">
        <v>5.4089999999999999E-2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0.41503604531410893</v>
      </c>
      <c r="Q161">
        <f t="shared" ref="Q161" si="781">F161*P161</f>
        <v>439221523.37487102</v>
      </c>
      <c r="R161">
        <f t="shared" ref="R161" si="782">R162+Q161</f>
        <v>3304112494.2301931</v>
      </c>
      <c r="S161">
        <f t="shared" ref="S161" si="783">R161/100000</f>
        <v>33041.124942301933</v>
      </c>
      <c r="T161">
        <f t="shared" ref="T161" si="784">S161/1000</f>
        <v>33.041124942301934</v>
      </c>
    </row>
    <row r="162" spans="1:20" x14ac:dyDescent="0.25">
      <c r="A162" s="5">
        <v>44431</v>
      </c>
      <c r="B162">
        <v>5.117E-2</v>
      </c>
      <c r="C162">
        <v>5.2690000000000001E-2</v>
      </c>
      <c r="D162">
        <v>4.9529999999999998E-2</v>
      </c>
      <c r="E162">
        <v>5.0560000000000001E-2</v>
      </c>
      <c r="F162">
        <v>385301126.39999998</v>
      </c>
      <c r="G162">
        <v>5.0560000000000001E-2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-0.34810126582278345</v>
      </c>
      <c r="Q162">
        <f t="shared" ref="Q162" si="786">F162*P162</f>
        <v>-134123809.82278427</v>
      </c>
      <c r="R162">
        <f t="shared" ref="R162" si="787">R163+Q162</f>
        <v>2864890970.8553219</v>
      </c>
      <c r="S162">
        <f t="shared" ref="S162" si="788">R162/100000</f>
        <v>28648.909708553219</v>
      </c>
      <c r="T162">
        <f t="shared" ref="T162" si="789">S162/1000</f>
        <v>28.648909708553219</v>
      </c>
    </row>
    <row r="163" spans="1:20" x14ac:dyDescent="0.25">
      <c r="A163" s="5">
        <v>44430</v>
      </c>
      <c r="B163">
        <v>4.761E-2</v>
      </c>
      <c r="C163">
        <v>4.9869999999999998E-2</v>
      </c>
      <c r="D163">
        <v>4.7399999999999998E-2</v>
      </c>
      <c r="E163">
        <v>4.9390000000000003E-2</v>
      </c>
      <c r="F163">
        <v>75596466.599999994</v>
      </c>
      <c r="G163">
        <v>4.9390000000000003E-2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0.61133603238866852</v>
      </c>
      <c r="Q163">
        <f t="shared" ref="Q163" si="791">F163*P163</f>
        <v>46214843.953846492</v>
      </c>
      <c r="R163">
        <f t="shared" ref="R163" si="792">R164+Q163</f>
        <v>2999014780.6781063</v>
      </c>
      <c r="S163">
        <f t="shared" ref="S163" si="793">R163/100000</f>
        <v>29990.147806781064</v>
      </c>
      <c r="T163">
        <f t="shared" ref="T163" si="794">S163/1000</f>
        <v>29.990147806781064</v>
      </c>
    </row>
    <row r="164" spans="1:20" x14ac:dyDescent="0.25">
      <c r="A164" s="5">
        <v>44429</v>
      </c>
      <c r="B164">
        <v>5.0479999999999997E-2</v>
      </c>
      <c r="C164">
        <v>5.1279999999999999E-2</v>
      </c>
      <c r="D164">
        <v>4.6460000000000001E-2</v>
      </c>
      <c r="E164">
        <v>4.7629999999999999E-2</v>
      </c>
      <c r="F164">
        <v>501161077.89999998</v>
      </c>
      <c r="G164">
        <v>4.7629999999999999E-2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-0.51452282157676432</v>
      </c>
      <c r="Q164">
        <f t="shared" ref="Q164" si="796">F164*P164</f>
        <v>-257858811.86556056</v>
      </c>
      <c r="R164">
        <f t="shared" ref="R164" si="797">R165+Q164</f>
        <v>2952799936.7242599</v>
      </c>
      <c r="S164">
        <f t="shared" ref="S164" si="798">R164/100000</f>
        <v>29527.999367242599</v>
      </c>
      <c r="T164">
        <f t="shared" ref="T164" si="799">S164/1000</f>
        <v>29.5279993672426</v>
      </c>
    </row>
    <row r="165" spans="1:20" x14ac:dyDescent="0.25">
      <c r="A165" s="5">
        <v>44428</v>
      </c>
      <c r="B165">
        <v>4.3619999999999999E-2</v>
      </c>
      <c r="C165">
        <v>5.28E-2</v>
      </c>
      <c r="D165">
        <v>4.3189999999999999E-2</v>
      </c>
      <c r="E165">
        <v>5.0479999999999997E-2</v>
      </c>
      <c r="F165">
        <v>1029974431.2</v>
      </c>
      <c r="G165">
        <v>5.0479999999999997E-2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0.51716961498439074</v>
      </c>
      <c r="Q165">
        <f t="shared" ref="Q165" si="801">F165*P165</f>
        <v>532671480.02747089</v>
      </c>
      <c r="R165">
        <f t="shared" ref="R165" si="802">R166+Q165</f>
        <v>3210658748.5898204</v>
      </c>
      <c r="S165">
        <f t="shared" ref="S165" si="803">R165/100000</f>
        <v>32106.587485898202</v>
      </c>
      <c r="T165">
        <f t="shared" ref="T165" si="804">S165/1000</f>
        <v>32.106587485898203</v>
      </c>
    </row>
    <row r="166" spans="1:20" x14ac:dyDescent="0.25">
      <c r="A166" s="5">
        <v>44427</v>
      </c>
      <c r="B166">
        <v>3.952E-2</v>
      </c>
      <c r="C166">
        <v>4.3999999999999997E-2</v>
      </c>
      <c r="D166">
        <v>3.857E-2</v>
      </c>
      <c r="E166">
        <v>4.3610000000000003E-2</v>
      </c>
      <c r="F166">
        <v>490064639.19999999</v>
      </c>
      <c r="G166">
        <v>4.3610000000000003E-2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0.85635359116022292</v>
      </c>
      <c r="Q166">
        <f t="shared" ref="Q166" si="806">F166*P166</f>
        <v>419668613.67955893</v>
      </c>
      <c r="R166">
        <f t="shared" ref="R166" si="807">R167+Q166</f>
        <v>2677987268.5623493</v>
      </c>
      <c r="S166">
        <f t="shared" ref="S166" si="808">R166/100000</f>
        <v>26779.872685623493</v>
      </c>
      <c r="T166">
        <f t="shared" ref="T166" si="809">S166/1000</f>
        <v>26.779872685623495</v>
      </c>
    </row>
    <row r="167" spans="1:20" x14ac:dyDescent="0.25">
      <c r="A167" s="5">
        <v>44426</v>
      </c>
      <c r="B167">
        <v>4.0750000000000001E-2</v>
      </c>
      <c r="C167">
        <v>4.1549999999999997E-2</v>
      </c>
      <c r="D167">
        <v>3.7999999999999999E-2</v>
      </c>
      <c r="E167">
        <v>3.95E-2</v>
      </c>
      <c r="F167">
        <v>471936482.89999998</v>
      </c>
      <c r="G167">
        <v>3.95E-2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-0.15492957746478742</v>
      </c>
      <c r="Q167">
        <f t="shared" ref="Q167" si="811">F167*P167</f>
        <v>-73116919.885914862</v>
      </c>
      <c r="R167">
        <f t="shared" ref="R167" si="812">R168+Q167</f>
        <v>2258318654.8827906</v>
      </c>
      <c r="S167">
        <f t="shared" ref="S167" si="813">R167/100000</f>
        <v>22583.186548827907</v>
      </c>
      <c r="T167">
        <f t="shared" ref="T167" si="814">S167/1000</f>
        <v>22.583186548827907</v>
      </c>
    </row>
    <row r="168" spans="1:20" x14ac:dyDescent="0.25">
      <c r="A168" s="5">
        <v>44425</v>
      </c>
      <c r="B168">
        <v>4.3060000000000001E-2</v>
      </c>
      <c r="C168">
        <v>4.582E-2</v>
      </c>
      <c r="D168">
        <v>4.0120000000000003E-2</v>
      </c>
      <c r="E168">
        <v>4.0759999999999998E-2</v>
      </c>
      <c r="F168">
        <v>649818233.39999998</v>
      </c>
      <c r="G168">
        <v>4.0759999999999998E-2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-0.77543859649122981</v>
      </c>
      <c r="Q168">
        <f t="shared" ref="Q168" si="816">F168*P168</f>
        <v>-503894138.88210636</v>
      </c>
      <c r="R168">
        <f t="shared" ref="R168" si="817">R169+Q168</f>
        <v>2331435574.7687054</v>
      </c>
      <c r="S168">
        <f t="shared" ref="S168" si="818">R168/100000</f>
        <v>23314.355747687052</v>
      </c>
      <c r="T168">
        <f t="shared" ref="T168" si="819">S168/1000</f>
        <v>23.314355747687053</v>
      </c>
    </row>
    <row r="169" spans="1:20" x14ac:dyDescent="0.25">
      <c r="A169" s="5">
        <v>44424</v>
      </c>
      <c r="B169">
        <v>4.2020000000000002E-2</v>
      </c>
      <c r="C169">
        <v>4.7169999999999997E-2</v>
      </c>
      <c r="D169">
        <v>4.1759999999999999E-2</v>
      </c>
      <c r="E169">
        <v>4.3060000000000001E-2</v>
      </c>
      <c r="F169">
        <v>688945488.79999995</v>
      </c>
      <c r="G169">
        <v>4.3060000000000001E-2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-0.51940850277264217</v>
      </c>
      <c r="Q169">
        <f t="shared" ref="Q169" si="821">F169*P169</f>
        <v>-357844144.82957411</v>
      </c>
      <c r="R169">
        <f t="shared" ref="R169" si="822">R170+Q169</f>
        <v>2835329713.6508117</v>
      </c>
      <c r="S169">
        <f t="shared" ref="S169" si="823">R169/100000</f>
        <v>28353.297136508118</v>
      </c>
      <c r="T169">
        <f t="shared" ref="T169" si="824">S169/1000</f>
        <v>28.353297136508118</v>
      </c>
    </row>
    <row r="170" spans="1:20" x14ac:dyDescent="0.25">
      <c r="A170" s="5">
        <v>44423</v>
      </c>
      <c r="B170">
        <v>4.1599999999999998E-2</v>
      </c>
      <c r="C170">
        <v>4.215E-2</v>
      </c>
      <c r="D170">
        <v>3.8929999999999999E-2</v>
      </c>
      <c r="E170">
        <v>4.2020000000000002E-2</v>
      </c>
      <c r="F170">
        <v>276422276.60000002</v>
      </c>
      <c r="G170">
        <v>4.2020000000000002E-2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0.91925465838509435</v>
      </c>
      <c r="Q170">
        <f t="shared" ref="Q170" si="826">F170*P170</f>
        <v>254102465.44596308</v>
      </c>
      <c r="R170">
        <f t="shared" ref="R170" si="827">R171+Q170</f>
        <v>3193173858.4803858</v>
      </c>
      <c r="S170">
        <f t="shared" ref="S170" si="828">R170/100000</f>
        <v>31931.738584803858</v>
      </c>
      <c r="T170">
        <f t="shared" ref="T170" si="829">S170/1000</f>
        <v>31.931738584803856</v>
      </c>
    </row>
    <row r="171" spans="1:20" x14ac:dyDescent="0.25">
      <c r="A171" s="5">
        <v>44422</v>
      </c>
      <c r="B171">
        <v>4.2410000000000003E-2</v>
      </c>
      <c r="C171">
        <v>4.2869999999999998E-2</v>
      </c>
      <c r="D171">
        <v>3.943E-2</v>
      </c>
      <c r="E171">
        <v>4.1549999999999997E-2</v>
      </c>
      <c r="F171">
        <v>394661423.39999998</v>
      </c>
      <c r="G171">
        <v>4.1549999999999997E-2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0.23255813953488241</v>
      </c>
      <c r="Q171">
        <f t="shared" ref="Q171" si="831">F171*P171</f>
        <v>91781726.3720925</v>
      </c>
      <c r="R171">
        <f t="shared" ref="R171" si="832">R172+Q171</f>
        <v>2939071393.0344229</v>
      </c>
      <c r="S171">
        <f t="shared" ref="S171" si="833">R171/100000</f>
        <v>29390.713930344227</v>
      </c>
      <c r="T171">
        <f t="shared" ref="T171" si="834">S171/1000</f>
        <v>29.390713930344226</v>
      </c>
    </row>
    <row r="172" spans="1:20" x14ac:dyDescent="0.25">
      <c r="A172" s="5">
        <v>44421</v>
      </c>
      <c r="B172">
        <v>3.8469999999999997E-2</v>
      </c>
      <c r="C172">
        <v>4.2509999999999999E-2</v>
      </c>
      <c r="D172">
        <v>3.7960000000000001E-2</v>
      </c>
      <c r="E172">
        <v>4.24E-2</v>
      </c>
      <c r="F172">
        <v>339712600.10000002</v>
      </c>
      <c r="G172">
        <v>4.24E-2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0.95164835164835204</v>
      </c>
      <c r="Q172">
        <f t="shared" ref="Q172" si="836">F172*P172</f>
        <v>323286935.91934079</v>
      </c>
      <c r="R172">
        <f t="shared" ref="R172" si="837">R173+Q172</f>
        <v>2847289666.6623302</v>
      </c>
      <c r="S172">
        <f t="shared" ref="S172" si="838">R172/100000</f>
        <v>28472.896666623303</v>
      </c>
      <c r="T172">
        <f t="shared" ref="T172" si="839">S172/1000</f>
        <v>28.472896666623303</v>
      </c>
    </row>
    <row r="173" spans="1:20" x14ac:dyDescent="0.25">
      <c r="A173" s="5">
        <v>44420</v>
      </c>
      <c r="B173">
        <v>3.993E-2</v>
      </c>
      <c r="C173">
        <v>4.1799999999999997E-2</v>
      </c>
      <c r="D173">
        <v>3.6659999999999998E-2</v>
      </c>
      <c r="E173">
        <v>3.8460000000000001E-2</v>
      </c>
      <c r="F173">
        <v>389570335.39999998</v>
      </c>
      <c r="G173">
        <v>3.8460000000000001E-2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-0.2996108949416329</v>
      </c>
      <c r="Q173">
        <f t="shared" ref="Q173" si="841">F173*P173</f>
        <v>-116719516.83190608</v>
      </c>
      <c r="R173">
        <f t="shared" ref="R173" si="842">R174+Q173</f>
        <v>2524002730.7429895</v>
      </c>
      <c r="S173">
        <f t="shared" ref="S173" si="843">R173/100000</f>
        <v>25240.027307429897</v>
      </c>
      <c r="T173">
        <f t="shared" ref="T173" si="844">S173/1000</f>
        <v>25.240027307429898</v>
      </c>
    </row>
    <row r="174" spans="1:20" x14ac:dyDescent="0.25">
      <c r="A174" s="5">
        <v>44419</v>
      </c>
      <c r="B174">
        <v>3.9390000000000001E-2</v>
      </c>
      <c r="C174">
        <v>4.3790000000000003E-2</v>
      </c>
      <c r="D174">
        <v>3.8960000000000002E-2</v>
      </c>
      <c r="E174">
        <v>3.9919999999999997E-2</v>
      </c>
      <c r="F174">
        <v>573894023.39999998</v>
      </c>
      <c r="G174">
        <v>3.9919999999999997E-2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-0.60248447204969136</v>
      </c>
      <c r="Q174">
        <f t="shared" ref="Q174" si="846">F174*P174</f>
        <v>-345762237.7006222</v>
      </c>
      <c r="R174">
        <f t="shared" ref="R174" si="847">R175+Q174</f>
        <v>2640722247.5748954</v>
      </c>
      <c r="S174">
        <f t="shared" ref="S174" si="848">R174/100000</f>
        <v>26407.222475748953</v>
      </c>
      <c r="T174">
        <f t="shared" ref="T174" si="849">S174/1000</f>
        <v>26.407222475748952</v>
      </c>
    </row>
    <row r="175" spans="1:20" x14ac:dyDescent="0.25">
      <c r="A175" s="5">
        <v>44418</v>
      </c>
      <c r="B175">
        <v>3.848E-2</v>
      </c>
      <c r="C175">
        <v>4.1160000000000002E-2</v>
      </c>
      <c r="D175">
        <v>3.7479999999999999E-2</v>
      </c>
      <c r="E175">
        <v>3.9390000000000001E-2</v>
      </c>
      <c r="F175">
        <v>417831476.69999999</v>
      </c>
      <c r="G175">
        <v>3.9390000000000001E-2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3.8043478260869873E-2</v>
      </c>
      <c r="Q175">
        <f t="shared" ref="Q175" si="851">F175*P175</f>
        <v>15895762.700543607</v>
      </c>
      <c r="R175">
        <f t="shared" ref="R175" si="852">R176+Q175</f>
        <v>2986484485.2755175</v>
      </c>
      <c r="S175">
        <f t="shared" ref="S175" si="853">R175/100000</f>
        <v>29864.844852755174</v>
      </c>
      <c r="T175">
        <f t="shared" ref="T175" si="854">S175/1000</f>
        <v>29.864844852755173</v>
      </c>
    </row>
    <row r="176" spans="1:20" x14ac:dyDescent="0.25">
      <c r="A176" s="5">
        <v>44417</v>
      </c>
      <c r="B176">
        <v>3.6479999999999999E-2</v>
      </c>
      <c r="C176">
        <v>3.9829999999999997E-2</v>
      </c>
      <c r="D176">
        <v>3.49E-2</v>
      </c>
      <c r="E176">
        <v>3.8530000000000002E-2</v>
      </c>
      <c r="F176">
        <v>415578948.19999999</v>
      </c>
      <c r="G176">
        <v>3.8530000000000002E-2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0.47261663286004202</v>
      </c>
      <c r="Q176">
        <f t="shared" ref="Q176" si="856">F176*P176</f>
        <v>196409523.1858018</v>
      </c>
      <c r="R176">
        <f t="shared" ref="R176" si="857">R177+Q176</f>
        <v>2970588722.5749741</v>
      </c>
      <c r="S176">
        <f t="shared" ref="S176" si="858">R176/100000</f>
        <v>29705.887225749742</v>
      </c>
      <c r="T176">
        <f t="shared" ref="T176" si="859">S176/1000</f>
        <v>29.705887225749741</v>
      </c>
    </row>
    <row r="177" spans="1:20" x14ac:dyDescent="0.25">
      <c r="A177" s="5">
        <v>44416</v>
      </c>
      <c r="B177">
        <v>3.8789999999999998E-2</v>
      </c>
      <c r="C177">
        <v>3.9890000000000002E-2</v>
      </c>
      <c r="D177">
        <v>3.5459999999999998E-2</v>
      </c>
      <c r="E177">
        <v>3.6499999999999998E-2</v>
      </c>
      <c r="F177">
        <v>433328633.10000002</v>
      </c>
      <c r="G177">
        <v>3.6499999999999998E-2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-0.53047404063205483</v>
      </c>
      <c r="Q177">
        <f t="shared" ref="Q177" si="861">F177*P177</f>
        <v>-229869590.92212218</v>
      </c>
      <c r="R177">
        <f t="shared" ref="R177" si="862">R178+Q177</f>
        <v>2774179199.3891721</v>
      </c>
      <c r="S177">
        <f t="shared" ref="S177" si="863">R177/100000</f>
        <v>27741.791993891722</v>
      </c>
      <c r="T177">
        <f t="shared" ref="T177" si="864">S177/1000</f>
        <v>27.741791993891724</v>
      </c>
    </row>
    <row r="178" spans="1:20" x14ac:dyDescent="0.25">
      <c r="A178" s="5">
        <v>44415</v>
      </c>
      <c r="B178">
        <v>3.9789999999999999E-2</v>
      </c>
      <c r="C178">
        <v>4.2099999999999999E-2</v>
      </c>
      <c r="D178">
        <v>3.7810000000000003E-2</v>
      </c>
      <c r="E178">
        <v>3.8789999999999998E-2</v>
      </c>
      <c r="F178">
        <v>412442871.5</v>
      </c>
      <c r="G178">
        <v>3.8789999999999998E-2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-0.54312354312354505</v>
      </c>
      <c r="Q178">
        <f t="shared" ref="Q178" si="866">F178*P178</f>
        <v>-224007433.705129</v>
      </c>
      <c r="R178">
        <f t="shared" ref="R178" si="867">R179+Q178</f>
        <v>3004048790.3112941</v>
      </c>
      <c r="S178">
        <f t="shared" ref="S178" si="868">R178/100000</f>
        <v>30040.487903112942</v>
      </c>
      <c r="T178">
        <f t="shared" ref="T178" si="869">S178/1000</f>
        <v>30.040487903112943</v>
      </c>
    </row>
    <row r="179" spans="1:20" x14ac:dyDescent="0.25">
      <c r="A179" s="5">
        <v>44414</v>
      </c>
      <c r="B179">
        <v>3.952E-2</v>
      </c>
      <c r="C179">
        <v>4.1200000000000001E-2</v>
      </c>
      <c r="D179">
        <v>3.9E-2</v>
      </c>
      <c r="E179">
        <v>3.9820000000000001E-2</v>
      </c>
      <c r="F179">
        <v>341060155.80000001</v>
      </c>
      <c r="G179">
        <v>3.9820000000000001E-2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-0.25454545454545358</v>
      </c>
      <c r="Q179">
        <f t="shared" ref="Q179" si="871">F179*P179</f>
        <v>-86815312.385454223</v>
      </c>
      <c r="R179">
        <f t="shared" ref="R179" si="872">R180+Q179</f>
        <v>3228056224.0164232</v>
      </c>
      <c r="S179">
        <f t="shared" ref="S179" si="873">R179/100000</f>
        <v>32280.562240164232</v>
      </c>
      <c r="T179">
        <f t="shared" ref="T179" si="874">S179/1000</f>
        <v>32.28056224016423</v>
      </c>
    </row>
    <row r="180" spans="1:20" x14ac:dyDescent="0.25">
      <c r="A180" s="5">
        <v>44413</v>
      </c>
      <c r="B180">
        <v>3.73E-2</v>
      </c>
      <c r="C180">
        <v>3.9949999999999999E-2</v>
      </c>
      <c r="D180">
        <v>3.5209999999999998E-2</v>
      </c>
      <c r="E180">
        <v>3.9530000000000003E-2</v>
      </c>
      <c r="F180">
        <v>436336976.19999999</v>
      </c>
      <c r="G180">
        <v>3.9530000000000003E-2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0.82278481012658367</v>
      </c>
      <c r="Q180">
        <f t="shared" ref="Q180" si="876">F180*P180</f>
        <v>359011436.11392462</v>
      </c>
      <c r="R180">
        <f t="shared" ref="R180" si="877">R181+Q180</f>
        <v>3314871536.4018774</v>
      </c>
      <c r="S180">
        <f t="shared" ref="S180" si="878">R180/100000</f>
        <v>33148.715364018775</v>
      </c>
      <c r="T180">
        <f t="shared" ref="T180" si="879">S180/1000</f>
        <v>33.148715364018777</v>
      </c>
    </row>
    <row r="181" spans="1:20" x14ac:dyDescent="0.25">
      <c r="A181" s="5">
        <v>44412</v>
      </c>
      <c r="B181">
        <v>3.6139999999999999E-2</v>
      </c>
      <c r="C181">
        <v>3.8800000000000001E-2</v>
      </c>
      <c r="D181">
        <v>3.4759999999999999E-2</v>
      </c>
      <c r="E181">
        <v>3.7280000000000001E-2</v>
      </c>
      <c r="F181">
        <v>521206296.80000001</v>
      </c>
      <c r="G181">
        <v>3.7280000000000001E-2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0.24752475247524763</v>
      </c>
      <c r="Q181">
        <f t="shared" ref="Q181" si="881">F181*P181</f>
        <v>129011459.60396045</v>
      </c>
      <c r="R181">
        <f t="shared" ref="R181" si="882">R182+Q181</f>
        <v>2955860100.2879529</v>
      </c>
      <c r="S181">
        <f t="shared" ref="S181" si="883">R181/100000</f>
        <v>29558.601002879528</v>
      </c>
      <c r="T181">
        <f t="shared" ref="T181" si="884">S181/1000</f>
        <v>29.558601002879527</v>
      </c>
    </row>
    <row r="182" spans="1:20" x14ac:dyDescent="0.25">
      <c r="A182" s="5">
        <v>44411</v>
      </c>
      <c r="B182">
        <v>3.2930000000000001E-2</v>
      </c>
      <c r="C182">
        <v>3.6839999999999998E-2</v>
      </c>
      <c r="D182">
        <v>3.075E-2</v>
      </c>
      <c r="E182">
        <v>3.6139999999999999E-2</v>
      </c>
      <c r="F182">
        <v>858847997.89999998</v>
      </c>
      <c r="G182">
        <v>3.6139999999999999E-2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0.7701149425287358</v>
      </c>
      <c r="Q182">
        <f t="shared" ref="Q182" si="886">F182*P182</f>
        <v>661411676.54367828</v>
      </c>
      <c r="R182">
        <f t="shared" ref="R182" si="887">R183+Q182</f>
        <v>2826848640.6839924</v>
      </c>
      <c r="S182">
        <f t="shared" ref="S182" si="888">R182/100000</f>
        <v>28268.486406839926</v>
      </c>
      <c r="T182">
        <f t="shared" ref="T182" si="889">S182/1000</f>
        <v>28.268486406839926</v>
      </c>
    </row>
    <row r="183" spans="1:20" x14ac:dyDescent="0.25">
      <c r="A183" s="5">
        <v>44410</v>
      </c>
      <c r="B183">
        <v>3.0870000000000002E-2</v>
      </c>
      <c r="C183">
        <v>3.3610000000000001E-2</v>
      </c>
      <c r="D183">
        <v>3.0110000000000001E-2</v>
      </c>
      <c r="E183">
        <v>3.2939999999999997E-2</v>
      </c>
      <c r="F183">
        <v>372669733.80000001</v>
      </c>
      <c r="G183">
        <v>3.2939999999999997E-2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0.61714285714285488</v>
      </c>
      <c r="Q183">
        <f t="shared" ref="Q183" si="891">F183*P183</f>
        <v>229990464.28799915</v>
      </c>
      <c r="R183">
        <f t="shared" ref="R183" si="892">R184+Q183</f>
        <v>2165436964.1403141</v>
      </c>
      <c r="S183">
        <f t="shared" ref="S183" si="893">R183/100000</f>
        <v>21654.36964140314</v>
      </c>
      <c r="T183">
        <f t="shared" ref="T183" si="894">S183/1000</f>
        <v>21.654369641403139</v>
      </c>
    </row>
    <row r="184" spans="1:20" x14ac:dyDescent="0.25">
      <c r="A184" s="5">
        <v>44409</v>
      </c>
      <c r="B184">
        <v>3.193E-2</v>
      </c>
      <c r="C184">
        <v>3.4290000000000001E-2</v>
      </c>
      <c r="D184">
        <v>3.0519999999999999E-2</v>
      </c>
      <c r="E184">
        <v>3.0859999999999999E-2</v>
      </c>
      <c r="F184">
        <v>448760142.39999998</v>
      </c>
      <c r="G184">
        <v>3.0859999999999999E-2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-0.81962864721485418</v>
      </c>
      <c r="Q184">
        <f t="shared" ref="Q184" si="896">F184*P184</f>
        <v>-367816668.43925732</v>
      </c>
      <c r="R184">
        <f t="shared" ref="R184" si="897">R185+Q184</f>
        <v>1935446499.8523152</v>
      </c>
      <c r="S184">
        <f t="shared" ref="S184" si="898">R184/100000</f>
        <v>19354.464998523152</v>
      </c>
      <c r="T184">
        <f t="shared" ref="T184" si="899">S184/1000</f>
        <v>19.354464998523152</v>
      </c>
    </row>
    <row r="185" spans="1:20" x14ac:dyDescent="0.25">
      <c r="A185" s="5">
        <v>44408</v>
      </c>
      <c r="B185">
        <v>3.1320000000000001E-2</v>
      </c>
      <c r="C185">
        <v>3.2480000000000002E-2</v>
      </c>
      <c r="D185">
        <v>3.049E-2</v>
      </c>
      <c r="E185">
        <v>3.1949999999999999E-2</v>
      </c>
      <c r="F185">
        <v>362772418.10000002</v>
      </c>
      <c r="G185">
        <v>3.1949999999999999E-2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0.46733668341708329</v>
      </c>
      <c r="Q185">
        <f t="shared" ref="Q185" si="901">F185*P185</f>
        <v>169536858.71004948</v>
      </c>
      <c r="R185">
        <f t="shared" ref="R185" si="902">R186+Q185</f>
        <v>2303263168.2915726</v>
      </c>
      <c r="S185">
        <f t="shared" ref="S185" si="903">R185/100000</f>
        <v>23032.631682915726</v>
      </c>
      <c r="T185">
        <f t="shared" ref="T185" si="904">S185/1000</f>
        <v>23.032631682915724</v>
      </c>
    </row>
    <row r="186" spans="1:20" x14ac:dyDescent="0.25">
      <c r="A186" s="5">
        <v>44407</v>
      </c>
      <c r="B186">
        <v>3.1390000000000001E-2</v>
      </c>
      <c r="C186">
        <v>3.2669999999999998E-2</v>
      </c>
      <c r="D186">
        <v>2.9000000000000001E-2</v>
      </c>
      <c r="E186">
        <v>3.1289999999999998E-2</v>
      </c>
      <c r="F186">
        <v>418497351.19999999</v>
      </c>
      <c r="G186">
        <v>3.1289999999999998E-2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0.24795640326975438</v>
      </c>
      <c r="Q186">
        <f t="shared" ref="Q186" si="906">F186*P186</f>
        <v>103769097.98147123</v>
      </c>
      <c r="R186">
        <f t="shared" ref="R186" si="907">R187+Q186</f>
        <v>2133726309.5815232</v>
      </c>
      <c r="S186">
        <f t="shared" ref="S186" si="908">R186/100000</f>
        <v>21337.263095815233</v>
      </c>
      <c r="T186">
        <f t="shared" ref="T186" si="909">S186/1000</f>
        <v>21.337263095815231</v>
      </c>
    </row>
    <row r="187" spans="1:20" x14ac:dyDescent="0.25">
      <c r="A187" s="5">
        <v>44406</v>
      </c>
      <c r="B187">
        <v>3.1710000000000002E-2</v>
      </c>
      <c r="C187">
        <v>3.3599999999999998E-2</v>
      </c>
      <c r="D187">
        <v>3.0450000000000001E-2</v>
      </c>
      <c r="E187">
        <v>3.1399999999999997E-2</v>
      </c>
      <c r="F187">
        <v>575797365.60000002</v>
      </c>
      <c r="G187">
        <v>3.1399999999999997E-2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-0.39682539682539869</v>
      </c>
      <c r="Q187">
        <f t="shared" ref="Q187" si="911">F187*P187</f>
        <v>-228491018.09523919</v>
      </c>
      <c r="R187">
        <f t="shared" ref="R187" si="912">R188+Q187</f>
        <v>2029957211.6000519</v>
      </c>
      <c r="S187">
        <f t="shared" ref="S187" si="913">R187/100000</f>
        <v>20299.57211600052</v>
      </c>
      <c r="T187">
        <f t="shared" ref="T187" si="914">S187/1000</f>
        <v>20.299572116000519</v>
      </c>
    </row>
    <row r="188" spans="1:20" x14ac:dyDescent="0.25">
      <c r="A188" s="5">
        <v>44405</v>
      </c>
      <c r="B188">
        <v>2.845E-2</v>
      </c>
      <c r="C188">
        <v>3.2489999999999998E-2</v>
      </c>
      <c r="D188">
        <v>2.768E-2</v>
      </c>
      <c r="E188">
        <v>3.1669999999999997E-2</v>
      </c>
      <c r="F188">
        <v>885573073</v>
      </c>
      <c r="G188">
        <v>3.1669999999999997E-2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0.65904365904365836</v>
      </c>
      <c r="Q188">
        <f t="shared" ref="Q188" si="916">F188*P188</f>
        <v>583631318.38045681</v>
      </c>
      <c r="R188">
        <f t="shared" ref="R188" si="917">R189+Q188</f>
        <v>2258448229.695291</v>
      </c>
      <c r="S188">
        <f t="shared" ref="S188" si="918">R188/100000</f>
        <v>22584.482296952909</v>
      </c>
      <c r="T188">
        <f t="shared" ref="T188" si="919">S188/1000</f>
        <v>22.58448229695291</v>
      </c>
    </row>
    <row r="189" spans="1:20" x14ac:dyDescent="0.25">
      <c r="A189" s="5">
        <v>44404</v>
      </c>
      <c r="B189">
        <v>2.8139999999999998E-2</v>
      </c>
      <c r="C189">
        <v>3.073E-2</v>
      </c>
      <c r="D189">
        <v>2.7029999999999998E-2</v>
      </c>
      <c r="E189">
        <v>2.8479999999999998E-2</v>
      </c>
      <c r="F189">
        <v>648688915.20000005</v>
      </c>
      <c r="G189">
        <v>2.8479999999999998E-2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-0.21621621621621667</v>
      </c>
      <c r="Q189">
        <f t="shared" ref="Q189" si="921">F189*P189</f>
        <v>-140257062.74594626</v>
      </c>
      <c r="R189">
        <f t="shared" ref="R189" si="922">R190+Q189</f>
        <v>1674816911.3148344</v>
      </c>
      <c r="S189">
        <f t="shared" ref="S189" si="923">R189/100000</f>
        <v>16748.169113148342</v>
      </c>
      <c r="T189">
        <f t="shared" ref="T189" si="924">S189/1000</f>
        <v>16.748169113148343</v>
      </c>
    </row>
    <row r="190" spans="1:20" x14ac:dyDescent="0.25">
      <c r="A190" s="5">
        <v>44403</v>
      </c>
      <c r="B190">
        <v>2.7109999999999999E-2</v>
      </c>
      <c r="C190">
        <v>3.3459999999999997E-2</v>
      </c>
      <c r="D190">
        <v>2.6859999999999998E-2</v>
      </c>
      <c r="E190">
        <v>2.8139999999999998E-2</v>
      </c>
      <c r="F190">
        <v>1227665068.9000001</v>
      </c>
      <c r="G190">
        <v>2.8139999999999998E-2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-0.61212121212121207</v>
      </c>
      <c r="Q190">
        <f t="shared" ref="Q190" si="926">F190*P190</f>
        <v>-751479830.05393934</v>
      </c>
      <c r="R190">
        <f t="shared" ref="R190" si="927">R191+Q190</f>
        <v>1815073974.0607805</v>
      </c>
      <c r="S190">
        <f t="shared" ref="S190" si="928">R190/100000</f>
        <v>18150.739740607805</v>
      </c>
      <c r="T190">
        <f t="shared" ref="T190" si="929">S190/1000</f>
        <v>18.150739740607804</v>
      </c>
    </row>
    <row r="191" spans="1:20" x14ac:dyDescent="0.25">
      <c r="A191" s="5">
        <v>44402</v>
      </c>
      <c r="B191">
        <v>2.3730000000000001E-2</v>
      </c>
      <c r="C191">
        <v>2.7640000000000001E-2</v>
      </c>
      <c r="D191">
        <v>2.3300000000000001E-2</v>
      </c>
      <c r="E191">
        <v>2.7089999999999999E-2</v>
      </c>
      <c r="F191">
        <v>426397404.39999998</v>
      </c>
      <c r="G191">
        <v>2.7089999999999999E-2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0.74654377880184242</v>
      </c>
      <c r="Q191">
        <f t="shared" ref="Q191" si="931">F191*P191</f>
        <v>318324329.55207336</v>
      </c>
      <c r="R191">
        <f t="shared" ref="R191" si="932">R192+Q191</f>
        <v>2566553804.1147199</v>
      </c>
      <c r="S191">
        <f t="shared" ref="S191" si="933">R191/100000</f>
        <v>25665.5380411472</v>
      </c>
      <c r="T191">
        <f t="shared" ref="T191:T197" si="934">S191/1000</f>
        <v>25.665538041147201</v>
      </c>
    </row>
    <row r="192" spans="1:20" x14ac:dyDescent="0.25">
      <c r="A192" s="5">
        <v>44401</v>
      </c>
      <c r="B192">
        <v>2.281E-2</v>
      </c>
      <c r="C192">
        <v>2.445E-2</v>
      </c>
      <c r="D192">
        <v>2.2689999999999998E-2</v>
      </c>
      <c r="E192">
        <v>2.3720000000000001E-2</v>
      </c>
      <c r="F192">
        <v>330637591.10000002</v>
      </c>
      <c r="G192">
        <v>2.3720000000000001E-2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0.17045454545454825</v>
      </c>
      <c r="Q192">
        <f t="shared" ref="Q192" si="936">F192*P192</f>
        <v>56358680.301137291</v>
      </c>
      <c r="R192">
        <f t="shared" ref="R192" si="937">R193+Q192</f>
        <v>2248229474.5626464</v>
      </c>
      <c r="S192">
        <f t="shared" ref="S192" si="938">R192/100000</f>
        <v>22482.294745626463</v>
      </c>
      <c r="T192">
        <f t="shared" si="934"/>
        <v>22.482294745626461</v>
      </c>
    </row>
    <row r="193" spans="1:20" x14ac:dyDescent="0.25">
      <c r="A193" s="5">
        <v>44400</v>
      </c>
      <c r="B193">
        <v>2.146E-2</v>
      </c>
      <c r="C193">
        <v>2.384E-2</v>
      </c>
      <c r="D193">
        <v>2.0840000000000001E-2</v>
      </c>
      <c r="E193">
        <v>2.2800000000000001E-2</v>
      </c>
      <c r="F193">
        <v>529549183.10000002</v>
      </c>
      <c r="G193">
        <v>2.2800000000000001E-2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0.30666666666666698</v>
      </c>
      <c r="Q193">
        <f t="shared" ref="Q193" si="940">F193*P193</f>
        <v>162395082.81733349</v>
      </c>
      <c r="R193">
        <f t="shared" ref="R193" si="941">R194+Q193</f>
        <v>2191870794.2615089</v>
      </c>
      <c r="S193">
        <f t="shared" ref="S193" si="942">R193/100000</f>
        <v>21918.707942615089</v>
      </c>
      <c r="T193">
        <f t="shared" si="934"/>
        <v>21.918707942615089</v>
      </c>
    </row>
    <row r="194" spans="1:20" x14ac:dyDescent="0.25">
      <c r="A194" s="5">
        <v>44399</v>
      </c>
      <c r="B194">
        <v>1.9429999999999999E-2</v>
      </c>
      <c r="C194">
        <v>2.1999999999999999E-2</v>
      </c>
      <c r="D194">
        <v>1.9199999999999998E-2</v>
      </c>
      <c r="E194">
        <v>2.146E-2</v>
      </c>
      <c r="F194">
        <v>440630009.39999998</v>
      </c>
      <c r="G194">
        <v>2.146E-2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0.61428571428571521</v>
      </c>
      <c r="Q194">
        <f t="shared" ref="Q194" si="944">F194*P194</f>
        <v>270672720.06000042</v>
      </c>
      <c r="R194">
        <f t="shared" ref="R194" si="945">R195+Q194</f>
        <v>2029475711.4441752</v>
      </c>
      <c r="S194">
        <f t="shared" ref="S194" si="946">R194/100000</f>
        <v>20294.757114441752</v>
      </c>
      <c r="T194">
        <f t="shared" si="934"/>
        <v>20.294757114441751</v>
      </c>
    </row>
    <row r="195" spans="1:20" x14ac:dyDescent="0.25">
      <c r="A195" s="5">
        <v>44398</v>
      </c>
      <c r="B195">
        <v>1.728E-2</v>
      </c>
      <c r="C195">
        <v>1.9879999999999998E-2</v>
      </c>
      <c r="D195">
        <v>1.6879999999999999E-2</v>
      </c>
      <c r="E195">
        <v>1.9429999999999999E-2</v>
      </c>
      <c r="F195">
        <v>294941376.69999999</v>
      </c>
      <c r="G195">
        <v>1.9429999999999999E-2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0.70000000000000062</v>
      </c>
      <c r="Q195">
        <f t="shared" ref="Q195" si="948">F195*P195</f>
        <v>206458963.69000018</v>
      </c>
      <c r="R195">
        <f t="shared" ref="R195" si="949">R196+Q195</f>
        <v>1758802991.3841748</v>
      </c>
      <c r="S195">
        <f t="shared" ref="S195" si="950">R195/100000</f>
        <v>17588.029913841747</v>
      </c>
      <c r="T195">
        <f t="shared" si="934"/>
        <v>17.588029913841748</v>
      </c>
    </row>
    <row r="196" spans="1:20" x14ac:dyDescent="0.25">
      <c r="A196" s="5">
        <v>44397</v>
      </c>
      <c r="B196">
        <v>1.8169999999999999E-2</v>
      </c>
      <c r="C196">
        <v>1.8489999999999999E-2</v>
      </c>
      <c r="D196">
        <v>1.651E-2</v>
      </c>
      <c r="E196">
        <v>1.7270000000000001E-2</v>
      </c>
      <c r="F196">
        <v>430191523.39999998</v>
      </c>
      <c r="G196">
        <v>1.7270000000000001E-2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-0.23232323232323171</v>
      </c>
      <c r="Q196">
        <f t="shared" ref="Q196" si="952">F196*P196</f>
        <v>-99943485.234343171</v>
      </c>
      <c r="R196">
        <f t="shared" ref="R196" si="953">R197+Q196</f>
        <v>1552344027.6941748</v>
      </c>
      <c r="S196">
        <f t="shared" ref="S196" si="954">R196/100000</f>
        <v>15523.440276941748</v>
      </c>
      <c r="T196">
        <f t="shared" si="934"/>
        <v>15.523440276941749</v>
      </c>
    </row>
    <row r="197" spans="1:20" x14ac:dyDescent="0.25">
      <c r="A197" s="5">
        <v>44396</v>
      </c>
      <c r="B197">
        <v>1.967E-2</v>
      </c>
      <c r="C197">
        <v>1.9970000000000002E-2</v>
      </c>
      <c r="D197">
        <v>1.8020000000000001E-2</v>
      </c>
      <c r="E197">
        <v>1.8159999999999999E-2</v>
      </c>
      <c r="F197">
        <v>275471112.89999998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-0.8564102564102587</v>
      </c>
      <c r="Q197">
        <f t="shared" ref="Q197" si="956">F197*P197</f>
        <v>-235916286.43230832</v>
      </c>
      <c r="R197">
        <f t="shared" ref="R197" si="957">R198+Q197</f>
        <v>1652287512.9285178</v>
      </c>
      <c r="S197">
        <f t="shared" ref="S197" si="958">R197/100000</f>
        <v>16522.875129285178</v>
      </c>
      <c r="T197">
        <f t="shared" si="934"/>
        <v>16.522875129285179</v>
      </c>
    </row>
    <row r="198" spans="1:20" x14ac:dyDescent="0.25">
      <c r="A198" s="5">
        <v>44395</v>
      </c>
      <c r="B198">
        <v>1.9699999999999999E-2</v>
      </c>
      <c r="C198">
        <v>2.087E-2</v>
      </c>
      <c r="D198">
        <v>1.9290000000000002E-2</v>
      </c>
      <c r="E198">
        <v>1.968E-2</v>
      </c>
      <c r="F198">
        <v>237505417.40000001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-0.50632911392405255</v>
      </c>
      <c r="Q198">
        <f t="shared" ref="Q198:Q261" si="960">F198*P198</f>
        <v>-120255907.54430425</v>
      </c>
      <c r="R198">
        <f t="shared" ref="R198:R261" si="961">R199+Q198</f>
        <v>1888203799.360826</v>
      </c>
      <c r="S198">
        <f t="shared" ref="S198:S261" si="962">R198/100000</f>
        <v>18882.037993608261</v>
      </c>
      <c r="T198">
        <f t="shared" ref="T198:T261" si="963">S198/1000</f>
        <v>18.882037993608261</v>
      </c>
    </row>
    <row r="199" spans="1:20" x14ac:dyDescent="0.25">
      <c r="A199" s="5">
        <v>44394</v>
      </c>
      <c r="B199">
        <v>1.9689999999999999E-2</v>
      </c>
      <c r="C199">
        <v>2.0119999999999999E-2</v>
      </c>
      <c r="D199">
        <v>1.9050000000000001E-2</v>
      </c>
      <c r="E199">
        <v>1.9699999999999999E-2</v>
      </c>
      <c r="F199">
        <v>251937538.19999999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0.21495327102803549</v>
      </c>
      <c r="Q199">
        <f t="shared" si="960"/>
        <v>54154797.930840641</v>
      </c>
      <c r="R199">
        <f t="shared" si="961"/>
        <v>2008459706.9051304</v>
      </c>
      <c r="S199">
        <f t="shared" si="962"/>
        <v>20084.597069051302</v>
      </c>
      <c r="T199">
        <f t="shared" si="963"/>
        <v>20.084597069051302</v>
      </c>
    </row>
    <row r="200" spans="1:20" x14ac:dyDescent="0.25">
      <c r="A200" s="5">
        <v>44393</v>
      </c>
      <c r="B200">
        <v>2.06E-2</v>
      </c>
      <c r="C200">
        <v>2.155E-2</v>
      </c>
      <c r="D200">
        <v>1.9439999999999999E-2</v>
      </c>
      <c r="E200">
        <v>1.968E-2</v>
      </c>
      <c r="F200">
        <v>253415624.30000001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-0.77251184834123177</v>
      </c>
      <c r="Q200">
        <f t="shared" si="960"/>
        <v>-195766572.32654017</v>
      </c>
      <c r="R200">
        <f t="shared" si="961"/>
        <v>1954304908.9742897</v>
      </c>
      <c r="S200">
        <f t="shared" si="962"/>
        <v>19543.049089742897</v>
      </c>
      <c r="T200">
        <f t="shared" si="963"/>
        <v>19.543049089742897</v>
      </c>
    </row>
    <row r="201" spans="1:20" x14ac:dyDescent="0.25">
      <c r="A201" s="5">
        <v>44392</v>
      </c>
      <c r="B201">
        <v>2.2210000000000001E-2</v>
      </c>
      <c r="C201">
        <v>2.2630000000000001E-2</v>
      </c>
      <c r="D201">
        <v>2.0320000000000001E-2</v>
      </c>
      <c r="E201">
        <v>2.0590000000000001E-2</v>
      </c>
      <c r="F201">
        <v>277795275.39999998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-0.76623376623376671</v>
      </c>
      <c r="Q201">
        <f t="shared" si="960"/>
        <v>-212856120.11168844</v>
      </c>
      <c r="R201">
        <f t="shared" si="961"/>
        <v>2150071481.3008299</v>
      </c>
      <c r="S201">
        <f t="shared" si="962"/>
        <v>21500.714813008301</v>
      </c>
      <c r="T201">
        <f t="shared" si="963"/>
        <v>21.500714813008301</v>
      </c>
    </row>
    <row r="202" spans="1:20" x14ac:dyDescent="0.25">
      <c r="A202" s="5">
        <v>44391</v>
      </c>
      <c r="B202">
        <v>2.1819999999999999E-2</v>
      </c>
      <c r="C202">
        <v>2.2460000000000001E-2</v>
      </c>
      <c r="D202">
        <v>2.0480000000000002E-2</v>
      </c>
      <c r="E202">
        <v>2.2210000000000001E-2</v>
      </c>
      <c r="F202">
        <v>260679738.80000001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0.74747474747474718</v>
      </c>
      <c r="Q202">
        <f t="shared" si="960"/>
        <v>194851521.93131307</v>
      </c>
      <c r="R202">
        <f t="shared" si="961"/>
        <v>2362927601.4125185</v>
      </c>
      <c r="S202">
        <f t="shared" si="962"/>
        <v>23629.276014125186</v>
      </c>
      <c r="T202">
        <f t="shared" si="963"/>
        <v>23.629276014125185</v>
      </c>
    </row>
    <row r="203" spans="1:20" x14ac:dyDescent="0.25">
      <c r="A203" s="5">
        <v>44390</v>
      </c>
      <c r="B203">
        <v>2.2700000000000001E-2</v>
      </c>
      <c r="C203">
        <v>2.2939999999999999E-2</v>
      </c>
      <c r="D203">
        <v>2.1440000000000001E-2</v>
      </c>
      <c r="E203">
        <v>2.1829999999999999E-2</v>
      </c>
      <c r="F203">
        <v>215140244.90000001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-0.48000000000000193</v>
      </c>
      <c r="Q203">
        <f t="shared" si="960"/>
        <v>-103267317.55200042</v>
      </c>
      <c r="R203">
        <f t="shared" si="961"/>
        <v>2168076079.4812055</v>
      </c>
      <c r="S203">
        <f t="shared" si="962"/>
        <v>21680.760794812053</v>
      </c>
      <c r="T203">
        <f t="shared" si="963"/>
        <v>21.680760794812052</v>
      </c>
    </row>
    <row r="204" spans="1:20" x14ac:dyDescent="0.25">
      <c r="A204" s="5">
        <v>44389</v>
      </c>
      <c r="B204">
        <v>2.3869999999999999E-2</v>
      </c>
      <c r="C204">
        <v>2.4559999999999998E-2</v>
      </c>
      <c r="D204">
        <v>2.2179999999999998E-2</v>
      </c>
      <c r="E204">
        <v>2.2720000000000001E-2</v>
      </c>
      <c r="F204">
        <v>200030477.19999999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-0.54621848739495604</v>
      </c>
      <c r="Q204">
        <f t="shared" si="960"/>
        <v>-109260344.68907523</v>
      </c>
      <c r="R204">
        <f t="shared" si="961"/>
        <v>2271343397.033206</v>
      </c>
      <c r="S204">
        <f t="shared" si="962"/>
        <v>22713.433970332058</v>
      </c>
      <c r="T204">
        <f t="shared" si="963"/>
        <v>22.713433970332058</v>
      </c>
    </row>
    <row r="205" spans="1:20" x14ac:dyDescent="0.25">
      <c r="A205" s="5">
        <v>44388</v>
      </c>
      <c r="B205">
        <v>2.3369999999999998E-2</v>
      </c>
      <c r="C205">
        <v>2.4340000000000001E-2</v>
      </c>
      <c r="D205">
        <v>2.3259999999999999E-2</v>
      </c>
      <c r="E205">
        <v>2.3869999999999999E-2</v>
      </c>
      <c r="F205">
        <v>142767704.5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0.12962962962962743</v>
      </c>
      <c r="Q205">
        <f t="shared" si="960"/>
        <v>18506924.657407094</v>
      </c>
      <c r="R205">
        <f t="shared" si="961"/>
        <v>2380603741.722281</v>
      </c>
      <c r="S205">
        <f t="shared" si="962"/>
        <v>23806.037417222811</v>
      </c>
      <c r="T205">
        <f t="shared" si="963"/>
        <v>23.806037417222811</v>
      </c>
    </row>
    <row r="206" spans="1:20" x14ac:dyDescent="0.25">
      <c r="A206" s="5">
        <v>44387</v>
      </c>
      <c r="B206">
        <v>2.4170000000000001E-2</v>
      </c>
      <c r="C206">
        <v>2.478E-2</v>
      </c>
      <c r="D206">
        <v>2.2780000000000002E-2</v>
      </c>
      <c r="E206">
        <v>2.334E-2</v>
      </c>
      <c r="F206">
        <v>215406834.09999999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-0.4400000000000015</v>
      </c>
      <c r="Q206">
        <f t="shared" si="960"/>
        <v>-94779007.004000321</v>
      </c>
      <c r="R206">
        <f t="shared" si="961"/>
        <v>2362096817.0648737</v>
      </c>
      <c r="S206">
        <f t="shared" si="962"/>
        <v>23620.968170648735</v>
      </c>
      <c r="T206">
        <f t="shared" si="963"/>
        <v>23.620968170648734</v>
      </c>
    </row>
    <row r="207" spans="1:20" x14ac:dyDescent="0.25">
      <c r="A207" s="5">
        <v>44386</v>
      </c>
      <c r="B207">
        <v>2.4289999999999999E-2</v>
      </c>
      <c r="C207">
        <v>2.4889999999999999E-2</v>
      </c>
      <c r="D207">
        <v>2.316E-2</v>
      </c>
      <c r="E207">
        <v>2.4160000000000001E-2</v>
      </c>
      <c r="F207">
        <v>201117805.80000001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0.15606936416185146</v>
      </c>
      <c r="Q207">
        <f t="shared" si="960"/>
        <v>31388328.072832726</v>
      </c>
      <c r="R207">
        <f t="shared" si="961"/>
        <v>2456875824.0688739</v>
      </c>
      <c r="S207">
        <f t="shared" si="962"/>
        <v>24568.758240688738</v>
      </c>
      <c r="T207">
        <f t="shared" si="963"/>
        <v>24.568758240688737</v>
      </c>
    </row>
    <row r="208" spans="1:20" x14ac:dyDescent="0.25">
      <c r="A208" s="5">
        <v>44385</v>
      </c>
      <c r="B208">
        <v>2.6349999999999998E-2</v>
      </c>
      <c r="C208">
        <v>2.6450000000000001E-2</v>
      </c>
      <c r="D208">
        <v>2.375E-2</v>
      </c>
      <c r="E208">
        <v>2.4289999999999999E-2</v>
      </c>
      <c r="F208">
        <v>344185694.89999998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-0.60000000000000098</v>
      </c>
      <c r="Q208">
        <f t="shared" si="960"/>
        <v>-206511416.94000033</v>
      </c>
      <c r="R208">
        <f t="shared" si="961"/>
        <v>2425487495.9960413</v>
      </c>
      <c r="S208">
        <f t="shared" si="962"/>
        <v>24254.874959960413</v>
      </c>
      <c r="T208">
        <f t="shared" si="963"/>
        <v>24.254874959960411</v>
      </c>
    </row>
    <row r="209" spans="1:20" x14ac:dyDescent="0.25">
      <c r="A209" s="5">
        <v>44384</v>
      </c>
      <c r="B209">
        <v>2.5319999999999999E-2</v>
      </c>
      <c r="C209">
        <v>2.8160000000000001E-2</v>
      </c>
      <c r="D209">
        <v>2.5059999999999999E-2</v>
      </c>
      <c r="E209">
        <v>2.639E-2</v>
      </c>
      <c r="F209">
        <v>342528668.39999998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-0.14193548387096747</v>
      </c>
      <c r="Q209">
        <f t="shared" si="960"/>
        <v>-48616972.289032161</v>
      </c>
      <c r="R209">
        <f t="shared" si="961"/>
        <v>2631998912.9360418</v>
      </c>
      <c r="S209">
        <f t="shared" si="962"/>
        <v>26319.98912936042</v>
      </c>
      <c r="T209">
        <f t="shared" si="963"/>
        <v>26.319989129360419</v>
      </c>
    </row>
    <row r="210" spans="1:20" x14ac:dyDescent="0.25">
      <c r="A210" s="5">
        <v>44383</v>
      </c>
      <c r="B210">
        <v>2.435E-2</v>
      </c>
      <c r="C210">
        <v>2.6110000000000001E-2</v>
      </c>
      <c r="D210">
        <v>2.4129999999999999E-2</v>
      </c>
      <c r="E210">
        <v>2.5360000000000001E-2</v>
      </c>
      <c r="F210">
        <v>315533631.39999998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0.24242424242424274</v>
      </c>
      <c r="Q210">
        <f t="shared" si="960"/>
        <v>76493001.551515251</v>
      </c>
      <c r="R210">
        <f t="shared" si="961"/>
        <v>2680615885.2250738</v>
      </c>
      <c r="S210">
        <f t="shared" si="962"/>
        <v>26806.158852250737</v>
      </c>
      <c r="T210">
        <f t="shared" si="963"/>
        <v>26.806158852250736</v>
      </c>
    </row>
    <row r="211" spans="1:20" x14ac:dyDescent="0.25">
      <c r="A211" s="5">
        <v>44382</v>
      </c>
      <c r="B211">
        <v>2.5319999999999999E-2</v>
      </c>
      <c r="C211">
        <v>2.5329999999999998E-2</v>
      </c>
      <c r="D211">
        <v>2.332E-2</v>
      </c>
      <c r="E211">
        <v>2.4320000000000001E-2</v>
      </c>
      <c r="F211">
        <v>252859879.19999999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-4.9751243781075288E-3</v>
      </c>
      <c r="Q211">
        <f t="shared" si="960"/>
        <v>-1258009.3492532447</v>
      </c>
      <c r="R211">
        <f t="shared" si="961"/>
        <v>2604122883.6735587</v>
      </c>
      <c r="S211">
        <f t="shared" si="962"/>
        <v>26041.228836735587</v>
      </c>
      <c r="T211">
        <f t="shared" si="963"/>
        <v>26.041228836735588</v>
      </c>
    </row>
    <row r="212" spans="1:20" x14ac:dyDescent="0.25">
      <c r="A212" s="5">
        <v>44381</v>
      </c>
      <c r="B212">
        <v>2.453E-2</v>
      </c>
      <c r="C212">
        <v>2.6499999999999999E-2</v>
      </c>
      <c r="D212">
        <v>2.351E-2</v>
      </c>
      <c r="E212">
        <v>2.5350000000000001E-2</v>
      </c>
      <c r="F212">
        <v>226284799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0.23076923076923184</v>
      </c>
      <c r="Q212">
        <f t="shared" si="960"/>
        <v>52219569.000000238</v>
      </c>
      <c r="R212">
        <f t="shared" si="961"/>
        <v>2605380893.0228119</v>
      </c>
      <c r="S212">
        <f t="shared" si="962"/>
        <v>26053.808930228119</v>
      </c>
      <c r="T212">
        <f t="shared" si="963"/>
        <v>26.053808930228119</v>
      </c>
    </row>
    <row r="213" spans="1:20" x14ac:dyDescent="0.25">
      <c r="A213" s="5">
        <v>44380</v>
      </c>
      <c r="B213">
        <v>2.316E-2</v>
      </c>
      <c r="C213">
        <v>2.4670000000000001E-2</v>
      </c>
      <c r="D213">
        <v>2.273E-2</v>
      </c>
      <c r="E213">
        <v>2.452E-2</v>
      </c>
      <c r="F213">
        <v>149732923.09999999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0.84536082474226726</v>
      </c>
      <c r="Q213">
        <f t="shared" si="960"/>
        <v>126578347.36288647</v>
      </c>
      <c r="R213">
        <f t="shared" si="961"/>
        <v>2553161324.0228119</v>
      </c>
      <c r="S213">
        <f t="shared" si="962"/>
        <v>25531.613240228118</v>
      </c>
      <c r="T213">
        <f t="shared" si="963"/>
        <v>25.531613240228118</v>
      </c>
    </row>
    <row r="214" spans="1:20" x14ac:dyDescent="0.25">
      <c r="A214" s="5">
        <v>44379</v>
      </c>
      <c r="B214">
        <v>2.334E-2</v>
      </c>
      <c r="C214">
        <v>2.3640000000000001E-2</v>
      </c>
      <c r="D214">
        <v>2.172E-2</v>
      </c>
      <c r="E214">
        <v>2.316E-2</v>
      </c>
      <c r="F214">
        <v>266561048.80000001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0.49999999999999911</v>
      </c>
      <c r="Q214">
        <f t="shared" si="960"/>
        <v>133280524.39999977</v>
      </c>
      <c r="R214">
        <f t="shared" si="961"/>
        <v>2426582976.6599255</v>
      </c>
      <c r="S214">
        <f t="shared" si="962"/>
        <v>24265.829766599254</v>
      </c>
      <c r="T214">
        <f t="shared" si="963"/>
        <v>24.265829766599254</v>
      </c>
    </row>
    <row r="215" spans="1:20" x14ac:dyDescent="0.25">
      <c r="A215" s="5">
        <v>44378</v>
      </c>
      <c r="B215">
        <v>2.435E-2</v>
      </c>
      <c r="C215">
        <v>2.4590000000000001E-2</v>
      </c>
      <c r="D215">
        <v>2.2040000000000001E-2</v>
      </c>
      <c r="E215">
        <v>2.334E-2</v>
      </c>
      <c r="F215">
        <v>391825406.5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1.96078431372541E-2</v>
      </c>
      <c r="Q215">
        <f t="shared" si="960"/>
        <v>7682851.1078428235</v>
      </c>
      <c r="R215">
        <f t="shared" si="961"/>
        <v>2293302452.2599258</v>
      </c>
      <c r="S215">
        <f t="shared" si="962"/>
        <v>22933.024522599258</v>
      </c>
      <c r="T215">
        <f t="shared" si="963"/>
        <v>22.933024522599258</v>
      </c>
    </row>
    <row r="216" spans="1:20" x14ac:dyDescent="0.25">
      <c r="A216" s="5">
        <v>44377</v>
      </c>
      <c r="B216">
        <v>2.4629999999999999E-2</v>
      </c>
      <c r="C216">
        <v>2.5420000000000002E-2</v>
      </c>
      <c r="D216">
        <v>2.2530000000000001E-2</v>
      </c>
      <c r="E216">
        <v>2.4340000000000001E-2</v>
      </c>
      <c r="F216">
        <v>366740185.5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0.25259515570934188</v>
      </c>
      <c r="Q216">
        <f t="shared" si="960"/>
        <v>92636794.26124543</v>
      </c>
      <c r="R216">
        <f t="shared" si="961"/>
        <v>2285619601.1520829</v>
      </c>
      <c r="S216">
        <f t="shared" si="962"/>
        <v>22856.196011520828</v>
      </c>
      <c r="T216">
        <f t="shared" si="963"/>
        <v>22.856196011520829</v>
      </c>
    </row>
    <row r="217" spans="1:20" x14ac:dyDescent="0.25">
      <c r="A217" s="5">
        <v>44376</v>
      </c>
      <c r="B217">
        <v>2.3120000000000002E-2</v>
      </c>
      <c r="C217">
        <v>2.597E-2</v>
      </c>
      <c r="D217">
        <v>2.3060000000000001E-2</v>
      </c>
      <c r="E217">
        <v>2.4639999999999999E-2</v>
      </c>
      <c r="F217">
        <v>376782390.89999998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8.5910652920961103E-2</v>
      </c>
      <c r="Q217">
        <f t="shared" si="960"/>
        <v>32369621.21133979</v>
      </c>
      <c r="R217">
        <f t="shared" si="961"/>
        <v>2192982806.8908377</v>
      </c>
      <c r="S217">
        <f t="shared" si="962"/>
        <v>21929.828068908377</v>
      </c>
      <c r="T217">
        <f t="shared" si="963"/>
        <v>21.929828068908378</v>
      </c>
    </row>
    <row r="218" spans="1:20" x14ac:dyDescent="0.25">
      <c r="A218" s="5">
        <v>44375</v>
      </c>
      <c r="B218">
        <v>2.2349999999999998E-2</v>
      </c>
      <c r="C218">
        <v>2.402E-2</v>
      </c>
      <c r="D218">
        <v>2.1839999999999998E-2</v>
      </c>
      <c r="E218">
        <v>2.3130000000000001E-2</v>
      </c>
      <c r="F218">
        <v>323466846.39999998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0.18348623853211204</v>
      </c>
      <c r="Q218">
        <f t="shared" si="960"/>
        <v>59351714.935780443</v>
      </c>
      <c r="R218">
        <f t="shared" si="961"/>
        <v>2160613185.6794977</v>
      </c>
      <c r="S218">
        <f t="shared" si="962"/>
        <v>21606.131856794978</v>
      </c>
      <c r="T218">
        <f t="shared" si="963"/>
        <v>21.606131856794978</v>
      </c>
    </row>
    <row r="219" spans="1:20" x14ac:dyDescent="0.25">
      <c r="A219" s="5">
        <v>44374</v>
      </c>
      <c r="B219">
        <v>2.1430000000000001E-2</v>
      </c>
      <c r="C219">
        <v>2.2370000000000001E-2</v>
      </c>
      <c r="D219">
        <v>2.0480000000000002E-2</v>
      </c>
      <c r="E219">
        <v>2.2329999999999999E-2</v>
      </c>
      <c r="F219">
        <v>265076017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0.95767195767195568</v>
      </c>
      <c r="Q219">
        <f t="shared" si="960"/>
        <v>253855868.1322746</v>
      </c>
      <c r="R219">
        <f t="shared" si="961"/>
        <v>2101261470.7437174</v>
      </c>
      <c r="S219">
        <f t="shared" si="962"/>
        <v>21012.614707437173</v>
      </c>
      <c r="T219">
        <f t="shared" si="963"/>
        <v>21.012614707437173</v>
      </c>
    </row>
    <row r="220" spans="1:20" x14ac:dyDescent="0.25">
      <c r="A220" s="5">
        <v>44373</v>
      </c>
      <c r="B220">
        <v>2.0559999999999998E-2</v>
      </c>
      <c r="C220">
        <v>2.1440000000000001E-2</v>
      </c>
      <c r="D220">
        <v>1.9779999999999999E-2</v>
      </c>
      <c r="E220">
        <v>2.1430000000000001E-2</v>
      </c>
      <c r="F220">
        <v>266856727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0.98795180722891618</v>
      </c>
      <c r="Q220">
        <f t="shared" si="960"/>
        <v>263641585.7108435</v>
      </c>
      <c r="R220">
        <f t="shared" si="961"/>
        <v>1847405602.6114428</v>
      </c>
      <c r="S220">
        <f t="shared" si="962"/>
        <v>18474.056026114427</v>
      </c>
      <c r="T220">
        <f t="shared" si="963"/>
        <v>18.474056026114429</v>
      </c>
    </row>
    <row r="221" spans="1:20" x14ac:dyDescent="0.25">
      <c r="A221" s="5">
        <v>44372</v>
      </c>
      <c r="B221">
        <v>2.349E-2</v>
      </c>
      <c r="C221">
        <v>2.402E-2</v>
      </c>
      <c r="D221">
        <v>2.0400000000000001E-2</v>
      </c>
      <c r="E221">
        <v>2.0559999999999998E-2</v>
      </c>
      <c r="F221">
        <v>385439060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-0.91160220994475305</v>
      </c>
      <c r="Q221">
        <f t="shared" si="960"/>
        <v>-351367098.89502829</v>
      </c>
      <c r="R221">
        <f t="shared" si="961"/>
        <v>1583764016.9005992</v>
      </c>
      <c r="S221">
        <f t="shared" si="962"/>
        <v>15837.640169005992</v>
      </c>
      <c r="T221">
        <f t="shared" si="963"/>
        <v>15.837640169005992</v>
      </c>
    </row>
    <row r="222" spans="1:20" x14ac:dyDescent="0.25">
      <c r="A222" s="5">
        <v>44371</v>
      </c>
      <c r="B222">
        <v>2.2950000000000002E-2</v>
      </c>
      <c r="C222">
        <v>2.46E-2</v>
      </c>
      <c r="D222">
        <v>2.1430000000000001E-2</v>
      </c>
      <c r="E222">
        <v>2.3449999999999999E-2</v>
      </c>
      <c r="F222">
        <v>261705948.59999999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0.27444794952681262</v>
      </c>
      <c r="Q222">
        <f t="shared" si="960"/>
        <v>71824660.97223942</v>
      </c>
      <c r="R222">
        <f t="shared" si="961"/>
        <v>1935131115.7956276</v>
      </c>
      <c r="S222">
        <f t="shared" si="962"/>
        <v>19351.311157956276</v>
      </c>
      <c r="T222">
        <f t="shared" si="963"/>
        <v>19.351311157956275</v>
      </c>
    </row>
    <row r="223" spans="1:20" x14ac:dyDescent="0.25">
      <c r="A223" s="5">
        <v>44370</v>
      </c>
      <c r="B223">
        <v>2.1499999999999998E-2</v>
      </c>
      <c r="C223">
        <v>2.4819999999999998E-2</v>
      </c>
      <c r="D223">
        <v>2.061E-2</v>
      </c>
      <c r="E223">
        <v>2.2939999999999999E-2</v>
      </c>
      <c r="F223">
        <v>456814887.60000002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0.10688836104513044</v>
      </c>
      <c r="Q223">
        <f t="shared" si="960"/>
        <v>48828194.636579484</v>
      </c>
      <c r="R223">
        <f t="shared" si="961"/>
        <v>1863306454.8233881</v>
      </c>
      <c r="S223">
        <f t="shared" si="962"/>
        <v>18633.06454823388</v>
      </c>
      <c r="T223">
        <f t="shared" si="963"/>
        <v>18.633064548233879</v>
      </c>
    </row>
    <row r="224" spans="1:20" x14ac:dyDescent="0.25">
      <c r="A224" s="5">
        <v>44369</v>
      </c>
      <c r="B224">
        <v>2.18E-2</v>
      </c>
      <c r="C224">
        <v>2.5749999999999999E-2</v>
      </c>
      <c r="D224">
        <v>1.8530000000000001E-2</v>
      </c>
      <c r="E224">
        <v>2.1499999999999998E-2</v>
      </c>
      <c r="F224">
        <v>1290232778.3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-0.17728531855955731</v>
      </c>
      <c r="Q224">
        <f t="shared" si="960"/>
        <v>-228739329.11689818</v>
      </c>
      <c r="R224">
        <f t="shared" si="961"/>
        <v>1814478260.1868086</v>
      </c>
      <c r="S224">
        <f t="shared" si="962"/>
        <v>18144.782601868086</v>
      </c>
      <c r="T224">
        <f t="shared" si="963"/>
        <v>18.144782601868087</v>
      </c>
    </row>
    <row r="225" spans="1:20" x14ac:dyDescent="0.25">
      <c r="A225" s="5">
        <v>44368</v>
      </c>
      <c r="B225">
        <v>2.9090000000000001E-2</v>
      </c>
      <c r="C225">
        <v>2.964E-2</v>
      </c>
      <c r="D225">
        <v>2.171E-2</v>
      </c>
      <c r="E225">
        <v>2.1819999999999999E-2</v>
      </c>
      <c r="F225">
        <v>565400581.20000005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-0.97225725094577575</v>
      </c>
      <c r="Q225">
        <f t="shared" si="960"/>
        <v>-549714814.76065588</v>
      </c>
      <c r="R225">
        <f t="shared" si="961"/>
        <v>2043217589.3037066</v>
      </c>
      <c r="S225">
        <f t="shared" si="962"/>
        <v>20432.175893037067</v>
      </c>
      <c r="T225">
        <f t="shared" si="963"/>
        <v>20.432175893037066</v>
      </c>
    </row>
    <row r="226" spans="1:20" x14ac:dyDescent="0.25">
      <c r="A226" s="5">
        <v>44367</v>
      </c>
      <c r="B226">
        <v>2.8060000000000002E-2</v>
      </c>
      <c r="C226">
        <v>2.9510000000000002E-2</v>
      </c>
      <c r="D226">
        <v>2.5989999999999999E-2</v>
      </c>
      <c r="E226">
        <v>2.9170000000000001E-2</v>
      </c>
      <c r="F226">
        <v>246463222.19999999</v>
      </c>
      <c r="G226">
        <v>0</v>
      </c>
      <c r="L226" t="s">
        <v>8</v>
      </c>
      <c r="M226" t="s">
        <v>7</v>
      </c>
      <c r="N226" t="s">
        <v>7</v>
      </c>
      <c r="P226">
        <f t="shared" si="959"/>
        <v>0.80681818181818188</v>
      </c>
      <c r="Q226">
        <f t="shared" si="960"/>
        <v>198851008.82045454</v>
      </c>
      <c r="R226">
        <f t="shared" si="961"/>
        <v>2592932404.0643625</v>
      </c>
      <c r="S226">
        <f t="shared" si="962"/>
        <v>25929.324040643623</v>
      </c>
      <c r="T226">
        <f t="shared" si="963"/>
        <v>25.929324040643625</v>
      </c>
    </row>
    <row r="227" spans="1:20" x14ac:dyDescent="0.25">
      <c r="A227" s="5">
        <v>44366</v>
      </c>
      <c r="B227">
        <v>2.7890000000000002E-2</v>
      </c>
      <c r="C227">
        <v>2.9399999999999999E-2</v>
      </c>
      <c r="D227">
        <v>2.751E-2</v>
      </c>
      <c r="E227">
        <v>2.8080000000000001E-2</v>
      </c>
      <c r="F227">
        <v>165347805.69999999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-0.39682539682539547</v>
      </c>
      <c r="Q227">
        <f t="shared" si="960"/>
        <v>-65614208.611110881</v>
      </c>
      <c r="R227">
        <f t="shared" si="961"/>
        <v>2394081395.2439079</v>
      </c>
      <c r="S227">
        <f t="shared" si="962"/>
        <v>23940.813952439079</v>
      </c>
      <c r="T227">
        <f t="shared" si="963"/>
        <v>23.940813952439079</v>
      </c>
    </row>
    <row r="228" spans="1:20" x14ac:dyDescent="0.25">
      <c r="A228" s="5">
        <v>44365</v>
      </c>
      <c r="B228">
        <v>2.997E-2</v>
      </c>
      <c r="C228">
        <v>3.0470000000000001E-2</v>
      </c>
      <c r="D228">
        <v>2.6939999999999999E-2</v>
      </c>
      <c r="E228">
        <v>2.7890000000000002E-2</v>
      </c>
      <c r="F228">
        <v>229486667.69999999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-0.46175637393767566</v>
      </c>
      <c r="Q228">
        <f t="shared" si="960"/>
        <v>-105966931.54419231</v>
      </c>
      <c r="R228">
        <f t="shared" si="961"/>
        <v>2459695603.8550186</v>
      </c>
      <c r="S228">
        <f t="shared" si="962"/>
        <v>24596.956038550186</v>
      </c>
      <c r="T228">
        <f t="shared" si="963"/>
        <v>24.596956038550186</v>
      </c>
    </row>
    <row r="229" spans="1:20" x14ac:dyDescent="0.25">
      <c r="A229" s="5">
        <v>44364</v>
      </c>
      <c r="B229">
        <v>3.04E-2</v>
      </c>
      <c r="C229">
        <v>3.1949999999999999E-2</v>
      </c>
      <c r="D229">
        <v>2.9239999999999999E-2</v>
      </c>
      <c r="E229">
        <v>2.997E-2</v>
      </c>
      <c r="F229">
        <v>186262378.19999999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-0.46125461254612449</v>
      </c>
      <c r="Q229">
        <f t="shared" si="960"/>
        <v>-85914381.0885607</v>
      </c>
      <c r="R229">
        <f t="shared" si="961"/>
        <v>2565662535.3992109</v>
      </c>
      <c r="S229">
        <f t="shared" si="962"/>
        <v>25656.625353992109</v>
      </c>
      <c r="T229">
        <f t="shared" si="963"/>
        <v>25.656625353992109</v>
      </c>
    </row>
    <row r="230" spans="1:20" x14ac:dyDescent="0.25">
      <c r="A230" s="5">
        <v>44363</v>
      </c>
      <c r="B230">
        <v>3.1600000000000003E-2</v>
      </c>
      <c r="C230">
        <v>3.329E-2</v>
      </c>
      <c r="D230">
        <v>2.9839999999999998E-2</v>
      </c>
      <c r="E230">
        <v>3.041E-2</v>
      </c>
      <c r="F230">
        <v>306975353.30000001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-0.66956521739130392</v>
      </c>
      <c r="Q230">
        <f t="shared" si="960"/>
        <v>-205540019.16608682</v>
      </c>
      <c r="R230">
        <f t="shared" si="961"/>
        <v>2651576916.4877715</v>
      </c>
      <c r="S230">
        <f t="shared" si="962"/>
        <v>26515.769164877715</v>
      </c>
      <c r="T230">
        <f t="shared" si="963"/>
        <v>26.515769164877714</v>
      </c>
    </row>
    <row r="231" spans="1:20" x14ac:dyDescent="0.25">
      <c r="A231" s="5">
        <v>44362</v>
      </c>
      <c r="B231">
        <v>3.2129999999999999E-2</v>
      </c>
      <c r="C231">
        <v>3.3270000000000001E-2</v>
      </c>
      <c r="D231">
        <v>3.0700000000000002E-2</v>
      </c>
      <c r="E231">
        <v>3.1609999999999999E-2</v>
      </c>
      <c r="F231">
        <v>250584420.69999999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-0.29182879377432075</v>
      </c>
      <c r="Q231">
        <f t="shared" si="960"/>
        <v>-73127749.231517926</v>
      </c>
      <c r="R231">
        <f t="shared" si="961"/>
        <v>2857116935.6538582</v>
      </c>
      <c r="S231">
        <f t="shared" si="962"/>
        <v>28571.169356538583</v>
      </c>
      <c r="T231">
        <f t="shared" si="963"/>
        <v>28.571169356538583</v>
      </c>
    </row>
    <row r="232" spans="1:20" x14ac:dyDescent="0.25">
      <c r="A232" s="5">
        <v>44361</v>
      </c>
      <c r="B232">
        <v>3.1029999999999999E-2</v>
      </c>
      <c r="C232">
        <v>3.2460000000000003E-2</v>
      </c>
      <c r="D232">
        <v>2.9510000000000002E-2</v>
      </c>
      <c r="E232">
        <v>3.2099999999999997E-2</v>
      </c>
      <c r="F232">
        <v>390847549.5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0.75593220338982647</v>
      </c>
      <c r="Q232">
        <f t="shared" si="960"/>
        <v>295454249.28304929</v>
      </c>
      <c r="R232">
        <f t="shared" si="961"/>
        <v>2930244684.885376</v>
      </c>
      <c r="S232">
        <f t="shared" si="962"/>
        <v>29302.44684885376</v>
      </c>
      <c r="T232">
        <f t="shared" si="963"/>
        <v>29.302446848853762</v>
      </c>
    </row>
    <row r="233" spans="1:20" x14ac:dyDescent="0.25">
      <c r="A233" s="5">
        <v>44360</v>
      </c>
      <c r="B233">
        <v>2.8299999999999999E-2</v>
      </c>
      <c r="C233">
        <v>3.1550000000000002E-2</v>
      </c>
      <c r="D233">
        <v>2.674E-2</v>
      </c>
      <c r="E233">
        <v>3.1009999999999999E-2</v>
      </c>
      <c r="F233">
        <v>322918581.60000002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0.77546777546777457</v>
      </c>
      <c r="Q233">
        <f t="shared" si="960"/>
        <v>250412954.13056105</v>
      </c>
      <c r="R233">
        <f t="shared" si="961"/>
        <v>2634790435.6023269</v>
      </c>
      <c r="S233">
        <f t="shared" si="962"/>
        <v>26347.904356023268</v>
      </c>
      <c r="T233">
        <f t="shared" si="963"/>
        <v>26.347904356023268</v>
      </c>
    </row>
    <row r="234" spans="1:20" x14ac:dyDescent="0.25">
      <c r="A234" s="5">
        <v>44359</v>
      </c>
      <c r="B234">
        <v>2.8590000000000001E-2</v>
      </c>
      <c r="C234">
        <v>2.861E-2</v>
      </c>
      <c r="D234">
        <v>2.5999999999999999E-2</v>
      </c>
      <c r="E234">
        <v>2.8230000000000002E-2</v>
      </c>
      <c r="F234">
        <v>432679492.30000001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0.70881226053639979</v>
      </c>
      <c r="Q234">
        <f t="shared" si="960"/>
        <v>306688529.02490479</v>
      </c>
      <c r="R234">
        <f t="shared" si="961"/>
        <v>2384377481.471766</v>
      </c>
      <c r="S234">
        <f t="shared" si="962"/>
        <v>23843.774814717661</v>
      </c>
      <c r="T234">
        <f t="shared" si="963"/>
        <v>23.843774814717662</v>
      </c>
    </row>
    <row r="235" spans="1:20" x14ac:dyDescent="0.25">
      <c r="A235" s="5">
        <v>44358</v>
      </c>
      <c r="B235">
        <v>3.0970000000000001E-2</v>
      </c>
      <c r="C235">
        <v>3.1660000000000001E-2</v>
      </c>
      <c r="D235">
        <v>2.785E-2</v>
      </c>
      <c r="E235">
        <v>2.8559999999999999E-2</v>
      </c>
      <c r="F235">
        <v>285147328.80000001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-0.62729658792650989</v>
      </c>
      <c r="Q235">
        <f t="shared" si="960"/>
        <v>-178871946.41259864</v>
      </c>
      <c r="R235">
        <f t="shared" si="961"/>
        <v>2077688952.4468613</v>
      </c>
      <c r="S235">
        <f t="shared" si="962"/>
        <v>20776.889524468614</v>
      </c>
      <c r="T235">
        <f t="shared" si="963"/>
        <v>20.776889524468615</v>
      </c>
    </row>
    <row r="236" spans="1:20" x14ac:dyDescent="0.25">
      <c r="A236" s="5">
        <v>44357</v>
      </c>
      <c r="B236">
        <v>3.39E-2</v>
      </c>
      <c r="C236">
        <v>3.4279999999999998E-2</v>
      </c>
      <c r="D236">
        <v>3.0779999999999998E-2</v>
      </c>
      <c r="E236">
        <v>3.0970000000000001E-2</v>
      </c>
      <c r="F236">
        <v>327540762.30000001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-0.8914285714285699</v>
      </c>
      <c r="Q236">
        <f t="shared" si="960"/>
        <v>-291979193.82171381</v>
      </c>
      <c r="R236">
        <f t="shared" si="961"/>
        <v>2256560898.8594599</v>
      </c>
      <c r="S236">
        <f t="shared" si="962"/>
        <v>22565.608988594598</v>
      </c>
      <c r="T236">
        <f t="shared" si="963"/>
        <v>22.565608988594597</v>
      </c>
    </row>
    <row r="237" spans="1:20" x14ac:dyDescent="0.25">
      <c r="A237" s="5">
        <v>44356</v>
      </c>
      <c r="B237">
        <v>3.2199999999999999E-2</v>
      </c>
      <c r="C237">
        <v>3.4459999999999998E-2</v>
      </c>
      <c r="D237">
        <v>3.0179999999999998E-2</v>
      </c>
      <c r="E237">
        <v>3.39E-2</v>
      </c>
      <c r="F237">
        <v>331600213.19999999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0.73831775700934665</v>
      </c>
      <c r="Q237">
        <f t="shared" si="960"/>
        <v>244826325.63364515</v>
      </c>
      <c r="R237">
        <f t="shared" si="961"/>
        <v>2548540092.6811738</v>
      </c>
      <c r="S237">
        <f t="shared" si="962"/>
        <v>25485.400926811737</v>
      </c>
      <c r="T237">
        <f t="shared" si="963"/>
        <v>25.485400926811739</v>
      </c>
    </row>
    <row r="238" spans="1:20" x14ac:dyDescent="0.25">
      <c r="A238" s="5">
        <v>44355</v>
      </c>
      <c r="B238">
        <v>3.338E-2</v>
      </c>
      <c r="C238">
        <v>3.3959999999999997E-2</v>
      </c>
      <c r="D238">
        <v>2.9059999999999999E-2</v>
      </c>
      <c r="E238">
        <v>3.2210000000000003E-2</v>
      </c>
      <c r="F238">
        <v>386553160.69999999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0.28571428571428764</v>
      </c>
      <c r="Q238">
        <f t="shared" si="960"/>
        <v>110443760.20000075</v>
      </c>
      <c r="R238">
        <f t="shared" si="961"/>
        <v>2303713767.0475287</v>
      </c>
      <c r="S238">
        <f t="shared" si="962"/>
        <v>23037.137670475287</v>
      </c>
      <c r="T238">
        <f t="shared" si="963"/>
        <v>23.037137670475289</v>
      </c>
    </row>
    <row r="239" spans="1:20" x14ac:dyDescent="0.25">
      <c r="A239" s="5">
        <v>44354</v>
      </c>
      <c r="B239">
        <v>3.7359999999999997E-2</v>
      </c>
      <c r="C239">
        <v>3.8580000000000003E-2</v>
      </c>
      <c r="D239">
        <v>3.2960000000000003E-2</v>
      </c>
      <c r="E239">
        <v>3.338E-2</v>
      </c>
      <c r="F239">
        <v>296000172.80000001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-0.85053380782918264</v>
      </c>
      <c r="Q239">
        <f t="shared" si="960"/>
        <v>-251758154.08968008</v>
      </c>
      <c r="R239">
        <f t="shared" si="961"/>
        <v>2193270006.847528</v>
      </c>
      <c r="S239">
        <f t="shared" si="962"/>
        <v>21932.700068475278</v>
      </c>
      <c r="T239">
        <f t="shared" si="963"/>
        <v>21.932700068475278</v>
      </c>
    </row>
    <row r="240" spans="1:20" x14ac:dyDescent="0.25">
      <c r="A240" s="5">
        <v>44353</v>
      </c>
      <c r="B240">
        <v>3.4389999999999997E-2</v>
      </c>
      <c r="C240">
        <v>3.8080000000000003E-2</v>
      </c>
      <c r="D240">
        <v>3.4110000000000001E-2</v>
      </c>
      <c r="E240">
        <v>3.7310000000000003E-2</v>
      </c>
      <c r="F240">
        <v>224856458.90000001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0.61209068010075585</v>
      </c>
      <c r="Q240">
        <f t="shared" si="960"/>
        <v>137632542.85314867</v>
      </c>
      <c r="R240">
        <f t="shared" si="961"/>
        <v>2445028160.9372082</v>
      </c>
      <c r="S240">
        <f t="shared" si="962"/>
        <v>24450.281609372083</v>
      </c>
      <c r="T240">
        <f t="shared" si="963"/>
        <v>24.450281609372084</v>
      </c>
    </row>
    <row r="241" spans="1:20" x14ac:dyDescent="0.25">
      <c r="A241" s="5">
        <v>44352</v>
      </c>
      <c r="B241">
        <v>3.662E-2</v>
      </c>
      <c r="C241">
        <v>3.8679999999999999E-2</v>
      </c>
      <c r="D241">
        <v>3.3419999999999998E-2</v>
      </c>
      <c r="E241">
        <v>3.44E-2</v>
      </c>
      <c r="F241">
        <v>320087533.60000002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-0.62737642585551268</v>
      </c>
      <c r="Q241">
        <f t="shared" si="960"/>
        <v>-200815372.79087433</v>
      </c>
      <c r="R241">
        <f t="shared" si="961"/>
        <v>2307395618.0840597</v>
      </c>
      <c r="S241">
        <f t="shared" si="962"/>
        <v>23073.956180840596</v>
      </c>
      <c r="T241">
        <f t="shared" si="963"/>
        <v>23.073956180840597</v>
      </c>
    </row>
    <row r="242" spans="1:20" x14ac:dyDescent="0.25">
      <c r="A242" s="5">
        <v>44351</v>
      </c>
      <c r="B242">
        <v>4.1930000000000002E-2</v>
      </c>
      <c r="C242">
        <v>4.1959999999999997E-2</v>
      </c>
      <c r="D242">
        <v>3.4329999999999999E-2</v>
      </c>
      <c r="E242">
        <v>3.6679999999999997E-2</v>
      </c>
      <c r="F242">
        <v>462516871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-0.38401048492791651</v>
      </c>
      <c r="Q242">
        <f t="shared" si="960"/>
        <v>-177611327.92005262</v>
      </c>
      <c r="R242">
        <f t="shared" si="961"/>
        <v>2508210990.8749342</v>
      </c>
      <c r="S242">
        <f t="shared" si="962"/>
        <v>25082.109908749342</v>
      </c>
      <c r="T242">
        <f t="shared" si="963"/>
        <v>25.082109908749342</v>
      </c>
    </row>
    <row r="243" spans="1:20" x14ac:dyDescent="0.25">
      <c r="A243" s="5">
        <v>44350</v>
      </c>
      <c r="B243">
        <v>3.9359999999999999E-2</v>
      </c>
      <c r="C243">
        <v>4.2959999999999998E-2</v>
      </c>
      <c r="D243">
        <v>3.875E-2</v>
      </c>
      <c r="E243">
        <v>4.1930000000000002E-2</v>
      </c>
      <c r="F243">
        <v>329900306.80000001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0.51068883610451465</v>
      </c>
      <c r="Q243">
        <f t="shared" si="960"/>
        <v>168476403.71021432</v>
      </c>
      <c r="R243">
        <f t="shared" si="961"/>
        <v>2685822318.7949867</v>
      </c>
      <c r="S243">
        <f t="shared" si="962"/>
        <v>26858.223187949869</v>
      </c>
      <c r="T243">
        <f t="shared" si="963"/>
        <v>26.858223187949868</v>
      </c>
    </row>
    <row r="244" spans="1:20" x14ac:dyDescent="0.25">
      <c r="A244" s="5">
        <v>44349</v>
      </c>
      <c r="B244">
        <v>3.7650000000000003E-2</v>
      </c>
      <c r="C244">
        <v>4.1680000000000002E-2</v>
      </c>
      <c r="D244">
        <v>3.6269999999999997E-2</v>
      </c>
      <c r="E244">
        <v>3.9379999999999998E-2</v>
      </c>
      <c r="F244">
        <v>411549234.60000002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0.14972273567467606</v>
      </c>
      <c r="Q244">
        <f t="shared" si="960"/>
        <v>61618277.26913105</v>
      </c>
      <c r="R244">
        <f t="shared" si="961"/>
        <v>2517345915.0847726</v>
      </c>
      <c r="S244">
        <f t="shared" si="962"/>
        <v>25173.459150847724</v>
      </c>
      <c r="T244">
        <f t="shared" si="963"/>
        <v>25.173459150847723</v>
      </c>
    </row>
    <row r="245" spans="1:20" x14ac:dyDescent="0.25">
      <c r="A245" s="5">
        <v>44348</v>
      </c>
      <c r="B245">
        <v>3.9730000000000001E-2</v>
      </c>
      <c r="C245">
        <v>4.1540000000000001E-2</v>
      </c>
      <c r="D245">
        <v>3.628E-2</v>
      </c>
      <c r="E245">
        <v>3.764E-2</v>
      </c>
      <c r="F245">
        <v>545436747.29999995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-0.4828897338403042</v>
      </c>
      <c r="Q245">
        <f t="shared" si="960"/>
        <v>-263385805.73041824</v>
      </c>
      <c r="R245">
        <f t="shared" si="961"/>
        <v>2455727637.8156414</v>
      </c>
      <c r="S245">
        <f t="shared" si="962"/>
        <v>24557.276378156414</v>
      </c>
      <c r="T245">
        <f t="shared" si="963"/>
        <v>24.557276378156413</v>
      </c>
    </row>
    <row r="246" spans="1:20" x14ac:dyDescent="0.25">
      <c r="A246" s="5">
        <v>44347</v>
      </c>
      <c r="B246">
        <v>3.3119999999999997E-2</v>
      </c>
      <c r="C246">
        <v>4.0309999999999999E-2</v>
      </c>
      <c r="D246">
        <v>3.1539999999999999E-2</v>
      </c>
      <c r="E246">
        <v>3.9780000000000003E-2</v>
      </c>
      <c r="F246">
        <v>530413873.60000002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0.87913340935005801</v>
      </c>
      <c r="Q246">
        <f t="shared" si="960"/>
        <v>466304557.06453878</v>
      </c>
      <c r="R246">
        <f t="shared" si="961"/>
        <v>2719113443.5460596</v>
      </c>
      <c r="S246">
        <f t="shared" si="962"/>
        <v>27191.134435460597</v>
      </c>
      <c r="T246">
        <f t="shared" si="963"/>
        <v>27.191134435460597</v>
      </c>
    </row>
    <row r="247" spans="1:20" x14ac:dyDescent="0.25">
      <c r="A247" s="5">
        <v>44346</v>
      </c>
      <c r="B247">
        <v>3.1370000000000002E-2</v>
      </c>
      <c r="C247">
        <v>3.4799999999999998E-2</v>
      </c>
      <c r="D247">
        <v>2.9149999999999999E-2</v>
      </c>
      <c r="E247">
        <v>3.3110000000000001E-2</v>
      </c>
      <c r="F247">
        <v>374170954.19999999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0.4017699115044257</v>
      </c>
      <c r="Q247">
        <f t="shared" si="960"/>
        <v>150330631.15646052</v>
      </c>
      <c r="R247">
        <f t="shared" si="961"/>
        <v>2252808886.4815207</v>
      </c>
      <c r="S247">
        <f t="shared" si="962"/>
        <v>22528.088864815207</v>
      </c>
      <c r="T247">
        <f t="shared" si="963"/>
        <v>22.528088864815206</v>
      </c>
    </row>
    <row r="248" spans="1:20" x14ac:dyDescent="0.25">
      <c r="A248" s="5">
        <v>44345</v>
      </c>
      <c r="B248">
        <v>3.424E-2</v>
      </c>
      <c r="C248">
        <v>3.5659999999999997E-2</v>
      </c>
      <c r="D248">
        <v>2.904E-2</v>
      </c>
      <c r="E248">
        <v>3.1350000000000003E-2</v>
      </c>
      <c r="F248">
        <v>382396423.69999999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-0.30211480362537646</v>
      </c>
      <c r="Q248">
        <f t="shared" si="960"/>
        <v>-115527620.45317174</v>
      </c>
      <c r="R248">
        <f t="shared" si="961"/>
        <v>2102478255.3250604</v>
      </c>
      <c r="S248">
        <f t="shared" si="962"/>
        <v>21024.782553250603</v>
      </c>
      <c r="T248">
        <f t="shared" si="963"/>
        <v>21.024782553250603</v>
      </c>
    </row>
    <row r="249" spans="1:20" x14ac:dyDescent="0.25">
      <c r="A249" s="5">
        <v>44344</v>
      </c>
      <c r="B249">
        <v>3.9849999999999997E-2</v>
      </c>
      <c r="C249">
        <v>4.0329999999999998E-2</v>
      </c>
      <c r="D249">
        <v>3.2579999999999998E-2</v>
      </c>
      <c r="E249">
        <v>3.4229999999999997E-2</v>
      </c>
      <c r="F249">
        <v>490276098.39999998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-0.57419354838709713</v>
      </c>
      <c r="Q249">
        <f t="shared" si="960"/>
        <v>-281513372.62967759</v>
      </c>
      <c r="R249">
        <f t="shared" si="961"/>
        <v>2218005875.7782321</v>
      </c>
      <c r="S249">
        <f t="shared" si="962"/>
        <v>22180.058757782321</v>
      </c>
      <c r="T249">
        <f t="shared" si="963"/>
        <v>22.180058757782319</v>
      </c>
    </row>
    <row r="250" spans="1:20" x14ac:dyDescent="0.25">
      <c r="A250" s="5">
        <v>44343</v>
      </c>
      <c r="B250">
        <v>4.308E-2</v>
      </c>
      <c r="C250">
        <v>4.308E-2</v>
      </c>
      <c r="D250">
        <v>3.7960000000000001E-2</v>
      </c>
      <c r="E250">
        <v>3.984E-2</v>
      </c>
      <c r="F250">
        <v>395687992.19999999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-0.26562500000000006</v>
      </c>
      <c r="Q250">
        <f t="shared" si="960"/>
        <v>-105104622.92812502</v>
      </c>
      <c r="R250">
        <f t="shared" si="961"/>
        <v>2499519248.4079099</v>
      </c>
      <c r="S250">
        <f t="shared" si="962"/>
        <v>24995.1924840791</v>
      </c>
      <c r="T250">
        <f t="shared" si="963"/>
        <v>24.995192484079102</v>
      </c>
    </row>
    <row r="251" spans="1:20" x14ac:dyDescent="0.25">
      <c r="A251" s="5">
        <v>44342</v>
      </c>
      <c r="B251">
        <v>3.8030000000000001E-2</v>
      </c>
      <c r="C251">
        <v>4.3389999999999998E-2</v>
      </c>
      <c r="D251">
        <v>3.687E-2</v>
      </c>
      <c r="E251">
        <v>4.3040000000000002E-2</v>
      </c>
      <c r="F251">
        <v>592719916.10000002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0.89263803680981713</v>
      </c>
      <c r="Q251">
        <f t="shared" si="960"/>
        <v>529084342.28558356</v>
      </c>
      <c r="R251">
        <f t="shared" si="961"/>
        <v>2604623871.3360348</v>
      </c>
      <c r="S251">
        <f t="shared" si="962"/>
        <v>26046.238713360348</v>
      </c>
      <c r="T251">
        <f t="shared" si="963"/>
        <v>26.046238713360349</v>
      </c>
    </row>
    <row r="252" spans="1:20" x14ac:dyDescent="0.25">
      <c r="A252" s="5">
        <v>44341</v>
      </c>
      <c r="B252">
        <v>4.079E-2</v>
      </c>
      <c r="C252">
        <v>4.1660000000000003E-2</v>
      </c>
      <c r="D252">
        <v>3.4270000000000002E-2</v>
      </c>
      <c r="E252">
        <v>3.7879999999999997E-2</v>
      </c>
      <c r="F252">
        <v>712291347.70000005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-2.3004059539920216E-2</v>
      </c>
      <c r="Q252">
        <f t="shared" si="960"/>
        <v>-16385592.572260814</v>
      </c>
      <c r="R252">
        <f t="shared" si="961"/>
        <v>2075539529.050451</v>
      </c>
      <c r="S252">
        <f t="shared" si="962"/>
        <v>20755.395290504512</v>
      </c>
      <c r="T252">
        <f t="shared" si="963"/>
        <v>20.755395290504513</v>
      </c>
    </row>
    <row r="253" spans="1:20" x14ac:dyDescent="0.25">
      <c r="A253" s="5">
        <v>44340</v>
      </c>
      <c r="B253">
        <v>2.9610000000000001E-2</v>
      </c>
      <c r="C253">
        <v>4.2999999999999997E-2</v>
      </c>
      <c r="D253">
        <v>2.896E-2</v>
      </c>
      <c r="E253">
        <v>4.0730000000000002E-2</v>
      </c>
      <c r="F253">
        <v>766724737.60000002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0.67663817663817738</v>
      </c>
      <c r="Q253">
        <f t="shared" si="960"/>
        <v>518795228.43304902</v>
      </c>
      <c r="R253">
        <f t="shared" si="961"/>
        <v>2091925121.6227119</v>
      </c>
      <c r="S253">
        <f t="shared" si="962"/>
        <v>20919.25121622712</v>
      </c>
      <c r="T253">
        <f t="shared" si="963"/>
        <v>20.919251216227121</v>
      </c>
    </row>
    <row r="254" spans="1:20" x14ac:dyDescent="0.25">
      <c r="A254" s="5">
        <v>44339</v>
      </c>
      <c r="B254">
        <v>3.4970000000000001E-2</v>
      </c>
      <c r="C254">
        <v>3.6999999999999998E-2</v>
      </c>
      <c r="D254">
        <v>2.2749999999999999E-2</v>
      </c>
      <c r="E254">
        <v>2.9649999999999999E-2</v>
      </c>
      <c r="F254">
        <v>1008064299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-3.1578947368420984E-2</v>
      </c>
      <c r="Q254">
        <f t="shared" si="960"/>
        <v>-31833609.442105193</v>
      </c>
      <c r="R254">
        <f t="shared" si="961"/>
        <v>1573129893.1896629</v>
      </c>
      <c r="S254">
        <f t="shared" si="962"/>
        <v>15731.29893189663</v>
      </c>
      <c r="T254">
        <f t="shared" si="963"/>
        <v>15.73129893189663</v>
      </c>
    </row>
    <row r="255" spans="1:20" x14ac:dyDescent="0.25">
      <c r="A255" s="5">
        <v>44338</v>
      </c>
      <c r="B255">
        <v>3.891E-2</v>
      </c>
      <c r="C255">
        <v>3.993E-2</v>
      </c>
      <c r="D255">
        <v>3.3430000000000001E-2</v>
      </c>
      <c r="E255">
        <v>3.4939999999999999E-2</v>
      </c>
      <c r="F255">
        <v>477024450.60000002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-0.53538461538461612</v>
      </c>
      <c r="Q255">
        <f t="shared" si="960"/>
        <v>-255391552.01353884</v>
      </c>
      <c r="R255">
        <f t="shared" si="961"/>
        <v>1604963502.6317682</v>
      </c>
      <c r="S255">
        <f t="shared" si="962"/>
        <v>16049.635026317683</v>
      </c>
      <c r="T255">
        <f t="shared" si="963"/>
        <v>16.049635026317684</v>
      </c>
    </row>
    <row r="256" spans="1:20" x14ac:dyDescent="0.25">
      <c r="A256" s="5">
        <v>44337</v>
      </c>
      <c r="B256">
        <v>4.6890000000000001E-2</v>
      </c>
      <c r="C256">
        <v>5.0160000000000003E-2</v>
      </c>
      <c r="D256">
        <v>3.2480000000000002E-2</v>
      </c>
      <c r="E256">
        <v>3.8980000000000001E-2</v>
      </c>
      <c r="F256">
        <v>668013522.5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-0.26470588235294135</v>
      </c>
      <c r="Q256">
        <f t="shared" si="960"/>
        <v>-176827108.89705893</v>
      </c>
      <c r="R256">
        <f t="shared" si="961"/>
        <v>1860355054.6453071</v>
      </c>
      <c r="S256">
        <f t="shared" si="962"/>
        <v>18603.550546453072</v>
      </c>
      <c r="T256">
        <f t="shared" si="963"/>
        <v>18.603550546453071</v>
      </c>
    </row>
    <row r="257" spans="1:20" x14ac:dyDescent="0.25">
      <c r="A257" s="5">
        <v>44336</v>
      </c>
      <c r="B257">
        <v>4.1110000000000001E-2</v>
      </c>
      <c r="C257">
        <v>5.0610000000000002E-2</v>
      </c>
      <c r="D257">
        <v>3.6220000000000002E-2</v>
      </c>
      <c r="E257">
        <v>4.6890000000000001E-2</v>
      </c>
      <c r="F257">
        <v>567072222.20000005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0.48297428769979139</v>
      </c>
      <c r="Q257">
        <f t="shared" si="960"/>
        <v>273881302.59138286</v>
      </c>
      <c r="R257">
        <f t="shared" si="961"/>
        <v>2037182163.542366</v>
      </c>
      <c r="S257">
        <f t="shared" si="962"/>
        <v>20371.821635423661</v>
      </c>
      <c r="T257">
        <f t="shared" si="963"/>
        <v>20.371821635423661</v>
      </c>
    </row>
    <row r="258" spans="1:20" x14ac:dyDescent="0.25">
      <c r="A258" s="5">
        <v>44335</v>
      </c>
      <c r="B258">
        <v>6.5530000000000005E-2</v>
      </c>
      <c r="C258">
        <v>6.7320000000000005E-2</v>
      </c>
      <c r="D258">
        <v>2.1610000000000001E-2</v>
      </c>
      <c r="E258">
        <v>4.1110000000000001E-2</v>
      </c>
      <c r="F258">
        <v>1142852362.0999999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-0.14679501203237813</v>
      </c>
      <c r="Q258">
        <f t="shared" si="960"/>
        <v>-167765026.24570125</v>
      </c>
      <c r="R258">
        <f t="shared" si="961"/>
        <v>1763300860.950983</v>
      </c>
      <c r="S258">
        <f t="shared" si="962"/>
        <v>17633.00860950983</v>
      </c>
      <c r="T258">
        <f t="shared" si="963"/>
        <v>17.63300860950983</v>
      </c>
    </row>
    <row r="259" spans="1:20" x14ac:dyDescent="0.25">
      <c r="A259" s="5">
        <v>44334</v>
      </c>
      <c r="B259">
        <v>6.4170000000000005E-2</v>
      </c>
      <c r="C259">
        <v>6.9809999999999997E-2</v>
      </c>
      <c r="D259">
        <v>6.3339999999999994E-2</v>
      </c>
      <c r="E259">
        <v>6.5530000000000005E-2</v>
      </c>
      <c r="F259">
        <v>288706268.39999998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-0.32302936630602469</v>
      </c>
      <c r="Q259">
        <f t="shared" si="960"/>
        <v>-93260602.929829076</v>
      </c>
      <c r="R259">
        <f t="shared" si="961"/>
        <v>1931065887.1966844</v>
      </c>
      <c r="S259">
        <f t="shared" si="962"/>
        <v>19310.658871966843</v>
      </c>
      <c r="T259">
        <f t="shared" si="963"/>
        <v>19.310658871966844</v>
      </c>
    </row>
    <row r="260" spans="1:20" x14ac:dyDescent="0.25">
      <c r="A260" s="5">
        <v>44333</v>
      </c>
      <c r="B260">
        <v>7.0209999999999995E-2</v>
      </c>
      <c r="C260">
        <v>7.0330000000000004E-2</v>
      </c>
      <c r="D260">
        <v>6.2460000000000002E-2</v>
      </c>
      <c r="E260">
        <v>6.4170000000000005E-2</v>
      </c>
      <c r="F260">
        <v>345905710.5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-0.56543837357052029</v>
      </c>
      <c r="Q260">
        <f t="shared" si="960"/>
        <v>-195588362.35387525</v>
      </c>
      <c r="R260">
        <f t="shared" si="961"/>
        <v>2024326490.1265135</v>
      </c>
      <c r="S260">
        <f t="shared" si="962"/>
        <v>20243.264901265135</v>
      </c>
      <c r="T260">
        <f t="shared" si="963"/>
        <v>20.243264901265135</v>
      </c>
    </row>
    <row r="261" spans="1:20" x14ac:dyDescent="0.25">
      <c r="A261" s="5">
        <v>44332</v>
      </c>
      <c r="B261">
        <v>7.0959999999999995E-2</v>
      </c>
      <c r="C261">
        <v>7.6759999999999995E-2</v>
      </c>
      <c r="D261">
        <v>6.5500000000000003E-2</v>
      </c>
      <c r="E261">
        <v>7.0199999999999999E-2</v>
      </c>
      <c r="F261">
        <v>396168969.30000001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-0.16518650088809964</v>
      </c>
      <c r="Q261">
        <f t="shared" si="960"/>
        <v>-65441765.79911197</v>
      </c>
      <c r="R261">
        <f t="shared" si="961"/>
        <v>2219914852.4803886</v>
      </c>
      <c r="S261">
        <f t="shared" si="962"/>
        <v>22199.148524803888</v>
      </c>
      <c r="T261">
        <f t="shared" si="963"/>
        <v>22.199148524803888</v>
      </c>
    </row>
    <row r="262" spans="1:20" x14ac:dyDescent="0.25">
      <c r="A262" s="5">
        <v>44331</v>
      </c>
      <c r="B262">
        <v>7.825E-2</v>
      </c>
      <c r="C262">
        <v>8.0689999999999998E-2</v>
      </c>
      <c r="D262">
        <v>7.0000000000000007E-2</v>
      </c>
      <c r="E262">
        <v>7.0830000000000004E-2</v>
      </c>
      <c r="F262">
        <v>380355823.60000002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-0.84471468662301252</v>
      </c>
      <c r="Q262">
        <f t="shared" ref="Q262:Q325" si="965">F262*P262</f>
        <v>-321292150.33751184</v>
      </c>
      <c r="R262">
        <f t="shared" ref="R262:R325" si="966">R263+Q262</f>
        <v>2285356618.2795005</v>
      </c>
      <c r="S262">
        <f t="shared" ref="S262:S325" si="967">R262/100000</f>
        <v>22853.566182795006</v>
      </c>
      <c r="T262">
        <f t="shared" ref="T262:T325" si="968">S262/1000</f>
        <v>22.853566182795007</v>
      </c>
    </row>
    <row r="263" spans="1:20" x14ac:dyDescent="0.25">
      <c r="A263" s="5">
        <v>44330</v>
      </c>
      <c r="B263">
        <v>6.8610000000000004E-2</v>
      </c>
      <c r="C263">
        <v>7.9710000000000003E-2</v>
      </c>
      <c r="D263">
        <v>6.8000000000000005E-2</v>
      </c>
      <c r="E263">
        <v>7.8229999999999994E-2</v>
      </c>
      <c r="F263">
        <v>373693759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0.74722459436379007</v>
      </c>
      <c r="Q263">
        <f t="shared" si="965"/>
        <v>279233167.48505491</v>
      </c>
      <c r="R263">
        <f t="shared" si="966"/>
        <v>2606648768.6170125</v>
      </c>
      <c r="S263">
        <f t="shared" si="967"/>
        <v>26066.487686170123</v>
      </c>
      <c r="T263">
        <f t="shared" si="968"/>
        <v>26.066487686170124</v>
      </c>
    </row>
    <row r="264" spans="1:20" x14ac:dyDescent="0.25">
      <c r="A264" s="5">
        <v>44329</v>
      </c>
      <c r="B264">
        <v>6.7970000000000003E-2</v>
      </c>
      <c r="C264">
        <v>7.3469999999999994E-2</v>
      </c>
      <c r="D264">
        <v>6.1100000000000002E-2</v>
      </c>
      <c r="E264">
        <v>6.8690000000000001E-2</v>
      </c>
      <c r="F264">
        <v>553103591.5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0.22716248989490773</v>
      </c>
      <c r="Q264">
        <f t="shared" si="965"/>
        <v>125644389.01495592</v>
      </c>
      <c r="R264">
        <f t="shared" si="966"/>
        <v>2327415601.1319575</v>
      </c>
      <c r="S264">
        <f t="shared" si="967"/>
        <v>23274.156011319574</v>
      </c>
      <c r="T264">
        <f t="shared" si="968"/>
        <v>23.274156011319572</v>
      </c>
    </row>
    <row r="265" spans="1:20" x14ac:dyDescent="0.25">
      <c r="A265" s="5">
        <v>44328</v>
      </c>
      <c r="B265">
        <v>8.0100000000000005E-2</v>
      </c>
      <c r="C265">
        <v>8.3729999999999999E-2</v>
      </c>
      <c r="D265">
        <v>6.5000000000000002E-2</v>
      </c>
      <c r="E265">
        <v>6.7900000000000002E-2</v>
      </c>
      <c r="F265">
        <v>446321520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-0.6903363587827015</v>
      </c>
      <c r="Q265">
        <f t="shared" si="965"/>
        <v>-308111972.96316069</v>
      </c>
      <c r="R265">
        <f t="shared" si="966"/>
        <v>2201771212.1170015</v>
      </c>
      <c r="S265">
        <f t="shared" si="967"/>
        <v>22017.712121170014</v>
      </c>
      <c r="T265">
        <f t="shared" si="968"/>
        <v>22.017712121170014</v>
      </c>
    </row>
    <row r="266" spans="1:20" x14ac:dyDescent="0.25">
      <c r="A266" s="5">
        <v>44327</v>
      </c>
      <c r="B266">
        <v>7.6759999999999995E-2</v>
      </c>
      <c r="C266">
        <v>8.1140000000000004E-2</v>
      </c>
      <c r="D266">
        <v>7.3649999999999993E-2</v>
      </c>
      <c r="E266">
        <v>7.9990000000000006E-2</v>
      </c>
      <c r="F266">
        <v>299157285.30000001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0.69292389853137604</v>
      </c>
      <c r="Q266">
        <f t="shared" si="965"/>
        <v>207293232.40413913</v>
      </c>
      <c r="R266">
        <f t="shared" si="966"/>
        <v>2509883185.080162</v>
      </c>
      <c r="S266">
        <f t="shared" si="967"/>
        <v>25098.83185080162</v>
      </c>
      <c r="T266">
        <f t="shared" si="968"/>
        <v>25.09883185080162</v>
      </c>
    </row>
    <row r="267" spans="1:20" x14ac:dyDescent="0.25">
      <c r="A267" s="5">
        <v>44326</v>
      </c>
      <c r="B267">
        <v>8.9929999999999996E-2</v>
      </c>
      <c r="C267">
        <v>9.0800000000000006E-2</v>
      </c>
      <c r="D267">
        <v>7.0499999999999993E-2</v>
      </c>
      <c r="E267">
        <v>7.6780000000000001E-2</v>
      </c>
      <c r="F267">
        <v>551810604.10000002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-0.38128078817733951</v>
      </c>
      <c r="Q267">
        <f t="shared" si="965"/>
        <v>-210394782.05586186</v>
      </c>
      <c r="R267">
        <f t="shared" si="966"/>
        <v>2302589952.676023</v>
      </c>
      <c r="S267">
        <f t="shared" si="967"/>
        <v>23025.899526760229</v>
      </c>
      <c r="T267">
        <f t="shared" si="968"/>
        <v>23.025899526760231</v>
      </c>
    </row>
    <row r="268" spans="1:20" x14ac:dyDescent="0.25">
      <c r="A268" s="5">
        <v>44325</v>
      </c>
      <c r="B268">
        <v>7.9630000000000006E-2</v>
      </c>
      <c r="C268">
        <v>9.0499999999999997E-2</v>
      </c>
      <c r="D268">
        <v>7.6999999999999999E-2</v>
      </c>
      <c r="E268">
        <v>8.9889999999999998E-2</v>
      </c>
      <c r="F268">
        <v>632841503.39999998</v>
      </c>
      <c r="G268">
        <v>0</v>
      </c>
      <c r="L268" t="s">
        <v>8</v>
      </c>
      <c r="M268" t="s">
        <v>7</v>
      </c>
      <c r="N268" t="s">
        <v>8</v>
      </c>
      <c r="P268">
        <f t="shared" si="964"/>
        <v>0.90962962962962968</v>
      </c>
      <c r="Q268">
        <f t="shared" si="965"/>
        <v>575651382.352</v>
      </c>
      <c r="R268">
        <f t="shared" si="966"/>
        <v>2512984734.731885</v>
      </c>
      <c r="S268">
        <f t="shared" si="967"/>
        <v>25129.84734731885</v>
      </c>
      <c r="T268">
        <f t="shared" si="968"/>
        <v>25.129847347318851</v>
      </c>
    </row>
    <row r="269" spans="1:20" x14ac:dyDescent="0.25">
      <c r="A269" s="5">
        <v>44324</v>
      </c>
      <c r="B269">
        <v>8.0479999999999996E-2</v>
      </c>
      <c r="C269">
        <v>8.2769999999999996E-2</v>
      </c>
      <c r="D269">
        <v>7.8149999999999997E-2</v>
      </c>
      <c r="E269">
        <v>7.9619999999999996E-2</v>
      </c>
      <c r="F269">
        <v>276397976.60000002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-0.36363636363636392</v>
      </c>
      <c r="Q269">
        <f t="shared" si="965"/>
        <v>-100508355.12727281</v>
      </c>
      <c r="R269">
        <f t="shared" si="966"/>
        <v>1937333352.3798847</v>
      </c>
      <c r="S269">
        <f t="shared" si="967"/>
        <v>19373.333523798847</v>
      </c>
      <c r="T269">
        <f t="shared" si="968"/>
        <v>19.373333523798848</v>
      </c>
    </row>
    <row r="270" spans="1:20" x14ac:dyDescent="0.25">
      <c r="A270" s="5">
        <v>44323</v>
      </c>
      <c r="B270">
        <v>8.0659999999999996E-2</v>
      </c>
      <c r="C270">
        <v>8.3150000000000002E-2</v>
      </c>
      <c r="D270">
        <v>7.6770000000000005E-2</v>
      </c>
      <c r="E270">
        <v>8.047E-2</v>
      </c>
      <c r="F270">
        <v>320766485.80000001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0.15987460815046922</v>
      </c>
      <c r="Q270">
        <f t="shared" si="965"/>
        <v>51282416.225078054</v>
      </c>
      <c r="R270">
        <f t="shared" si="966"/>
        <v>2037841707.5071576</v>
      </c>
      <c r="S270">
        <f t="shared" si="967"/>
        <v>20378.417075071575</v>
      </c>
      <c r="T270">
        <f t="shared" si="968"/>
        <v>20.378417075071575</v>
      </c>
    </row>
    <row r="271" spans="1:20" x14ac:dyDescent="0.25">
      <c r="A271" s="5">
        <v>44322</v>
      </c>
      <c r="B271">
        <v>8.3809999999999996E-2</v>
      </c>
      <c r="C271">
        <v>8.5819999999999994E-2</v>
      </c>
      <c r="D271">
        <v>7.8420000000000004E-2</v>
      </c>
      <c r="E271">
        <v>8.0659999999999996E-2</v>
      </c>
      <c r="F271">
        <v>404632525.19999999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-0.39459459459459595</v>
      </c>
      <c r="Q271">
        <f t="shared" si="965"/>
        <v>-159665807.24108163</v>
      </c>
      <c r="R271">
        <f t="shared" si="966"/>
        <v>1986559291.2820795</v>
      </c>
      <c r="S271">
        <f t="shared" si="967"/>
        <v>19865.592912820794</v>
      </c>
      <c r="T271">
        <f t="shared" si="968"/>
        <v>19.865592912820794</v>
      </c>
    </row>
    <row r="272" spans="1:20" x14ac:dyDescent="0.25">
      <c r="A272" s="5">
        <v>44321</v>
      </c>
      <c r="B272">
        <v>7.9000000000000001E-2</v>
      </c>
      <c r="C272">
        <v>8.5430000000000006E-2</v>
      </c>
      <c r="D272">
        <v>7.8399999999999997E-2</v>
      </c>
      <c r="E272">
        <v>8.3830000000000002E-2</v>
      </c>
      <c r="F272">
        <v>334480767.5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0.54480796586059677</v>
      </c>
      <c r="Q272">
        <f t="shared" si="965"/>
        <v>182227786.5611662</v>
      </c>
      <c r="R272">
        <f t="shared" si="966"/>
        <v>2146225098.5231612</v>
      </c>
      <c r="S272">
        <f t="shared" si="967"/>
        <v>21462.250985231611</v>
      </c>
      <c r="T272">
        <f t="shared" si="968"/>
        <v>21.462250985231609</v>
      </c>
    </row>
    <row r="273" spans="1:20" x14ac:dyDescent="0.25">
      <c r="A273" s="5">
        <v>44320</v>
      </c>
      <c r="B273">
        <v>8.9429999999999996E-2</v>
      </c>
      <c r="C273">
        <v>8.9529999999999998E-2</v>
      </c>
      <c r="D273">
        <v>7.8E-2</v>
      </c>
      <c r="E273">
        <v>7.9060000000000005E-2</v>
      </c>
      <c r="F273">
        <v>478634860.5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-0.81613183000867207</v>
      </c>
      <c r="Q273">
        <f t="shared" si="965"/>
        <v>-390629144.60581046</v>
      </c>
      <c r="R273">
        <f t="shared" si="966"/>
        <v>1963997311.9619949</v>
      </c>
      <c r="S273">
        <f t="shared" si="967"/>
        <v>19639.97311961995</v>
      </c>
      <c r="T273">
        <f t="shared" si="968"/>
        <v>19.639973119619949</v>
      </c>
    </row>
    <row r="274" spans="1:20" x14ac:dyDescent="0.25">
      <c r="A274" s="5">
        <v>44319</v>
      </c>
      <c r="B274">
        <v>8.6999999999999994E-2</v>
      </c>
      <c r="C274">
        <v>9.2960000000000001E-2</v>
      </c>
      <c r="D274">
        <v>8.6650000000000005E-2</v>
      </c>
      <c r="E274">
        <v>8.9419999999999999E-2</v>
      </c>
      <c r="F274">
        <v>330046857.39999998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-0.12202852614897104</v>
      </c>
      <c r="Q274">
        <f t="shared" si="965"/>
        <v>-40275131.568621613</v>
      </c>
      <c r="R274">
        <f t="shared" si="966"/>
        <v>2354626456.5678053</v>
      </c>
      <c r="S274">
        <f t="shared" si="967"/>
        <v>23546.264565678051</v>
      </c>
      <c r="T274">
        <f t="shared" si="968"/>
        <v>23.546264565678051</v>
      </c>
    </row>
    <row r="275" spans="1:20" x14ac:dyDescent="0.25">
      <c r="A275" s="5">
        <v>44318</v>
      </c>
      <c r="B275">
        <v>9.0980000000000005E-2</v>
      </c>
      <c r="C275">
        <v>9.1350000000000001E-2</v>
      </c>
      <c r="D275">
        <v>8.4440000000000001E-2</v>
      </c>
      <c r="E275">
        <v>8.6989999999999998E-2</v>
      </c>
      <c r="F275">
        <v>297890460.80000001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-0.26193921852387936</v>
      </c>
      <c r="Q275">
        <f t="shared" si="965"/>
        <v>-78029194.507670328</v>
      </c>
      <c r="R275">
        <f t="shared" si="966"/>
        <v>2394901588.1364269</v>
      </c>
      <c r="S275">
        <f t="shared" si="967"/>
        <v>23949.01588136427</v>
      </c>
      <c r="T275">
        <f t="shared" si="968"/>
        <v>23.949015881364272</v>
      </c>
    </row>
    <row r="276" spans="1:20" x14ac:dyDescent="0.25">
      <c r="A276" s="5">
        <v>44317</v>
      </c>
      <c r="B276">
        <v>9.1789999999999997E-2</v>
      </c>
      <c r="C276">
        <v>9.4950000000000007E-2</v>
      </c>
      <c r="D276">
        <v>0.09</v>
      </c>
      <c r="E276">
        <v>9.085E-2</v>
      </c>
      <c r="F276">
        <v>291090661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-0.6565656565656558</v>
      </c>
      <c r="Q276">
        <f t="shared" si="965"/>
        <v>-191120130.95959574</v>
      </c>
      <c r="R276">
        <f t="shared" si="966"/>
        <v>2472930782.6440973</v>
      </c>
      <c r="S276">
        <f t="shared" si="967"/>
        <v>24729.307826440974</v>
      </c>
      <c r="T276">
        <f t="shared" si="968"/>
        <v>24.729307826440973</v>
      </c>
    </row>
    <row r="277" spans="1:20" x14ac:dyDescent="0.25">
      <c r="A277" s="5">
        <v>44316</v>
      </c>
      <c r="B277">
        <v>8.3610000000000004E-2</v>
      </c>
      <c r="C277">
        <v>9.4920000000000004E-2</v>
      </c>
      <c r="D277">
        <v>8.2129999999999995E-2</v>
      </c>
      <c r="E277">
        <v>9.1800000000000007E-2</v>
      </c>
      <c r="F277">
        <v>567975937.60000002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0.51211884284597409</v>
      </c>
      <c r="Q277">
        <f t="shared" si="965"/>
        <v>290871179.92806917</v>
      </c>
      <c r="R277">
        <f t="shared" si="966"/>
        <v>2664050913.603693</v>
      </c>
      <c r="S277">
        <f t="shared" si="967"/>
        <v>26640.50913603693</v>
      </c>
      <c r="T277">
        <f t="shared" si="968"/>
        <v>26.640509136036929</v>
      </c>
    </row>
    <row r="278" spans="1:20" x14ac:dyDescent="0.25">
      <c r="A278" s="5">
        <v>44315</v>
      </c>
      <c r="B278">
        <v>8.4089999999999998E-2</v>
      </c>
      <c r="C278">
        <v>9.1450000000000004E-2</v>
      </c>
      <c r="D278">
        <v>8.022E-2</v>
      </c>
      <c r="E278">
        <v>8.3610000000000004E-2</v>
      </c>
      <c r="F278">
        <v>516497110.19999999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-0.39626001780943848</v>
      </c>
      <c r="Q278">
        <f t="shared" si="965"/>
        <v>-204667154.0863755</v>
      </c>
      <c r="R278">
        <f t="shared" si="966"/>
        <v>2373179733.6756239</v>
      </c>
      <c r="S278">
        <f t="shared" si="967"/>
        <v>23731.797336756237</v>
      </c>
      <c r="T278">
        <f t="shared" si="968"/>
        <v>23.731797336756237</v>
      </c>
    </row>
    <row r="279" spans="1:20" x14ac:dyDescent="0.25">
      <c r="A279" s="5">
        <v>44314</v>
      </c>
      <c r="B279">
        <v>8.8529999999999998E-2</v>
      </c>
      <c r="C279">
        <v>9.1249999999999998E-2</v>
      </c>
      <c r="D279">
        <v>8.0019999999999994E-2</v>
      </c>
      <c r="E279">
        <v>8.4089999999999998E-2</v>
      </c>
      <c r="F279">
        <v>568348886.70000005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-0.27515583259127291</v>
      </c>
      <c r="Q279">
        <f t="shared" si="965"/>
        <v>-156384511.12226155</v>
      </c>
      <c r="R279">
        <f t="shared" si="966"/>
        <v>2577846887.7619996</v>
      </c>
      <c r="S279">
        <f t="shared" si="967"/>
        <v>25778.468877619995</v>
      </c>
      <c r="T279">
        <f t="shared" si="968"/>
        <v>25.778468877619993</v>
      </c>
    </row>
    <row r="280" spans="1:20" x14ac:dyDescent="0.25">
      <c r="A280" s="5">
        <v>44313</v>
      </c>
      <c r="B280">
        <v>8.2089999999999996E-2</v>
      </c>
      <c r="C280">
        <v>8.931E-2</v>
      </c>
      <c r="D280">
        <v>8.0329999999999999E-2</v>
      </c>
      <c r="E280">
        <v>8.8550000000000004E-2</v>
      </c>
      <c r="F280">
        <v>507430295.80000001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0.8307349665924284</v>
      </c>
      <c r="Q280">
        <f t="shared" si="965"/>
        <v>421540089.82939905</v>
      </c>
      <c r="R280">
        <f t="shared" si="966"/>
        <v>2734231398.8842611</v>
      </c>
      <c r="S280">
        <f t="shared" si="967"/>
        <v>27342.313988842612</v>
      </c>
      <c r="T280">
        <f t="shared" si="968"/>
        <v>27.342313988842612</v>
      </c>
    </row>
    <row r="281" spans="1:20" x14ac:dyDescent="0.25">
      <c r="A281" s="5">
        <v>44312</v>
      </c>
      <c r="B281">
        <v>6.744E-2</v>
      </c>
      <c r="C281">
        <v>8.6499999999999994E-2</v>
      </c>
      <c r="D281">
        <v>6.6320000000000004E-2</v>
      </c>
      <c r="E281">
        <v>8.1989999999999993E-2</v>
      </c>
      <c r="F281">
        <v>773671970.29999995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0.55302279484638228</v>
      </c>
      <c r="Q281">
        <f t="shared" si="965"/>
        <v>427858235.30961323</v>
      </c>
      <c r="R281">
        <f t="shared" si="966"/>
        <v>2312691309.054862</v>
      </c>
      <c r="S281">
        <f t="shared" si="967"/>
        <v>23126.91309054862</v>
      </c>
      <c r="T281">
        <f t="shared" si="968"/>
        <v>23.126913090548619</v>
      </c>
    </row>
    <row r="282" spans="1:20" x14ac:dyDescent="0.25">
      <c r="A282" s="5">
        <v>44311</v>
      </c>
      <c r="B282">
        <v>6.8949999999999997E-2</v>
      </c>
      <c r="C282">
        <v>7.6960000000000001E-2</v>
      </c>
      <c r="D282">
        <v>6.3039999999999999E-2</v>
      </c>
      <c r="E282">
        <v>6.744E-2</v>
      </c>
      <c r="F282">
        <v>523889420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-0.36781609195402293</v>
      </c>
      <c r="Q282">
        <f t="shared" si="965"/>
        <v>-192694959.08045974</v>
      </c>
      <c r="R282">
        <f t="shared" si="966"/>
        <v>1884833073.7452486</v>
      </c>
      <c r="S282">
        <f t="shared" si="967"/>
        <v>18848.330737452485</v>
      </c>
      <c r="T282">
        <f t="shared" si="968"/>
        <v>18.848330737452486</v>
      </c>
    </row>
    <row r="283" spans="1:20" x14ac:dyDescent="0.25">
      <c r="A283" s="5">
        <v>44310</v>
      </c>
      <c r="B283">
        <v>7.7189999999999995E-2</v>
      </c>
      <c r="C283">
        <v>7.7340000000000006E-2</v>
      </c>
      <c r="D283">
        <v>6.8459999999999993E-2</v>
      </c>
      <c r="E283">
        <v>6.9080000000000003E-2</v>
      </c>
      <c r="F283">
        <v>647557949.10000002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-0.86036036036035846</v>
      </c>
      <c r="Q283">
        <f t="shared" si="965"/>
        <v>-557133190.44189072</v>
      </c>
      <c r="R283">
        <f t="shared" si="966"/>
        <v>2077528032.8257084</v>
      </c>
      <c r="S283">
        <f t="shared" si="967"/>
        <v>20775.280328257082</v>
      </c>
      <c r="T283">
        <f t="shared" si="968"/>
        <v>20.775280328257082</v>
      </c>
    </row>
    <row r="284" spans="1:20" x14ac:dyDescent="0.25">
      <c r="A284" s="5">
        <v>44309</v>
      </c>
      <c r="B284">
        <v>8.566E-2</v>
      </c>
      <c r="C284">
        <v>8.6999999999999994E-2</v>
      </c>
      <c r="D284">
        <v>6.9000000000000006E-2</v>
      </c>
      <c r="E284">
        <v>7.7200000000000005E-2</v>
      </c>
      <c r="F284">
        <v>1136363909.9000001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-8.8888888888888407E-2</v>
      </c>
      <c r="Q284">
        <f t="shared" si="965"/>
        <v>-101010125.32444391</v>
      </c>
      <c r="R284">
        <f t="shared" si="966"/>
        <v>2634661223.2675991</v>
      </c>
      <c r="S284">
        <f t="shared" si="967"/>
        <v>26346.612232675991</v>
      </c>
      <c r="T284">
        <f t="shared" si="968"/>
        <v>26.346612232675991</v>
      </c>
    </row>
    <row r="285" spans="1:20" x14ac:dyDescent="0.25">
      <c r="A285" s="5">
        <v>44308</v>
      </c>
      <c r="B285">
        <v>9.1700000000000004E-2</v>
      </c>
      <c r="C285">
        <v>0.10585</v>
      </c>
      <c r="D285">
        <v>8.3000000000000004E-2</v>
      </c>
      <c r="E285">
        <v>8.566E-2</v>
      </c>
      <c r="F285">
        <v>854814936.70000005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-0.76717724288840294</v>
      </c>
      <c r="Q285">
        <f t="shared" si="965"/>
        <v>-655794566.31733072</v>
      </c>
      <c r="R285">
        <f t="shared" si="966"/>
        <v>2735671348.5920429</v>
      </c>
      <c r="S285">
        <f t="shared" si="967"/>
        <v>27356.713485920431</v>
      </c>
      <c r="T285">
        <f t="shared" si="968"/>
        <v>27.35671348592043</v>
      </c>
    </row>
    <row r="286" spans="1:20" x14ac:dyDescent="0.25">
      <c r="A286" s="5">
        <v>44307</v>
      </c>
      <c r="B286">
        <v>8.992E-2</v>
      </c>
      <c r="C286">
        <v>0.10468</v>
      </c>
      <c r="D286">
        <v>8.3839999999999998E-2</v>
      </c>
      <c r="E286">
        <v>9.1600000000000001E-2</v>
      </c>
      <c r="F286">
        <v>650408454.79999995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-0.25527831094049863</v>
      </c>
      <c r="Q286">
        <f t="shared" si="965"/>
        <v>-166035171.76276365</v>
      </c>
      <c r="R286">
        <f t="shared" si="966"/>
        <v>3391465914.9093738</v>
      </c>
      <c r="S286">
        <f t="shared" si="967"/>
        <v>33914.659149093735</v>
      </c>
      <c r="T286">
        <f t="shared" si="968"/>
        <v>33.914659149093737</v>
      </c>
    </row>
    <row r="287" spans="1:20" x14ac:dyDescent="0.25">
      <c r="A287" s="5">
        <v>44306</v>
      </c>
      <c r="B287">
        <v>8.2290000000000002E-2</v>
      </c>
      <c r="C287">
        <v>9.5000000000000001E-2</v>
      </c>
      <c r="D287">
        <v>7.2599999999999998E-2</v>
      </c>
      <c r="E287">
        <v>8.9829999999999993E-2</v>
      </c>
      <c r="F287">
        <v>636962374.60000002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0.53839285714285645</v>
      </c>
      <c r="Q287">
        <f t="shared" si="965"/>
        <v>342935992.75339246</v>
      </c>
      <c r="R287">
        <f t="shared" si="966"/>
        <v>3557501086.6721373</v>
      </c>
      <c r="S287">
        <f t="shared" si="967"/>
        <v>35575.010866721372</v>
      </c>
      <c r="T287">
        <f t="shared" si="968"/>
        <v>35.575010866721371</v>
      </c>
    </row>
    <row r="288" spans="1:20" x14ac:dyDescent="0.25">
      <c r="A288" s="5">
        <v>44305</v>
      </c>
      <c r="B288">
        <v>9.4579999999999997E-2</v>
      </c>
      <c r="C288">
        <v>9.6049999999999996E-2</v>
      </c>
      <c r="D288">
        <v>8.0810000000000007E-2</v>
      </c>
      <c r="E288">
        <v>8.2220000000000001E-2</v>
      </c>
      <c r="F288">
        <v>476962553.89999998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-0.81496062992126039</v>
      </c>
      <c r="Q288">
        <f t="shared" si="965"/>
        <v>-388705703.37519711</v>
      </c>
      <c r="R288">
        <f t="shared" si="966"/>
        <v>3214565093.9187446</v>
      </c>
      <c r="S288">
        <f t="shared" si="967"/>
        <v>32145.650939187446</v>
      </c>
      <c r="T288">
        <f t="shared" si="968"/>
        <v>32.145650939187448</v>
      </c>
    </row>
    <row r="289" spans="1:20" x14ac:dyDescent="0.25">
      <c r="A289" s="5">
        <v>44304</v>
      </c>
      <c r="B289">
        <v>0.10199999999999999</v>
      </c>
      <c r="C289">
        <v>0.11</v>
      </c>
      <c r="D289">
        <v>7.7280000000000001E-2</v>
      </c>
      <c r="E289">
        <v>9.4670000000000004E-2</v>
      </c>
      <c r="F289">
        <v>787240277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6.2958435207824154E-2</v>
      </c>
      <c r="Q289">
        <f t="shared" si="965"/>
        <v>49563415.972494036</v>
      </c>
      <c r="R289">
        <f t="shared" si="966"/>
        <v>3603270797.2939415</v>
      </c>
      <c r="S289">
        <f t="shared" si="967"/>
        <v>36032.707972939417</v>
      </c>
      <c r="T289">
        <f t="shared" si="968"/>
        <v>36.03270797293942</v>
      </c>
    </row>
    <row r="290" spans="1:20" x14ac:dyDescent="0.25">
      <c r="A290" s="5">
        <v>44303</v>
      </c>
      <c r="B290">
        <v>0.11107</v>
      </c>
      <c r="C290">
        <v>0.11724</v>
      </c>
      <c r="D290">
        <v>0.10199999999999999</v>
      </c>
      <c r="E290">
        <v>0.10201</v>
      </c>
      <c r="F290">
        <v>514905337.5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-0.99868766404199338</v>
      </c>
      <c r="Q290">
        <f t="shared" si="965"/>
        <v>-514229608.71062922</v>
      </c>
      <c r="R290">
        <f t="shared" si="966"/>
        <v>3553707381.3214474</v>
      </c>
      <c r="S290">
        <f t="shared" si="967"/>
        <v>35537.073813214476</v>
      </c>
      <c r="T290">
        <f t="shared" si="968"/>
        <v>35.537073813214477</v>
      </c>
    </row>
    <row r="291" spans="1:20" x14ac:dyDescent="0.25">
      <c r="A291" s="5">
        <v>44302</v>
      </c>
      <c r="B291">
        <v>0.10002999999999999</v>
      </c>
      <c r="C291">
        <v>0.11899999999999999</v>
      </c>
      <c r="D291">
        <v>9.2200000000000004E-2</v>
      </c>
      <c r="E291">
        <v>0.11101999999999999</v>
      </c>
      <c r="F291">
        <v>1041137642.4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0.40447761194029824</v>
      </c>
      <c r="Q291">
        <f t="shared" si="965"/>
        <v>421116867.29910421</v>
      </c>
      <c r="R291">
        <f t="shared" si="966"/>
        <v>4067936990.0320764</v>
      </c>
      <c r="S291">
        <f t="shared" si="967"/>
        <v>40679.369900320766</v>
      </c>
      <c r="T291">
        <f t="shared" si="968"/>
        <v>40.679369900320765</v>
      </c>
    </row>
    <row r="292" spans="1:20" x14ac:dyDescent="0.25">
      <c r="A292" s="5">
        <v>44301</v>
      </c>
      <c r="B292">
        <v>8.4879999999999997E-2</v>
      </c>
      <c r="C292">
        <v>0.10360999999999999</v>
      </c>
      <c r="D292">
        <v>8.4379999999999997E-2</v>
      </c>
      <c r="E292">
        <v>0.10016</v>
      </c>
      <c r="F292">
        <v>927692763.20000005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0.64118564742589756</v>
      </c>
      <c r="Q292">
        <f t="shared" si="965"/>
        <v>594823284.98471189</v>
      </c>
      <c r="R292">
        <f t="shared" si="966"/>
        <v>3646820122.7329721</v>
      </c>
      <c r="S292">
        <f t="shared" si="967"/>
        <v>36468.201227329722</v>
      </c>
      <c r="T292">
        <f t="shared" si="968"/>
        <v>36.468201227329722</v>
      </c>
    </row>
    <row r="293" spans="1:20" x14ac:dyDescent="0.25">
      <c r="A293" s="5">
        <v>44300</v>
      </c>
      <c r="B293">
        <v>8.5620000000000002E-2</v>
      </c>
      <c r="C293">
        <v>8.7580000000000005E-2</v>
      </c>
      <c r="D293">
        <v>0.08</v>
      </c>
      <c r="E293">
        <v>8.4860000000000005E-2</v>
      </c>
      <c r="F293">
        <v>330328742.60000002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0.28232189973614802</v>
      </c>
      <c r="Q293">
        <f t="shared" si="965"/>
        <v>93259038.148285046</v>
      </c>
      <c r="R293">
        <f t="shared" si="966"/>
        <v>3051996837.74826</v>
      </c>
      <c r="S293">
        <f t="shared" si="967"/>
        <v>30519.968377482601</v>
      </c>
      <c r="T293">
        <f t="shared" si="968"/>
        <v>30.519968377482602</v>
      </c>
    </row>
    <row r="294" spans="1:20" x14ac:dyDescent="0.25">
      <c r="A294" s="5">
        <v>44299</v>
      </c>
      <c r="B294">
        <v>8.3339999999999997E-2</v>
      </c>
      <c r="C294">
        <v>8.9889999999999998E-2</v>
      </c>
      <c r="D294">
        <v>8.022E-2</v>
      </c>
      <c r="E294">
        <v>8.5629999999999998E-2</v>
      </c>
      <c r="F294">
        <v>316808030.80000001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0.11892450879007223</v>
      </c>
      <c r="Q294">
        <f t="shared" si="965"/>
        <v>37676239.443640076</v>
      </c>
      <c r="R294">
        <f t="shared" si="966"/>
        <v>2958737799.5999751</v>
      </c>
      <c r="S294">
        <f t="shared" si="967"/>
        <v>29587.377995999752</v>
      </c>
      <c r="T294">
        <f t="shared" si="968"/>
        <v>29.587377995999752</v>
      </c>
    </row>
    <row r="295" spans="1:20" x14ac:dyDescent="0.25">
      <c r="A295" s="5">
        <v>44298</v>
      </c>
      <c r="B295">
        <v>8.6199999999999999E-2</v>
      </c>
      <c r="C295">
        <v>8.8800000000000004E-2</v>
      </c>
      <c r="D295">
        <v>8.2040000000000002E-2</v>
      </c>
      <c r="E295">
        <v>8.3320000000000005E-2</v>
      </c>
      <c r="F295">
        <v>263960454.59999999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-0.62130177514792817</v>
      </c>
      <c r="Q295">
        <f t="shared" si="965"/>
        <v>-163999099.01183408</v>
      </c>
      <c r="R295">
        <f t="shared" si="966"/>
        <v>2921061560.1563349</v>
      </c>
      <c r="S295">
        <f t="shared" si="967"/>
        <v>29210.61560156335</v>
      </c>
      <c r="T295">
        <f t="shared" si="968"/>
        <v>29.210615601563351</v>
      </c>
    </row>
    <row r="296" spans="1:20" x14ac:dyDescent="0.25">
      <c r="A296" s="5">
        <v>44297</v>
      </c>
      <c r="B296">
        <v>9.0060000000000001E-2</v>
      </c>
      <c r="C296">
        <v>9.4E-2</v>
      </c>
      <c r="D296">
        <v>8.5129999999999997E-2</v>
      </c>
      <c r="E296">
        <v>8.6199999999999999E-2</v>
      </c>
      <c r="F296">
        <v>537158347.10000002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-0.75873731679819589</v>
      </c>
      <c r="Q296">
        <f t="shared" si="965"/>
        <v>-407562082.97440797</v>
      </c>
      <c r="R296">
        <f t="shared" si="966"/>
        <v>3085060659.168169</v>
      </c>
      <c r="S296">
        <f t="shared" si="967"/>
        <v>30850.606591681691</v>
      </c>
      <c r="T296">
        <f t="shared" si="968"/>
        <v>30.850606591681693</v>
      </c>
    </row>
    <row r="297" spans="1:20" x14ac:dyDescent="0.25">
      <c r="A297" s="5">
        <v>44296</v>
      </c>
      <c r="B297">
        <v>7.8E-2</v>
      </c>
      <c r="C297">
        <v>9.0200000000000002E-2</v>
      </c>
      <c r="D297">
        <v>7.7249999999999999E-2</v>
      </c>
      <c r="E297">
        <v>9.0060000000000001E-2</v>
      </c>
      <c r="F297">
        <v>606871948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0.97837837837837816</v>
      </c>
      <c r="Q297">
        <f t="shared" si="965"/>
        <v>593750392.36756742</v>
      </c>
      <c r="R297">
        <f t="shared" si="966"/>
        <v>3492622742.1425772</v>
      </c>
      <c r="S297">
        <f t="shared" si="967"/>
        <v>34926.22742142577</v>
      </c>
      <c r="T297">
        <f t="shared" si="968"/>
        <v>34.926227421425772</v>
      </c>
    </row>
    <row r="298" spans="1:20" x14ac:dyDescent="0.25">
      <c r="A298" s="5">
        <v>44295</v>
      </c>
      <c r="B298">
        <v>8.2650000000000001E-2</v>
      </c>
      <c r="C298">
        <v>8.4159999999999999E-2</v>
      </c>
      <c r="D298">
        <v>7.7060000000000003E-2</v>
      </c>
      <c r="E298">
        <v>7.7950000000000005E-2</v>
      </c>
      <c r="F298">
        <v>229653483.80000001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-0.74929577464788666</v>
      </c>
      <c r="Q298">
        <f t="shared" si="965"/>
        <v>-172078385.04450691</v>
      </c>
      <c r="R298">
        <f t="shared" si="966"/>
        <v>2898872349.7750096</v>
      </c>
      <c r="S298">
        <f t="shared" si="967"/>
        <v>28988.723497750096</v>
      </c>
      <c r="T298">
        <f t="shared" si="968"/>
        <v>28.988723497750097</v>
      </c>
    </row>
    <row r="299" spans="1:20" x14ac:dyDescent="0.25">
      <c r="A299" s="5">
        <v>44294</v>
      </c>
      <c r="B299">
        <v>7.6530000000000001E-2</v>
      </c>
      <c r="C299">
        <v>8.3690000000000001E-2</v>
      </c>
      <c r="D299">
        <v>7.5749999999999998E-2</v>
      </c>
      <c r="E299">
        <v>8.2739999999999994E-2</v>
      </c>
      <c r="F299">
        <v>234698393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0.76070528967254258</v>
      </c>
      <c r="Q299">
        <f t="shared" si="965"/>
        <v>178536309.03274524</v>
      </c>
      <c r="R299">
        <f t="shared" si="966"/>
        <v>3070950734.8195167</v>
      </c>
      <c r="S299">
        <f t="shared" si="967"/>
        <v>30709.507348195166</v>
      </c>
      <c r="T299">
        <f t="shared" si="968"/>
        <v>30.709507348195167</v>
      </c>
    </row>
    <row r="300" spans="1:20" x14ac:dyDescent="0.25">
      <c r="A300" s="5">
        <v>44293</v>
      </c>
      <c r="B300">
        <v>8.2869999999999999E-2</v>
      </c>
      <c r="C300">
        <v>8.3750000000000005E-2</v>
      </c>
      <c r="D300">
        <v>7.3669999999999999E-2</v>
      </c>
      <c r="E300">
        <v>7.6539999999999997E-2</v>
      </c>
      <c r="F300">
        <v>390497427.30000001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-0.43055555555555636</v>
      </c>
      <c r="Q300">
        <f t="shared" si="965"/>
        <v>-168130836.75416699</v>
      </c>
      <c r="R300">
        <f t="shared" si="966"/>
        <v>2892414425.7867713</v>
      </c>
      <c r="S300">
        <f t="shared" si="967"/>
        <v>28924.144257867712</v>
      </c>
      <c r="T300">
        <f t="shared" si="968"/>
        <v>28.924144257867713</v>
      </c>
    </row>
    <row r="301" spans="1:20" x14ac:dyDescent="0.25">
      <c r="A301" s="5">
        <v>44292</v>
      </c>
      <c r="B301">
        <v>8.523E-2</v>
      </c>
      <c r="C301">
        <v>8.7970000000000007E-2</v>
      </c>
      <c r="D301">
        <v>8.0149999999999999E-2</v>
      </c>
      <c r="E301">
        <v>8.2799999999999999E-2</v>
      </c>
      <c r="F301">
        <v>371288019.80000001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-0.32225063938619003</v>
      </c>
      <c r="Q301">
        <f t="shared" si="965"/>
        <v>-119647801.77698238</v>
      </c>
      <c r="R301">
        <f t="shared" si="966"/>
        <v>3060545262.5409384</v>
      </c>
      <c r="S301">
        <f t="shared" si="967"/>
        <v>30605.452625409383</v>
      </c>
      <c r="T301">
        <f t="shared" si="968"/>
        <v>30.605452625409384</v>
      </c>
    </row>
    <row r="302" spans="1:20" x14ac:dyDescent="0.25">
      <c r="A302" s="5">
        <v>44291</v>
      </c>
      <c r="B302">
        <v>8.7999999999999995E-2</v>
      </c>
      <c r="C302">
        <v>9.0429999999999996E-2</v>
      </c>
      <c r="D302">
        <v>8.2519999999999996E-2</v>
      </c>
      <c r="E302">
        <v>8.516E-2</v>
      </c>
      <c r="F302">
        <v>369664510.30000001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-0.33249051833122545</v>
      </c>
      <c r="Q302">
        <f t="shared" si="965"/>
        <v>-122909944.63830563</v>
      </c>
      <c r="R302">
        <f t="shared" si="966"/>
        <v>3180193064.3179207</v>
      </c>
      <c r="S302">
        <f t="shared" si="967"/>
        <v>31801.930643179207</v>
      </c>
      <c r="T302">
        <f t="shared" si="968"/>
        <v>31.801930643179208</v>
      </c>
    </row>
    <row r="303" spans="1:20" x14ac:dyDescent="0.25">
      <c r="A303" s="5">
        <v>44290</v>
      </c>
      <c r="B303">
        <v>8.0259999999999998E-2</v>
      </c>
      <c r="C303">
        <v>9.0120000000000006E-2</v>
      </c>
      <c r="D303">
        <v>7.8560000000000005E-2</v>
      </c>
      <c r="E303">
        <v>8.8020000000000001E-2</v>
      </c>
      <c r="F303">
        <v>430536467.39999998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0.63667820069204073</v>
      </c>
      <c r="Q303">
        <f t="shared" si="965"/>
        <v>274113183.39653945</v>
      </c>
      <c r="R303">
        <f t="shared" si="966"/>
        <v>3303103008.9562263</v>
      </c>
      <c r="S303">
        <f t="shared" si="967"/>
        <v>33031.030089562264</v>
      </c>
      <c r="T303">
        <f t="shared" si="968"/>
        <v>33.031030089562265</v>
      </c>
    </row>
    <row r="304" spans="1:20" x14ac:dyDescent="0.25">
      <c r="A304" s="5">
        <v>44289</v>
      </c>
      <c r="B304">
        <v>8.7459999999999996E-2</v>
      </c>
      <c r="C304">
        <v>8.9499999999999996E-2</v>
      </c>
      <c r="D304">
        <v>7.8659999999999994E-2</v>
      </c>
      <c r="E304">
        <v>8.0269999999999994E-2</v>
      </c>
      <c r="F304">
        <v>349622576.5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-0.70295202952029523</v>
      </c>
      <c r="Q304">
        <f t="shared" si="965"/>
        <v>-245767899.71678966</v>
      </c>
      <c r="R304">
        <f t="shared" si="966"/>
        <v>3028989825.5596871</v>
      </c>
      <c r="S304">
        <f t="shared" si="967"/>
        <v>30289.898255596872</v>
      </c>
      <c r="T304">
        <f t="shared" si="968"/>
        <v>30.289898255596871</v>
      </c>
    </row>
    <row r="305" spans="1:20" x14ac:dyDescent="0.25">
      <c r="A305" s="5">
        <v>44288</v>
      </c>
      <c r="B305">
        <v>8.8139999999999996E-2</v>
      </c>
      <c r="C305">
        <v>9.2240000000000003E-2</v>
      </c>
      <c r="D305">
        <v>8.5809999999999997E-2</v>
      </c>
      <c r="E305">
        <v>8.7370000000000003E-2</v>
      </c>
      <c r="F305">
        <v>266670348.80000001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-0.51477449455676372</v>
      </c>
      <c r="Q305">
        <f t="shared" si="965"/>
        <v>-137275094.01679587</v>
      </c>
      <c r="R305">
        <f t="shared" si="966"/>
        <v>3274757725.2764769</v>
      </c>
      <c r="S305">
        <f t="shared" si="967"/>
        <v>32747.577252764768</v>
      </c>
      <c r="T305">
        <f t="shared" si="968"/>
        <v>32.747577252764771</v>
      </c>
    </row>
    <row r="306" spans="1:20" x14ac:dyDescent="0.25">
      <c r="A306" s="5">
        <v>44287</v>
      </c>
      <c r="B306">
        <v>8.9899999999999994E-2</v>
      </c>
      <c r="C306">
        <v>9.1639999999999999E-2</v>
      </c>
      <c r="D306">
        <v>8.4769999999999998E-2</v>
      </c>
      <c r="E306">
        <v>8.8010000000000005E-2</v>
      </c>
      <c r="F306">
        <v>229063240.5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-5.6768558951963248E-2</v>
      </c>
      <c r="Q306">
        <f t="shared" si="965"/>
        <v>-13003590.072051985</v>
      </c>
      <c r="R306">
        <f t="shared" si="966"/>
        <v>3412032819.2932725</v>
      </c>
      <c r="S306">
        <f t="shared" si="967"/>
        <v>34120.328192932728</v>
      </c>
      <c r="T306">
        <f t="shared" si="968"/>
        <v>34.120328192932725</v>
      </c>
    </row>
    <row r="307" spans="1:20" x14ac:dyDescent="0.25">
      <c r="A307" s="5">
        <v>44286</v>
      </c>
      <c r="B307">
        <v>9.1990000000000002E-2</v>
      </c>
      <c r="C307">
        <v>9.5799999999999996E-2</v>
      </c>
      <c r="D307">
        <v>8.5999999999999993E-2</v>
      </c>
      <c r="E307">
        <v>8.9819999999999997E-2</v>
      </c>
      <c r="F307">
        <v>339890598.30000001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-0.22040816326530557</v>
      </c>
      <c r="Q307">
        <f t="shared" si="965"/>
        <v>-74914662.482448801</v>
      </c>
      <c r="R307">
        <f t="shared" si="966"/>
        <v>3425036409.3653245</v>
      </c>
      <c r="S307">
        <f t="shared" si="967"/>
        <v>34250.364093653247</v>
      </c>
      <c r="T307">
        <f t="shared" si="968"/>
        <v>34.250364093653246</v>
      </c>
    </row>
    <row r="308" spans="1:20" x14ac:dyDescent="0.25">
      <c r="A308" s="5">
        <v>44285</v>
      </c>
      <c r="B308">
        <v>8.727E-2</v>
      </c>
      <c r="C308">
        <v>9.7530000000000006E-2</v>
      </c>
      <c r="D308">
        <v>8.5000000000000006E-2</v>
      </c>
      <c r="E308">
        <v>9.1920000000000002E-2</v>
      </c>
      <c r="F308">
        <v>388137704.60000002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0.10454908220271283</v>
      </c>
      <c r="Q308">
        <f t="shared" si="965"/>
        <v>40579440.784197673</v>
      </c>
      <c r="R308">
        <f t="shared" si="966"/>
        <v>3499951071.8477731</v>
      </c>
      <c r="S308">
        <f t="shared" si="967"/>
        <v>34999.51071847773</v>
      </c>
      <c r="T308">
        <f t="shared" si="968"/>
        <v>34.99951071847773</v>
      </c>
    </row>
    <row r="309" spans="1:20" x14ac:dyDescent="0.25">
      <c r="A309" s="5">
        <v>44284</v>
      </c>
      <c r="B309">
        <v>8.3629999999999996E-2</v>
      </c>
      <c r="C309">
        <v>0.09</v>
      </c>
      <c r="D309">
        <v>8.1449999999999995E-2</v>
      </c>
      <c r="E309">
        <v>8.727E-2</v>
      </c>
      <c r="F309">
        <v>257622045.80000001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0.36140350877193084</v>
      </c>
      <c r="Q309">
        <f t="shared" si="965"/>
        <v>93105511.289123073</v>
      </c>
      <c r="R309">
        <f t="shared" si="966"/>
        <v>3459371631.0635753</v>
      </c>
      <c r="S309">
        <f t="shared" si="967"/>
        <v>34593.716310635755</v>
      </c>
      <c r="T309">
        <f t="shared" si="968"/>
        <v>34.593716310635756</v>
      </c>
    </row>
    <row r="310" spans="1:20" x14ac:dyDescent="0.25">
      <c r="A310" s="5">
        <v>44283</v>
      </c>
      <c r="B310">
        <v>8.276E-2</v>
      </c>
      <c r="C310">
        <v>8.9169999999999999E-2</v>
      </c>
      <c r="D310">
        <v>7.9630000000000006E-2</v>
      </c>
      <c r="E310">
        <v>8.3629999999999996E-2</v>
      </c>
      <c r="F310">
        <v>296334422.69999999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-0.16142557651991768</v>
      </c>
      <c r="Q310">
        <f t="shared" si="965"/>
        <v>-47835955.027044475</v>
      </c>
      <c r="R310">
        <f t="shared" si="966"/>
        <v>3366266119.7744522</v>
      </c>
      <c r="S310">
        <f t="shared" si="967"/>
        <v>33662.661197744521</v>
      </c>
      <c r="T310">
        <f t="shared" si="968"/>
        <v>33.662661197744519</v>
      </c>
    </row>
    <row r="311" spans="1:20" x14ac:dyDescent="0.25">
      <c r="A311" s="5">
        <v>44282</v>
      </c>
      <c r="B311">
        <v>8.0750000000000002E-2</v>
      </c>
      <c r="C311">
        <v>8.5000000000000006E-2</v>
      </c>
      <c r="D311">
        <v>7.6060000000000003E-2</v>
      </c>
      <c r="E311">
        <v>8.276E-2</v>
      </c>
      <c r="F311">
        <v>274747973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0.49888143176733668</v>
      </c>
      <c r="Q311">
        <f t="shared" si="965"/>
        <v>137066662.14541355</v>
      </c>
      <c r="R311">
        <f t="shared" si="966"/>
        <v>3414102074.8014965</v>
      </c>
      <c r="S311">
        <f t="shared" si="967"/>
        <v>34141.020748014962</v>
      </c>
      <c r="T311">
        <f t="shared" si="968"/>
        <v>34.141020748014959</v>
      </c>
    </row>
    <row r="312" spans="1:20" x14ac:dyDescent="0.25">
      <c r="A312" s="5">
        <v>44281</v>
      </c>
      <c r="B312">
        <v>7.3590000000000003E-2</v>
      </c>
      <c r="C312">
        <v>8.4000000000000005E-2</v>
      </c>
      <c r="D312">
        <v>7.3440000000000005E-2</v>
      </c>
      <c r="E312">
        <v>8.0659999999999996E-2</v>
      </c>
      <c r="F312">
        <v>317117561.80000001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0.3674242424242406</v>
      </c>
      <c r="Q312">
        <f t="shared" si="965"/>
        <v>116516679.9037873</v>
      </c>
      <c r="R312">
        <f t="shared" si="966"/>
        <v>3277035412.6560831</v>
      </c>
      <c r="S312">
        <f t="shared" si="967"/>
        <v>32770.354126560829</v>
      </c>
      <c r="T312">
        <f t="shared" si="968"/>
        <v>32.770354126560832</v>
      </c>
    </row>
    <row r="313" spans="1:20" x14ac:dyDescent="0.25">
      <c r="A313" s="5">
        <v>44280</v>
      </c>
      <c r="B313">
        <v>7.177E-2</v>
      </c>
      <c r="C313">
        <v>7.7060000000000003E-2</v>
      </c>
      <c r="D313">
        <v>6.7000000000000004E-2</v>
      </c>
      <c r="E313">
        <v>7.3669999999999999E-2</v>
      </c>
      <c r="F313">
        <v>399471231.60000002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0.32604373757455185</v>
      </c>
      <c r="Q313">
        <f t="shared" si="965"/>
        <v>130245093.40437344</v>
      </c>
      <c r="R313">
        <f t="shared" si="966"/>
        <v>3160518732.752296</v>
      </c>
      <c r="S313">
        <f t="shared" si="967"/>
        <v>31605.187327522959</v>
      </c>
      <c r="T313">
        <f t="shared" si="968"/>
        <v>31.605187327522959</v>
      </c>
    </row>
    <row r="314" spans="1:20" x14ac:dyDescent="0.25">
      <c r="A314" s="5">
        <v>44279</v>
      </c>
      <c r="B314">
        <v>8.0439999999999998E-2</v>
      </c>
      <c r="C314">
        <v>8.5870000000000002E-2</v>
      </c>
      <c r="D314">
        <v>6.8000000000000005E-2</v>
      </c>
      <c r="E314">
        <v>7.1840000000000001E-2</v>
      </c>
      <c r="F314">
        <v>455969545.30000001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-0.57022943480693933</v>
      </c>
      <c r="Q314">
        <f t="shared" si="965"/>
        <v>-260007256.10559613</v>
      </c>
      <c r="R314">
        <f t="shared" si="966"/>
        <v>3030273639.3479223</v>
      </c>
      <c r="S314">
        <f t="shared" si="967"/>
        <v>30302.736393479223</v>
      </c>
      <c r="T314">
        <f t="shared" si="968"/>
        <v>30.302736393479222</v>
      </c>
    </row>
    <row r="315" spans="1:20" x14ac:dyDescent="0.25">
      <c r="A315" s="5">
        <v>44278</v>
      </c>
      <c r="B315">
        <v>8.5569999999999993E-2</v>
      </c>
      <c r="C315">
        <v>9.1969999999999996E-2</v>
      </c>
      <c r="D315">
        <v>8.0110000000000001E-2</v>
      </c>
      <c r="E315">
        <v>8.0379999999999993E-2</v>
      </c>
      <c r="F315">
        <v>377632400.30000001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-0.95446880269814627</v>
      </c>
      <c r="Q315">
        <f t="shared" si="965"/>
        <v>-360438344.9743681</v>
      </c>
      <c r="R315">
        <f t="shared" si="966"/>
        <v>3290280895.4535184</v>
      </c>
      <c r="S315">
        <f t="shared" si="967"/>
        <v>32902.808954535183</v>
      </c>
      <c r="T315">
        <f t="shared" si="968"/>
        <v>32.902808954535182</v>
      </c>
    </row>
    <row r="316" spans="1:20" x14ac:dyDescent="0.25">
      <c r="A316" s="5">
        <v>44277</v>
      </c>
      <c r="B316">
        <v>9.4769999999999993E-2</v>
      </c>
      <c r="C316">
        <v>9.6970000000000001E-2</v>
      </c>
      <c r="D316">
        <v>8.3400000000000002E-2</v>
      </c>
      <c r="E316">
        <v>8.5540000000000005E-2</v>
      </c>
      <c r="F316">
        <v>405333633.10000002</v>
      </c>
      <c r="G316">
        <v>0</v>
      </c>
      <c r="L316" t="s">
        <v>7</v>
      </c>
      <c r="M316" t="s">
        <v>8</v>
      </c>
      <c r="N316" t="s">
        <v>8</v>
      </c>
      <c r="P316">
        <f t="shared" si="964"/>
        <v>-0.68459837877671281</v>
      </c>
      <c r="Q316">
        <f t="shared" si="965"/>
        <v>-277490748.08393496</v>
      </c>
      <c r="R316">
        <f t="shared" si="966"/>
        <v>3650719240.4278865</v>
      </c>
      <c r="S316">
        <f t="shared" si="967"/>
        <v>36507.192404278867</v>
      </c>
      <c r="T316">
        <f t="shared" si="968"/>
        <v>36.507192404278868</v>
      </c>
    </row>
    <row r="317" spans="1:20" x14ac:dyDescent="0.25">
      <c r="A317" s="5">
        <v>44276</v>
      </c>
      <c r="B317">
        <v>8.7129999999999999E-2</v>
      </c>
      <c r="C317">
        <v>9.9779999999999994E-2</v>
      </c>
      <c r="D317">
        <v>8.4629999999999997E-2</v>
      </c>
      <c r="E317">
        <v>9.4780000000000003E-2</v>
      </c>
      <c r="F317">
        <v>487943590.30000001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0.33993399339934105</v>
      </c>
      <c r="Q317">
        <f t="shared" si="965"/>
        <v>165868613.20429099</v>
      </c>
      <c r="R317">
        <f t="shared" si="966"/>
        <v>3928209988.5118213</v>
      </c>
      <c r="S317">
        <f t="shared" si="967"/>
        <v>39282.099885118216</v>
      </c>
      <c r="T317">
        <f t="shared" si="968"/>
        <v>39.282099885118214</v>
      </c>
    </row>
    <row r="318" spans="1:20" x14ac:dyDescent="0.25">
      <c r="A318" s="5">
        <v>44275</v>
      </c>
      <c r="B318">
        <v>9.4170000000000004E-2</v>
      </c>
      <c r="C318">
        <v>9.7360000000000002E-2</v>
      </c>
      <c r="D318">
        <v>8.6730000000000002E-2</v>
      </c>
      <c r="E318">
        <v>8.7040000000000006E-2</v>
      </c>
      <c r="F318">
        <v>502321157.5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-0.94167450611476866</v>
      </c>
      <c r="Q318">
        <f t="shared" si="965"/>
        <v>-473023027.89981145</v>
      </c>
      <c r="R318">
        <f t="shared" si="966"/>
        <v>3762341375.3075304</v>
      </c>
      <c r="S318">
        <f t="shared" si="967"/>
        <v>37623.413753075307</v>
      </c>
      <c r="T318">
        <f t="shared" si="968"/>
        <v>37.623413753075305</v>
      </c>
    </row>
    <row r="319" spans="1:20" x14ac:dyDescent="0.25">
      <c r="A319" s="5">
        <v>44274</v>
      </c>
      <c r="B319">
        <v>7.9519999999999993E-2</v>
      </c>
      <c r="C319">
        <v>9.4839999999999994E-2</v>
      </c>
      <c r="D319">
        <v>7.6079999999999995E-2</v>
      </c>
      <c r="E319">
        <v>9.4159999999999994E-2</v>
      </c>
      <c r="F319">
        <v>546150760.5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0.92750533049040507</v>
      </c>
      <c r="Q319">
        <f t="shared" si="965"/>
        <v>506557741.61513859</v>
      </c>
      <c r="R319">
        <f t="shared" si="966"/>
        <v>4235364403.2073417</v>
      </c>
      <c r="S319">
        <f t="shared" si="967"/>
        <v>42353.644032073418</v>
      </c>
      <c r="T319">
        <f t="shared" si="968"/>
        <v>42.353644032073419</v>
      </c>
    </row>
    <row r="320" spans="1:20" x14ac:dyDescent="0.25">
      <c r="A320" s="5">
        <v>44273</v>
      </c>
      <c r="B320">
        <v>8.1180000000000002E-2</v>
      </c>
      <c r="C320">
        <v>8.4540000000000004E-2</v>
      </c>
      <c r="D320">
        <v>7.8E-2</v>
      </c>
      <c r="E320">
        <v>7.9450000000000007E-2</v>
      </c>
      <c r="F320">
        <v>302627658.19999999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-0.55657492354739879</v>
      </c>
      <c r="Q320">
        <f t="shared" si="965"/>
        <v>-168434965.72599334</v>
      </c>
      <c r="R320">
        <f t="shared" si="966"/>
        <v>3728806661.5922031</v>
      </c>
      <c r="S320">
        <f t="shared" si="967"/>
        <v>37288.066615922035</v>
      </c>
      <c r="T320">
        <f t="shared" si="968"/>
        <v>37.288066615922034</v>
      </c>
    </row>
    <row r="321" spans="1:20" x14ac:dyDescent="0.25">
      <c r="A321" s="5">
        <v>44272</v>
      </c>
      <c r="B321">
        <v>7.9000000000000001E-2</v>
      </c>
      <c r="C321">
        <v>8.4900000000000003E-2</v>
      </c>
      <c r="D321">
        <v>7.5300000000000006E-2</v>
      </c>
      <c r="E321">
        <v>8.1110000000000002E-2</v>
      </c>
      <c r="F321">
        <v>380377987.60000002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0.21041666666666611</v>
      </c>
      <c r="Q321">
        <f t="shared" si="965"/>
        <v>80037868.224166468</v>
      </c>
      <c r="R321">
        <f t="shared" si="966"/>
        <v>3897241627.3181963</v>
      </c>
      <c r="S321">
        <f t="shared" si="967"/>
        <v>38972.41627318196</v>
      </c>
      <c r="T321">
        <f t="shared" si="968"/>
        <v>38.972416273181963</v>
      </c>
    </row>
    <row r="322" spans="1:20" x14ac:dyDescent="0.25">
      <c r="A322" s="5">
        <v>44271</v>
      </c>
      <c r="B322">
        <v>8.1210000000000004E-2</v>
      </c>
      <c r="C322">
        <v>8.8800000000000004E-2</v>
      </c>
      <c r="D322">
        <v>7.4590000000000004E-2</v>
      </c>
      <c r="E322">
        <v>7.9000000000000001E-2</v>
      </c>
      <c r="F322">
        <v>846172415.89999998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-0.37931034482758663</v>
      </c>
      <c r="Q322">
        <f t="shared" si="965"/>
        <v>-320961950.85862106</v>
      </c>
      <c r="R322">
        <f t="shared" si="966"/>
        <v>3817203759.0940299</v>
      </c>
      <c r="S322">
        <f t="shared" si="967"/>
        <v>38172.037590940301</v>
      </c>
      <c r="T322">
        <f t="shared" si="968"/>
        <v>38.172037590940299</v>
      </c>
    </row>
    <row r="323" spans="1:20" x14ac:dyDescent="0.25">
      <c r="A323" s="5">
        <v>44270</v>
      </c>
      <c r="B323">
        <v>6.812E-2</v>
      </c>
      <c r="C323">
        <v>8.5000000000000006E-2</v>
      </c>
      <c r="D323">
        <v>6.5379999999999994E-2</v>
      </c>
      <c r="E323">
        <v>8.1220000000000001E-2</v>
      </c>
      <c r="F323">
        <v>635252150.29999995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0.61467889908256845</v>
      </c>
      <c r="Q323">
        <f t="shared" si="965"/>
        <v>390476092.38623828</v>
      </c>
      <c r="R323">
        <f t="shared" si="966"/>
        <v>4138165709.952651</v>
      </c>
      <c r="S323">
        <f t="shared" si="967"/>
        <v>41381.657099526514</v>
      </c>
      <c r="T323">
        <f t="shared" si="968"/>
        <v>41.381657099526514</v>
      </c>
    </row>
    <row r="324" spans="1:20" x14ac:dyDescent="0.25">
      <c r="A324" s="5">
        <v>44269</v>
      </c>
      <c r="B324">
        <v>7.3209999999999997E-2</v>
      </c>
      <c r="C324">
        <v>7.46E-2</v>
      </c>
      <c r="D324">
        <v>6.8049999999999999E-2</v>
      </c>
      <c r="E324">
        <v>6.8129999999999996E-2</v>
      </c>
      <c r="F324">
        <v>232405388.40000001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-0.97557251908397047</v>
      </c>
      <c r="Q324">
        <f t="shared" si="965"/>
        <v>-226728310.21007657</v>
      </c>
      <c r="R324">
        <f t="shared" si="966"/>
        <v>3747689617.5664129</v>
      </c>
      <c r="S324">
        <f t="shared" si="967"/>
        <v>37476.896175664129</v>
      </c>
      <c r="T324">
        <f t="shared" si="968"/>
        <v>37.47689617566413</v>
      </c>
    </row>
    <row r="325" spans="1:20" x14ac:dyDescent="0.25">
      <c r="A325" s="5">
        <v>44268</v>
      </c>
      <c r="B325">
        <v>6.6930000000000003E-2</v>
      </c>
      <c r="C325">
        <v>7.4889999999999998E-2</v>
      </c>
      <c r="D325">
        <v>6.472E-2</v>
      </c>
      <c r="E325">
        <v>7.3160000000000003E-2</v>
      </c>
      <c r="F325">
        <v>329844699.60000002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0.65978367748279343</v>
      </c>
      <c r="Q325">
        <f t="shared" si="965"/>
        <v>217626148.90029529</v>
      </c>
      <c r="R325">
        <f t="shared" si="966"/>
        <v>3974417927.7764893</v>
      </c>
      <c r="S325">
        <f t="shared" si="967"/>
        <v>39744.179277764895</v>
      </c>
      <c r="T325">
        <f t="shared" si="968"/>
        <v>39.744179277764893</v>
      </c>
    </row>
    <row r="326" spans="1:20" x14ac:dyDescent="0.25">
      <c r="A326" s="5">
        <v>44267</v>
      </c>
      <c r="B326">
        <v>7.0989999999999998E-2</v>
      </c>
      <c r="C326">
        <v>7.4349999999999999E-2</v>
      </c>
      <c r="D326">
        <v>6.5500000000000003E-2</v>
      </c>
      <c r="E326">
        <v>6.6820000000000004E-2</v>
      </c>
      <c r="F326">
        <v>385007135.19999999</v>
      </c>
      <c r="G326">
        <v>0</v>
      </c>
      <c r="L326" t="s">
        <v>8</v>
      </c>
      <c r="M326" t="s">
        <v>7</v>
      </c>
      <c r="N326" t="s">
        <v>8</v>
      </c>
      <c r="P326">
        <f t="shared" ref="P326:P389" si="969">IF(C326=D326,0,((E326-D326)-(C326-E326))/(C326-D326))</f>
        <v>-0.70169491525423677</v>
      </c>
      <c r="Q326">
        <f t="shared" ref="Q326:Q389" si="970">F326*P326</f>
        <v>-270157549.10644048</v>
      </c>
      <c r="R326">
        <f t="shared" ref="R326:R389" si="971">R327+Q326</f>
        <v>3756791778.876194</v>
      </c>
      <c r="S326">
        <f t="shared" ref="S326:S389" si="972">R326/100000</f>
        <v>37567.917788761937</v>
      </c>
      <c r="T326">
        <f t="shared" ref="T326:T389" si="973">S326/1000</f>
        <v>37.567917788761939</v>
      </c>
    </row>
    <row r="327" spans="1:20" x14ac:dyDescent="0.25">
      <c r="A327" s="5">
        <v>44266</v>
      </c>
      <c r="B327">
        <v>6.7879999999999996E-2</v>
      </c>
      <c r="C327">
        <v>7.5899999999999995E-2</v>
      </c>
      <c r="D327">
        <v>6.4549999999999996E-2</v>
      </c>
      <c r="E327">
        <v>7.0999999999999994E-2</v>
      </c>
      <c r="F327">
        <v>408381771.89999998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0.13656387665198202</v>
      </c>
      <c r="Q327">
        <f t="shared" si="970"/>
        <v>55770197.924669452</v>
      </c>
      <c r="R327">
        <f t="shared" si="971"/>
        <v>4026949327.9826345</v>
      </c>
      <c r="S327">
        <f t="shared" si="972"/>
        <v>40269.493279826347</v>
      </c>
      <c r="T327">
        <f t="shared" si="973"/>
        <v>40.269493279826349</v>
      </c>
    </row>
    <row r="328" spans="1:20" x14ac:dyDescent="0.25">
      <c r="A328" s="5">
        <v>44265</v>
      </c>
      <c r="B328">
        <v>7.3300000000000004E-2</v>
      </c>
      <c r="C328">
        <v>7.3950000000000002E-2</v>
      </c>
      <c r="D328">
        <v>6.6379999999999995E-2</v>
      </c>
      <c r="E328">
        <v>6.7669999999999994E-2</v>
      </c>
      <c r="F328">
        <v>424153385.80000001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-0.65918097754293314</v>
      </c>
      <c r="Q328">
        <f t="shared" si="970"/>
        <v>-279593843.47978884</v>
      </c>
      <c r="R328">
        <f t="shared" si="971"/>
        <v>3971179130.0579653</v>
      </c>
      <c r="S328">
        <f t="shared" si="972"/>
        <v>39711.791300579651</v>
      </c>
      <c r="T328">
        <f t="shared" si="973"/>
        <v>39.711791300579648</v>
      </c>
    </row>
    <row r="329" spans="1:20" x14ac:dyDescent="0.25">
      <c r="A329" s="5">
        <v>44264</v>
      </c>
      <c r="B329">
        <v>7.7420000000000003E-2</v>
      </c>
      <c r="C329">
        <v>8.294E-2</v>
      </c>
      <c r="D329">
        <v>7.1690000000000004E-2</v>
      </c>
      <c r="E329">
        <v>7.3300000000000004E-2</v>
      </c>
      <c r="F329">
        <v>547220824.79999995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-0.71377777777777762</v>
      </c>
      <c r="Q329">
        <f t="shared" si="970"/>
        <v>-390594064.27946657</v>
      </c>
      <c r="R329">
        <f t="shared" si="971"/>
        <v>4250772973.5377541</v>
      </c>
      <c r="S329">
        <f t="shared" si="972"/>
        <v>42507.729735377543</v>
      </c>
      <c r="T329">
        <f t="shared" si="973"/>
        <v>42.507729735377545</v>
      </c>
    </row>
    <row r="330" spans="1:20" x14ac:dyDescent="0.25">
      <c r="A330" s="5">
        <v>44263</v>
      </c>
      <c r="B330">
        <v>7.4329999999999993E-2</v>
      </c>
      <c r="C330">
        <v>7.9719999999999999E-2</v>
      </c>
      <c r="D330">
        <v>6.7540000000000003E-2</v>
      </c>
      <c r="E330">
        <v>7.7420000000000003E-2</v>
      </c>
      <c r="F330">
        <v>593014792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0.622331691297209</v>
      </c>
      <c r="Q330">
        <f t="shared" si="970"/>
        <v>369051898.46962261</v>
      </c>
      <c r="R330">
        <f t="shared" si="971"/>
        <v>4641367037.8172207</v>
      </c>
      <c r="S330">
        <f t="shared" si="972"/>
        <v>46413.67037817221</v>
      </c>
      <c r="T330">
        <f t="shared" si="973"/>
        <v>46.413670378172213</v>
      </c>
    </row>
    <row r="331" spans="1:20" x14ac:dyDescent="0.25">
      <c r="A331" s="5">
        <v>44262</v>
      </c>
      <c r="B331">
        <v>5.9859999999999997E-2</v>
      </c>
      <c r="C331">
        <v>7.51E-2</v>
      </c>
      <c r="D331">
        <v>5.9859999999999997E-2</v>
      </c>
      <c r="E331">
        <v>7.4329999999999993E-2</v>
      </c>
      <c r="F331">
        <v>638103491.10000002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0.89895013123359491</v>
      </c>
      <c r="Q331">
        <f t="shared" si="970"/>
        <v>573623217.06496012</v>
      </c>
      <c r="R331">
        <f t="shared" si="971"/>
        <v>4272315139.3475976</v>
      </c>
      <c r="S331">
        <f t="shared" si="972"/>
        <v>42723.151393475979</v>
      </c>
      <c r="T331">
        <f t="shared" si="973"/>
        <v>42.72315139347598</v>
      </c>
    </row>
    <row r="332" spans="1:20" x14ac:dyDescent="0.25">
      <c r="A332" s="5">
        <v>44261</v>
      </c>
      <c r="B332">
        <v>5.9929999999999997E-2</v>
      </c>
      <c r="C332">
        <v>6.2E-2</v>
      </c>
      <c r="D332">
        <v>5.6610000000000001E-2</v>
      </c>
      <c r="E332">
        <v>5.9790000000000003E-2</v>
      </c>
      <c r="F332">
        <v>238154939.80000001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0.17996289424860962</v>
      </c>
      <c r="Q332">
        <f t="shared" si="970"/>
        <v>42859052.246011391</v>
      </c>
      <c r="R332">
        <f t="shared" si="971"/>
        <v>3698691922.2826376</v>
      </c>
      <c r="S332">
        <f t="shared" si="972"/>
        <v>36986.919222826378</v>
      </c>
      <c r="T332">
        <f t="shared" si="973"/>
        <v>36.98691922282638</v>
      </c>
    </row>
    <row r="333" spans="1:20" x14ac:dyDescent="0.25">
      <c r="A333" s="5">
        <v>44260</v>
      </c>
      <c r="B333">
        <v>5.8409999999999997E-2</v>
      </c>
      <c r="C333">
        <v>6.2619999999999995E-2</v>
      </c>
      <c r="D333">
        <v>5.4300000000000001E-2</v>
      </c>
      <c r="E333">
        <v>5.9880000000000003E-2</v>
      </c>
      <c r="F333">
        <v>380588845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0.34134615384615519</v>
      </c>
      <c r="Q333">
        <f t="shared" si="970"/>
        <v>129912538.43750051</v>
      </c>
      <c r="R333">
        <f t="shared" si="971"/>
        <v>3655832870.0366263</v>
      </c>
      <c r="S333">
        <f t="shared" si="972"/>
        <v>36558.328700366263</v>
      </c>
      <c r="T333">
        <f t="shared" si="973"/>
        <v>36.55832870036626</v>
      </c>
    </row>
    <row r="334" spans="1:20" x14ac:dyDescent="0.25">
      <c r="A334" s="5">
        <v>44259</v>
      </c>
      <c r="B334">
        <v>6.166E-2</v>
      </c>
      <c r="C334">
        <v>6.4070000000000002E-2</v>
      </c>
      <c r="D334">
        <v>5.5079999999999997E-2</v>
      </c>
      <c r="E334">
        <v>5.8340000000000003E-2</v>
      </c>
      <c r="F334">
        <v>413937465.60000002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-0.27474972191323599</v>
      </c>
      <c r="Q334">
        <f t="shared" si="970"/>
        <v>-113729203.5630697</v>
      </c>
      <c r="R334">
        <f t="shared" si="971"/>
        <v>3525920331.5991259</v>
      </c>
      <c r="S334">
        <f t="shared" si="972"/>
        <v>35259.203315991261</v>
      </c>
      <c r="T334">
        <f t="shared" si="973"/>
        <v>35.259203315991257</v>
      </c>
    </row>
    <row r="335" spans="1:20" x14ac:dyDescent="0.25">
      <c r="A335" s="5">
        <v>44258</v>
      </c>
      <c r="B335">
        <v>6.1069999999999999E-2</v>
      </c>
      <c r="C335">
        <v>6.8279999999999993E-2</v>
      </c>
      <c r="D335">
        <v>6.0290000000000003E-2</v>
      </c>
      <c r="E335">
        <v>6.1719999999999997E-2</v>
      </c>
      <c r="F335">
        <v>468997867.5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-0.64205256570713498</v>
      </c>
      <c r="Q335">
        <f t="shared" si="970"/>
        <v>-301121284.13954991</v>
      </c>
      <c r="R335">
        <f t="shared" si="971"/>
        <v>3639649535.1621957</v>
      </c>
      <c r="S335">
        <f t="shared" si="972"/>
        <v>36396.495351621954</v>
      </c>
      <c r="T335">
        <f t="shared" si="973"/>
        <v>36.396495351621951</v>
      </c>
    </row>
    <row r="336" spans="1:20" x14ac:dyDescent="0.25">
      <c r="A336" s="5">
        <v>44257</v>
      </c>
      <c r="B336">
        <v>5.6829999999999999E-2</v>
      </c>
      <c r="C336">
        <v>6.3339999999999994E-2</v>
      </c>
      <c r="D336">
        <v>5.4559999999999997E-2</v>
      </c>
      <c r="E336">
        <v>6.1179999999999998E-2</v>
      </c>
      <c r="F336">
        <v>570967013.60000002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0.50797266514806461</v>
      </c>
      <c r="Q336">
        <f t="shared" si="970"/>
        <v>290035635.61002326</v>
      </c>
      <c r="R336">
        <f t="shared" si="971"/>
        <v>3940770819.3017454</v>
      </c>
      <c r="S336">
        <f t="shared" si="972"/>
        <v>39407.708193017454</v>
      </c>
      <c r="T336">
        <f t="shared" si="973"/>
        <v>39.407708193017456</v>
      </c>
    </row>
    <row r="337" spans="1:20" x14ac:dyDescent="0.25">
      <c r="A337" s="5">
        <v>44256</v>
      </c>
      <c r="B337">
        <v>5.2909999999999999E-2</v>
      </c>
      <c r="C337">
        <v>5.8970000000000002E-2</v>
      </c>
      <c r="D337">
        <v>5.1999999999999998E-2</v>
      </c>
      <c r="E337">
        <v>5.6820000000000002E-2</v>
      </c>
      <c r="F337">
        <v>460314344.80000001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0.3830703012912488</v>
      </c>
      <c r="Q337">
        <f t="shared" si="970"/>
        <v>176332754.75121978</v>
      </c>
      <c r="R337">
        <f t="shared" si="971"/>
        <v>3650735183.6917224</v>
      </c>
      <c r="S337">
        <f t="shared" si="972"/>
        <v>36507.351836917223</v>
      </c>
      <c r="T337">
        <f t="shared" si="973"/>
        <v>36.507351836917223</v>
      </c>
    </row>
    <row r="338" spans="1:20" x14ac:dyDescent="0.25">
      <c r="A338" s="5">
        <v>44255</v>
      </c>
      <c r="B338">
        <v>5.2740000000000002E-2</v>
      </c>
      <c r="C338">
        <v>5.4480000000000001E-2</v>
      </c>
      <c r="D338">
        <v>4.4690000000000001E-2</v>
      </c>
      <c r="E338">
        <v>5.2850000000000001E-2</v>
      </c>
      <c r="F338">
        <v>492434059.10000002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0.66700715015321765</v>
      </c>
      <c r="Q338">
        <f t="shared" si="970"/>
        <v>328457038.39867216</v>
      </c>
      <c r="R338">
        <f t="shared" si="971"/>
        <v>3474402428.9405026</v>
      </c>
      <c r="S338">
        <f t="shared" si="972"/>
        <v>34744.024289405024</v>
      </c>
      <c r="T338">
        <f t="shared" si="973"/>
        <v>34.744024289405026</v>
      </c>
    </row>
    <row r="339" spans="1:20" x14ac:dyDescent="0.25">
      <c r="A339" s="5">
        <v>44254</v>
      </c>
      <c r="B339">
        <v>4.5879999999999997E-2</v>
      </c>
      <c r="C339">
        <v>5.8970000000000002E-2</v>
      </c>
      <c r="D339">
        <v>4.5850000000000002E-2</v>
      </c>
      <c r="E339">
        <v>5.2780000000000001E-2</v>
      </c>
      <c r="F339">
        <v>947314449.5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5.6402439024390065E-2</v>
      </c>
      <c r="Q339">
        <f t="shared" si="970"/>
        <v>53430845.474847391</v>
      </c>
      <c r="R339">
        <f t="shared" si="971"/>
        <v>3145945390.5418305</v>
      </c>
      <c r="S339">
        <f t="shared" si="972"/>
        <v>31459.453905418304</v>
      </c>
      <c r="T339">
        <f t="shared" si="973"/>
        <v>31.459453905418304</v>
      </c>
    </row>
    <row r="340" spans="1:20" x14ac:dyDescent="0.25">
      <c r="A340" s="5">
        <v>44253</v>
      </c>
      <c r="B340">
        <v>4.1509999999999998E-2</v>
      </c>
      <c r="C340">
        <v>5.28E-2</v>
      </c>
      <c r="D340">
        <v>3.875E-2</v>
      </c>
      <c r="E340">
        <v>4.5850000000000002E-2</v>
      </c>
      <c r="F340">
        <v>756415778.5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1.0676156583630199E-2</v>
      </c>
      <c r="Q340">
        <f t="shared" si="970"/>
        <v>8075613.2935945373</v>
      </c>
      <c r="R340">
        <f t="shared" si="971"/>
        <v>3092514545.0669832</v>
      </c>
      <c r="S340">
        <f t="shared" si="972"/>
        <v>30925.145450669832</v>
      </c>
      <c r="T340">
        <f t="shared" si="973"/>
        <v>30.925145450669831</v>
      </c>
    </row>
    <row r="341" spans="1:20" x14ac:dyDescent="0.25">
      <c r="A341" s="5">
        <v>44252</v>
      </c>
      <c r="B341">
        <v>4.4010000000000001E-2</v>
      </c>
      <c r="C341">
        <v>4.8959999999999997E-2</v>
      </c>
      <c r="D341">
        <v>4.1300000000000003E-2</v>
      </c>
      <c r="E341">
        <v>4.1619999999999997E-2</v>
      </c>
      <c r="F341">
        <v>418858443.60000002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-0.91644908616188137</v>
      </c>
      <c r="Q341">
        <f t="shared" si="970"/>
        <v>-383862437.86840796</v>
      </c>
      <c r="R341">
        <f t="shared" si="971"/>
        <v>3084438931.7733889</v>
      </c>
      <c r="S341">
        <f t="shared" si="972"/>
        <v>30844.389317733887</v>
      </c>
      <c r="T341">
        <f t="shared" si="973"/>
        <v>30.844389317733889</v>
      </c>
    </row>
    <row r="342" spans="1:20" x14ac:dyDescent="0.25">
      <c r="A342" s="5">
        <v>44251</v>
      </c>
      <c r="B342">
        <v>4.3869999999999999E-2</v>
      </c>
      <c r="C342">
        <v>5.117E-2</v>
      </c>
      <c r="D342">
        <v>4.1340000000000002E-2</v>
      </c>
      <c r="E342">
        <v>4.3970000000000002E-2</v>
      </c>
      <c r="F342">
        <v>611457241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-0.46490335707019315</v>
      </c>
      <c r="Q342">
        <f t="shared" si="970"/>
        <v>-284268524.04577816</v>
      </c>
      <c r="R342">
        <f t="shared" si="971"/>
        <v>3468301369.6417966</v>
      </c>
      <c r="S342">
        <f t="shared" si="972"/>
        <v>34683.013696417969</v>
      </c>
      <c r="T342">
        <f t="shared" si="973"/>
        <v>34.683013696417966</v>
      </c>
    </row>
    <row r="343" spans="1:20" x14ac:dyDescent="0.25">
      <c r="A343" s="5">
        <v>44250</v>
      </c>
      <c r="B343">
        <v>5.1819999999999998E-2</v>
      </c>
      <c r="C343">
        <v>5.1990000000000001E-2</v>
      </c>
      <c r="D343">
        <v>3.5049999999999998E-2</v>
      </c>
      <c r="E343">
        <v>4.3779999999999999E-2</v>
      </c>
      <c r="F343">
        <v>1009950124.3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3.0696576151121577E-2</v>
      </c>
      <c r="Q343">
        <f t="shared" si="970"/>
        <v>31002010.899409652</v>
      </c>
      <c r="R343">
        <f t="shared" si="971"/>
        <v>3752569893.6875749</v>
      </c>
      <c r="S343">
        <f t="shared" si="972"/>
        <v>37525.698936875749</v>
      </c>
      <c r="T343">
        <f t="shared" si="973"/>
        <v>37.525698936875749</v>
      </c>
    </row>
    <row r="344" spans="1:20" x14ac:dyDescent="0.25">
      <c r="A344" s="5">
        <v>44249</v>
      </c>
      <c r="B344">
        <v>5.5219999999999998E-2</v>
      </c>
      <c r="C344">
        <v>5.9220000000000002E-2</v>
      </c>
      <c r="D344">
        <v>3.7999999999999999E-2</v>
      </c>
      <c r="E344">
        <v>5.1740000000000001E-2</v>
      </c>
      <c r="F344">
        <v>797691488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0.29500471253534405</v>
      </c>
      <c r="Q344">
        <f t="shared" si="970"/>
        <v>235322748.10933083</v>
      </c>
      <c r="R344">
        <f t="shared" si="971"/>
        <v>3721567882.7881651</v>
      </c>
      <c r="S344">
        <f t="shared" si="972"/>
        <v>37215.678827881653</v>
      </c>
      <c r="T344">
        <f t="shared" si="973"/>
        <v>37.215678827881653</v>
      </c>
    </row>
    <row r="345" spans="1:20" x14ac:dyDescent="0.25">
      <c r="A345" s="5">
        <v>44248</v>
      </c>
      <c r="B345">
        <v>5.5539999999999999E-2</v>
      </c>
      <c r="C345">
        <v>0.06</v>
      </c>
      <c r="D345">
        <v>5.3409999999999999E-2</v>
      </c>
      <c r="E345">
        <v>5.5219999999999998E-2</v>
      </c>
      <c r="F345">
        <v>313505357.60000002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-0.45068285280728393</v>
      </c>
      <c r="Q345">
        <f t="shared" si="970"/>
        <v>-141291488.93353572</v>
      </c>
      <c r="R345">
        <f t="shared" si="971"/>
        <v>3486245134.6788344</v>
      </c>
      <c r="S345">
        <f t="shared" si="972"/>
        <v>34862.451346788344</v>
      </c>
      <c r="T345">
        <f t="shared" si="973"/>
        <v>34.862451346788347</v>
      </c>
    </row>
    <row r="346" spans="1:20" x14ac:dyDescent="0.25">
      <c r="A346" s="5">
        <v>44247</v>
      </c>
      <c r="B346">
        <v>6.046E-2</v>
      </c>
      <c r="C346">
        <v>6.3799999999999996E-2</v>
      </c>
      <c r="D346">
        <v>5.0549999999999998E-2</v>
      </c>
      <c r="E346">
        <v>5.5539999999999999E-2</v>
      </c>
      <c r="F346">
        <v>495539799.69999999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-0.24679245283018836</v>
      </c>
      <c r="Q346">
        <f t="shared" si="970"/>
        <v>-122295482.64294323</v>
      </c>
      <c r="R346">
        <f t="shared" si="971"/>
        <v>3627536623.61237</v>
      </c>
      <c r="S346">
        <f t="shared" si="972"/>
        <v>36275.3662361237</v>
      </c>
      <c r="T346">
        <f t="shared" si="973"/>
        <v>36.275366236123702</v>
      </c>
    </row>
    <row r="347" spans="1:20" x14ac:dyDescent="0.25">
      <c r="A347" s="5">
        <v>44246</v>
      </c>
      <c r="B347">
        <v>6.275E-2</v>
      </c>
      <c r="C347">
        <v>6.3270000000000007E-2</v>
      </c>
      <c r="D347">
        <v>5.765E-2</v>
      </c>
      <c r="E347">
        <v>6.0449999999999997E-2</v>
      </c>
      <c r="F347">
        <v>359714937.89999998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-3.5587188612122844E-3</v>
      </c>
      <c r="Q347">
        <f t="shared" si="970"/>
        <v>-1280124.3341645356</v>
      </c>
      <c r="R347">
        <f t="shared" si="971"/>
        <v>3749832106.2553134</v>
      </c>
      <c r="S347">
        <f t="shared" si="972"/>
        <v>37498.321062553136</v>
      </c>
      <c r="T347">
        <f t="shared" si="973"/>
        <v>37.498321062553138</v>
      </c>
    </row>
    <row r="348" spans="1:20" x14ac:dyDescent="0.25">
      <c r="A348" s="5">
        <v>44245</v>
      </c>
      <c r="B348">
        <v>5.7259999999999998E-2</v>
      </c>
      <c r="C348">
        <v>6.6780000000000006E-2</v>
      </c>
      <c r="D348">
        <v>5.704E-2</v>
      </c>
      <c r="E348">
        <v>6.2630000000000005E-2</v>
      </c>
      <c r="F348">
        <v>485633391.39999998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0.14784394250513377</v>
      </c>
      <c r="Q348">
        <f t="shared" si="970"/>
        <v>71797955.196714729</v>
      </c>
      <c r="R348">
        <f t="shared" si="971"/>
        <v>3751112230.589478</v>
      </c>
      <c r="S348">
        <f t="shared" si="972"/>
        <v>37511.12230589478</v>
      </c>
      <c r="T348">
        <f t="shared" si="973"/>
        <v>37.51112230589478</v>
      </c>
    </row>
    <row r="349" spans="1:20" x14ac:dyDescent="0.25">
      <c r="A349" s="5">
        <v>44244</v>
      </c>
      <c r="B349">
        <v>5.5559999999999998E-2</v>
      </c>
      <c r="C349">
        <v>0.06</v>
      </c>
      <c r="D349">
        <v>0.05</v>
      </c>
      <c r="E349">
        <v>5.7169999999999999E-2</v>
      </c>
      <c r="F349">
        <v>521934372.60000002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0.43399999999999989</v>
      </c>
      <c r="Q349">
        <f t="shared" si="970"/>
        <v>226519517.70839995</v>
      </c>
      <c r="R349">
        <f t="shared" si="971"/>
        <v>3679314275.3927631</v>
      </c>
      <c r="S349">
        <f t="shared" si="972"/>
        <v>36793.142753927634</v>
      </c>
      <c r="T349">
        <f t="shared" si="973"/>
        <v>36.793142753927633</v>
      </c>
    </row>
    <row r="350" spans="1:20" x14ac:dyDescent="0.25">
      <c r="A350" s="5">
        <v>44243</v>
      </c>
      <c r="B350">
        <v>5.7000000000000002E-2</v>
      </c>
      <c r="C350">
        <v>6.2E-2</v>
      </c>
      <c r="D350">
        <v>5.2290000000000003E-2</v>
      </c>
      <c r="E350">
        <v>5.5599999999999997E-2</v>
      </c>
      <c r="F350">
        <v>530219650.5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-0.31822863027806492</v>
      </c>
      <c r="Q350">
        <f t="shared" si="970"/>
        <v>-168731073.12512931</v>
      </c>
      <c r="R350">
        <f t="shared" si="971"/>
        <v>3452794757.6843634</v>
      </c>
      <c r="S350">
        <f t="shared" si="972"/>
        <v>34527.947576843631</v>
      </c>
      <c r="T350">
        <f t="shared" si="973"/>
        <v>34.52794757684363</v>
      </c>
    </row>
    <row r="351" spans="1:20" x14ac:dyDescent="0.25">
      <c r="A351" s="5">
        <v>44242</v>
      </c>
      <c r="B351">
        <v>6.225E-2</v>
      </c>
      <c r="C351">
        <v>6.5000000000000002E-2</v>
      </c>
      <c r="D351">
        <v>4.6600000000000003E-2</v>
      </c>
      <c r="E351">
        <v>5.7000000000000002E-2</v>
      </c>
      <c r="F351">
        <v>1044463305.2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0.13043478260869562</v>
      </c>
      <c r="Q351">
        <f t="shared" si="970"/>
        <v>136234344.15652171</v>
      </c>
      <c r="R351">
        <f t="shared" si="971"/>
        <v>3621525830.8094926</v>
      </c>
      <c r="S351">
        <f t="shared" si="972"/>
        <v>36215.258308094926</v>
      </c>
      <c r="T351">
        <f t="shared" si="973"/>
        <v>36.215258308094924</v>
      </c>
    </row>
    <row r="352" spans="1:20" x14ac:dyDescent="0.25">
      <c r="A352" s="5">
        <v>44241</v>
      </c>
      <c r="B352">
        <v>7.1959999999999996E-2</v>
      </c>
      <c r="C352">
        <v>7.2599999999999998E-2</v>
      </c>
      <c r="D352">
        <v>5.9080000000000001E-2</v>
      </c>
      <c r="E352">
        <v>6.2210000000000001E-2</v>
      </c>
      <c r="F352">
        <v>775880559.39999998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-0.53698224852070986</v>
      </c>
      <c r="Q352">
        <f t="shared" si="970"/>
        <v>-416634087.3701182</v>
      </c>
      <c r="R352">
        <f t="shared" si="971"/>
        <v>3485291486.6529708</v>
      </c>
      <c r="S352">
        <f t="shared" si="972"/>
        <v>34852.914866529711</v>
      </c>
      <c r="T352">
        <f t="shared" si="973"/>
        <v>34.852914866529709</v>
      </c>
    </row>
    <row r="353" spans="1:20" x14ac:dyDescent="0.25">
      <c r="A353" s="5">
        <v>44240</v>
      </c>
      <c r="B353">
        <v>6.9059999999999996E-2</v>
      </c>
      <c r="C353">
        <v>7.8600000000000003E-2</v>
      </c>
      <c r="D353">
        <v>6.2019999999999999E-2</v>
      </c>
      <c r="E353">
        <v>7.195E-2</v>
      </c>
      <c r="F353">
        <v>812767292.79999995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0.19782870928829899</v>
      </c>
      <c r="Q353">
        <f t="shared" si="970"/>
        <v>160788704.48636898</v>
      </c>
      <c r="R353">
        <f t="shared" si="971"/>
        <v>3901925574.0230889</v>
      </c>
      <c r="S353">
        <f t="shared" si="972"/>
        <v>39019.255740230888</v>
      </c>
      <c r="T353">
        <f t="shared" si="973"/>
        <v>39.019255740230889</v>
      </c>
    </row>
    <row r="354" spans="1:20" x14ac:dyDescent="0.25">
      <c r="A354" s="5">
        <v>44239</v>
      </c>
      <c r="B354">
        <v>5.9880000000000003E-2</v>
      </c>
      <c r="C354">
        <v>7.4999999999999997E-2</v>
      </c>
      <c r="D354">
        <v>5.5440000000000003E-2</v>
      </c>
      <c r="E354">
        <v>6.9000000000000006E-2</v>
      </c>
      <c r="F354">
        <v>928167530.29999995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0.38650306748466329</v>
      </c>
      <c r="Q354">
        <f t="shared" si="970"/>
        <v>358739597.60061413</v>
      </c>
      <c r="R354">
        <f t="shared" si="971"/>
        <v>3741136869.5367198</v>
      </c>
      <c r="S354">
        <f t="shared" si="972"/>
        <v>37411.3686953672</v>
      </c>
      <c r="T354">
        <f t="shared" si="973"/>
        <v>37.411368695367202</v>
      </c>
    </row>
    <row r="355" spans="1:20" x14ac:dyDescent="0.25">
      <c r="A355" s="5">
        <v>44238</v>
      </c>
      <c r="B355">
        <v>5.3920000000000003E-2</v>
      </c>
      <c r="C355">
        <v>6.1859999999999998E-2</v>
      </c>
      <c r="D355">
        <v>5.2260000000000001E-2</v>
      </c>
      <c r="E355">
        <v>5.9729999999999998E-2</v>
      </c>
      <c r="F355">
        <v>645623424.29999995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0.55624999999999991</v>
      </c>
      <c r="Q355">
        <f t="shared" si="970"/>
        <v>359128029.76687491</v>
      </c>
      <c r="R355">
        <f t="shared" si="971"/>
        <v>3382397271.9361057</v>
      </c>
      <c r="S355">
        <f t="shared" si="972"/>
        <v>33823.97271936106</v>
      </c>
      <c r="T355">
        <f t="shared" si="973"/>
        <v>33.823972719361059</v>
      </c>
    </row>
    <row r="356" spans="1:20" x14ac:dyDescent="0.25">
      <c r="A356" s="5">
        <v>44237</v>
      </c>
      <c r="B356">
        <v>5.0250000000000003E-2</v>
      </c>
      <c r="C356">
        <v>5.9130000000000002E-2</v>
      </c>
      <c r="D356">
        <v>4.4130000000000003E-2</v>
      </c>
      <c r="E356">
        <v>5.3929999999999999E-2</v>
      </c>
      <c r="F356">
        <v>1358874375.0999999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0.3066666666666662</v>
      </c>
      <c r="Q356">
        <f t="shared" si="970"/>
        <v>416721475.03066599</v>
      </c>
      <c r="R356">
        <f t="shared" si="971"/>
        <v>3023269242.1692309</v>
      </c>
      <c r="S356">
        <f t="shared" si="972"/>
        <v>30232.692421692311</v>
      </c>
      <c r="T356">
        <f t="shared" si="973"/>
        <v>30.23269242169231</v>
      </c>
    </row>
    <row r="357" spans="1:20" x14ac:dyDescent="0.25">
      <c r="A357" s="5">
        <v>44236</v>
      </c>
      <c r="B357">
        <v>4.2040000000000001E-2</v>
      </c>
      <c r="C357">
        <v>5.3999999999999999E-2</v>
      </c>
      <c r="D357">
        <v>4.1099999999999998E-2</v>
      </c>
      <c r="E357">
        <v>5.0310000000000001E-2</v>
      </c>
      <c r="F357">
        <v>1011540113.3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0.42790697674418632</v>
      </c>
      <c r="Q357">
        <f t="shared" si="970"/>
        <v>432845071.73767465</v>
      </c>
      <c r="R357">
        <f t="shared" si="971"/>
        <v>2606547767.1385651</v>
      </c>
      <c r="S357">
        <f t="shared" si="972"/>
        <v>26065.477671385652</v>
      </c>
      <c r="T357">
        <f t="shared" si="973"/>
        <v>26.065477671385651</v>
      </c>
    </row>
    <row r="358" spans="1:20" x14ac:dyDescent="0.25">
      <c r="A358" s="5">
        <v>44235</v>
      </c>
      <c r="B358">
        <v>3.7789999999999997E-2</v>
      </c>
      <c r="C358">
        <v>4.4400000000000002E-2</v>
      </c>
      <c r="D358">
        <v>3.669E-2</v>
      </c>
      <c r="E358">
        <v>4.1919999999999999E-2</v>
      </c>
      <c r="F358">
        <v>623282688.70000005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0.3566796368352782</v>
      </c>
      <c r="Q358">
        <f t="shared" si="970"/>
        <v>222312243.05123177</v>
      </c>
      <c r="R358">
        <f t="shared" si="971"/>
        <v>2173702695.4008904</v>
      </c>
      <c r="S358">
        <f t="shared" si="972"/>
        <v>21737.026954008903</v>
      </c>
      <c r="T358">
        <f t="shared" si="973"/>
        <v>21.737026954008904</v>
      </c>
    </row>
    <row r="359" spans="1:20" x14ac:dyDescent="0.25">
      <c r="A359" s="5">
        <v>44234</v>
      </c>
      <c r="B359">
        <v>3.993E-2</v>
      </c>
      <c r="C359">
        <v>4.1000000000000002E-2</v>
      </c>
      <c r="D359">
        <v>3.4299999999999997E-2</v>
      </c>
      <c r="E359">
        <v>3.7749999999999999E-2</v>
      </c>
      <c r="F359">
        <v>560000395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2.9850746268656515E-2</v>
      </c>
      <c r="Q359">
        <f t="shared" si="970"/>
        <v>16716429.701492425</v>
      </c>
      <c r="R359">
        <f t="shared" si="971"/>
        <v>1951390452.3496587</v>
      </c>
      <c r="S359">
        <f t="shared" si="972"/>
        <v>19513.904523496589</v>
      </c>
      <c r="T359">
        <f t="shared" si="973"/>
        <v>19.513904523496588</v>
      </c>
    </row>
    <row r="360" spans="1:20" x14ac:dyDescent="0.25">
      <c r="A360" s="5">
        <v>44233</v>
      </c>
      <c r="B360">
        <v>4.496E-2</v>
      </c>
      <c r="C360">
        <v>4.5969999999999997E-2</v>
      </c>
      <c r="D360">
        <v>3.78E-2</v>
      </c>
      <c r="E360">
        <v>3.993E-2</v>
      </c>
      <c r="F360">
        <v>529041177.19999999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-0.47858017135862896</v>
      </c>
      <c r="Q360">
        <f t="shared" si="970"/>
        <v>-253188617.24014679</v>
      </c>
      <c r="R360">
        <f t="shared" si="971"/>
        <v>1934674022.6481664</v>
      </c>
      <c r="S360">
        <f t="shared" si="972"/>
        <v>19346.740226481663</v>
      </c>
      <c r="T360">
        <f t="shared" si="973"/>
        <v>19.346740226481664</v>
      </c>
    </row>
    <row r="361" spans="1:20" x14ac:dyDescent="0.25">
      <c r="A361" s="5">
        <v>44232</v>
      </c>
      <c r="B361">
        <v>3.8870000000000002E-2</v>
      </c>
      <c r="C361">
        <v>4.65E-2</v>
      </c>
      <c r="D361">
        <v>3.8859999999999999E-2</v>
      </c>
      <c r="E361">
        <v>4.4909999999999999E-2</v>
      </c>
      <c r="F361">
        <v>699878778.89999998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0.58376963350785316</v>
      </c>
      <c r="Q361">
        <f t="shared" si="970"/>
        <v>408567978.25837678</v>
      </c>
      <c r="R361">
        <f t="shared" si="971"/>
        <v>2187862639.8883133</v>
      </c>
      <c r="S361">
        <f t="shared" si="972"/>
        <v>21878.626398883134</v>
      </c>
      <c r="T361">
        <f t="shared" si="973"/>
        <v>21.878626398883135</v>
      </c>
    </row>
    <row r="362" spans="1:20" x14ac:dyDescent="0.25">
      <c r="A362" s="5">
        <v>44231</v>
      </c>
      <c r="B362">
        <v>3.9849999999999997E-2</v>
      </c>
      <c r="C362">
        <v>4.1000000000000002E-2</v>
      </c>
      <c r="D362">
        <v>3.5549999999999998E-2</v>
      </c>
      <c r="E362">
        <v>3.8879999999999998E-2</v>
      </c>
      <c r="F362">
        <v>552750278.39999998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0.22201834862385231</v>
      </c>
      <c r="Q362">
        <f t="shared" si="970"/>
        <v>122720704.01174262</v>
      </c>
      <c r="R362">
        <f t="shared" si="971"/>
        <v>1779294661.6299365</v>
      </c>
      <c r="S362">
        <f t="shared" si="972"/>
        <v>17792.946616299363</v>
      </c>
      <c r="T362">
        <f t="shared" si="973"/>
        <v>17.792946616299364</v>
      </c>
    </row>
    <row r="363" spans="1:20" x14ac:dyDescent="0.25">
      <c r="A363" s="5">
        <v>44230</v>
      </c>
      <c r="B363">
        <v>4.0960000000000003E-2</v>
      </c>
      <c r="C363">
        <v>4.1689999999999998E-2</v>
      </c>
      <c r="D363">
        <v>3.8309999999999997E-2</v>
      </c>
      <c r="E363">
        <v>3.9849999999999997E-2</v>
      </c>
      <c r="F363">
        <v>398492032.19999999</v>
      </c>
      <c r="G363">
        <v>0</v>
      </c>
      <c r="L363" t="s">
        <v>7</v>
      </c>
      <c r="M363" t="s">
        <v>8</v>
      </c>
      <c r="N363" t="s">
        <v>7</v>
      </c>
      <c r="P363">
        <f t="shared" si="969"/>
        <v>-8.8757396449704609E-2</v>
      </c>
      <c r="Q363">
        <f t="shared" si="970"/>
        <v>-35369115.284023851</v>
      </c>
      <c r="R363">
        <f t="shared" si="971"/>
        <v>1656573957.6181939</v>
      </c>
      <c r="S363">
        <f t="shared" si="972"/>
        <v>16565.739576181939</v>
      </c>
      <c r="T363">
        <f t="shared" si="973"/>
        <v>16.56573957618194</v>
      </c>
    </row>
    <row r="364" spans="1:20" x14ac:dyDescent="0.25">
      <c r="A364" s="5">
        <v>44229</v>
      </c>
      <c r="B364">
        <v>3.7100000000000001E-2</v>
      </c>
      <c r="C364">
        <v>4.1660000000000003E-2</v>
      </c>
      <c r="D364">
        <v>3.5380000000000002E-2</v>
      </c>
      <c r="E364">
        <v>4.0919999999999998E-2</v>
      </c>
      <c r="F364">
        <v>505375729.19999999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0.76433121019108141</v>
      </c>
      <c r="Q364">
        <f t="shared" si="970"/>
        <v>386274442.70063621</v>
      </c>
      <c r="R364">
        <f t="shared" si="971"/>
        <v>1691943072.9022176</v>
      </c>
      <c r="S364">
        <f t="shared" si="972"/>
        <v>16919.430729022177</v>
      </c>
      <c r="T364">
        <f t="shared" si="973"/>
        <v>16.919430729022178</v>
      </c>
    </row>
    <row r="365" spans="1:20" x14ac:dyDescent="0.25">
      <c r="A365" s="5">
        <v>44228</v>
      </c>
      <c r="B365">
        <v>3.3579999999999999E-2</v>
      </c>
      <c r="C365">
        <v>3.7650000000000003E-2</v>
      </c>
      <c r="D365">
        <v>3.2199999999999999E-2</v>
      </c>
      <c r="E365">
        <v>3.7109999999999997E-2</v>
      </c>
      <c r="F365">
        <v>407852546.69999999</v>
      </c>
      <c r="G365">
        <v>0</v>
      </c>
      <c r="L365" t="s">
        <v>8</v>
      </c>
      <c r="M365" t="s">
        <v>7</v>
      </c>
      <c r="N365" t="s">
        <v>7</v>
      </c>
      <c r="P365">
        <f t="shared" si="969"/>
        <v>0.80183486238531909</v>
      </c>
      <c r="Q365">
        <f t="shared" si="970"/>
        <v>327030390.65669644</v>
      </c>
      <c r="R365">
        <f t="shared" si="971"/>
        <v>1305668630.2015815</v>
      </c>
      <c r="S365">
        <f t="shared" si="972"/>
        <v>13056.686302015814</v>
      </c>
      <c r="T365">
        <f t="shared" si="973"/>
        <v>13.056686302015814</v>
      </c>
    </row>
    <row r="366" spans="1:20" x14ac:dyDescent="0.25">
      <c r="A366" s="5">
        <v>44227</v>
      </c>
      <c r="B366">
        <v>3.5459999999999998E-2</v>
      </c>
      <c r="C366">
        <v>3.7620000000000001E-2</v>
      </c>
      <c r="D366">
        <v>3.218E-2</v>
      </c>
      <c r="E366">
        <v>3.363E-2</v>
      </c>
      <c r="F366">
        <v>346942464.10000002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-0.46691176470588241</v>
      </c>
      <c r="Q366">
        <f t="shared" si="970"/>
        <v>-161991518.16433826</v>
      </c>
      <c r="R366">
        <f t="shared" si="971"/>
        <v>978638239.54488504</v>
      </c>
      <c r="S366">
        <f t="shared" si="972"/>
        <v>9786.3823954488507</v>
      </c>
      <c r="T366">
        <f t="shared" si="973"/>
        <v>9.7863823954488502</v>
      </c>
    </row>
    <row r="367" spans="1:20" x14ac:dyDescent="0.25">
      <c r="A367" s="5">
        <v>44226</v>
      </c>
      <c r="B367">
        <v>3.4250000000000003E-2</v>
      </c>
      <c r="C367">
        <v>3.746E-2</v>
      </c>
      <c r="D367">
        <v>3.3099999999999997E-2</v>
      </c>
      <c r="E367">
        <v>3.5459999999999998E-2</v>
      </c>
      <c r="F367">
        <v>445186241.5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8.256880733944931E-2</v>
      </c>
      <c r="Q367">
        <f t="shared" si="970"/>
        <v>36758497.004587054</v>
      </c>
      <c r="R367">
        <f t="shared" si="971"/>
        <v>1140629757.7092233</v>
      </c>
      <c r="S367">
        <f t="shared" si="972"/>
        <v>11406.297577092233</v>
      </c>
      <c r="T367">
        <f t="shared" si="973"/>
        <v>11.406297577092234</v>
      </c>
    </row>
    <row r="368" spans="1:20" x14ac:dyDescent="0.25">
      <c r="A368" s="5">
        <v>44225</v>
      </c>
      <c r="B368">
        <v>3.3329999999999999E-2</v>
      </c>
      <c r="C368">
        <v>3.8510000000000003E-2</v>
      </c>
      <c r="D368">
        <v>3.2000000000000001E-2</v>
      </c>
      <c r="E368">
        <v>3.4340000000000002E-2</v>
      </c>
      <c r="F368">
        <v>723625009.5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-0.28110599078340981</v>
      </c>
      <c r="Q368">
        <f t="shared" si="970"/>
        <v>-203415325.25115183</v>
      </c>
      <c r="R368">
        <f t="shared" si="971"/>
        <v>1103871260.7046361</v>
      </c>
      <c r="S368">
        <f t="shared" si="972"/>
        <v>11038.71260704636</v>
      </c>
      <c r="T368">
        <f t="shared" si="973"/>
        <v>11.03871260704636</v>
      </c>
    </row>
    <row r="369" spans="1:20" x14ac:dyDescent="0.25">
      <c r="A369" s="5">
        <v>44224</v>
      </c>
      <c r="B369">
        <v>3.2250000000000001E-2</v>
      </c>
      <c r="C369">
        <v>3.6330000000000001E-2</v>
      </c>
      <c r="D369">
        <v>3.1480000000000001E-2</v>
      </c>
      <c r="E369">
        <v>3.3369999999999997E-2</v>
      </c>
      <c r="F369">
        <v>415457513.69999999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-0.22061855670103267</v>
      </c>
      <c r="Q369">
        <f t="shared" si="970"/>
        <v>-91657637.043093503</v>
      </c>
      <c r="R369">
        <f t="shared" si="971"/>
        <v>1307286585.9557879</v>
      </c>
      <c r="S369">
        <f t="shared" si="972"/>
        <v>13072.865859557878</v>
      </c>
      <c r="T369">
        <f t="shared" si="973"/>
        <v>13.072865859557877</v>
      </c>
    </row>
    <row r="370" spans="1:20" x14ac:dyDescent="0.25">
      <c r="A370" s="5">
        <v>44223</v>
      </c>
      <c r="B370">
        <v>3.671E-2</v>
      </c>
      <c r="C370">
        <v>3.6790000000000003E-2</v>
      </c>
      <c r="D370">
        <v>3.0859999999999999E-2</v>
      </c>
      <c r="E370">
        <v>3.2219999999999999E-2</v>
      </c>
      <c r="F370">
        <v>479363270.19999999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-0.54131534569983175</v>
      </c>
      <c r="Q370">
        <f t="shared" si="970"/>
        <v>-259486694.32411486</v>
      </c>
      <c r="R370">
        <f t="shared" si="971"/>
        <v>1398944222.9988813</v>
      </c>
      <c r="S370">
        <f t="shared" si="972"/>
        <v>13989.442229988814</v>
      </c>
      <c r="T370">
        <f t="shared" si="973"/>
        <v>13.989442229988814</v>
      </c>
    </row>
    <row r="371" spans="1:20" x14ac:dyDescent="0.25">
      <c r="A371" s="5">
        <v>44222</v>
      </c>
      <c r="B371">
        <v>3.5779999999999999E-2</v>
      </c>
      <c r="C371">
        <v>3.7990000000000003E-2</v>
      </c>
      <c r="D371">
        <v>3.4000000000000002E-2</v>
      </c>
      <c r="E371">
        <v>3.6729999999999999E-2</v>
      </c>
      <c r="F371">
        <v>375879638.5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0.36842105263157693</v>
      </c>
      <c r="Q371">
        <f t="shared" si="970"/>
        <v>138481972.07894662</v>
      </c>
      <c r="R371">
        <f t="shared" si="971"/>
        <v>1658430917.3229961</v>
      </c>
      <c r="S371">
        <f t="shared" si="972"/>
        <v>16584.309173229962</v>
      </c>
      <c r="T371">
        <f t="shared" si="973"/>
        <v>16.584309173229961</v>
      </c>
    </row>
    <row r="372" spans="1:20" x14ac:dyDescent="0.25">
      <c r="A372" s="5">
        <v>44221</v>
      </c>
      <c r="B372">
        <v>3.9010000000000003E-2</v>
      </c>
      <c r="C372">
        <v>4.0620000000000003E-2</v>
      </c>
      <c r="D372">
        <v>3.56E-2</v>
      </c>
      <c r="E372">
        <v>3.5810000000000002E-2</v>
      </c>
      <c r="F372">
        <v>416582145.30000001</v>
      </c>
      <c r="G372">
        <v>0</v>
      </c>
      <c r="L372" t="s">
        <v>7</v>
      </c>
      <c r="M372" t="s">
        <v>7</v>
      </c>
      <c r="N372" t="s">
        <v>7</v>
      </c>
      <c r="P372">
        <f t="shared" si="969"/>
        <v>-0.91633466135458097</v>
      </c>
      <c r="Q372">
        <f t="shared" si="970"/>
        <v>-381728659.03984034</v>
      </c>
      <c r="R372">
        <f t="shared" si="971"/>
        <v>1519948945.2440495</v>
      </c>
      <c r="S372">
        <f t="shared" si="972"/>
        <v>15199.489452440495</v>
      </c>
      <c r="T372">
        <f t="shared" si="973"/>
        <v>15.199489452440496</v>
      </c>
    </row>
    <row r="373" spans="1:20" x14ac:dyDescent="0.25">
      <c r="A373" s="5">
        <v>44220</v>
      </c>
      <c r="B373">
        <v>3.8100000000000002E-2</v>
      </c>
      <c r="C373">
        <v>4.2000000000000003E-2</v>
      </c>
      <c r="D373">
        <v>3.6999999999999998E-2</v>
      </c>
      <c r="E373">
        <v>3.9010000000000003E-2</v>
      </c>
      <c r="F373">
        <v>424634567.19999999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-0.19599999999999879</v>
      </c>
      <c r="Q373">
        <f t="shared" si="970"/>
        <v>-83228375.171199486</v>
      </c>
      <c r="R373">
        <f t="shared" si="971"/>
        <v>1901677604.2838898</v>
      </c>
      <c r="S373">
        <f t="shared" si="972"/>
        <v>19016.776042838897</v>
      </c>
      <c r="T373">
        <f t="shared" si="973"/>
        <v>19.016776042838899</v>
      </c>
    </row>
    <row r="374" spans="1:20" x14ac:dyDescent="0.25">
      <c r="A374" s="5">
        <v>44219</v>
      </c>
      <c r="B374">
        <v>3.7999999999999999E-2</v>
      </c>
      <c r="C374">
        <v>4.0669999999999998E-2</v>
      </c>
      <c r="D374">
        <v>3.6630000000000003E-2</v>
      </c>
      <c r="E374">
        <v>3.8120000000000001E-2</v>
      </c>
      <c r="F374">
        <v>357156041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-0.26237623762376233</v>
      </c>
      <c r="Q374">
        <f t="shared" si="970"/>
        <v>-93709258.282178208</v>
      </c>
      <c r="R374">
        <f t="shared" si="971"/>
        <v>1984905979.4550893</v>
      </c>
      <c r="S374">
        <f t="shared" si="972"/>
        <v>19849.059794550893</v>
      </c>
      <c r="T374">
        <f t="shared" si="973"/>
        <v>19.849059794550893</v>
      </c>
    </row>
    <row r="375" spans="1:20" x14ac:dyDescent="0.25">
      <c r="A375" s="5">
        <v>44218</v>
      </c>
      <c r="B375">
        <v>3.3669999999999999E-2</v>
      </c>
      <c r="C375">
        <v>4.0210000000000003E-2</v>
      </c>
      <c r="D375">
        <v>3.1099999999999999E-2</v>
      </c>
      <c r="E375">
        <v>3.8019999999999998E-2</v>
      </c>
      <c r="F375">
        <v>507152239.5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0.51920965971459854</v>
      </c>
      <c r="Q375">
        <f t="shared" si="970"/>
        <v>263318341.69429159</v>
      </c>
      <c r="R375">
        <f t="shared" si="971"/>
        <v>2078615237.7372675</v>
      </c>
      <c r="S375">
        <f t="shared" si="972"/>
        <v>20786.152377372677</v>
      </c>
      <c r="T375">
        <f t="shared" si="973"/>
        <v>20.786152377372677</v>
      </c>
    </row>
    <row r="376" spans="1:20" x14ac:dyDescent="0.25">
      <c r="A376" s="5">
        <v>44217</v>
      </c>
      <c r="B376">
        <v>4.224E-2</v>
      </c>
      <c r="C376">
        <v>4.2590000000000003E-2</v>
      </c>
      <c r="D376">
        <v>3.2599999999999997E-2</v>
      </c>
      <c r="E376">
        <v>3.3610000000000001E-2</v>
      </c>
      <c r="F376">
        <v>572652281.29999995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-0.79779779779779714</v>
      </c>
      <c r="Q376">
        <f t="shared" si="970"/>
        <v>-456860728.92502463</v>
      </c>
      <c r="R376">
        <f t="shared" si="971"/>
        <v>1815296896.0429759</v>
      </c>
      <c r="S376">
        <f t="shared" si="972"/>
        <v>18152.96896042976</v>
      </c>
      <c r="T376">
        <f t="shared" si="973"/>
        <v>18.15296896042976</v>
      </c>
    </row>
    <row r="377" spans="1:20" x14ac:dyDescent="0.25">
      <c r="A377" s="5">
        <v>44216</v>
      </c>
      <c r="B377">
        <v>4.1709999999999997E-2</v>
      </c>
      <c r="C377">
        <v>4.3959999999999999E-2</v>
      </c>
      <c r="D377">
        <v>3.857E-2</v>
      </c>
      <c r="E377">
        <v>4.224E-2</v>
      </c>
      <c r="F377">
        <v>596997824.70000005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0.3617810760667905</v>
      </c>
      <c r="Q377">
        <f t="shared" si="970"/>
        <v>215982515.42949918</v>
      </c>
      <c r="R377">
        <f t="shared" si="971"/>
        <v>2272157624.9680004</v>
      </c>
      <c r="S377">
        <f t="shared" si="972"/>
        <v>22721.576249680005</v>
      </c>
      <c r="T377">
        <f t="shared" si="973"/>
        <v>22.721576249680005</v>
      </c>
    </row>
    <row r="378" spans="1:20" x14ac:dyDescent="0.25">
      <c r="A378" s="5">
        <v>44215</v>
      </c>
      <c r="B378">
        <v>4.7160000000000001E-2</v>
      </c>
      <c r="C378">
        <v>4.8349999999999997E-2</v>
      </c>
      <c r="D378">
        <v>4.0710000000000003E-2</v>
      </c>
      <c r="E378">
        <v>4.1619999999999997E-2</v>
      </c>
      <c r="F378">
        <v>729643490.5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-0.76178010471204327</v>
      </c>
      <c r="Q378">
        <f t="shared" si="970"/>
        <v>-555827894.59555078</v>
      </c>
      <c r="R378">
        <f t="shared" si="971"/>
        <v>2056175109.538501</v>
      </c>
      <c r="S378">
        <f t="shared" si="972"/>
        <v>20561.751095385011</v>
      </c>
      <c r="T378">
        <f t="shared" si="973"/>
        <v>20.561751095385009</v>
      </c>
    </row>
    <row r="379" spans="1:20" x14ac:dyDescent="0.25">
      <c r="A379" s="5">
        <v>44214</v>
      </c>
      <c r="B379">
        <v>4.0140000000000002E-2</v>
      </c>
      <c r="C379">
        <v>4.9410000000000003E-2</v>
      </c>
      <c r="D379">
        <v>3.9E-2</v>
      </c>
      <c r="E379">
        <v>4.7129999999999998E-2</v>
      </c>
      <c r="F379">
        <v>866484980.29999995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0.56195965417867366</v>
      </c>
      <c r="Q379">
        <f t="shared" si="970"/>
        <v>486929599.88040286</v>
      </c>
      <c r="R379">
        <f t="shared" si="971"/>
        <v>2612003004.1340518</v>
      </c>
      <c r="S379">
        <f t="shared" si="972"/>
        <v>26120.030041340517</v>
      </c>
      <c r="T379">
        <f t="shared" si="973"/>
        <v>26.120030041340517</v>
      </c>
    </row>
    <row r="380" spans="1:20" x14ac:dyDescent="0.25">
      <c r="A380" s="5">
        <v>44213</v>
      </c>
      <c r="B380">
        <v>4.0259999999999997E-2</v>
      </c>
      <c r="C380">
        <v>4.2470000000000001E-2</v>
      </c>
      <c r="D380">
        <v>3.6450000000000003E-2</v>
      </c>
      <c r="E380">
        <v>4.0129999999999999E-2</v>
      </c>
      <c r="F380">
        <v>579163337.70000005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0.22259136212624495</v>
      </c>
      <c r="Q380">
        <f t="shared" si="970"/>
        <v>128916756.2322254</v>
      </c>
      <c r="R380">
        <f t="shared" si="971"/>
        <v>2125073404.2536488</v>
      </c>
      <c r="S380">
        <f t="shared" si="972"/>
        <v>21250.734042536489</v>
      </c>
      <c r="T380">
        <f t="shared" si="973"/>
        <v>21.250734042536489</v>
      </c>
    </row>
    <row r="381" spans="1:20" x14ac:dyDescent="0.25">
      <c r="A381" s="5">
        <v>44212</v>
      </c>
      <c r="B381">
        <v>3.8649999999999997E-2</v>
      </c>
      <c r="C381">
        <v>4.564E-2</v>
      </c>
      <c r="D381">
        <v>3.8580000000000003E-2</v>
      </c>
      <c r="E381">
        <v>4.0219999999999999E-2</v>
      </c>
      <c r="F381">
        <v>726885882.10000002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-0.53541076487252226</v>
      </c>
      <c r="Q381">
        <f t="shared" si="970"/>
        <v>-389182526.11019903</v>
      </c>
      <c r="R381">
        <f t="shared" si="971"/>
        <v>1996156648.0214233</v>
      </c>
      <c r="S381">
        <f t="shared" si="972"/>
        <v>19961.566480214235</v>
      </c>
      <c r="T381">
        <f t="shared" si="973"/>
        <v>19.961566480214234</v>
      </c>
    </row>
    <row r="382" spans="1:20" x14ac:dyDescent="0.25">
      <c r="A382" s="5">
        <v>44211</v>
      </c>
      <c r="B382">
        <v>4.0140000000000002E-2</v>
      </c>
      <c r="C382">
        <v>4.2999999999999997E-2</v>
      </c>
      <c r="D382">
        <v>3.5180000000000003E-2</v>
      </c>
      <c r="E382">
        <v>3.8640000000000001E-2</v>
      </c>
      <c r="F382">
        <v>643000744.29999995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-0.11508951406649601</v>
      </c>
      <c r="Q382">
        <f t="shared" si="970"/>
        <v>-74002643.205882251</v>
      </c>
      <c r="R382">
        <f t="shared" si="971"/>
        <v>2385339174.1316223</v>
      </c>
      <c r="S382">
        <f t="shared" si="972"/>
        <v>23853.391741316223</v>
      </c>
      <c r="T382">
        <f t="shared" si="973"/>
        <v>23.853391741316223</v>
      </c>
    </row>
    <row r="383" spans="1:20" x14ac:dyDescent="0.25">
      <c r="A383" s="5">
        <v>44210</v>
      </c>
      <c r="B383">
        <v>4.0379999999999999E-2</v>
      </c>
      <c r="C383">
        <v>4.3090000000000003E-2</v>
      </c>
      <c r="D383">
        <v>3.7900000000000003E-2</v>
      </c>
      <c r="E383">
        <v>4.0140000000000002E-2</v>
      </c>
      <c r="F383">
        <v>511589590.10000002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-0.13680154142581932</v>
      </c>
      <c r="Q383">
        <f t="shared" si="970"/>
        <v>-69986244.50308308</v>
      </c>
      <c r="R383">
        <f t="shared" si="971"/>
        <v>2459341817.3375044</v>
      </c>
      <c r="S383">
        <f t="shared" si="972"/>
        <v>24593.418173375045</v>
      </c>
      <c r="T383">
        <f t="shared" si="973"/>
        <v>24.593418173375046</v>
      </c>
    </row>
    <row r="384" spans="1:20" x14ac:dyDescent="0.25">
      <c r="A384" s="5">
        <v>44209</v>
      </c>
      <c r="B384">
        <v>3.6670000000000001E-2</v>
      </c>
      <c r="C384">
        <v>4.1000000000000002E-2</v>
      </c>
      <c r="D384">
        <v>3.354E-2</v>
      </c>
      <c r="E384">
        <v>4.0370000000000003E-2</v>
      </c>
      <c r="F384">
        <v>595358857.10000002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0.83109919571045621</v>
      </c>
      <c r="Q384">
        <f t="shared" si="970"/>
        <v>494802267.29490644</v>
      </c>
      <c r="R384">
        <f t="shared" si="971"/>
        <v>2529328061.8405876</v>
      </c>
      <c r="S384">
        <f t="shared" si="972"/>
        <v>25293.280618405875</v>
      </c>
      <c r="T384">
        <f t="shared" si="973"/>
        <v>25.293280618405877</v>
      </c>
    </row>
    <row r="385" spans="1:20" x14ac:dyDescent="0.25">
      <c r="A385" s="5">
        <v>44208</v>
      </c>
      <c r="B385">
        <v>3.9129999999999998E-2</v>
      </c>
      <c r="C385">
        <v>4.4499999999999998E-2</v>
      </c>
      <c r="D385">
        <v>3.5520000000000003E-2</v>
      </c>
      <c r="E385">
        <v>3.6630000000000003E-2</v>
      </c>
      <c r="F385">
        <v>692957796.5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-0.75278396436525596</v>
      </c>
      <c r="Q385">
        <f t="shared" si="970"/>
        <v>-521647517.18708229</v>
      </c>
      <c r="R385">
        <f t="shared" si="971"/>
        <v>2034525794.545681</v>
      </c>
      <c r="S385">
        <f t="shared" si="972"/>
        <v>20345.257945456811</v>
      </c>
      <c r="T385">
        <f t="shared" si="973"/>
        <v>20.345257945456812</v>
      </c>
    </row>
    <row r="386" spans="1:20" x14ac:dyDescent="0.25">
      <c r="A386" s="5">
        <v>44207</v>
      </c>
      <c r="B386">
        <v>4.2810000000000001E-2</v>
      </c>
      <c r="C386">
        <v>4.3290000000000002E-2</v>
      </c>
      <c r="D386">
        <v>3.091E-2</v>
      </c>
      <c r="E386">
        <v>3.9129999999999998E-2</v>
      </c>
      <c r="F386">
        <v>952780770.5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0.32794830371566991</v>
      </c>
      <c r="Q386">
        <f t="shared" si="970"/>
        <v>312462837.498384</v>
      </c>
      <c r="R386">
        <f t="shared" si="971"/>
        <v>2556173311.7327633</v>
      </c>
      <c r="S386">
        <f t="shared" si="972"/>
        <v>25561.733117327632</v>
      </c>
      <c r="T386">
        <f t="shared" si="973"/>
        <v>25.561733117327634</v>
      </c>
    </row>
    <row r="387" spans="1:20" x14ac:dyDescent="0.25">
      <c r="A387" s="5">
        <v>44206</v>
      </c>
      <c r="B387">
        <v>4.6519999999999999E-2</v>
      </c>
      <c r="C387">
        <v>4.9299999999999997E-2</v>
      </c>
      <c r="D387">
        <v>3.9E-2</v>
      </c>
      <c r="E387">
        <v>4.2810000000000001E-2</v>
      </c>
      <c r="F387">
        <v>586530621.5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-0.26019417475728113</v>
      </c>
      <c r="Q387">
        <f t="shared" si="970"/>
        <v>-152611851.0310677</v>
      </c>
      <c r="R387">
        <f t="shared" si="971"/>
        <v>2243710474.2343793</v>
      </c>
      <c r="S387">
        <f t="shared" si="972"/>
        <v>22437.104742343792</v>
      </c>
      <c r="T387">
        <f t="shared" si="973"/>
        <v>22.437104742343791</v>
      </c>
    </row>
    <row r="388" spans="1:20" x14ac:dyDescent="0.25">
      <c r="A388" s="5">
        <v>44205</v>
      </c>
      <c r="B388">
        <v>4.2549999999999998E-2</v>
      </c>
      <c r="C388">
        <v>4.9770000000000002E-2</v>
      </c>
      <c r="D388">
        <v>3.8469999999999997E-2</v>
      </c>
      <c r="E388">
        <v>4.6510000000000003E-2</v>
      </c>
      <c r="F388">
        <v>659193231.20000005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0.42300884955752255</v>
      </c>
      <c r="Q388">
        <f t="shared" si="970"/>
        <v>278844570.366018</v>
      </c>
      <c r="R388">
        <f t="shared" si="971"/>
        <v>2396322325.2654471</v>
      </c>
      <c r="S388">
        <f t="shared" si="972"/>
        <v>23963.223252654472</v>
      </c>
      <c r="T388">
        <f t="shared" si="973"/>
        <v>23.963223252654473</v>
      </c>
    </row>
    <row r="389" spans="1:20" x14ac:dyDescent="0.25">
      <c r="A389" s="5">
        <v>44204</v>
      </c>
      <c r="B389">
        <v>3.9989999999999998E-2</v>
      </c>
      <c r="C389">
        <v>4.589E-2</v>
      </c>
      <c r="D389">
        <v>3.3110000000000001E-2</v>
      </c>
      <c r="E389">
        <v>4.2549999999999998E-2</v>
      </c>
      <c r="F389">
        <v>695846182.20000005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0.47730829420970222</v>
      </c>
      <c r="Q389">
        <f t="shared" si="970"/>
        <v>332133154.25821567</v>
      </c>
      <c r="R389">
        <f t="shared" si="971"/>
        <v>2117477754.8994293</v>
      </c>
      <c r="S389">
        <f t="shared" si="972"/>
        <v>21174.777548994294</v>
      </c>
      <c r="T389">
        <f t="shared" si="973"/>
        <v>21.174777548994292</v>
      </c>
    </row>
    <row r="390" spans="1:20" x14ac:dyDescent="0.25">
      <c r="A390" s="5">
        <v>44203</v>
      </c>
      <c r="B390">
        <v>3.9710000000000002E-2</v>
      </c>
      <c r="C390">
        <v>4.258E-2</v>
      </c>
      <c r="D390">
        <v>3.567E-2</v>
      </c>
      <c r="E390">
        <v>3.9989999999999998E-2</v>
      </c>
      <c r="F390">
        <v>563022934.10000002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0.25036179450072293</v>
      </c>
      <c r="Q390">
        <f t="shared" ref="Q390:Q453" si="975">F390*P390</f>
        <v>140959432.12633827</v>
      </c>
      <c r="R390">
        <f t="shared" ref="R390:R453" si="976">R391+Q390</f>
        <v>1785344600.6412137</v>
      </c>
      <c r="S390">
        <f t="shared" ref="S390:S453" si="977">R390/100000</f>
        <v>17853.446006412138</v>
      </c>
      <c r="T390">
        <f t="shared" ref="T390:T453" si="978">S390/1000</f>
        <v>17.853446006412138</v>
      </c>
    </row>
    <row r="391" spans="1:20" x14ac:dyDescent="0.25">
      <c r="A391" s="5">
        <v>44202</v>
      </c>
      <c r="B391">
        <v>4.113E-2</v>
      </c>
      <c r="C391">
        <v>4.5990000000000003E-2</v>
      </c>
      <c r="D391">
        <v>3.6999999999999998E-2</v>
      </c>
      <c r="E391">
        <v>3.977E-2</v>
      </c>
      <c r="F391">
        <v>922190712.10000002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-0.38375973303670741</v>
      </c>
      <c r="Q391">
        <f t="shared" si="975"/>
        <v>-353899661.48442709</v>
      </c>
      <c r="R391">
        <f t="shared" si="976"/>
        <v>1644385168.5148754</v>
      </c>
      <c r="S391">
        <f t="shared" si="977"/>
        <v>16443.851685148755</v>
      </c>
      <c r="T391">
        <f t="shared" si="978"/>
        <v>16.443851685148754</v>
      </c>
    </row>
    <row r="392" spans="1:20" x14ac:dyDescent="0.25">
      <c r="A392" s="5">
        <v>44201</v>
      </c>
      <c r="B392">
        <v>3.0800000000000001E-2</v>
      </c>
      <c r="C392">
        <v>4.2999999999999997E-2</v>
      </c>
      <c r="D392">
        <v>2.9000000000000001E-2</v>
      </c>
      <c r="E392">
        <v>4.1000000000000002E-2</v>
      </c>
      <c r="F392">
        <v>1112712459.0999999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0.71428571428571497</v>
      </c>
      <c r="Q392">
        <f t="shared" si="975"/>
        <v>794794613.64285779</v>
      </c>
      <c r="R392">
        <f t="shared" si="976"/>
        <v>1998284829.9993026</v>
      </c>
      <c r="S392">
        <f t="shared" si="977"/>
        <v>19982.848299993027</v>
      </c>
      <c r="T392">
        <f t="shared" si="978"/>
        <v>19.982848299993027</v>
      </c>
    </row>
    <row r="393" spans="1:20" x14ac:dyDescent="0.25">
      <c r="A393" s="5">
        <v>44200</v>
      </c>
      <c r="B393">
        <v>3.2410000000000001E-2</v>
      </c>
      <c r="C393">
        <v>3.6900000000000002E-2</v>
      </c>
      <c r="D393">
        <v>2.5309999999999999E-2</v>
      </c>
      <c r="E393">
        <v>3.0779999999999998E-2</v>
      </c>
      <c r="F393">
        <v>1131481728.7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-5.6082830025884781E-2</v>
      </c>
      <c r="Q393">
        <f t="shared" si="975"/>
        <v>-63456697.468076378</v>
      </c>
      <c r="R393">
        <f t="shared" si="976"/>
        <v>1203490216.3564448</v>
      </c>
      <c r="S393">
        <f t="shared" si="977"/>
        <v>12034.902163564448</v>
      </c>
      <c r="T393">
        <f t="shared" si="978"/>
        <v>12.034902163564448</v>
      </c>
    </row>
    <row r="394" spans="1:20" x14ac:dyDescent="0.25">
      <c r="A394" s="5">
        <v>44199</v>
      </c>
      <c r="B394">
        <v>2.9049999999999999E-2</v>
      </c>
      <c r="C394">
        <v>3.7690000000000001E-2</v>
      </c>
      <c r="D394">
        <v>2.7349999999999999E-2</v>
      </c>
      <c r="E394">
        <v>3.2340000000000001E-2</v>
      </c>
      <c r="F394">
        <v>1451378995.7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-3.4816247582204946E-2</v>
      </c>
      <c r="Q394">
        <f t="shared" si="975"/>
        <v>-50531570.449903168</v>
      </c>
      <c r="R394">
        <f t="shared" si="976"/>
        <v>1266946913.8245213</v>
      </c>
      <c r="S394">
        <f t="shared" si="977"/>
        <v>12669.469138245213</v>
      </c>
      <c r="T394">
        <f t="shared" si="978"/>
        <v>12.669469138245212</v>
      </c>
    </row>
    <row r="395" spans="1:20" x14ac:dyDescent="0.25">
      <c r="A395" s="5">
        <v>44198</v>
      </c>
      <c r="B395">
        <v>2.5170000000000001E-2</v>
      </c>
      <c r="C395">
        <v>3.2480000000000002E-2</v>
      </c>
      <c r="D395">
        <v>2.4230000000000002E-2</v>
      </c>
      <c r="E395">
        <v>2.903E-2</v>
      </c>
      <c r="F395">
        <v>1330055301.4000001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0.16363636363636327</v>
      </c>
      <c r="Q395">
        <f t="shared" si="975"/>
        <v>217645412.95636317</v>
      </c>
      <c r="R395">
        <f t="shared" si="976"/>
        <v>1317478484.2744246</v>
      </c>
      <c r="S395">
        <f t="shared" si="977"/>
        <v>13174.784842744246</v>
      </c>
      <c r="T395">
        <f t="shared" si="978"/>
        <v>13.174784842744247</v>
      </c>
    </row>
    <row r="396" spans="1:20" x14ac:dyDescent="0.25">
      <c r="A396" s="5">
        <v>44197</v>
      </c>
      <c r="B396">
        <v>2.0039999999999999E-2</v>
      </c>
      <c r="C396">
        <v>2.5999999999999999E-2</v>
      </c>
      <c r="D396">
        <v>1.976E-2</v>
      </c>
      <c r="E396">
        <v>2.5190000000000001E-2</v>
      </c>
      <c r="F396">
        <v>891015666.20000005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0.74038461538461586</v>
      </c>
      <c r="Q396">
        <f t="shared" si="975"/>
        <v>659694291.32115436</v>
      </c>
      <c r="R396">
        <f t="shared" si="976"/>
        <v>1099833071.3180614</v>
      </c>
      <c r="S396">
        <f t="shared" si="977"/>
        <v>10998.330713180614</v>
      </c>
      <c r="T396">
        <f t="shared" si="978"/>
        <v>10.998330713180614</v>
      </c>
    </row>
    <row r="397" spans="1:20" x14ac:dyDescent="0.25">
      <c r="A397" s="5">
        <v>44196</v>
      </c>
      <c r="B397">
        <v>1.9400000000000001E-2</v>
      </c>
      <c r="C397">
        <v>2.0889999999999999E-2</v>
      </c>
      <c r="D397">
        <v>1.8579999999999999E-2</v>
      </c>
      <c r="E397">
        <v>2.0029999999999999E-2</v>
      </c>
      <c r="F397">
        <v>352016396.10000002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0.25541125541125559</v>
      </c>
      <c r="Q397">
        <f t="shared" si="975"/>
        <v>89908949.65324682</v>
      </c>
      <c r="R397">
        <f t="shared" si="976"/>
        <v>440138779.996907</v>
      </c>
      <c r="S397">
        <f t="shared" si="977"/>
        <v>4401.3877999690703</v>
      </c>
      <c r="T397">
        <f t="shared" si="978"/>
        <v>4.4013877999690703</v>
      </c>
    </row>
    <row r="398" spans="1:20" x14ac:dyDescent="0.25">
      <c r="A398" s="5">
        <v>44195</v>
      </c>
      <c r="B398">
        <v>1.9359999999999999E-2</v>
      </c>
      <c r="C398">
        <v>2.0570000000000001E-2</v>
      </c>
      <c r="D398">
        <v>1.821E-2</v>
      </c>
      <c r="E398">
        <v>1.9400000000000001E-2</v>
      </c>
      <c r="F398">
        <v>438765280.5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8.474576271186092E-3</v>
      </c>
      <c r="Q398">
        <f t="shared" si="975"/>
        <v>3718349.8347456097</v>
      </c>
      <c r="R398">
        <f t="shared" si="976"/>
        <v>350229830.34366018</v>
      </c>
      <c r="S398">
        <f t="shared" si="977"/>
        <v>3502.2983034366016</v>
      </c>
      <c r="T398">
        <f t="shared" si="978"/>
        <v>3.5022983034366018</v>
      </c>
    </row>
    <row r="399" spans="1:20" x14ac:dyDescent="0.25">
      <c r="A399" s="5">
        <v>44194</v>
      </c>
      <c r="B399">
        <v>1.985E-2</v>
      </c>
      <c r="C399">
        <v>2.0480000000000002E-2</v>
      </c>
      <c r="D399">
        <v>1.787E-2</v>
      </c>
      <c r="E399">
        <v>1.9359999999999999E-2</v>
      </c>
      <c r="F399">
        <v>412114890.10000002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0.14176245210727784</v>
      </c>
      <c r="Q399">
        <f t="shared" si="975"/>
        <v>58422417.370497324</v>
      </c>
      <c r="R399">
        <f t="shared" si="976"/>
        <v>346511480.50891459</v>
      </c>
      <c r="S399">
        <f t="shared" si="977"/>
        <v>3465.1148050891461</v>
      </c>
      <c r="T399">
        <f t="shared" si="978"/>
        <v>3.4651148050891463</v>
      </c>
    </row>
    <row r="400" spans="1:20" x14ac:dyDescent="0.25">
      <c r="A400" s="5">
        <v>44193</v>
      </c>
      <c r="B400">
        <v>1.755E-2</v>
      </c>
      <c r="C400">
        <v>0.02</v>
      </c>
      <c r="D400">
        <v>1.7319999999999999E-2</v>
      </c>
      <c r="E400">
        <v>1.983E-2</v>
      </c>
      <c r="F400">
        <v>307616228.5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0.87313432835820903</v>
      </c>
      <c r="Q400">
        <f t="shared" si="975"/>
        <v>268590289.06343287</v>
      </c>
      <c r="R400">
        <f t="shared" si="976"/>
        <v>288089063.13841724</v>
      </c>
      <c r="S400">
        <f t="shared" si="977"/>
        <v>2880.8906313841726</v>
      </c>
      <c r="T400">
        <f t="shared" si="978"/>
        <v>2.8808906313841725</v>
      </c>
    </row>
    <row r="401" spans="1:20" x14ac:dyDescent="0.25">
      <c r="A401" s="5">
        <v>44192</v>
      </c>
      <c r="B401">
        <v>1.7239999999999998E-2</v>
      </c>
      <c r="C401">
        <v>1.9E-2</v>
      </c>
      <c r="D401">
        <v>1.592E-2</v>
      </c>
      <c r="E401">
        <v>1.754E-2</v>
      </c>
      <c r="F401">
        <v>403311267.80000001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5.1948051948052097E-2</v>
      </c>
      <c r="Q401">
        <f t="shared" si="975"/>
        <v>20951234.690909151</v>
      </c>
      <c r="R401">
        <f t="shared" si="976"/>
        <v>19498774.074984375</v>
      </c>
      <c r="S401">
        <f t="shared" si="977"/>
        <v>194.98774074984377</v>
      </c>
      <c r="T401">
        <f t="shared" si="978"/>
        <v>0.19498774074984376</v>
      </c>
    </row>
    <row r="402" spans="1:20" x14ac:dyDescent="0.25">
      <c r="A402" s="5">
        <v>44191</v>
      </c>
      <c r="B402">
        <v>1.7100000000000001E-2</v>
      </c>
      <c r="C402">
        <v>1.788E-2</v>
      </c>
      <c r="D402">
        <v>1.61E-2</v>
      </c>
      <c r="E402">
        <v>1.7239999999999998E-2</v>
      </c>
      <c r="F402">
        <v>354882415.89999998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0.28089887640449263</v>
      </c>
      <c r="Q402">
        <f t="shared" si="975"/>
        <v>99686071.882021844</v>
      </c>
      <c r="R402">
        <f t="shared" si="976"/>
        <v>-1452460.6159247756</v>
      </c>
      <c r="S402">
        <f t="shared" si="977"/>
        <v>-14.524606159247757</v>
      </c>
      <c r="T402">
        <f t="shared" si="978"/>
        <v>-1.4524606159247756E-2</v>
      </c>
    </row>
    <row r="403" spans="1:20" x14ac:dyDescent="0.25">
      <c r="A403" s="5">
        <v>44190</v>
      </c>
      <c r="B403">
        <v>1.7930000000000001E-2</v>
      </c>
      <c r="C403">
        <v>1.8689999999999998E-2</v>
      </c>
      <c r="D403">
        <v>1.6619999999999999E-2</v>
      </c>
      <c r="E403">
        <v>1.7090000000000001E-2</v>
      </c>
      <c r="F403">
        <v>285579657.80000001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-0.54589371980676149</v>
      </c>
      <c r="Q403">
        <f t="shared" si="975"/>
        <v>-155896141.69758403</v>
      </c>
      <c r="R403">
        <f t="shared" si="976"/>
        <v>-101138532.49794662</v>
      </c>
      <c r="S403">
        <f t="shared" si="977"/>
        <v>-1011.3853249794662</v>
      </c>
      <c r="T403">
        <f t="shared" si="978"/>
        <v>-1.0113853249794662</v>
      </c>
    </row>
    <row r="404" spans="1:20" x14ac:dyDescent="0.25">
      <c r="A404" s="5">
        <v>44189</v>
      </c>
      <c r="B404">
        <v>1.635E-2</v>
      </c>
      <c r="C404">
        <v>1.7999999999999999E-2</v>
      </c>
      <c r="D404">
        <v>1.54E-2</v>
      </c>
      <c r="E404">
        <v>1.7930000000000001E-2</v>
      </c>
      <c r="F404">
        <v>240105108.09999999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0.94615384615384834</v>
      </c>
      <c r="Q404">
        <f t="shared" si="975"/>
        <v>227176371.51000053</v>
      </c>
      <c r="R404">
        <f t="shared" si="976"/>
        <v>54757609.199637413</v>
      </c>
      <c r="S404">
        <f t="shared" si="977"/>
        <v>547.57609199637409</v>
      </c>
      <c r="T404">
        <f t="shared" si="978"/>
        <v>0.54757609199637414</v>
      </c>
    </row>
    <row r="405" spans="1:20" x14ac:dyDescent="0.25">
      <c r="A405" s="5">
        <v>44188</v>
      </c>
      <c r="B405">
        <v>1.898E-2</v>
      </c>
      <c r="C405">
        <v>1.9439999999999999E-2</v>
      </c>
      <c r="D405">
        <v>1.485E-2</v>
      </c>
      <c r="E405">
        <v>1.6379999999999999E-2</v>
      </c>
      <c r="F405">
        <v>308128833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-0.33333333333333381</v>
      </c>
      <c r="Q405">
        <f t="shared" si="975"/>
        <v>-102709611.00000015</v>
      </c>
      <c r="R405">
        <f t="shared" si="976"/>
        <v>-172418762.31036311</v>
      </c>
      <c r="S405">
        <f t="shared" si="977"/>
        <v>-1724.187623103631</v>
      </c>
      <c r="T405">
        <f t="shared" si="978"/>
        <v>-1.7241876231036311</v>
      </c>
    </row>
    <row r="406" spans="1:20" x14ac:dyDescent="0.25">
      <c r="A406" s="5">
        <v>44187</v>
      </c>
      <c r="B406">
        <v>1.8790000000000001E-2</v>
      </c>
      <c r="C406">
        <v>2.0250000000000001E-2</v>
      </c>
      <c r="D406">
        <v>1.77E-2</v>
      </c>
      <c r="E406">
        <v>1.8970000000000001E-2</v>
      </c>
      <c r="F406">
        <v>230619316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-3.9215686274508207E-3</v>
      </c>
      <c r="Q406">
        <f t="shared" si="975"/>
        <v>-904389.47450976714</v>
      </c>
      <c r="R406">
        <f t="shared" si="976"/>
        <v>-69709151.31036295</v>
      </c>
      <c r="S406">
        <f t="shared" si="977"/>
        <v>-697.0915131036295</v>
      </c>
      <c r="T406">
        <f t="shared" si="978"/>
        <v>-0.69709151310362949</v>
      </c>
    </row>
    <row r="407" spans="1:20" x14ac:dyDescent="0.25">
      <c r="A407" s="5">
        <v>44186</v>
      </c>
      <c r="B407">
        <v>2.0400000000000001E-2</v>
      </c>
      <c r="C407">
        <v>2.0879999999999999E-2</v>
      </c>
      <c r="D407">
        <v>1.8200000000000001E-2</v>
      </c>
      <c r="E407">
        <v>1.8780000000000002E-2</v>
      </c>
      <c r="F407">
        <v>258088874.19999999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-0.56716417910447681</v>
      </c>
      <c r="Q407">
        <f t="shared" si="975"/>
        <v>-146378764.47164157</v>
      </c>
      <c r="R407">
        <f t="shared" si="976"/>
        <v>-68804761.835853189</v>
      </c>
      <c r="S407">
        <f t="shared" si="977"/>
        <v>-688.04761835853185</v>
      </c>
      <c r="T407">
        <f t="shared" si="978"/>
        <v>-0.6880476183585319</v>
      </c>
    </row>
    <row r="408" spans="1:20" x14ac:dyDescent="0.25">
      <c r="A408" s="5">
        <v>44185</v>
      </c>
      <c r="B408">
        <v>2.1899999999999999E-2</v>
      </c>
      <c r="C408">
        <v>2.1919999999999999E-2</v>
      </c>
      <c r="D408">
        <v>0.02</v>
      </c>
      <c r="E408">
        <v>2.0480000000000002E-2</v>
      </c>
      <c r="F408">
        <v>242682902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-0.49999999999999817</v>
      </c>
      <c r="Q408">
        <f t="shared" si="975"/>
        <v>-121341450.99999955</v>
      </c>
      <c r="R408">
        <f t="shared" si="976"/>
        <v>77574002.635788381</v>
      </c>
      <c r="S408">
        <f t="shared" si="977"/>
        <v>775.74002635788383</v>
      </c>
      <c r="T408">
        <f t="shared" si="978"/>
        <v>0.77574002635788386</v>
      </c>
    </row>
    <row r="409" spans="1:20" x14ac:dyDescent="0.25">
      <c r="A409" s="5">
        <v>44184</v>
      </c>
      <c r="B409">
        <v>2.2200000000000001E-2</v>
      </c>
      <c r="C409">
        <v>2.3109999999999999E-2</v>
      </c>
      <c r="D409">
        <v>2.164E-2</v>
      </c>
      <c r="E409">
        <v>2.1870000000000001E-2</v>
      </c>
      <c r="F409">
        <v>223875219.5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-0.68707482993197122</v>
      </c>
      <c r="Q409">
        <f t="shared" si="975"/>
        <v>-153819028.36394522</v>
      </c>
      <c r="R409">
        <f t="shared" si="976"/>
        <v>198915453.63578793</v>
      </c>
      <c r="S409">
        <f t="shared" si="977"/>
        <v>1989.1545363578794</v>
      </c>
      <c r="T409">
        <f t="shared" si="978"/>
        <v>1.9891545363578793</v>
      </c>
    </row>
    <row r="410" spans="1:20" x14ac:dyDescent="0.25">
      <c r="A410" s="5">
        <v>44183</v>
      </c>
      <c r="B410">
        <v>2.0809999999999999E-2</v>
      </c>
      <c r="C410">
        <v>2.2409999999999999E-2</v>
      </c>
      <c r="D410">
        <v>0.02</v>
      </c>
      <c r="E410">
        <v>2.2200000000000001E-2</v>
      </c>
      <c r="F410">
        <v>229646491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0.82572614107883946</v>
      </c>
      <c r="Q410">
        <f t="shared" si="975"/>
        <v>189625110.82572645</v>
      </c>
      <c r="R410">
        <f t="shared" si="976"/>
        <v>352734481.99973315</v>
      </c>
      <c r="S410">
        <f t="shared" si="977"/>
        <v>3527.3448199973313</v>
      </c>
      <c r="T410">
        <f t="shared" si="978"/>
        <v>3.5273448199973312</v>
      </c>
    </row>
    <row r="411" spans="1:20" x14ac:dyDescent="0.25">
      <c r="A411" s="5">
        <v>44182</v>
      </c>
      <c r="B411">
        <v>2.0830000000000001E-2</v>
      </c>
      <c r="C411">
        <v>2.2259999999999999E-2</v>
      </c>
      <c r="D411">
        <v>0.02</v>
      </c>
      <c r="E411">
        <v>2.0809999999999999E-2</v>
      </c>
      <c r="F411">
        <v>469527170.19999999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-0.2831858407079656</v>
      </c>
      <c r="Q411">
        <f t="shared" si="975"/>
        <v>-132963446.42831905</v>
      </c>
      <c r="R411">
        <f t="shared" si="976"/>
        <v>163109371.1740067</v>
      </c>
      <c r="S411">
        <f t="shared" si="977"/>
        <v>1631.093711740067</v>
      </c>
      <c r="T411">
        <f t="shared" si="978"/>
        <v>1.631093711740067</v>
      </c>
    </row>
    <row r="412" spans="1:20" x14ac:dyDescent="0.25">
      <c r="A412" s="5">
        <v>44181</v>
      </c>
      <c r="B412">
        <v>1.9040000000000001E-2</v>
      </c>
      <c r="C412">
        <v>2.1340000000000001E-2</v>
      </c>
      <c r="D412">
        <v>1.8319999999999999E-2</v>
      </c>
      <c r="E412">
        <v>2.0820000000000002E-2</v>
      </c>
      <c r="F412">
        <v>348862573.5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0.65562913907284814</v>
      </c>
      <c r="Q412">
        <f t="shared" si="975"/>
        <v>228724468.7185432</v>
      </c>
      <c r="R412">
        <f t="shared" si="976"/>
        <v>296072817.60232574</v>
      </c>
      <c r="S412">
        <f t="shared" si="977"/>
        <v>2960.7281760232572</v>
      </c>
      <c r="T412">
        <f t="shared" si="978"/>
        <v>2.9607281760232573</v>
      </c>
    </row>
    <row r="413" spans="1:20" x14ac:dyDescent="0.25">
      <c r="A413" s="5">
        <v>44180</v>
      </c>
      <c r="B413">
        <v>1.917E-2</v>
      </c>
      <c r="C413">
        <v>1.9599999999999999E-2</v>
      </c>
      <c r="D413">
        <v>1.8689999999999998E-2</v>
      </c>
      <c r="E413">
        <v>1.9029999999999998E-2</v>
      </c>
      <c r="F413">
        <v>170945708.90000001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-0.25274725274725357</v>
      </c>
      <c r="Q413">
        <f t="shared" si="975"/>
        <v>-43206058.293406732</v>
      </c>
      <c r="R413">
        <f t="shared" si="976"/>
        <v>67348348.883782536</v>
      </c>
      <c r="S413">
        <f t="shared" si="977"/>
        <v>673.48348883782535</v>
      </c>
      <c r="T413">
        <f t="shared" si="978"/>
        <v>0.67348348883782538</v>
      </c>
    </row>
    <row r="414" spans="1:20" x14ac:dyDescent="0.25">
      <c r="A414" s="5">
        <v>44179</v>
      </c>
      <c r="B414">
        <v>1.8849999999999999E-2</v>
      </c>
      <c r="C414">
        <v>1.9630000000000002E-2</v>
      </c>
      <c r="D414">
        <v>1.8249999999999999E-2</v>
      </c>
      <c r="E414">
        <v>1.917E-2</v>
      </c>
      <c r="F414">
        <v>203420513.69999999</v>
      </c>
      <c r="G414">
        <v>0</v>
      </c>
      <c r="L414" t="s">
        <v>7</v>
      </c>
      <c r="M414" t="s">
        <v>8</v>
      </c>
      <c r="N414" t="s">
        <v>8</v>
      </c>
      <c r="P414">
        <f t="shared" si="974"/>
        <v>0.33333333333333165</v>
      </c>
      <c r="Q414">
        <f t="shared" si="975"/>
        <v>67806837.899999648</v>
      </c>
      <c r="R414">
        <f t="shared" si="976"/>
        <v>110554407.17718928</v>
      </c>
      <c r="S414">
        <f t="shared" si="977"/>
        <v>1105.5440717718927</v>
      </c>
      <c r="T414">
        <f t="shared" si="978"/>
        <v>1.1055440717718927</v>
      </c>
    </row>
    <row r="415" spans="1:20" x14ac:dyDescent="0.25">
      <c r="A415" s="5">
        <v>44178</v>
      </c>
      <c r="B415">
        <v>1.866E-2</v>
      </c>
      <c r="C415">
        <v>2.1000000000000001E-2</v>
      </c>
      <c r="D415">
        <v>1.84E-2</v>
      </c>
      <c r="E415">
        <v>1.8880000000000001E-2</v>
      </c>
      <c r="F415">
        <v>189905065.30000001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-0.63076923076923008</v>
      </c>
      <c r="Q415">
        <f t="shared" si="975"/>
        <v>-119786271.95846142</v>
      </c>
      <c r="R415">
        <f t="shared" si="976"/>
        <v>42747569.277189627</v>
      </c>
      <c r="S415">
        <f t="shared" si="977"/>
        <v>427.47569277189626</v>
      </c>
      <c r="T415">
        <f t="shared" si="978"/>
        <v>0.42747569277189629</v>
      </c>
    </row>
    <row r="416" spans="1:20" x14ac:dyDescent="0.25">
      <c r="A416" s="5">
        <v>44177</v>
      </c>
      <c r="B416">
        <v>1.7569999999999999E-2</v>
      </c>
      <c r="C416">
        <v>1.9439999999999999E-2</v>
      </c>
      <c r="D416">
        <v>1.753E-2</v>
      </c>
      <c r="E416">
        <v>1.8669999999999999E-2</v>
      </c>
      <c r="F416">
        <v>140824452.5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0.19371727748691053</v>
      </c>
      <c r="Q416">
        <f t="shared" si="975"/>
        <v>27280129.54188475</v>
      </c>
      <c r="R416">
        <f t="shared" si="976"/>
        <v>162533841.23565105</v>
      </c>
      <c r="S416">
        <f t="shared" si="977"/>
        <v>1625.3384123565104</v>
      </c>
      <c r="T416">
        <f t="shared" si="978"/>
        <v>1.6253384123565104</v>
      </c>
    </row>
    <row r="417" spans="1:20" x14ac:dyDescent="0.25">
      <c r="A417" s="5">
        <v>44176</v>
      </c>
      <c r="B417">
        <v>1.8960000000000001E-2</v>
      </c>
      <c r="C417">
        <v>1.899E-2</v>
      </c>
      <c r="D417">
        <v>1.7129999999999999E-2</v>
      </c>
      <c r="E417">
        <v>1.7600000000000001E-2</v>
      </c>
      <c r="F417">
        <v>258581884.5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-0.49462365591397683</v>
      </c>
      <c r="Q417">
        <f t="shared" si="975"/>
        <v>-127900717.06451569</v>
      </c>
      <c r="R417">
        <f t="shared" si="976"/>
        <v>135253711.6937663</v>
      </c>
      <c r="S417">
        <f t="shared" si="977"/>
        <v>1352.5371169376629</v>
      </c>
      <c r="T417">
        <f t="shared" si="978"/>
        <v>1.3525371169376628</v>
      </c>
    </row>
    <row r="418" spans="1:20" x14ac:dyDescent="0.25">
      <c r="A418" s="5">
        <v>44175</v>
      </c>
      <c r="B418">
        <v>1.9699999999999999E-2</v>
      </c>
      <c r="C418">
        <v>2.035E-2</v>
      </c>
      <c r="D418">
        <v>1.8419999999999999E-2</v>
      </c>
      <c r="E418">
        <v>1.8970000000000001E-2</v>
      </c>
      <c r="F418">
        <v>320241403.5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-0.43005181347150101</v>
      </c>
      <c r="Q418">
        <f t="shared" si="975"/>
        <v>-137720396.3238337</v>
      </c>
      <c r="R418">
        <f t="shared" si="976"/>
        <v>263154428.75828201</v>
      </c>
      <c r="S418">
        <f t="shared" si="977"/>
        <v>2631.5442875828198</v>
      </c>
      <c r="T418">
        <f t="shared" si="978"/>
        <v>2.6315442875828197</v>
      </c>
    </row>
    <row r="419" spans="1:20" x14ac:dyDescent="0.25">
      <c r="A419" s="5">
        <v>44174</v>
      </c>
      <c r="B419">
        <v>1.7659999999999999E-2</v>
      </c>
      <c r="C419">
        <v>2.1999999999999999E-2</v>
      </c>
      <c r="D419">
        <v>1.7000000000000001E-2</v>
      </c>
      <c r="E419">
        <v>1.9720000000000001E-2</v>
      </c>
      <c r="F419">
        <v>758635254.60000002</v>
      </c>
      <c r="G419">
        <v>0</v>
      </c>
      <c r="L419" t="s">
        <v>7</v>
      </c>
      <c r="M419" t="s">
        <v>8</v>
      </c>
      <c r="N419" t="s">
        <v>8</v>
      </c>
      <c r="P419">
        <f t="shared" si="974"/>
        <v>8.8000000000000619E-2</v>
      </c>
      <c r="Q419">
        <f t="shared" si="975"/>
        <v>66759902.404800475</v>
      </c>
      <c r="R419">
        <f t="shared" si="976"/>
        <v>400874825.08211571</v>
      </c>
      <c r="S419">
        <f t="shared" si="977"/>
        <v>4008.7482508211569</v>
      </c>
      <c r="T419">
        <f t="shared" si="978"/>
        <v>4.0087482508211574</v>
      </c>
    </row>
    <row r="420" spans="1:20" x14ac:dyDescent="0.25">
      <c r="A420" s="5">
        <v>44173</v>
      </c>
      <c r="B420">
        <v>2.0129999999999999E-2</v>
      </c>
      <c r="C420">
        <v>2.0299999999999999E-2</v>
      </c>
      <c r="D420">
        <v>1.728E-2</v>
      </c>
      <c r="E420">
        <v>1.7649999999999999E-2</v>
      </c>
      <c r="F420">
        <v>346037435.30000001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-0.75496688741721918</v>
      </c>
      <c r="Q420">
        <f t="shared" si="975"/>
        <v>-261246805.45827839</v>
      </c>
      <c r="R420">
        <f t="shared" si="976"/>
        <v>334114922.67731524</v>
      </c>
      <c r="S420">
        <f t="shared" si="977"/>
        <v>3341.1492267731523</v>
      </c>
      <c r="T420">
        <f t="shared" si="978"/>
        <v>3.3411492267731524</v>
      </c>
    </row>
    <row r="421" spans="1:20" x14ac:dyDescent="0.25">
      <c r="A421" s="5">
        <v>44172</v>
      </c>
      <c r="B421">
        <v>1.908E-2</v>
      </c>
      <c r="C421">
        <v>2.0500000000000001E-2</v>
      </c>
      <c r="D421">
        <v>1.8630000000000001E-2</v>
      </c>
      <c r="E421">
        <v>2.0109999999999999E-2</v>
      </c>
      <c r="F421">
        <v>292581912.30000001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0.5828877005347578</v>
      </c>
      <c r="Q421">
        <f t="shared" si="975"/>
        <v>170542398.07860917</v>
      </c>
      <c r="R421">
        <f t="shared" si="976"/>
        <v>595361728.13559365</v>
      </c>
      <c r="S421">
        <f t="shared" si="977"/>
        <v>5953.6172813559369</v>
      </c>
      <c r="T421">
        <f t="shared" si="978"/>
        <v>5.9536172813559372</v>
      </c>
    </row>
    <row r="422" spans="1:20" x14ac:dyDescent="0.25">
      <c r="A422" s="5">
        <v>44171</v>
      </c>
      <c r="B422">
        <v>1.975E-2</v>
      </c>
      <c r="C422">
        <v>2.0889999999999999E-2</v>
      </c>
      <c r="D422">
        <v>1.8550000000000001E-2</v>
      </c>
      <c r="E422">
        <v>1.9040000000000001E-2</v>
      </c>
      <c r="F422">
        <v>218844810.5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-0.58119658119658013</v>
      </c>
      <c r="Q422">
        <f t="shared" si="975"/>
        <v>-127191855.67521344</v>
      </c>
      <c r="R422">
        <f t="shared" si="976"/>
        <v>424819330.05698442</v>
      </c>
      <c r="S422">
        <f t="shared" si="977"/>
        <v>4248.1933005698438</v>
      </c>
      <c r="T422">
        <f t="shared" si="978"/>
        <v>4.2481933005698442</v>
      </c>
    </row>
    <row r="423" spans="1:20" x14ac:dyDescent="0.25">
      <c r="A423" s="5">
        <v>44170</v>
      </c>
      <c r="B423">
        <v>1.8120000000000001E-2</v>
      </c>
      <c r="C423">
        <v>2.1160000000000002E-2</v>
      </c>
      <c r="D423">
        <v>1.7819999999999999E-2</v>
      </c>
      <c r="E423">
        <v>1.975E-2</v>
      </c>
      <c r="F423">
        <v>253817325.40000001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0.15568862275449077</v>
      </c>
      <c r="Q423">
        <f t="shared" si="975"/>
        <v>39516469.822754428</v>
      </c>
      <c r="R423">
        <f t="shared" si="976"/>
        <v>552011185.73219788</v>
      </c>
      <c r="S423">
        <f t="shared" si="977"/>
        <v>5520.1118573219792</v>
      </c>
      <c r="T423">
        <f t="shared" si="978"/>
        <v>5.5201118573219796</v>
      </c>
    </row>
    <row r="424" spans="1:20" x14ac:dyDescent="0.25">
      <c r="A424" s="5">
        <v>44169</v>
      </c>
      <c r="B424">
        <v>2.1010000000000001E-2</v>
      </c>
      <c r="C424">
        <v>2.1059999999999999E-2</v>
      </c>
      <c r="D424">
        <v>1.7770000000000001E-2</v>
      </c>
      <c r="E424">
        <v>1.8120000000000001E-2</v>
      </c>
      <c r="F424">
        <v>310136459.69999999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-0.78723404255319163</v>
      </c>
      <c r="Q424">
        <f t="shared" si="975"/>
        <v>-244149978.91276598</v>
      </c>
      <c r="R424">
        <f t="shared" si="976"/>
        <v>512494715.9094435</v>
      </c>
      <c r="S424">
        <f t="shared" si="977"/>
        <v>5124.9471590944349</v>
      </c>
      <c r="T424">
        <f t="shared" si="978"/>
        <v>5.1249471590944351</v>
      </c>
    </row>
    <row r="425" spans="1:20" x14ac:dyDescent="0.25">
      <c r="A425" s="5">
        <v>44168</v>
      </c>
      <c r="B425">
        <v>2.1049999999999999E-2</v>
      </c>
      <c r="C425">
        <v>2.1499999999999998E-2</v>
      </c>
      <c r="D425">
        <v>2.053E-2</v>
      </c>
      <c r="E425">
        <v>2.102E-2</v>
      </c>
      <c r="F425">
        <v>173327803.09999999</v>
      </c>
      <c r="G425">
        <v>0</v>
      </c>
      <c r="L425" t="s">
        <v>8</v>
      </c>
      <c r="M425" t="s">
        <v>7</v>
      </c>
      <c r="N425" t="s">
        <v>8</v>
      </c>
      <c r="P425">
        <f t="shared" si="974"/>
        <v>1.0309278350518635E-2</v>
      </c>
      <c r="Q425">
        <f t="shared" si="975"/>
        <v>1786884.5680417866</v>
      </c>
      <c r="R425">
        <f t="shared" si="976"/>
        <v>756644694.82220948</v>
      </c>
      <c r="S425">
        <f t="shared" si="977"/>
        <v>7566.4469482220948</v>
      </c>
      <c r="T425">
        <f t="shared" si="978"/>
        <v>7.5664469482220946</v>
      </c>
    </row>
    <row r="426" spans="1:20" x14ac:dyDescent="0.25">
      <c r="A426" s="5">
        <v>44167</v>
      </c>
      <c r="B426">
        <v>1.9529999999999999E-2</v>
      </c>
      <c r="C426">
        <v>2.1700000000000001E-2</v>
      </c>
      <c r="D426">
        <v>1.9199999999999998E-2</v>
      </c>
      <c r="E426">
        <v>2.1069999999999998E-2</v>
      </c>
      <c r="F426">
        <v>272994763.89999998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0.49599999999999878</v>
      </c>
      <c r="Q426">
        <f t="shared" si="975"/>
        <v>135405402.89439964</v>
      </c>
      <c r="R426">
        <f t="shared" si="976"/>
        <v>754857810.25416768</v>
      </c>
      <c r="S426">
        <f t="shared" si="977"/>
        <v>7548.5781025416763</v>
      </c>
      <c r="T426">
        <f t="shared" si="978"/>
        <v>7.5485781025416765</v>
      </c>
    </row>
    <row r="427" spans="1:20" x14ac:dyDescent="0.25">
      <c r="A427" s="5">
        <v>44166</v>
      </c>
      <c r="B427">
        <v>2.1510000000000001E-2</v>
      </c>
      <c r="C427">
        <v>2.2499999999999999E-2</v>
      </c>
      <c r="D427">
        <v>1.9060000000000001E-2</v>
      </c>
      <c r="E427">
        <v>1.9550000000000001E-2</v>
      </c>
      <c r="F427">
        <v>400172413.19999999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-0.71511627906976682</v>
      </c>
      <c r="Q427">
        <f t="shared" si="975"/>
        <v>-286169807.11395323</v>
      </c>
      <c r="R427">
        <f t="shared" si="976"/>
        <v>619452407.35976803</v>
      </c>
      <c r="S427">
        <f t="shared" si="977"/>
        <v>6194.5240735976804</v>
      </c>
      <c r="T427">
        <f t="shared" si="978"/>
        <v>6.1945240735976803</v>
      </c>
    </row>
    <row r="428" spans="1:20" x14ac:dyDescent="0.25">
      <c r="A428" s="5">
        <v>44165</v>
      </c>
      <c r="B428">
        <v>1.9609999999999999E-2</v>
      </c>
      <c r="C428">
        <v>2.198E-2</v>
      </c>
      <c r="D428">
        <v>1.9550000000000001E-2</v>
      </c>
      <c r="E428">
        <v>2.146E-2</v>
      </c>
      <c r="F428">
        <v>339600360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0.57201646090534974</v>
      </c>
      <c r="Q428">
        <f t="shared" si="975"/>
        <v>194256996.04938269</v>
      </c>
      <c r="R428">
        <f t="shared" si="976"/>
        <v>905622214.47372127</v>
      </c>
      <c r="S428">
        <f t="shared" si="977"/>
        <v>9056.2221447372121</v>
      </c>
      <c r="T428">
        <f t="shared" si="978"/>
        <v>9.0562221447372124</v>
      </c>
    </row>
    <row r="429" spans="1:20" x14ac:dyDescent="0.25">
      <c r="A429" s="5">
        <v>44164</v>
      </c>
      <c r="B429">
        <v>1.9380000000000001E-2</v>
      </c>
      <c r="C429">
        <v>2.019E-2</v>
      </c>
      <c r="D429">
        <v>1.866E-2</v>
      </c>
      <c r="E429">
        <v>1.9570000000000001E-2</v>
      </c>
      <c r="F429">
        <v>211291171.40000001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0.18954248366013204</v>
      </c>
      <c r="Q429">
        <f t="shared" si="975"/>
        <v>40048653.402614661</v>
      </c>
      <c r="R429">
        <f t="shared" si="976"/>
        <v>711365218.42433858</v>
      </c>
      <c r="S429">
        <f t="shared" si="977"/>
        <v>7113.6521842433858</v>
      </c>
      <c r="T429">
        <f t="shared" si="978"/>
        <v>7.113652184243386</v>
      </c>
    </row>
    <row r="430" spans="1:20" x14ac:dyDescent="0.25">
      <c r="A430" s="5">
        <v>44163</v>
      </c>
      <c r="B430">
        <v>1.8519999999999998E-2</v>
      </c>
      <c r="C430">
        <v>2.0990000000000002E-2</v>
      </c>
      <c r="D430">
        <v>1.7610000000000001E-2</v>
      </c>
      <c r="E430">
        <v>1.9400000000000001E-2</v>
      </c>
      <c r="F430">
        <v>306894751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5.9171597633135717E-2</v>
      </c>
      <c r="Q430">
        <f t="shared" si="975"/>
        <v>18159452.721893374</v>
      </c>
      <c r="R430">
        <f t="shared" si="976"/>
        <v>671316565.02172387</v>
      </c>
      <c r="S430">
        <f t="shared" si="977"/>
        <v>6713.1656502172391</v>
      </c>
      <c r="T430">
        <f t="shared" si="978"/>
        <v>6.7131656502172392</v>
      </c>
    </row>
    <row r="431" spans="1:20" x14ac:dyDescent="0.25">
      <c r="A431" s="5">
        <v>44162</v>
      </c>
      <c r="B431">
        <v>1.9269999999999999E-2</v>
      </c>
      <c r="C431">
        <v>2.07E-2</v>
      </c>
      <c r="D431">
        <v>1.7260000000000001E-2</v>
      </c>
      <c r="E431">
        <v>1.8519999999999998E-2</v>
      </c>
      <c r="F431">
        <v>339157106.80000001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-0.26744186046511759</v>
      </c>
      <c r="Q431">
        <f t="shared" si="975"/>
        <v>-90704807.632558584</v>
      </c>
      <c r="R431">
        <f t="shared" si="976"/>
        <v>653157112.29983044</v>
      </c>
      <c r="S431">
        <f t="shared" si="977"/>
        <v>6531.5711229983044</v>
      </c>
      <c r="T431">
        <f t="shared" si="978"/>
        <v>6.5315711229983044</v>
      </c>
    </row>
    <row r="432" spans="1:20" x14ac:dyDescent="0.25">
      <c r="A432" s="5">
        <v>44161</v>
      </c>
      <c r="B432">
        <v>1.993E-2</v>
      </c>
      <c r="C432">
        <v>2.0670000000000001E-2</v>
      </c>
      <c r="D432">
        <v>1.5559999999999999E-2</v>
      </c>
      <c r="E432">
        <v>1.9230000000000001E-2</v>
      </c>
      <c r="F432">
        <v>875648065.29999995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0.43639921722113512</v>
      </c>
      <c r="Q432">
        <f t="shared" si="975"/>
        <v>382132130.25812137</v>
      </c>
      <c r="R432">
        <f t="shared" si="976"/>
        <v>743861919.93238902</v>
      </c>
      <c r="S432">
        <f t="shared" si="977"/>
        <v>7438.6191993238899</v>
      </c>
      <c r="T432">
        <f t="shared" si="978"/>
        <v>7.4386191993238899</v>
      </c>
    </row>
    <row r="433" spans="1:20" x14ac:dyDescent="0.25">
      <c r="A433" s="5">
        <v>44160</v>
      </c>
      <c r="B433">
        <v>2.368E-2</v>
      </c>
      <c r="C433">
        <v>2.3800000000000002E-2</v>
      </c>
      <c r="D433">
        <v>1.8800000000000001E-2</v>
      </c>
      <c r="E433">
        <v>1.993E-2</v>
      </c>
      <c r="F433">
        <v>530371810.89999998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-0.54800000000000049</v>
      </c>
      <c r="Q433">
        <f t="shared" si="975"/>
        <v>-290643752.37320024</v>
      </c>
      <c r="R433">
        <f t="shared" si="976"/>
        <v>361729789.67426771</v>
      </c>
      <c r="S433">
        <f t="shared" si="977"/>
        <v>3617.297896742677</v>
      </c>
      <c r="T433">
        <f t="shared" si="978"/>
        <v>3.6172978967426772</v>
      </c>
    </row>
    <row r="434" spans="1:20" x14ac:dyDescent="0.25">
      <c r="A434" s="5">
        <v>44159</v>
      </c>
      <c r="B434">
        <v>2.2759999999999999E-2</v>
      </c>
      <c r="C434">
        <v>2.6349999999999998E-2</v>
      </c>
      <c r="D434">
        <v>2.2100000000000002E-2</v>
      </c>
      <c r="E434">
        <v>2.368E-2</v>
      </c>
      <c r="F434">
        <v>682218532.5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-0.25647058823529445</v>
      </c>
      <c r="Q434">
        <f t="shared" si="975"/>
        <v>-174968988.33529434</v>
      </c>
      <c r="R434">
        <f t="shared" si="976"/>
        <v>652373542.04746795</v>
      </c>
      <c r="S434">
        <f t="shared" si="977"/>
        <v>6523.7354204746798</v>
      </c>
      <c r="T434">
        <f t="shared" si="978"/>
        <v>6.5237354204746802</v>
      </c>
    </row>
    <row r="435" spans="1:20" x14ac:dyDescent="0.25">
      <c r="A435" s="5">
        <v>44158</v>
      </c>
      <c r="B435">
        <v>2.2110000000000001E-2</v>
      </c>
      <c r="C435">
        <v>2.3769999999999999E-2</v>
      </c>
      <c r="D435">
        <v>2.164E-2</v>
      </c>
      <c r="E435">
        <v>2.274E-2</v>
      </c>
      <c r="F435">
        <v>433998857.69999999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3.286384976525851E-2</v>
      </c>
      <c r="Q435">
        <f t="shared" si="975"/>
        <v>14262873.257746605</v>
      </c>
      <c r="R435">
        <f t="shared" si="976"/>
        <v>827342530.38276231</v>
      </c>
      <c r="S435">
        <f t="shared" si="977"/>
        <v>8273.4253038276238</v>
      </c>
      <c r="T435">
        <f t="shared" si="978"/>
        <v>8.273425303827624</v>
      </c>
    </row>
    <row r="436" spans="1:20" x14ac:dyDescent="0.25">
      <c r="A436" s="5">
        <v>44157</v>
      </c>
      <c r="B436">
        <v>2.401E-2</v>
      </c>
      <c r="C436">
        <v>2.4299999999999999E-2</v>
      </c>
      <c r="D436">
        <v>2.052E-2</v>
      </c>
      <c r="E436">
        <v>2.214E-2</v>
      </c>
      <c r="F436">
        <v>623342982.20000005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-0.1428571428571426</v>
      </c>
      <c r="Q436">
        <f t="shared" si="975"/>
        <v>-89048997.457142711</v>
      </c>
      <c r="R436">
        <f t="shared" si="976"/>
        <v>813079657.12501574</v>
      </c>
      <c r="S436">
        <f t="shared" si="977"/>
        <v>8130.7965712501573</v>
      </c>
      <c r="T436">
        <f t="shared" si="978"/>
        <v>8.1307965712501566</v>
      </c>
    </row>
    <row r="437" spans="1:20" x14ac:dyDescent="0.25">
      <c r="A437" s="5">
        <v>44156</v>
      </c>
      <c r="B437">
        <v>2.385E-2</v>
      </c>
      <c r="C437">
        <v>2.562E-2</v>
      </c>
      <c r="D437">
        <v>2.3390000000000001E-2</v>
      </c>
      <c r="E437">
        <v>2.401E-2</v>
      </c>
      <c r="F437">
        <v>574001582.79999995</v>
      </c>
      <c r="G437">
        <v>0</v>
      </c>
      <c r="L437" t="s">
        <v>7</v>
      </c>
      <c r="M437" t="s">
        <v>8</v>
      </c>
      <c r="N437" t="s">
        <v>8</v>
      </c>
      <c r="P437">
        <f t="shared" si="974"/>
        <v>-0.4439461883408079</v>
      </c>
      <c r="Q437">
        <f t="shared" si="975"/>
        <v>-254825814.78565061</v>
      </c>
      <c r="R437">
        <f t="shared" si="976"/>
        <v>902128654.58215845</v>
      </c>
      <c r="S437">
        <f t="shared" si="977"/>
        <v>9021.2865458215838</v>
      </c>
      <c r="T437">
        <f t="shared" si="978"/>
        <v>9.0212865458215834</v>
      </c>
    </row>
    <row r="438" spans="1:20" x14ac:dyDescent="0.25">
      <c r="A438" s="5">
        <v>44155</v>
      </c>
      <c r="B438">
        <v>2.1399999999999999E-2</v>
      </c>
      <c r="C438">
        <v>2.5170000000000001E-2</v>
      </c>
      <c r="D438">
        <v>2.1299999999999999E-2</v>
      </c>
      <c r="E438">
        <v>2.3859999999999999E-2</v>
      </c>
      <c r="F438">
        <v>723863197.5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0.32299741602067106</v>
      </c>
      <c r="Q438">
        <f t="shared" si="975"/>
        <v>233805942.34496069</v>
      </c>
      <c r="R438">
        <f t="shared" si="976"/>
        <v>1156954469.3678091</v>
      </c>
      <c r="S438">
        <f t="shared" si="977"/>
        <v>11569.54469367809</v>
      </c>
      <c r="T438">
        <f t="shared" si="978"/>
        <v>11.56954469367809</v>
      </c>
    </row>
    <row r="439" spans="1:20" x14ac:dyDescent="0.25">
      <c r="A439" s="5">
        <v>44154</v>
      </c>
      <c r="B439">
        <v>2.001E-2</v>
      </c>
      <c r="C439">
        <v>2.248E-2</v>
      </c>
      <c r="D439">
        <v>1.9E-2</v>
      </c>
      <c r="E439">
        <v>2.137E-2</v>
      </c>
      <c r="F439">
        <v>766314942.70000005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0.36206896551724155</v>
      </c>
      <c r="Q439">
        <f t="shared" si="975"/>
        <v>277458858.56379324</v>
      </c>
      <c r="R439">
        <f t="shared" si="976"/>
        <v>923148527.02284837</v>
      </c>
      <c r="S439">
        <f t="shared" si="977"/>
        <v>9231.4852702284843</v>
      </c>
      <c r="T439">
        <f t="shared" si="978"/>
        <v>9.2314852702284842</v>
      </c>
    </row>
    <row r="440" spans="1:20" x14ac:dyDescent="0.25">
      <c r="A440" s="5">
        <v>44153</v>
      </c>
      <c r="B440">
        <v>2.086E-2</v>
      </c>
      <c r="C440">
        <v>2.188E-2</v>
      </c>
      <c r="D440">
        <v>1.8010000000000002E-2</v>
      </c>
      <c r="E440">
        <v>0.02</v>
      </c>
      <c r="F440">
        <v>1139111793.5999999</v>
      </c>
      <c r="G440">
        <v>0</v>
      </c>
      <c r="L440" t="s">
        <v>8</v>
      </c>
      <c r="M440" t="s">
        <v>7</v>
      </c>
      <c r="N440" t="s">
        <v>8</v>
      </c>
      <c r="P440">
        <f t="shared" si="974"/>
        <v>2.8423772609818872E-2</v>
      </c>
      <c r="Q440">
        <f t="shared" si="975"/>
        <v>32377854.598449327</v>
      </c>
      <c r="R440">
        <f t="shared" si="976"/>
        <v>645689668.45905507</v>
      </c>
      <c r="S440">
        <f t="shared" si="977"/>
        <v>6456.8966845905506</v>
      </c>
      <c r="T440">
        <f t="shared" si="978"/>
        <v>6.4568966845905509</v>
      </c>
    </row>
    <row r="441" spans="1:20" x14ac:dyDescent="0.25">
      <c r="A441" s="5">
        <v>44152</v>
      </c>
      <c r="B441">
        <v>1.7319999999999999E-2</v>
      </c>
      <c r="C441">
        <v>2.1340000000000001E-2</v>
      </c>
      <c r="D441">
        <v>1.7090000000000001E-2</v>
      </c>
      <c r="E441">
        <v>2.086E-2</v>
      </c>
      <c r="F441">
        <v>821240259.5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0.77411764705882291</v>
      </c>
      <c r="Q441">
        <f t="shared" si="975"/>
        <v>635736577.35411716</v>
      </c>
      <c r="R441">
        <f t="shared" si="976"/>
        <v>613311813.86060572</v>
      </c>
      <c r="S441">
        <f t="shared" si="977"/>
        <v>6133.1181386060571</v>
      </c>
      <c r="T441">
        <f t="shared" si="978"/>
        <v>6.1331181386060569</v>
      </c>
    </row>
    <row r="442" spans="1:20" x14ac:dyDescent="0.25">
      <c r="A442" s="5">
        <v>44151</v>
      </c>
      <c r="B442">
        <v>1.5440000000000001E-2</v>
      </c>
      <c r="C442">
        <v>1.7950000000000001E-2</v>
      </c>
      <c r="D442">
        <v>1.5100000000000001E-2</v>
      </c>
      <c r="E442">
        <v>1.7309999999999999E-2</v>
      </c>
      <c r="F442">
        <v>637371956.39999998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0.55087719298245497</v>
      </c>
      <c r="Q442">
        <f t="shared" si="975"/>
        <v>351113674.22736764</v>
      </c>
      <c r="R442">
        <f t="shared" si="976"/>
        <v>-22424763.493511498</v>
      </c>
      <c r="S442">
        <f t="shared" si="977"/>
        <v>-224.24763493511497</v>
      </c>
      <c r="T442">
        <f t="shared" si="978"/>
        <v>-0.22424763493511499</v>
      </c>
    </row>
    <row r="443" spans="1:20" x14ac:dyDescent="0.25">
      <c r="A443" s="5">
        <v>44150</v>
      </c>
      <c r="B443">
        <v>1.6160000000000001E-2</v>
      </c>
      <c r="C443">
        <v>1.6979999999999999E-2</v>
      </c>
      <c r="D443">
        <v>1.4460000000000001E-2</v>
      </c>
      <c r="E443">
        <v>1.546E-2</v>
      </c>
      <c r="F443">
        <v>494657363.69999999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-0.20634920634920637</v>
      </c>
      <c r="Q443">
        <f t="shared" si="975"/>
        <v>-102072154.41428572</v>
      </c>
      <c r="R443">
        <f t="shared" si="976"/>
        <v>-373538437.72087914</v>
      </c>
      <c r="S443">
        <f t="shared" si="977"/>
        <v>-3735.3843772087912</v>
      </c>
      <c r="T443">
        <f t="shared" si="978"/>
        <v>-3.7353843772087911</v>
      </c>
    </row>
    <row r="444" spans="1:20" x14ac:dyDescent="0.25">
      <c r="A444" s="5">
        <v>44149</v>
      </c>
      <c r="B444">
        <v>1.77E-2</v>
      </c>
      <c r="C444">
        <v>1.7780000000000001E-2</v>
      </c>
      <c r="D444">
        <v>1.5559999999999999E-2</v>
      </c>
      <c r="E444">
        <v>1.6119999999999999E-2</v>
      </c>
      <c r="F444">
        <v>433883006.19999999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-0.4954954954954961</v>
      </c>
      <c r="Q444">
        <f t="shared" si="975"/>
        <v>-214987075.14414439</v>
      </c>
      <c r="R444">
        <f t="shared" si="976"/>
        <v>-271466283.30659342</v>
      </c>
      <c r="S444">
        <f t="shared" si="977"/>
        <v>-2714.6628330659341</v>
      </c>
      <c r="T444">
        <f t="shared" si="978"/>
        <v>-2.7146628330659341</v>
      </c>
    </row>
    <row r="445" spans="1:20" x14ac:dyDescent="0.25">
      <c r="A445" s="5">
        <v>44148</v>
      </c>
      <c r="B445">
        <v>1.5879999999999998E-2</v>
      </c>
      <c r="C445">
        <v>1.7850000000000001E-2</v>
      </c>
      <c r="D445">
        <v>1.5879999999999998E-2</v>
      </c>
      <c r="E445">
        <v>1.7749999999999998E-2</v>
      </c>
      <c r="F445">
        <v>429359021.30000001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0.89847715736040334</v>
      </c>
      <c r="Q445">
        <f t="shared" si="975"/>
        <v>385769272.94466889</v>
      </c>
      <c r="R445">
        <f t="shared" si="976"/>
        <v>-56479208.162449002</v>
      </c>
      <c r="S445">
        <f t="shared" si="977"/>
        <v>-564.79208162449004</v>
      </c>
      <c r="T445">
        <f t="shared" si="978"/>
        <v>-0.56479208162449002</v>
      </c>
    </row>
    <row r="446" spans="1:20" x14ac:dyDescent="0.25">
      <c r="A446" s="5">
        <v>44147</v>
      </c>
      <c r="B446">
        <v>1.7129999999999999E-2</v>
      </c>
      <c r="C446">
        <v>1.8100000000000002E-2</v>
      </c>
      <c r="D446">
        <v>1.549E-2</v>
      </c>
      <c r="E446">
        <v>1.5890000000000001E-2</v>
      </c>
      <c r="F446">
        <v>698416086.10000002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-0.69348659003831348</v>
      </c>
      <c r="Q446">
        <f t="shared" si="975"/>
        <v>-484342189.97739416</v>
      </c>
      <c r="R446">
        <f t="shared" si="976"/>
        <v>-442248481.10711789</v>
      </c>
      <c r="S446">
        <f t="shared" si="977"/>
        <v>-4422.4848110711791</v>
      </c>
      <c r="T446">
        <f t="shared" si="978"/>
        <v>-4.422484811071179</v>
      </c>
    </row>
    <row r="447" spans="1:20" x14ac:dyDescent="0.25">
      <c r="A447" s="5">
        <v>44146</v>
      </c>
      <c r="B447">
        <v>1.7489999999999999E-2</v>
      </c>
      <c r="C447">
        <v>1.9099999999999999E-2</v>
      </c>
      <c r="D447">
        <v>1.6E-2</v>
      </c>
      <c r="E447">
        <v>1.7129999999999999E-2</v>
      </c>
      <c r="F447">
        <v>990363872.5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-0.27096774193548412</v>
      </c>
      <c r="Q447">
        <f t="shared" si="975"/>
        <v>-268356662.22580668</v>
      </c>
      <c r="R447">
        <f t="shared" si="976"/>
        <v>42093708.870276242</v>
      </c>
      <c r="S447">
        <f t="shared" si="977"/>
        <v>420.93708870276242</v>
      </c>
      <c r="T447">
        <f t="shared" si="978"/>
        <v>0.42093708870276242</v>
      </c>
    </row>
    <row r="448" spans="1:20" x14ac:dyDescent="0.25">
      <c r="A448" s="5">
        <v>44145</v>
      </c>
      <c r="B448">
        <v>1.4579999999999999E-2</v>
      </c>
      <c r="C448">
        <v>1.8110000000000001E-2</v>
      </c>
      <c r="D448">
        <v>1.413E-2</v>
      </c>
      <c r="E448">
        <v>1.7500000000000002E-2</v>
      </c>
      <c r="F448">
        <v>809292064.60000002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0.69346733668341742</v>
      </c>
      <c r="Q448">
        <f t="shared" si="975"/>
        <v>561217612.63718617</v>
      </c>
      <c r="R448">
        <f t="shared" si="976"/>
        <v>310450371.09608293</v>
      </c>
      <c r="S448">
        <f t="shared" si="977"/>
        <v>3104.5037109608293</v>
      </c>
      <c r="T448">
        <f t="shared" si="978"/>
        <v>3.1045037109608291</v>
      </c>
    </row>
    <row r="449" spans="1:20" x14ac:dyDescent="0.25">
      <c r="A449" s="5">
        <v>44144</v>
      </c>
      <c r="B449">
        <v>1.444E-2</v>
      </c>
      <c r="C449">
        <v>1.511E-2</v>
      </c>
      <c r="D449">
        <v>1.3299999999999999E-2</v>
      </c>
      <c r="E449">
        <v>1.457E-2</v>
      </c>
      <c r="F449">
        <v>566440319.5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0.40331491712707151</v>
      </c>
      <c r="Q449">
        <f t="shared" si="975"/>
        <v>228453830.51657441</v>
      </c>
      <c r="R449">
        <f t="shared" si="976"/>
        <v>-250767241.54110327</v>
      </c>
      <c r="S449">
        <f t="shared" si="977"/>
        <v>-2507.6724154110329</v>
      </c>
      <c r="T449">
        <f t="shared" si="978"/>
        <v>-2.507672415411033</v>
      </c>
    </row>
    <row r="450" spans="1:20" x14ac:dyDescent="0.25">
      <c r="A450" s="5">
        <v>44143</v>
      </c>
      <c r="B450">
        <v>1.2760000000000001E-2</v>
      </c>
      <c r="C450">
        <v>1.478E-2</v>
      </c>
      <c r="D450">
        <v>1.2409999999999999E-2</v>
      </c>
      <c r="E450">
        <v>1.443E-2</v>
      </c>
      <c r="F450">
        <v>516642832.69999999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0.70464135021097085</v>
      </c>
      <c r="Q450">
        <f t="shared" si="975"/>
        <v>364047903.2105487</v>
      </c>
      <c r="R450">
        <f t="shared" si="976"/>
        <v>-479221072.05767769</v>
      </c>
      <c r="S450">
        <f t="shared" si="977"/>
        <v>-4792.210720576777</v>
      </c>
      <c r="T450">
        <f t="shared" si="978"/>
        <v>-4.7922107205767768</v>
      </c>
    </row>
    <row r="451" spans="1:20" x14ac:dyDescent="0.25">
      <c r="A451" s="5">
        <v>44142</v>
      </c>
      <c r="B451">
        <v>1.472E-2</v>
      </c>
      <c r="C451">
        <v>1.5610000000000001E-2</v>
      </c>
      <c r="D451">
        <v>1.1780000000000001E-2</v>
      </c>
      <c r="E451">
        <v>1.2760000000000001E-2</v>
      </c>
      <c r="F451">
        <v>1066246215.8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-0.48825065274151441</v>
      </c>
      <c r="Q451">
        <f t="shared" si="975"/>
        <v>-520595410.84751964</v>
      </c>
      <c r="R451">
        <f t="shared" si="976"/>
        <v>-843268975.26822639</v>
      </c>
      <c r="S451">
        <f t="shared" si="977"/>
        <v>-8432.6897526822631</v>
      </c>
      <c r="T451">
        <f t="shared" si="978"/>
        <v>-8.4326897526822631</v>
      </c>
    </row>
    <row r="452" spans="1:20" x14ac:dyDescent="0.25">
      <c r="A452" s="5">
        <v>44141</v>
      </c>
      <c r="B452">
        <v>1.172E-2</v>
      </c>
      <c r="C452">
        <v>1.4999999999999999E-2</v>
      </c>
      <c r="D452">
        <v>1.163E-2</v>
      </c>
      <c r="E452">
        <v>1.4710000000000001E-2</v>
      </c>
      <c r="F452">
        <v>721706223.79999995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0.82789317507418481</v>
      </c>
      <c r="Q452">
        <f t="shared" si="975"/>
        <v>597495657.09258211</v>
      </c>
      <c r="R452">
        <f t="shared" si="976"/>
        <v>-322673564.42070675</v>
      </c>
      <c r="S452">
        <f t="shared" si="977"/>
        <v>-3226.7356442070677</v>
      </c>
      <c r="T452">
        <f t="shared" si="978"/>
        <v>-3.2267356442070678</v>
      </c>
    </row>
    <row r="453" spans="1:20" x14ac:dyDescent="0.25">
      <c r="A453" s="5">
        <v>44140</v>
      </c>
      <c r="B453">
        <v>1.023E-2</v>
      </c>
      <c r="C453">
        <v>1.2109999999999999E-2</v>
      </c>
      <c r="D453">
        <v>9.9900000000000006E-3</v>
      </c>
      <c r="E453">
        <v>1.174E-2</v>
      </c>
      <c r="F453">
        <v>612680478.60000002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0.65094339622641595</v>
      </c>
      <c r="Q453">
        <f t="shared" si="975"/>
        <v>398820311.54150999</v>
      </c>
      <c r="R453">
        <f t="shared" si="976"/>
        <v>-920169221.51328886</v>
      </c>
      <c r="S453">
        <f t="shared" si="977"/>
        <v>-9201.692215132889</v>
      </c>
      <c r="T453">
        <f t="shared" si="978"/>
        <v>-9.2016922151328888</v>
      </c>
    </row>
    <row r="454" spans="1:20" x14ac:dyDescent="0.25">
      <c r="A454" s="5">
        <v>44139</v>
      </c>
      <c r="B454">
        <v>1.072E-2</v>
      </c>
      <c r="C454">
        <v>1.073E-2</v>
      </c>
      <c r="D454">
        <v>9.4999999999999998E-3</v>
      </c>
      <c r="E454">
        <v>1.022E-2</v>
      </c>
      <c r="F454">
        <v>642202486.60000002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0.17073170731707324</v>
      </c>
      <c r="Q454">
        <f t="shared" ref="Q454:Q517" si="980">F454*P454</f>
        <v>109644326.98048785</v>
      </c>
      <c r="R454">
        <f t="shared" ref="R454:R517" si="981">R455+Q454</f>
        <v>-1318989533.0547988</v>
      </c>
      <c r="S454">
        <f t="shared" ref="S454:S517" si="982">R454/100000</f>
        <v>-13189.895330547988</v>
      </c>
      <c r="T454">
        <f t="shared" ref="T454:T517" si="983">S454/1000</f>
        <v>-13.189895330547989</v>
      </c>
    </row>
    <row r="455" spans="1:20" x14ac:dyDescent="0.25">
      <c r="A455" s="5">
        <v>44138</v>
      </c>
      <c r="B455">
        <v>1.0800000000000001E-2</v>
      </c>
      <c r="C455">
        <v>1.1129999999999999E-2</v>
      </c>
      <c r="D455">
        <v>9.9799999999999993E-3</v>
      </c>
      <c r="E455">
        <v>1.0710000000000001E-2</v>
      </c>
      <c r="F455">
        <v>486878253.5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0.26956521739130695</v>
      </c>
      <c r="Q455">
        <f t="shared" si="980"/>
        <v>131245442.24782735</v>
      </c>
      <c r="R455">
        <f t="shared" si="981"/>
        <v>-1428633860.0352867</v>
      </c>
      <c r="S455">
        <f t="shared" si="982"/>
        <v>-14286.338600352867</v>
      </c>
      <c r="T455">
        <f t="shared" si="983"/>
        <v>-14.286338600352867</v>
      </c>
    </row>
    <row r="456" spans="1:20" x14ac:dyDescent="0.25">
      <c r="A456" s="5">
        <v>44137</v>
      </c>
      <c r="B456">
        <v>1.2030000000000001E-2</v>
      </c>
      <c r="C456">
        <v>1.261E-2</v>
      </c>
      <c r="D456">
        <v>1.0710000000000001E-2</v>
      </c>
      <c r="E456">
        <v>1.0829999999999999E-2</v>
      </c>
      <c r="F456">
        <v>479111713.5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-0.87368421052631717</v>
      </c>
      <c r="Q456">
        <f t="shared" si="980"/>
        <v>-418592339.16315854</v>
      </c>
      <c r="R456">
        <f t="shared" si="981"/>
        <v>-1559879302.283114</v>
      </c>
      <c r="S456">
        <f t="shared" si="982"/>
        <v>-15598.79302283114</v>
      </c>
      <c r="T456">
        <f t="shared" si="983"/>
        <v>-15.59879302283114</v>
      </c>
    </row>
    <row r="457" spans="1:20" x14ac:dyDescent="0.25">
      <c r="A457" s="5">
        <v>44136</v>
      </c>
      <c r="B457">
        <v>1.158E-2</v>
      </c>
      <c r="C457">
        <v>1.2460000000000001E-2</v>
      </c>
      <c r="D457">
        <v>1.1089999999999999E-2</v>
      </c>
      <c r="E457">
        <v>1.2030000000000001E-2</v>
      </c>
      <c r="F457">
        <v>322590442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0.37226277372262867</v>
      </c>
      <c r="Q457">
        <f t="shared" si="980"/>
        <v>120088412.71532877</v>
      </c>
      <c r="R457">
        <f t="shared" si="981"/>
        <v>-1141286963.1199555</v>
      </c>
      <c r="S457">
        <f t="shared" si="982"/>
        <v>-11412.869631199555</v>
      </c>
      <c r="T457">
        <f t="shared" si="983"/>
        <v>-11.412869631199555</v>
      </c>
    </row>
    <row r="458" spans="1:20" x14ac:dyDescent="0.25">
      <c r="A458" s="5">
        <v>44135</v>
      </c>
      <c r="B458">
        <v>1.217E-2</v>
      </c>
      <c r="C458">
        <v>1.2800000000000001E-2</v>
      </c>
      <c r="D458">
        <v>1.1429999999999999E-2</v>
      </c>
      <c r="E458">
        <v>1.158E-2</v>
      </c>
      <c r="F458">
        <v>354987342.30000001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-0.78102189781021802</v>
      </c>
      <c r="Q458">
        <f t="shared" si="980"/>
        <v>-277252887.78175151</v>
      </c>
      <c r="R458">
        <f t="shared" si="981"/>
        <v>-1261375375.8352842</v>
      </c>
      <c r="S458">
        <f t="shared" si="982"/>
        <v>-12613.753758352843</v>
      </c>
      <c r="T458">
        <f t="shared" si="983"/>
        <v>-12.613753758352843</v>
      </c>
    </row>
    <row r="459" spans="1:20" x14ac:dyDescent="0.25">
      <c r="A459" s="5">
        <v>44134</v>
      </c>
      <c r="B459">
        <v>1.193E-2</v>
      </c>
      <c r="C459">
        <v>1.243E-2</v>
      </c>
      <c r="D459">
        <v>1.0699999999999999E-2</v>
      </c>
      <c r="E459">
        <v>1.218E-2</v>
      </c>
      <c r="F459">
        <v>752245368.20000005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0.71098265895953738</v>
      </c>
      <c r="Q459">
        <f t="shared" si="980"/>
        <v>534833412.07283229</v>
      </c>
      <c r="R459">
        <f t="shared" si="981"/>
        <v>-984122488.05353284</v>
      </c>
      <c r="S459">
        <f t="shared" si="982"/>
        <v>-9841.2248805353283</v>
      </c>
      <c r="T459">
        <f t="shared" si="983"/>
        <v>-9.8412248805353286</v>
      </c>
    </row>
    <row r="460" spans="1:20" x14ac:dyDescent="0.25">
      <c r="A460" s="5">
        <v>44133</v>
      </c>
      <c r="B460">
        <v>1.3849999999999999E-2</v>
      </c>
      <c r="C460">
        <v>1.4489999999999999E-2</v>
      </c>
      <c r="D460">
        <v>1.15E-2</v>
      </c>
      <c r="E460">
        <v>1.1950000000000001E-2</v>
      </c>
      <c r="F460">
        <v>609939532.89999998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-0.69899665551839407</v>
      </c>
      <c r="Q460">
        <f t="shared" si="980"/>
        <v>-426345693.56555146</v>
      </c>
      <c r="R460">
        <f t="shared" si="981"/>
        <v>-1518955900.1263652</v>
      </c>
      <c r="S460">
        <f t="shared" si="982"/>
        <v>-15189.559001263651</v>
      </c>
      <c r="T460">
        <f t="shared" si="983"/>
        <v>-15.189559001263651</v>
      </c>
    </row>
    <row r="461" spans="1:20" x14ac:dyDescent="0.25">
      <c r="A461" s="5">
        <v>44132</v>
      </c>
      <c r="B461">
        <v>1.4579999999999999E-2</v>
      </c>
      <c r="C461">
        <v>1.528E-2</v>
      </c>
      <c r="D461">
        <v>1.251E-2</v>
      </c>
      <c r="E461">
        <v>1.3849999999999999E-2</v>
      </c>
      <c r="F461">
        <v>779101041.39999998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-3.2490974729242436E-2</v>
      </c>
      <c r="Q461">
        <f t="shared" si="980"/>
        <v>-25313752.247653864</v>
      </c>
      <c r="R461">
        <f t="shared" si="981"/>
        <v>-1092610206.5608137</v>
      </c>
      <c r="S461">
        <f t="shared" si="982"/>
        <v>-10926.102065608136</v>
      </c>
      <c r="T461">
        <f t="shared" si="983"/>
        <v>-10.926102065608136</v>
      </c>
    </row>
    <row r="462" spans="1:20" x14ac:dyDescent="0.25">
      <c r="A462" s="5">
        <v>44131</v>
      </c>
      <c r="B462">
        <v>1.567E-2</v>
      </c>
      <c r="C462">
        <v>1.5890000000000001E-2</v>
      </c>
      <c r="D462">
        <v>1.4200000000000001E-2</v>
      </c>
      <c r="E462">
        <v>1.457E-2</v>
      </c>
      <c r="F462">
        <v>529532460.60000002</v>
      </c>
      <c r="G462">
        <v>0</v>
      </c>
      <c r="L462" t="s">
        <v>7</v>
      </c>
      <c r="M462" t="s">
        <v>7</v>
      </c>
      <c r="N462" t="s">
        <v>8</v>
      </c>
      <c r="P462">
        <f t="shared" si="979"/>
        <v>-0.56213017751479444</v>
      </c>
      <c r="Q462">
        <f t="shared" si="980"/>
        <v>-297666176.07692391</v>
      </c>
      <c r="R462">
        <f t="shared" si="981"/>
        <v>-1067296454.3131597</v>
      </c>
      <c r="S462">
        <f t="shared" si="982"/>
        <v>-10672.964543131597</v>
      </c>
      <c r="T462">
        <f t="shared" si="983"/>
        <v>-10.672964543131597</v>
      </c>
    </row>
    <row r="463" spans="1:20" x14ac:dyDescent="0.25">
      <c r="A463" s="5">
        <v>44130</v>
      </c>
      <c r="B463">
        <v>1.677E-2</v>
      </c>
      <c r="C463">
        <v>1.7729999999999999E-2</v>
      </c>
      <c r="D463">
        <v>1.4E-2</v>
      </c>
      <c r="E463">
        <v>1.5679999999999999E-2</v>
      </c>
      <c r="F463">
        <v>868607095.5</v>
      </c>
      <c r="G463">
        <v>0</v>
      </c>
      <c r="L463" t="s">
        <v>8</v>
      </c>
      <c r="M463" t="s">
        <v>8</v>
      </c>
      <c r="N463" t="s">
        <v>8</v>
      </c>
      <c r="P463">
        <f t="shared" si="979"/>
        <v>-9.9195710455764252E-2</v>
      </c>
      <c r="Q463">
        <f t="shared" si="980"/>
        <v>-86162097.945040375</v>
      </c>
      <c r="R463">
        <f t="shared" si="981"/>
        <v>-769630278.23623574</v>
      </c>
      <c r="S463">
        <f t="shared" si="982"/>
        <v>-7696.302782362357</v>
      </c>
      <c r="T463">
        <f t="shared" si="983"/>
        <v>-7.6963027823623573</v>
      </c>
    </row>
    <row r="464" spans="1:20" x14ac:dyDescent="0.25">
      <c r="A464" s="5">
        <v>44129</v>
      </c>
      <c r="B464">
        <v>1.49E-2</v>
      </c>
      <c r="C464">
        <v>1.7250000000000001E-2</v>
      </c>
      <c r="D464">
        <v>1.452E-2</v>
      </c>
      <c r="E464">
        <v>1.677E-2</v>
      </c>
      <c r="F464">
        <v>711338094.39999998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0.6483516483516476</v>
      </c>
      <c r="Q464">
        <f t="shared" si="980"/>
        <v>461197226.0395599</v>
      </c>
      <c r="R464">
        <f t="shared" si="981"/>
        <v>-683468180.29119539</v>
      </c>
      <c r="S464">
        <f t="shared" si="982"/>
        <v>-6834.681802911954</v>
      </c>
      <c r="T464">
        <f t="shared" si="983"/>
        <v>-6.8346818029119536</v>
      </c>
    </row>
    <row r="465" spans="1:20" x14ac:dyDescent="0.25">
      <c r="A465" s="5">
        <v>44128</v>
      </c>
      <c r="B465">
        <v>1.4019999999999999E-2</v>
      </c>
      <c r="C465">
        <v>1.541E-2</v>
      </c>
      <c r="D465">
        <v>1.3639999999999999E-2</v>
      </c>
      <c r="E465">
        <v>1.491E-2</v>
      </c>
      <c r="F465">
        <v>676889954.79999995</v>
      </c>
      <c r="G465">
        <v>0</v>
      </c>
      <c r="L465" t="s">
        <v>7</v>
      </c>
      <c r="M465" t="s">
        <v>7</v>
      </c>
      <c r="N465" t="s">
        <v>8</v>
      </c>
      <c r="P465">
        <f t="shared" si="979"/>
        <v>0.43502824858757033</v>
      </c>
      <c r="Q465">
        <f t="shared" si="980"/>
        <v>294466251.52316362</v>
      </c>
      <c r="R465">
        <f t="shared" si="981"/>
        <v>-1144665406.3307552</v>
      </c>
      <c r="S465">
        <f t="shared" si="982"/>
        <v>-11446.654063307553</v>
      </c>
      <c r="T465">
        <f t="shared" si="983"/>
        <v>-11.446654063307554</v>
      </c>
    </row>
    <row r="466" spans="1:20" x14ac:dyDescent="0.25">
      <c r="A466" s="5">
        <v>44127</v>
      </c>
      <c r="B466">
        <v>1.4409999999999999E-2</v>
      </c>
      <c r="C466">
        <v>1.626E-2</v>
      </c>
      <c r="D466">
        <v>1.4E-2</v>
      </c>
      <c r="E466">
        <v>1.4019999999999999E-2</v>
      </c>
      <c r="F466">
        <v>929735413.20000005</v>
      </c>
      <c r="G466">
        <v>0</v>
      </c>
      <c r="L466" t="s">
        <v>7</v>
      </c>
      <c r="M466" t="s">
        <v>8</v>
      </c>
      <c r="N466" t="s">
        <v>8</v>
      </c>
      <c r="P466">
        <f t="shared" si="979"/>
        <v>-0.98230088495575296</v>
      </c>
      <c r="Q466">
        <f t="shared" si="980"/>
        <v>-913279919.16106272</v>
      </c>
      <c r="R466">
        <f t="shared" si="981"/>
        <v>-1439131657.8539188</v>
      </c>
      <c r="S466">
        <f t="shared" si="982"/>
        <v>-14391.316578539188</v>
      </c>
      <c r="T466">
        <f t="shared" si="983"/>
        <v>-14.391316578539188</v>
      </c>
    </row>
    <row r="467" spans="1:20" x14ac:dyDescent="0.25">
      <c r="A467" s="5">
        <v>44126</v>
      </c>
      <c r="B467">
        <v>1.281E-2</v>
      </c>
      <c r="C467">
        <v>1.6299999999999999E-2</v>
      </c>
      <c r="D467">
        <v>1.274E-2</v>
      </c>
      <c r="E467">
        <v>1.4409999999999999E-2</v>
      </c>
      <c r="F467">
        <v>1733835247.4000001</v>
      </c>
      <c r="G467">
        <v>0</v>
      </c>
      <c r="L467" t="s">
        <v>8</v>
      </c>
      <c r="M467" t="s">
        <v>8</v>
      </c>
      <c r="N467" t="s">
        <v>8</v>
      </c>
      <c r="P467">
        <f t="shared" si="979"/>
        <v>-6.17977528089887E-2</v>
      </c>
      <c r="Q467">
        <f t="shared" si="980"/>
        <v>-107147122.03033698</v>
      </c>
      <c r="R467">
        <f t="shared" si="981"/>
        <v>-525851738.69285607</v>
      </c>
      <c r="S467">
        <f t="shared" si="982"/>
        <v>-5258.5173869285609</v>
      </c>
      <c r="T467">
        <f t="shared" si="983"/>
        <v>-5.2585173869285606</v>
      </c>
    </row>
    <row r="468" spans="1:20" x14ac:dyDescent="0.25">
      <c r="A468" s="5">
        <v>44125</v>
      </c>
      <c r="B468">
        <v>9.4999999999999998E-3</v>
      </c>
      <c r="C468">
        <v>1.5219999999999999E-2</v>
      </c>
      <c r="D468">
        <v>9.3200000000000002E-3</v>
      </c>
      <c r="E468">
        <v>1.2880000000000001E-2</v>
      </c>
      <c r="F468">
        <v>1336632615.8</v>
      </c>
      <c r="G468">
        <v>0</v>
      </c>
      <c r="L468" t="s">
        <v>8</v>
      </c>
      <c r="M468" t="s">
        <v>8</v>
      </c>
      <c r="N468" t="s">
        <v>8</v>
      </c>
      <c r="P468">
        <f t="shared" si="979"/>
        <v>0.20677966101694958</v>
      </c>
      <c r="Q468">
        <f t="shared" si="980"/>
        <v>276388439.19932258</v>
      </c>
      <c r="R468">
        <f t="shared" si="981"/>
        <v>-418704616.6625191</v>
      </c>
      <c r="S468">
        <f t="shared" si="982"/>
        <v>-4187.0461666251913</v>
      </c>
      <c r="T468">
        <f t="shared" si="983"/>
        <v>-4.1870461666251915</v>
      </c>
    </row>
    <row r="469" spans="1:20" x14ac:dyDescent="0.25">
      <c r="A469" s="5">
        <v>44124</v>
      </c>
      <c r="B469">
        <v>1.116E-2</v>
      </c>
      <c r="C469">
        <v>1.15E-2</v>
      </c>
      <c r="D469">
        <v>9.1999999999999998E-3</v>
      </c>
      <c r="E469">
        <v>9.4999999999999998E-3</v>
      </c>
      <c r="F469">
        <v>338035846.5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-0.73913043478260876</v>
      </c>
      <c r="Q469">
        <f t="shared" si="980"/>
        <v>-249852582.19565219</v>
      </c>
      <c r="R469">
        <f t="shared" si="981"/>
        <v>-695093055.86184168</v>
      </c>
      <c r="S469">
        <f t="shared" si="982"/>
        <v>-6950.9305586184164</v>
      </c>
      <c r="T469">
        <f t="shared" si="983"/>
        <v>-6.950930558618416</v>
      </c>
    </row>
    <row r="470" spans="1:20" x14ac:dyDescent="0.25">
      <c r="A470" s="5">
        <v>44123</v>
      </c>
      <c r="B470">
        <v>1.188E-2</v>
      </c>
      <c r="C470">
        <v>1.2200000000000001E-2</v>
      </c>
      <c r="D470">
        <v>1.023E-2</v>
      </c>
      <c r="E470">
        <v>1.115E-2</v>
      </c>
      <c r="F470">
        <v>344747822.89999998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-6.5989847715735947E-2</v>
      </c>
      <c r="Q470">
        <f t="shared" si="980"/>
        <v>-22749856.333502505</v>
      </c>
      <c r="R470">
        <f t="shared" si="981"/>
        <v>-445240473.66618955</v>
      </c>
      <c r="S470">
        <f t="shared" si="982"/>
        <v>-4452.4047366618952</v>
      </c>
      <c r="T470">
        <f t="shared" si="983"/>
        <v>-4.4524047366618955</v>
      </c>
    </row>
    <row r="471" spans="1:20" x14ac:dyDescent="0.25">
      <c r="A471" s="5">
        <v>44122</v>
      </c>
      <c r="B471">
        <v>1.026E-2</v>
      </c>
      <c r="C471">
        <v>1.2449999999999999E-2</v>
      </c>
      <c r="D471">
        <v>1.021E-2</v>
      </c>
      <c r="E471">
        <v>1.188E-2</v>
      </c>
      <c r="F471">
        <v>240911608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0.49107142857142894</v>
      </c>
      <c r="Q471">
        <f t="shared" si="980"/>
        <v>118304807.50000009</v>
      </c>
      <c r="R471">
        <f t="shared" si="981"/>
        <v>-422490617.33268702</v>
      </c>
      <c r="S471">
        <f t="shared" si="982"/>
        <v>-4224.90617332687</v>
      </c>
      <c r="T471">
        <f t="shared" si="983"/>
        <v>-4.22490617332687</v>
      </c>
    </row>
    <row r="472" spans="1:20" x14ac:dyDescent="0.25">
      <c r="A472" s="5">
        <v>44121</v>
      </c>
      <c r="B472">
        <v>9.4299999999999991E-3</v>
      </c>
      <c r="C472">
        <v>1.0359999999999999E-2</v>
      </c>
      <c r="D472">
        <v>9.1299999999999992E-3</v>
      </c>
      <c r="E472">
        <v>1.026E-2</v>
      </c>
      <c r="F472">
        <v>128735865.7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0.83739837398374084</v>
      </c>
      <c r="Q472">
        <f t="shared" si="980"/>
        <v>107803204.61056924</v>
      </c>
      <c r="R472">
        <f t="shared" si="981"/>
        <v>-540795424.83268714</v>
      </c>
      <c r="S472">
        <f t="shared" si="982"/>
        <v>-5407.9542483268715</v>
      </c>
      <c r="T472">
        <f t="shared" si="983"/>
        <v>-5.4079542483268712</v>
      </c>
    </row>
    <row r="473" spans="1:20" x14ac:dyDescent="0.25">
      <c r="A473" s="5">
        <v>44120</v>
      </c>
      <c r="B473">
        <v>1.1509999999999999E-2</v>
      </c>
      <c r="C473">
        <v>1.193E-2</v>
      </c>
      <c r="D473">
        <v>9.3100000000000006E-3</v>
      </c>
      <c r="E473">
        <v>9.4900000000000002E-3</v>
      </c>
      <c r="F473">
        <v>284434439.30000001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-0.86259541984732846</v>
      </c>
      <c r="Q473">
        <f t="shared" si="980"/>
        <v>-245351844.58702296</v>
      </c>
      <c r="R473">
        <f t="shared" si="981"/>
        <v>-648598629.44325638</v>
      </c>
      <c r="S473">
        <f t="shared" si="982"/>
        <v>-6485.9862944325641</v>
      </c>
      <c r="T473">
        <f t="shared" si="983"/>
        <v>-6.4859862944325641</v>
      </c>
    </row>
    <row r="474" spans="1:20" x14ac:dyDescent="0.25">
      <c r="A474" s="5">
        <v>44119</v>
      </c>
      <c r="B474">
        <v>1.214E-2</v>
      </c>
      <c r="C474">
        <v>1.264E-2</v>
      </c>
      <c r="D474">
        <v>1.06E-2</v>
      </c>
      <c r="E474">
        <v>1.153E-2</v>
      </c>
      <c r="F474">
        <v>343753952.19999999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-8.8235294117646856E-2</v>
      </c>
      <c r="Q474">
        <f t="shared" si="980"/>
        <v>-30331231.076470517</v>
      </c>
      <c r="R474">
        <f t="shared" si="981"/>
        <v>-403246784.85623336</v>
      </c>
      <c r="S474">
        <f t="shared" si="982"/>
        <v>-4032.4678485623335</v>
      </c>
      <c r="T474">
        <f t="shared" si="983"/>
        <v>-4.0324678485623338</v>
      </c>
    </row>
    <row r="475" spans="1:20" x14ac:dyDescent="0.25">
      <c r="A475" s="5">
        <v>44118</v>
      </c>
      <c r="B475">
        <v>9.8399999999999998E-3</v>
      </c>
      <c r="C475">
        <v>1.2789999999999999E-2</v>
      </c>
      <c r="D475">
        <v>9.8300000000000002E-3</v>
      </c>
      <c r="E475">
        <v>1.214E-2</v>
      </c>
      <c r="F475">
        <v>539940567.89999998</v>
      </c>
      <c r="G475">
        <v>0</v>
      </c>
      <c r="L475" t="s">
        <v>8</v>
      </c>
      <c r="M475" t="s">
        <v>8</v>
      </c>
      <c r="N475" t="s">
        <v>8</v>
      </c>
      <c r="P475">
        <f t="shared" si="979"/>
        <v>0.56081081081081097</v>
      </c>
      <c r="Q475">
        <f t="shared" si="980"/>
        <v>302804507.67364872</v>
      </c>
      <c r="R475">
        <f t="shared" si="981"/>
        <v>-372915553.77976286</v>
      </c>
      <c r="S475">
        <f t="shared" si="982"/>
        <v>-3729.1555377976288</v>
      </c>
      <c r="T475">
        <f t="shared" si="983"/>
        <v>-3.7291555377976287</v>
      </c>
    </row>
    <row r="476" spans="1:20" x14ac:dyDescent="0.25">
      <c r="A476" s="5">
        <v>44117</v>
      </c>
      <c r="B476">
        <v>9.4900000000000002E-3</v>
      </c>
      <c r="C476">
        <v>1.048E-2</v>
      </c>
      <c r="D476">
        <v>9.3699999999999999E-3</v>
      </c>
      <c r="E476">
        <v>9.8399999999999998E-3</v>
      </c>
      <c r="F476">
        <v>228376947.69999999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-0.15315315315315317</v>
      </c>
      <c r="Q476">
        <f t="shared" si="980"/>
        <v>-34976649.647747748</v>
      </c>
      <c r="R476">
        <f t="shared" si="981"/>
        <v>-675720061.45341158</v>
      </c>
      <c r="S476">
        <f t="shared" si="982"/>
        <v>-6757.2006145341156</v>
      </c>
      <c r="T476">
        <f t="shared" si="983"/>
        <v>-6.7572006145341152</v>
      </c>
    </row>
    <row r="477" spans="1:20" x14ac:dyDescent="0.25">
      <c r="A477" s="5">
        <v>44116</v>
      </c>
      <c r="B477">
        <v>9.0699999999999999E-3</v>
      </c>
      <c r="C477">
        <v>1.0019999999999999E-2</v>
      </c>
      <c r="D477">
        <v>8.5800000000000008E-3</v>
      </c>
      <c r="E477">
        <v>9.4900000000000002E-3</v>
      </c>
      <c r="F477">
        <v>187612478.40000001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0.26388888888888923</v>
      </c>
      <c r="Q477">
        <f t="shared" si="980"/>
        <v>49508848.466666728</v>
      </c>
      <c r="R477">
        <f t="shared" si="981"/>
        <v>-640743411.80566382</v>
      </c>
      <c r="S477">
        <f t="shared" si="982"/>
        <v>-6407.434118056638</v>
      </c>
      <c r="T477">
        <f t="shared" si="983"/>
        <v>-6.4074341180566377</v>
      </c>
    </row>
    <row r="478" spans="1:20" x14ac:dyDescent="0.25">
      <c r="A478" s="5">
        <v>44115</v>
      </c>
      <c r="B478">
        <v>8.8199999999999997E-3</v>
      </c>
      <c r="C478">
        <v>9.3900000000000008E-3</v>
      </c>
      <c r="D478">
        <v>8.3000000000000001E-3</v>
      </c>
      <c r="E478">
        <v>9.0600000000000003E-3</v>
      </c>
      <c r="F478">
        <v>158208519.09999999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0.39449541284403628</v>
      </c>
      <c r="Q478">
        <f t="shared" si="980"/>
        <v>62412535.057798095</v>
      </c>
      <c r="R478">
        <f t="shared" si="981"/>
        <v>-690252260.27233052</v>
      </c>
      <c r="S478">
        <f t="shared" si="982"/>
        <v>-6902.5226027233048</v>
      </c>
      <c r="T478">
        <f t="shared" si="983"/>
        <v>-6.9025226027233044</v>
      </c>
    </row>
    <row r="479" spans="1:20" x14ac:dyDescent="0.25">
      <c r="A479" s="5">
        <v>44114</v>
      </c>
      <c r="B479">
        <v>9.5899999999999996E-3</v>
      </c>
      <c r="C479">
        <v>9.9799999999999993E-3</v>
      </c>
      <c r="D479">
        <v>8.77E-3</v>
      </c>
      <c r="E479">
        <v>8.8100000000000001E-3</v>
      </c>
      <c r="F479">
        <v>179950565.09999999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-0.93388429752066093</v>
      </c>
      <c r="Q479">
        <f t="shared" si="980"/>
        <v>-168053007.07685944</v>
      </c>
      <c r="R479">
        <f t="shared" si="981"/>
        <v>-752664795.33012867</v>
      </c>
      <c r="S479">
        <f t="shared" si="982"/>
        <v>-7526.6479533012871</v>
      </c>
      <c r="T479">
        <f t="shared" si="983"/>
        <v>-7.5266479533012873</v>
      </c>
    </row>
    <row r="480" spans="1:20" x14ac:dyDescent="0.25">
      <c r="A480" s="5">
        <v>44113</v>
      </c>
      <c r="B480">
        <v>8.6599999999999993E-3</v>
      </c>
      <c r="C480">
        <v>9.6500000000000006E-3</v>
      </c>
      <c r="D480">
        <v>8.4399999999999996E-3</v>
      </c>
      <c r="E480">
        <v>9.5899999999999996E-3</v>
      </c>
      <c r="F480">
        <v>202308003.90000001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0.90082644628099018</v>
      </c>
      <c r="Q480">
        <f t="shared" si="980"/>
        <v>182244400.20743769</v>
      </c>
      <c r="R480">
        <f t="shared" si="981"/>
        <v>-584611788.2532692</v>
      </c>
      <c r="S480">
        <f t="shared" si="982"/>
        <v>-5846.1178825326915</v>
      </c>
      <c r="T480">
        <f t="shared" si="983"/>
        <v>-5.8461178825326918</v>
      </c>
    </row>
    <row r="481" spans="1:20" x14ac:dyDescent="0.25">
      <c r="A481" s="5">
        <v>44112</v>
      </c>
      <c r="B481">
        <v>8.2799999999999992E-3</v>
      </c>
      <c r="C481">
        <v>9.2399999999999999E-3</v>
      </c>
      <c r="D481">
        <v>7.7000000000000002E-3</v>
      </c>
      <c r="E481">
        <v>8.6599999999999993E-3</v>
      </c>
      <c r="F481">
        <v>149946193.90000001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0.24675324675324575</v>
      </c>
      <c r="Q481">
        <f t="shared" si="980"/>
        <v>36999710.183116734</v>
      </c>
      <c r="R481">
        <f t="shared" si="981"/>
        <v>-766856188.46070695</v>
      </c>
      <c r="S481">
        <f t="shared" si="982"/>
        <v>-7668.5618846070693</v>
      </c>
      <c r="T481">
        <f t="shared" si="983"/>
        <v>-7.6685618846070689</v>
      </c>
    </row>
    <row r="482" spans="1:20" x14ac:dyDescent="0.25">
      <c r="A482" s="5">
        <v>44111</v>
      </c>
      <c r="B482">
        <v>7.8799999999999999E-3</v>
      </c>
      <c r="C482">
        <v>8.5299999999999994E-3</v>
      </c>
      <c r="D482">
        <v>7.5100000000000002E-3</v>
      </c>
      <c r="E482">
        <v>8.3000000000000001E-3</v>
      </c>
      <c r="F482">
        <v>156848167.40000001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0.5490196078431383</v>
      </c>
      <c r="Q482">
        <f t="shared" si="980"/>
        <v>86112719.356862918</v>
      </c>
      <c r="R482">
        <f t="shared" si="981"/>
        <v>-803855898.64382362</v>
      </c>
      <c r="S482">
        <f t="shared" si="982"/>
        <v>-8038.5589864382364</v>
      </c>
      <c r="T482">
        <f t="shared" si="983"/>
        <v>-8.0385589864382361</v>
      </c>
    </row>
    <row r="483" spans="1:20" x14ac:dyDescent="0.25">
      <c r="A483" s="5">
        <v>44110</v>
      </c>
      <c r="B483">
        <v>9.0799999999999995E-3</v>
      </c>
      <c r="C483">
        <v>9.1999999999999998E-3</v>
      </c>
      <c r="D483">
        <v>7.5700000000000003E-3</v>
      </c>
      <c r="E483">
        <v>7.9000000000000008E-3</v>
      </c>
      <c r="F483">
        <v>157279821.90000001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-0.59509202453987664</v>
      </c>
      <c r="Q483">
        <f t="shared" si="980"/>
        <v>-93595967.633742228</v>
      </c>
      <c r="R483">
        <f t="shared" si="981"/>
        <v>-889968618.00068653</v>
      </c>
      <c r="S483">
        <f t="shared" si="982"/>
        <v>-8899.6861800068655</v>
      </c>
      <c r="T483">
        <f t="shared" si="983"/>
        <v>-8.8996861800068654</v>
      </c>
    </row>
    <row r="484" spans="1:20" x14ac:dyDescent="0.25">
      <c r="A484" s="5">
        <v>44109</v>
      </c>
      <c r="B484">
        <v>9.5300000000000003E-3</v>
      </c>
      <c r="C484">
        <v>9.6299999999999997E-3</v>
      </c>
      <c r="D484">
        <v>8.8100000000000001E-3</v>
      </c>
      <c r="E484">
        <v>9.0699999999999999E-3</v>
      </c>
      <c r="F484">
        <v>92823848.599999994</v>
      </c>
      <c r="G484">
        <v>0</v>
      </c>
      <c r="L484" t="s">
        <v>7</v>
      </c>
      <c r="M484" t="s">
        <v>8</v>
      </c>
      <c r="N484" t="s">
        <v>7</v>
      </c>
      <c r="P484">
        <f t="shared" si="979"/>
        <v>-0.36585365853658547</v>
      </c>
      <c r="Q484">
        <f t="shared" si="980"/>
        <v>-33959944.609756105</v>
      </c>
      <c r="R484">
        <f t="shared" si="981"/>
        <v>-796372650.36694431</v>
      </c>
      <c r="S484">
        <f t="shared" si="982"/>
        <v>-7963.7265036694434</v>
      </c>
      <c r="T484">
        <f t="shared" si="983"/>
        <v>-7.9637265036694433</v>
      </c>
    </row>
    <row r="485" spans="1:20" x14ac:dyDescent="0.25">
      <c r="A485" s="5">
        <v>44108</v>
      </c>
      <c r="B485">
        <v>9.7999999999999997E-3</v>
      </c>
      <c r="C485">
        <v>1.027E-2</v>
      </c>
      <c r="D485">
        <v>9.0500000000000008E-3</v>
      </c>
      <c r="E485">
        <v>9.5399999999999999E-3</v>
      </c>
      <c r="F485">
        <v>176650943.19999999</v>
      </c>
      <c r="G485">
        <v>0</v>
      </c>
      <c r="L485" t="s">
        <v>8</v>
      </c>
      <c r="M485" t="s">
        <v>8</v>
      </c>
      <c r="N485" t="s">
        <v>7</v>
      </c>
      <c r="P485">
        <f t="shared" si="979"/>
        <v>-0.19672131147541053</v>
      </c>
      <c r="Q485">
        <f t="shared" si="980"/>
        <v>-34751005.219672248</v>
      </c>
      <c r="R485">
        <f t="shared" si="981"/>
        <v>-762412705.7571882</v>
      </c>
      <c r="S485">
        <f t="shared" si="982"/>
        <v>-7624.1270575718818</v>
      </c>
      <c r="T485">
        <f t="shared" si="983"/>
        <v>-7.624127057571882</v>
      </c>
    </row>
    <row r="486" spans="1:20" x14ac:dyDescent="0.25">
      <c r="A486" s="5">
        <v>44107</v>
      </c>
      <c r="B486">
        <v>8.8299999999999993E-3</v>
      </c>
      <c r="C486">
        <v>9.9799999999999993E-3</v>
      </c>
      <c r="D486">
        <v>8.5299999999999994E-3</v>
      </c>
      <c r="E486">
        <v>9.8399999999999998E-3</v>
      </c>
      <c r="F486">
        <v>150246710.40000001</v>
      </c>
      <c r="G486">
        <v>0</v>
      </c>
      <c r="L486" t="s">
        <v>8</v>
      </c>
      <c r="M486" t="s">
        <v>8</v>
      </c>
      <c r="N486" t="s">
        <v>7</v>
      </c>
      <c r="P486">
        <f t="shared" si="979"/>
        <v>0.80689655172413866</v>
      </c>
      <c r="Q486">
        <f t="shared" si="980"/>
        <v>121233552.52965529</v>
      </c>
      <c r="R486">
        <f t="shared" si="981"/>
        <v>-727661700.537516</v>
      </c>
      <c r="S486">
        <f t="shared" si="982"/>
        <v>-7276.6170053751603</v>
      </c>
      <c r="T486">
        <f t="shared" si="983"/>
        <v>-7.2766170053751607</v>
      </c>
    </row>
    <row r="487" spans="1:20" x14ac:dyDescent="0.25">
      <c r="A487" s="5">
        <v>44106</v>
      </c>
      <c r="B487">
        <v>9.9900000000000006E-3</v>
      </c>
      <c r="C487">
        <v>0.01</v>
      </c>
      <c r="D487">
        <v>8.3000000000000001E-3</v>
      </c>
      <c r="E487">
        <v>8.8299999999999993E-3</v>
      </c>
      <c r="F487">
        <v>211537979.59999999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-0.37647058823529506</v>
      </c>
      <c r="Q487">
        <f t="shared" si="980"/>
        <v>-79637827.614117846</v>
      </c>
      <c r="R487">
        <f t="shared" si="981"/>
        <v>-848895253.06717134</v>
      </c>
      <c r="S487">
        <f t="shared" si="982"/>
        <v>-8488.9525306717132</v>
      </c>
      <c r="T487">
        <f t="shared" si="983"/>
        <v>-8.488952530671714</v>
      </c>
    </row>
    <row r="488" spans="1:20" x14ac:dyDescent="0.25">
      <c r="A488" s="5">
        <v>44105</v>
      </c>
      <c r="B488">
        <v>9.6299999999999997E-3</v>
      </c>
      <c r="C488">
        <v>1.076E-2</v>
      </c>
      <c r="D488">
        <v>9.1800000000000007E-3</v>
      </c>
      <c r="E488">
        <v>9.9799999999999993E-3</v>
      </c>
      <c r="F488">
        <v>183085095.90000001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1.2658227848099654E-2</v>
      </c>
      <c r="Q488">
        <f t="shared" si="980"/>
        <v>2317532.8594933758</v>
      </c>
      <c r="R488">
        <f t="shared" si="981"/>
        <v>-769257425.45305347</v>
      </c>
      <c r="S488">
        <f t="shared" si="982"/>
        <v>-7692.5742545305347</v>
      </c>
      <c r="T488">
        <f t="shared" si="983"/>
        <v>-7.6925742545305349</v>
      </c>
    </row>
    <row r="489" spans="1:20" x14ac:dyDescent="0.25">
      <c r="A489" s="5">
        <v>44104</v>
      </c>
      <c r="B489">
        <v>1.052E-2</v>
      </c>
      <c r="C489">
        <v>1.0540000000000001E-2</v>
      </c>
      <c r="D489">
        <v>9.0500000000000008E-3</v>
      </c>
      <c r="E489">
        <v>9.5999999999999992E-3</v>
      </c>
      <c r="F489">
        <v>183645391.80000001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-0.26174496644295514</v>
      </c>
      <c r="Q489">
        <f t="shared" si="980"/>
        <v>-48068256.914094351</v>
      </c>
      <c r="R489">
        <f t="shared" si="981"/>
        <v>-771574958.31254685</v>
      </c>
      <c r="S489">
        <f t="shared" si="982"/>
        <v>-7715.7495831254682</v>
      </c>
      <c r="T489">
        <f t="shared" si="983"/>
        <v>-7.7157495831254685</v>
      </c>
    </row>
    <row r="490" spans="1:20" x14ac:dyDescent="0.25">
      <c r="A490" s="5">
        <v>44103</v>
      </c>
      <c r="B490">
        <v>1.065E-2</v>
      </c>
      <c r="C490">
        <v>1.0999999999999999E-2</v>
      </c>
      <c r="D490">
        <v>9.0500000000000008E-3</v>
      </c>
      <c r="E490">
        <v>1.0540000000000001E-2</v>
      </c>
      <c r="F490">
        <v>274821363.10000002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0.52820512820512933</v>
      </c>
      <c r="Q490">
        <f t="shared" si="980"/>
        <v>145162053.32974392</v>
      </c>
      <c r="R490">
        <f t="shared" si="981"/>
        <v>-723506701.39845252</v>
      </c>
      <c r="S490">
        <f t="shared" si="982"/>
        <v>-7235.0670139845251</v>
      </c>
      <c r="T490">
        <f t="shared" si="983"/>
        <v>-7.2350670139845255</v>
      </c>
    </row>
    <row r="491" spans="1:20" x14ac:dyDescent="0.25">
      <c r="A491" s="5">
        <v>44102</v>
      </c>
      <c r="B491">
        <v>1.171E-2</v>
      </c>
      <c r="C491">
        <v>1.2279999999999999E-2</v>
      </c>
      <c r="D491">
        <v>1.0500000000000001E-2</v>
      </c>
      <c r="E491">
        <v>1.065E-2</v>
      </c>
      <c r="F491">
        <v>129700097.8</v>
      </c>
      <c r="G491">
        <v>0</v>
      </c>
      <c r="L491" t="s">
        <v>7</v>
      </c>
      <c r="M491" t="s">
        <v>7</v>
      </c>
      <c r="N491" t="s">
        <v>7</v>
      </c>
      <c r="P491">
        <f t="shared" si="979"/>
        <v>-0.83146067415730429</v>
      </c>
      <c r="Q491">
        <f t="shared" si="980"/>
        <v>-107840530.75505629</v>
      </c>
      <c r="R491">
        <f t="shared" si="981"/>
        <v>-868668754.7281965</v>
      </c>
      <c r="S491">
        <f t="shared" si="982"/>
        <v>-8686.6875472819647</v>
      </c>
      <c r="T491">
        <f t="shared" si="983"/>
        <v>-8.6866875472819647</v>
      </c>
    </row>
    <row r="492" spans="1:20" x14ac:dyDescent="0.25">
      <c r="A492" s="5">
        <v>44101</v>
      </c>
      <c r="B492">
        <v>1.2319999999999999E-2</v>
      </c>
      <c r="C492">
        <v>1.32E-2</v>
      </c>
      <c r="D492">
        <v>1.137E-2</v>
      </c>
      <c r="E492">
        <v>1.171E-2</v>
      </c>
      <c r="F492">
        <v>64104295.899999999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-0.62841530054644812</v>
      </c>
      <c r="Q492">
        <f t="shared" si="980"/>
        <v>-40284120.374316938</v>
      </c>
      <c r="R492">
        <f t="shared" si="981"/>
        <v>-760828223.97314024</v>
      </c>
      <c r="S492">
        <f t="shared" si="982"/>
        <v>-7608.2822397314021</v>
      </c>
      <c r="T492">
        <f t="shared" si="983"/>
        <v>-7.6082822397314018</v>
      </c>
    </row>
    <row r="493" spans="1:20" x14ac:dyDescent="0.25">
      <c r="A493" s="5">
        <v>44100</v>
      </c>
      <c r="B493">
        <v>1.2489999999999999E-2</v>
      </c>
      <c r="C493">
        <v>1.304E-2</v>
      </c>
      <c r="D493">
        <v>1.218E-2</v>
      </c>
      <c r="E493">
        <v>1.2239999999999999E-2</v>
      </c>
      <c r="F493">
        <v>35389189.399999999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-0.86046511627907141</v>
      </c>
      <c r="Q493">
        <f t="shared" si="980"/>
        <v>-30451162.972093079</v>
      </c>
      <c r="R493">
        <f t="shared" si="981"/>
        <v>-720544103.59882331</v>
      </c>
      <c r="S493">
        <f t="shared" si="982"/>
        <v>-7205.4410359882331</v>
      </c>
      <c r="T493">
        <f t="shared" si="983"/>
        <v>-7.2054410359882333</v>
      </c>
    </row>
    <row r="494" spans="1:20" x14ac:dyDescent="0.25">
      <c r="A494" s="5">
        <v>44099</v>
      </c>
      <c r="B494">
        <v>1.289E-2</v>
      </c>
      <c r="C494">
        <v>1.3100000000000001E-2</v>
      </c>
      <c r="D494">
        <v>1.159E-2</v>
      </c>
      <c r="E494">
        <v>1.248E-2</v>
      </c>
      <c r="F494">
        <v>86012084.400000006</v>
      </c>
      <c r="G494">
        <v>0</v>
      </c>
      <c r="L494" t="s">
        <v>7</v>
      </c>
      <c r="M494" t="s">
        <v>8</v>
      </c>
      <c r="N494" t="s">
        <v>7</v>
      </c>
      <c r="P494">
        <f t="shared" si="979"/>
        <v>0.17880794701986705</v>
      </c>
      <c r="Q494">
        <f t="shared" si="980"/>
        <v>15379644.230463535</v>
      </c>
      <c r="R494">
        <f t="shared" si="981"/>
        <v>-690092940.6267302</v>
      </c>
      <c r="S494">
        <f t="shared" si="982"/>
        <v>-6900.9294062673016</v>
      </c>
      <c r="T494">
        <f t="shared" si="983"/>
        <v>-6.9009294062673012</v>
      </c>
    </row>
    <row r="495" spans="1:20" x14ac:dyDescent="0.25">
      <c r="A495" s="5">
        <v>44098</v>
      </c>
      <c r="B495">
        <v>1.056E-2</v>
      </c>
      <c r="C495">
        <v>1.325E-2</v>
      </c>
      <c r="D495">
        <v>1.0410000000000001E-2</v>
      </c>
      <c r="E495">
        <v>1.2880000000000001E-2</v>
      </c>
      <c r="F495">
        <v>162061964.90000001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0.73943661971831054</v>
      </c>
      <c r="Q495">
        <f t="shared" si="980"/>
        <v>119834551.51056349</v>
      </c>
      <c r="R495">
        <f t="shared" si="981"/>
        <v>-705472584.85719371</v>
      </c>
      <c r="S495">
        <f t="shared" si="982"/>
        <v>-7054.7258485719367</v>
      </c>
      <c r="T495">
        <f t="shared" si="983"/>
        <v>-7.0547258485719366</v>
      </c>
    </row>
    <row r="496" spans="1:20" x14ac:dyDescent="0.25">
      <c r="A496" s="5">
        <v>44097</v>
      </c>
      <c r="B496">
        <v>1.268E-2</v>
      </c>
      <c r="C496">
        <v>1.2970000000000001E-2</v>
      </c>
      <c r="D496">
        <v>9.9500000000000005E-3</v>
      </c>
      <c r="E496">
        <v>1.055E-2</v>
      </c>
      <c r="F496">
        <v>140352580.09999999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-0.60264900662251664</v>
      </c>
      <c r="Q496">
        <f t="shared" si="980"/>
        <v>-84583342.97417219</v>
      </c>
      <c r="R496">
        <f t="shared" si="981"/>
        <v>-825307136.3677572</v>
      </c>
      <c r="S496">
        <f t="shared" si="982"/>
        <v>-8253.0713636775727</v>
      </c>
      <c r="T496">
        <f t="shared" si="983"/>
        <v>-8.2530713636775719</v>
      </c>
    </row>
    <row r="497" spans="1:20" x14ac:dyDescent="0.25">
      <c r="A497" s="5">
        <v>44096</v>
      </c>
      <c r="B497">
        <v>1.278E-2</v>
      </c>
      <c r="C497">
        <v>1.34E-2</v>
      </c>
      <c r="D497">
        <v>1.2319999999999999E-2</v>
      </c>
      <c r="E497">
        <v>1.2699999999999999E-2</v>
      </c>
      <c r="F497">
        <v>61036660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-0.29629629629629678</v>
      </c>
      <c r="Q497">
        <f t="shared" si="980"/>
        <v>-18084936.296296325</v>
      </c>
      <c r="R497">
        <f t="shared" si="981"/>
        <v>-740723793.39358497</v>
      </c>
      <c r="S497">
        <f t="shared" si="982"/>
        <v>-7407.2379339358495</v>
      </c>
      <c r="T497">
        <f t="shared" si="983"/>
        <v>-7.4072379339358498</v>
      </c>
    </row>
    <row r="498" spans="1:20" x14ac:dyDescent="0.25">
      <c r="A498" s="5">
        <v>44095</v>
      </c>
      <c r="B498">
        <v>1.387E-2</v>
      </c>
      <c r="C498">
        <v>1.6410000000000001E-2</v>
      </c>
      <c r="D498">
        <v>1.201E-2</v>
      </c>
      <c r="E498">
        <v>1.2800000000000001E-2</v>
      </c>
      <c r="F498">
        <v>247276353</v>
      </c>
      <c r="G498">
        <v>0</v>
      </c>
      <c r="L498" t="s">
        <v>8</v>
      </c>
      <c r="M498" t="s">
        <v>7</v>
      </c>
      <c r="N498" t="s">
        <v>7</v>
      </c>
      <c r="P498">
        <f t="shared" si="979"/>
        <v>-0.64090909090909065</v>
      </c>
      <c r="Q498">
        <f t="shared" si="980"/>
        <v>-158481662.60454538</v>
      </c>
      <c r="R498">
        <f t="shared" si="981"/>
        <v>-722638857.09728861</v>
      </c>
      <c r="S498">
        <f t="shared" si="982"/>
        <v>-7226.3885709728856</v>
      </c>
      <c r="T498">
        <f t="shared" si="983"/>
        <v>-7.2263885709728859</v>
      </c>
    </row>
    <row r="499" spans="1:20" x14ac:dyDescent="0.25">
      <c r="A499" s="5">
        <v>44094</v>
      </c>
      <c r="B499">
        <v>1.512E-2</v>
      </c>
      <c r="C499">
        <v>1.5980000000000001E-2</v>
      </c>
      <c r="D499">
        <v>1.346E-2</v>
      </c>
      <c r="E499">
        <v>1.387E-2</v>
      </c>
      <c r="F499">
        <v>95806202.200000003</v>
      </c>
      <c r="G499">
        <v>0</v>
      </c>
      <c r="L499" t="s">
        <v>8</v>
      </c>
      <c r="M499" t="s">
        <v>8</v>
      </c>
      <c r="N499" t="s">
        <v>7</v>
      </c>
      <c r="P499">
        <f t="shared" si="979"/>
        <v>-0.67460317460317432</v>
      </c>
      <c r="Q499">
        <f t="shared" si="980"/>
        <v>-64631168.150793627</v>
      </c>
      <c r="R499">
        <f t="shared" si="981"/>
        <v>-564157194.49274325</v>
      </c>
      <c r="S499">
        <f t="shared" si="982"/>
        <v>-5641.5719449274329</v>
      </c>
      <c r="T499">
        <f t="shared" si="983"/>
        <v>-5.6415719449274331</v>
      </c>
    </row>
    <row r="500" spans="1:20" x14ac:dyDescent="0.25">
      <c r="A500" s="5">
        <v>44093</v>
      </c>
      <c r="B500">
        <v>1.353E-2</v>
      </c>
      <c r="C500">
        <v>1.55E-2</v>
      </c>
      <c r="D500">
        <v>1.308E-2</v>
      </c>
      <c r="E500">
        <v>1.512E-2</v>
      </c>
      <c r="F500">
        <v>62068354.600000001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0.68595041322314043</v>
      </c>
      <c r="Q500">
        <f t="shared" si="980"/>
        <v>42575813.48595041</v>
      </c>
      <c r="R500">
        <f t="shared" si="981"/>
        <v>-499526026.34194964</v>
      </c>
      <c r="S500">
        <f t="shared" si="982"/>
        <v>-4995.2602634194964</v>
      </c>
      <c r="T500">
        <f t="shared" si="983"/>
        <v>-4.995260263419496</v>
      </c>
    </row>
    <row r="501" spans="1:20" x14ac:dyDescent="0.25">
      <c r="A501" s="5">
        <v>44092</v>
      </c>
      <c r="B501">
        <v>1.393E-2</v>
      </c>
      <c r="C501">
        <v>1.491E-2</v>
      </c>
      <c r="D501">
        <v>1.2880000000000001E-2</v>
      </c>
      <c r="E501">
        <v>1.35E-2</v>
      </c>
      <c r="F501">
        <v>88010086.400000006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-0.38916256157635526</v>
      </c>
      <c r="Q501">
        <f t="shared" si="980"/>
        <v>-34250230.667980351</v>
      </c>
      <c r="R501">
        <f t="shared" si="981"/>
        <v>-542101839.82790005</v>
      </c>
      <c r="S501">
        <f t="shared" si="982"/>
        <v>-5421.0183982790004</v>
      </c>
      <c r="T501">
        <f t="shared" si="983"/>
        <v>-5.4210183982790001</v>
      </c>
    </row>
    <row r="502" spans="1:20" x14ac:dyDescent="0.25">
      <c r="A502" s="5">
        <v>44091</v>
      </c>
      <c r="B502">
        <v>1.4019999999999999E-2</v>
      </c>
      <c r="C502">
        <v>1.519E-2</v>
      </c>
      <c r="D502">
        <v>1.336E-2</v>
      </c>
      <c r="E502">
        <v>1.388E-2</v>
      </c>
      <c r="F502">
        <v>79223808.599999994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-0.43169398907103868</v>
      </c>
      <c r="Q502">
        <f t="shared" si="980"/>
        <v>-34200441.963934459</v>
      </c>
      <c r="R502">
        <f t="shared" si="981"/>
        <v>-507851609.15991974</v>
      </c>
      <c r="S502">
        <f t="shared" si="982"/>
        <v>-5078.5160915991974</v>
      </c>
      <c r="T502">
        <f t="shared" si="983"/>
        <v>-5.0785160915991971</v>
      </c>
    </row>
    <row r="503" spans="1:20" x14ac:dyDescent="0.25">
      <c r="A503" s="5">
        <v>44090</v>
      </c>
      <c r="B503">
        <v>1.4579999999999999E-2</v>
      </c>
      <c r="C503">
        <v>1.55E-2</v>
      </c>
      <c r="D503">
        <v>1.329E-2</v>
      </c>
      <c r="E503">
        <v>1.4030000000000001E-2</v>
      </c>
      <c r="F503">
        <v>86314782.599999994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-0.33031674208144707</v>
      </c>
      <c r="Q503">
        <f t="shared" si="980"/>
        <v>-28511217.781900372</v>
      </c>
      <c r="R503">
        <f t="shared" si="981"/>
        <v>-473651167.19598526</v>
      </c>
      <c r="S503">
        <f t="shared" si="982"/>
        <v>-4736.5116719598527</v>
      </c>
      <c r="T503">
        <f t="shared" si="983"/>
        <v>-4.7365116719598523</v>
      </c>
    </row>
    <row r="504" spans="1:20" x14ac:dyDescent="0.25">
      <c r="A504" s="5">
        <v>44089</v>
      </c>
      <c r="B504">
        <v>1.6920000000000001E-2</v>
      </c>
      <c r="C504">
        <v>1.7049999999999999E-2</v>
      </c>
      <c r="D504">
        <v>1.421E-2</v>
      </c>
      <c r="E504">
        <v>1.4590000000000001E-2</v>
      </c>
      <c r="F504">
        <v>92259955.5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-0.7323943661971829</v>
      </c>
      <c r="Q504">
        <f t="shared" si="980"/>
        <v>-67570671.633802801</v>
      </c>
      <c r="R504">
        <f t="shared" si="981"/>
        <v>-445139949.41408491</v>
      </c>
      <c r="S504">
        <f t="shared" si="982"/>
        <v>-4451.3994941408491</v>
      </c>
      <c r="T504">
        <f t="shared" si="983"/>
        <v>-4.4513994941408495</v>
      </c>
    </row>
    <row r="505" spans="1:20" x14ac:dyDescent="0.25">
      <c r="A505" s="5">
        <v>44088</v>
      </c>
      <c r="B505">
        <v>1.7000000000000001E-2</v>
      </c>
      <c r="C505">
        <v>1.7489999999999999E-2</v>
      </c>
      <c r="D505">
        <v>1.6379999999999999E-2</v>
      </c>
      <c r="E505">
        <v>1.6879999999999999E-2</v>
      </c>
      <c r="F505">
        <v>70412399.599999994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-9.9099099099098198E-2</v>
      </c>
      <c r="Q505">
        <f t="shared" si="980"/>
        <v>-6977805.365765702</v>
      </c>
      <c r="R505">
        <f t="shared" si="981"/>
        <v>-377569277.78028214</v>
      </c>
      <c r="S505">
        <f t="shared" si="982"/>
        <v>-3775.6927778028212</v>
      </c>
      <c r="T505">
        <f t="shared" si="983"/>
        <v>-3.7756927778028211</v>
      </c>
    </row>
    <row r="506" spans="1:20" x14ac:dyDescent="0.25">
      <c r="A506" s="5">
        <v>44087</v>
      </c>
      <c r="B506">
        <v>1.8069999999999999E-2</v>
      </c>
      <c r="C506">
        <v>1.8800000000000001E-2</v>
      </c>
      <c r="D506">
        <v>1.6250000000000001E-2</v>
      </c>
      <c r="E506">
        <v>1.6799999999999999E-2</v>
      </c>
      <c r="F506">
        <v>70676943.400000006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-0.56862745098039347</v>
      </c>
      <c r="Q506">
        <f t="shared" si="980"/>
        <v>-40188850.168627545</v>
      </c>
      <c r="R506">
        <f t="shared" si="981"/>
        <v>-370591472.41451645</v>
      </c>
      <c r="S506">
        <f t="shared" si="982"/>
        <v>-3705.9147241451647</v>
      </c>
      <c r="T506">
        <f t="shared" si="983"/>
        <v>-3.7059147241451647</v>
      </c>
    </row>
    <row r="507" spans="1:20" x14ac:dyDescent="0.25">
      <c r="A507" s="5">
        <v>44086</v>
      </c>
      <c r="B507">
        <v>1.6959999999999999E-2</v>
      </c>
      <c r="C507">
        <v>1.8700000000000001E-2</v>
      </c>
      <c r="D507">
        <v>1.652E-2</v>
      </c>
      <c r="E507">
        <v>1.8169999999999999E-2</v>
      </c>
      <c r="F507">
        <v>101290433.8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0.51376146788990606</v>
      </c>
      <c r="Q507">
        <f t="shared" si="980"/>
        <v>52039121.952293351</v>
      </c>
      <c r="R507">
        <f t="shared" si="981"/>
        <v>-330402622.24588889</v>
      </c>
      <c r="S507">
        <f t="shared" si="982"/>
        <v>-3304.0262224588887</v>
      </c>
      <c r="T507">
        <f t="shared" si="983"/>
        <v>-3.3040262224588886</v>
      </c>
    </row>
    <row r="508" spans="1:20" x14ac:dyDescent="0.25">
      <c r="A508" s="5">
        <v>44085</v>
      </c>
      <c r="B508">
        <v>1.7409999999999998E-2</v>
      </c>
      <c r="C508">
        <v>1.7479999999999999E-2</v>
      </c>
      <c r="D508">
        <v>1.5949999999999999E-2</v>
      </c>
      <c r="E508">
        <v>1.6969999999999999E-2</v>
      </c>
      <c r="F508">
        <v>92359573.700000003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0.33333333333333331</v>
      </c>
      <c r="Q508">
        <f t="shared" si="980"/>
        <v>30786524.566666666</v>
      </c>
      <c r="R508">
        <f t="shared" si="981"/>
        <v>-382441744.19818223</v>
      </c>
      <c r="S508">
        <f t="shared" si="982"/>
        <v>-3824.4174419818223</v>
      </c>
      <c r="T508">
        <f t="shared" si="983"/>
        <v>-3.8244174419818222</v>
      </c>
    </row>
    <row r="509" spans="1:20" x14ac:dyDescent="0.25">
      <c r="A509" s="5">
        <v>44084</v>
      </c>
      <c r="B509">
        <v>1.7940000000000001E-2</v>
      </c>
      <c r="C509">
        <v>1.83E-2</v>
      </c>
      <c r="D509">
        <v>1.6959999999999999E-2</v>
      </c>
      <c r="E509">
        <v>1.737E-2</v>
      </c>
      <c r="F509">
        <v>82745629.799999997</v>
      </c>
      <c r="G509">
        <v>0</v>
      </c>
      <c r="L509" t="s">
        <v>7</v>
      </c>
      <c r="M509" t="s">
        <v>8</v>
      </c>
      <c r="N509" t="s">
        <v>7</v>
      </c>
      <c r="P509">
        <f t="shared" si="979"/>
        <v>-0.38805970149253677</v>
      </c>
      <c r="Q509">
        <f t="shared" si="980"/>
        <v>-32110244.399999954</v>
      </c>
      <c r="R509">
        <f t="shared" si="981"/>
        <v>-413228268.76484889</v>
      </c>
      <c r="S509">
        <f t="shared" si="982"/>
        <v>-4132.2826876484887</v>
      </c>
      <c r="T509">
        <f t="shared" si="983"/>
        <v>-4.1322826876484884</v>
      </c>
    </row>
    <row r="510" spans="1:20" x14ac:dyDescent="0.25">
      <c r="A510" s="5">
        <v>44083</v>
      </c>
      <c r="B510">
        <v>1.5859999999999999E-2</v>
      </c>
      <c r="C510">
        <v>1.898E-2</v>
      </c>
      <c r="D510">
        <v>1.5299999999999999E-2</v>
      </c>
      <c r="E510">
        <v>1.787E-2</v>
      </c>
      <c r="F510">
        <v>140307507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0.39673913043478282</v>
      </c>
      <c r="Q510">
        <f t="shared" si="980"/>
        <v>55665478.320652202</v>
      </c>
      <c r="R510">
        <f t="shared" si="981"/>
        <v>-381118024.36484891</v>
      </c>
      <c r="S510">
        <f t="shared" si="982"/>
        <v>-3811.1802436484891</v>
      </c>
      <c r="T510">
        <f t="shared" si="983"/>
        <v>-3.8111802436484892</v>
      </c>
    </row>
    <row r="511" spans="1:20" x14ac:dyDescent="0.25">
      <c r="A511" s="5">
        <v>44082</v>
      </c>
      <c r="B511">
        <v>1.6549999999999999E-2</v>
      </c>
      <c r="C511">
        <v>1.7500000000000002E-2</v>
      </c>
      <c r="D511">
        <v>1.491E-2</v>
      </c>
      <c r="E511">
        <v>1.585E-2</v>
      </c>
      <c r="F511">
        <v>146052698.59999999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-0.2741312741312748</v>
      </c>
      <c r="Q511">
        <f t="shared" si="980"/>
        <v>-40037612.357529052</v>
      </c>
      <c r="R511">
        <f t="shared" si="981"/>
        <v>-436783502.6855011</v>
      </c>
      <c r="S511">
        <f t="shared" si="982"/>
        <v>-4367.8350268550112</v>
      </c>
      <c r="T511">
        <f t="shared" si="983"/>
        <v>-4.367835026855011</v>
      </c>
    </row>
    <row r="512" spans="1:20" x14ac:dyDescent="0.25">
      <c r="A512" s="5">
        <v>44081</v>
      </c>
      <c r="B512">
        <v>1.8620000000000001E-2</v>
      </c>
      <c r="C512">
        <v>1.8759999999999999E-2</v>
      </c>
      <c r="D512">
        <v>1.4370000000000001E-2</v>
      </c>
      <c r="E512">
        <v>1.644E-2</v>
      </c>
      <c r="F512">
        <v>126421948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-5.6947608200455656E-2</v>
      </c>
      <c r="Q512">
        <f t="shared" si="980"/>
        <v>-7199427.5626423787</v>
      </c>
      <c r="R512">
        <f t="shared" si="981"/>
        <v>-396745890.32797205</v>
      </c>
      <c r="S512">
        <f t="shared" si="982"/>
        <v>-3967.4589032797207</v>
      </c>
      <c r="T512">
        <f t="shared" si="983"/>
        <v>-3.9674589032797209</v>
      </c>
    </row>
    <row r="513" spans="1:20" x14ac:dyDescent="0.25">
      <c r="A513" s="5">
        <v>44080</v>
      </c>
      <c r="B513">
        <v>1.634E-2</v>
      </c>
      <c r="C513">
        <v>1.9470000000000001E-2</v>
      </c>
      <c r="D513">
        <v>1.455E-2</v>
      </c>
      <c r="E513">
        <v>1.8669999999999999E-2</v>
      </c>
      <c r="F513">
        <v>118979613.5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0.6747967479674789</v>
      </c>
      <c r="Q513">
        <f t="shared" si="980"/>
        <v>80287056.264227554</v>
      </c>
      <c r="R513">
        <f t="shared" si="981"/>
        <v>-389546462.76532966</v>
      </c>
      <c r="S513">
        <f t="shared" si="982"/>
        <v>-3895.4646276532967</v>
      </c>
      <c r="T513">
        <f t="shared" si="983"/>
        <v>-3.8954646276532965</v>
      </c>
    </row>
    <row r="514" spans="1:20" x14ac:dyDescent="0.25">
      <c r="A514" s="5">
        <v>44079</v>
      </c>
      <c r="B514">
        <v>0.02</v>
      </c>
      <c r="C514">
        <v>2.266E-2</v>
      </c>
      <c r="D514">
        <v>1.4E-2</v>
      </c>
      <c r="E514">
        <v>1.6299999999999999E-2</v>
      </c>
      <c r="F514">
        <v>176978983.19999999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-0.46882217090069322</v>
      </c>
      <c r="Q514">
        <f t="shared" si="980"/>
        <v>-82971671.107621312</v>
      </c>
      <c r="R514">
        <f t="shared" si="981"/>
        <v>-469833519.02955723</v>
      </c>
      <c r="S514">
        <f t="shared" si="982"/>
        <v>-4698.3351902955719</v>
      </c>
      <c r="T514">
        <f t="shared" si="983"/>
        <v>-4.6983351902955723</v>
      </c>
    </row>
    <row r="515" spans="1:20" x14ac:dyDescent="0.25">
      <c r="A515" s="5">
        <v>44078</v>
      </c>
      <c r="B515">
        <v>1.9740000000000001E-2</v>
      </c>
      <c r="C515">
        <v>2.222E-2</v>
      </c>
      <c r="D515">
        <v>1.6899999999999998E-2</v>
      </c>
      <c r="E515">
        <v>2.002E-2</v>
      </c>
      <c r="F515">
        <v>138169208.19999999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0.17293233082706774</v>
      </c>
      <c r="Q515">
        <f t="shared" si="980"/>
        <v>23893923.222556397</v>
      </c>
      <c r="R515">
        <f t="shared" si="981"/>
        <v>-386861847.92193592</v>
      </c>
      <c r="S515">
        <f t="shared" si="982"/>
        <v>-3868.618479219359</v>
      </c>
      <c r="T515">
        <f t="shared" si="983"/>
        <v>-3.868618479219359</v>
      </c>
    </row>
    <row r="516" spans="1:20" x14ac:dyDescent="0.25">
      <c r="A516" s="5">
        <v>44077</v>
      </c>
      <c r="B516">
        <v>2.7199999999999998E-2</v>
      </c>
      <c r="C516">
        <v>2.7709999999999999E-2</v>
      </c>
      <c r="D516">
        <v>1.907E-2</v>
      </c>
      <c r="E516">
        <v>1.9769999999999999E-2</v>
      </c>
      <c r="F516">
        <v>170028821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-0.83796296296296313</v>
      </c>
      <c r="Q516">
        <f t="shared" si="980"/>
        <v>-142477854.63425928</v>
      </c>
      <c r="R516">
        <f t="shared" si="981"/>
        <v>-410755771.14449233</v>
      </c>
      <c r="S516">
        <f t="shared" si="982"/>
        <v>-4107.5577114449234</v>
      </c>
      <c r="T516">
        <f t="shared" si="983"/>
        <v>-4.1075577114449233</v>
      </c>
    </row>
    <row r="517" spans="1:20" x14ac:dyDescent="0.25">
      <c r="A517" s="5">
        <v>44076</v>
      </c>
      <c r="B517">
        <v>2.741E-2</v>
      </c>
      <c r="C517">
        <v>3.1309999999999998E-2</v>
      </c>
      <c r="D517">
        <v>2.486E-2</v>
      </c>
      <c r="E517">
        <v>2.7220000000000001E-2</v>
      </c>
      <c r="F517">
        <v>176008796.80000001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-0.26821705426356529</v>
      </c>
      <c r="Q517">
        <f t="shared" si="980"/>
        <v>-47208561.002170444</v>
      </c>
      <c r="R517">
        <f t="shared" si="981"/>
        <v>-268277916.51023304</v>
      </c>
      <c r="S517">
        <f t="shared" si="982"/>
        <v>-2682.7791651023304</v>
      </c>
      <c r="T517">
        <f t="shared" si="983"/>
        <v>-2.6827791651023305</v>
      </c>
    </row>
    <row r="518" spans="1:20" x14ac:dyDescent="0.25">
      <c r="A518" s="5">
        <v>44075</v>
      </c>
      <c r="B518">
        <v>2.8420000000000001E-2</v>
      </c>
      <c r="C518">
        <v>2.9399999999999999E-2</v>
      </c>
      <c r="D518">
        <v>2.614E-2</v>
      </c>
      <c r="E518">
        <v>2.741E-2</v>
      </c>
      <c r="F518">
        <v>115572943.5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-0.22085889570552106</v>
      </c>
      <c r="Q518">
        <f t="shared" ref="Q518:Q581" si="985">F518*P518</f>
        <v>-25525312.674846578</v>
      </c>
      <c r="R518">
        <f t="shared" ref="R518:R581" si="986">R519+Q518</f>
        <v>-221069355.5080626</v>
      </c>
      <c r="S518">
        <f t="shared" ref="S518:S581" si="987">R518/100000</f>
        <v>-2210.6935550806261</v>
      </c>
      <c r="T518">
        <f t="shared" ref="T518:T581" si="988">S518/1000</f>
        <v>-2.2106935550806259</v>
      </c>
    </row>
    <row r="519" spans="1:20" x14ac:dyDescent="0.25">
      <c r="A519" s="5">
        <v>44074</v>
      </c>
      <c r="B519">
        <v>2.7189999999999999E-2</v>
      </c>
      <c r="C519">
        <v>3.2000000000000001E-2</v>
      </c>
      <c r="D519">
        <v>2.6259999999999999E-2</v>
      </c>
      <c r="E519">
        <v>2.8410000000000001E-2</v>
      </c>
      <c r="F519">
        <v>269926801.89999998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-0.2508710801393722</v>
      </c>
      <c r="Q519">
        <f t="shared" si="985"/>
        <v>-67716828.351219341</v>
      </c>
      <c r="R519">
        <f t="shared" si="986"/>
        <v>-195544042.83321601</v>
      </c>
      <c r="S519">
        <f t="shared" si="987"/>
        <v>-1955.4404283321601</v>
      </c>
      <c r="T519">
        <f t="shared" si="988"/>
        <v>-1.95544042833216</v>
      </c>
    </row>
    <row r="520" spans="1:20" x14ac:dyDescent="0.25">
      <c r="A520" s="5">
        <v>44073</v>
      </c>
      <c r="B520">
        <v>2.4379999999999999E-2</v>
      </c>
      <c r="C520">
        <v>3.85E-2</v>
      </c>
      <c r="D520">
        <v>2.3709999999999998E-2</v>
      </c>
      <c r="E520">
        <v>2.7189999999999999E-2</v>
      </c>
      <c r="F520">
        <v>106086703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-0.52941176470588236</v>
      </c>
      <c r="Q520">
        <f t="shared" si="985"/>
        <v>-56163548.647058822</v>
      </c>
      <c r="R520">
        <f t="shared" si="986"/>
        <v>-127827214.48199666</v>
      </c>
      <c r="S520">
        <f t="shared" si="987"/>
        <v>-1278.2721448199666</v>
      </c>
      <c r="T520">
        <f t="shared" si="988"/>
        <v>-1.2782721448199665</v>
      </c>
    </row>
    <row r="521" spans="1:20" x14ac:dyDescent="0.25">
      <c r="A521" s="5">
        <v>44072</v>
      </c>
      <c r="B521">
        <v>2.5700000000000001E-2</v>
      </c>
      <c r="C521">
        <v>2.7E-2</v>
      </c>
      <c r="D521">
        <v>2.342E-2</v>
      </c>
      <c r="E521">
        <v>2.443E-2</v>
      </c>
      <c r="F521">
        <v>78767920.299999997</v>
      </c>
      <c r="G521">
        <v>0</v>
      </c>
      <c r="L521" t="s">
        <v>7</v>
      </c>
      <c r="M521" t="s">
        <v>7</v>
      </c>
      <c r="N521" t="s">
        <v>7</v>
      </c>
      <c r="P521">
        <f t="shared" si="984"/>
        <v>-0.43575418994413379</v>
      </c>
      <c r="Q521">
        <f t="shared" si="985"/>
        <v>-34323451.303910591</v>
      </c>
      <c r="R521">
        <f t="shared" si="986"/>
        <v>-71663665.834937826</v>
      </c>
      <c r="S521">
        <f t="shared" si="987"/>
        <v>-716.63665834937831</v>
      </c>
      <c r="T521">
        <f t="shared" si="988"/>
        <v>-0.71663665834937829</v>
      </c>
    </row>
    <row r="522" spans="1:20" x14ac:dyDescent="0.25">
      <c r="A522" s="5">
        <v>44071</v>
      </c>
      <c r="B522">
        <v>2.401E-2</v>
      </c>
      <c r="C522">
        <v>2.7969999999999998E-2</v>
      </c>
      <c r="D522">
        <v>2.4E-2</v>
      </c>
      <c r="E522">
        <v>2.5909999999999999E-2</v>
      </c>
      <c r="F522">
        <v>57983653.600000001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-3.7783375314861693E-2</v>
      </c>
      <c r="Q522">
        <f t="shared" si="985"/>
        <v>-2190818.1460957313</v>
      </c>
      <c r="R522">
        <f t="shared" si="986"/>
        <v>-37340214.531027235</v>
      </c>
      <c r="S522">
        <f t="shared" si="987"/>
        <v>-373.40214531027237</v>
      </c>
      <c r="T522">
        <f t="shared" si="988"/>
        <v>-0.37340214531027238</v>
      </c>
    </row>
    <row r="523" spans="1:20" x14ac:dyDescent="0.25">
      <c r="A523" s="5">
        <v>44070</v>
      </c>
      <c r="B523">
        <v>2.273E-2</v>
      </c>
      <c r="C523">
        <v>2.9600000000000001E-2</v>
      </c>
      <c r="D523">
        <v>2.23E-2</v>
      </c>
      <c r="E523">
        <v>2.4E-2</v>
      </c>
      <c r="F523">
        <v>65792459.899999999</v>
      </c>
      <c r="G523">
        <v>0</v>
      </c>
      <c r="P523">
        <f t="shared" si="984"/>
        <v>-0.53424657534246578</v>
      </c>
      <c r="Q523">
        <f t="shared" si="985"/>
        <v>-35149396.384931505</v>
      </c>
      <c r="R523">
        <f t="shared" si="986"/>
        <v>-35149396.384931505</v>
      </c>
      <c r="S523">
        <f t="shared" si="987"/>
        <v>-351.49396384931504</v>
      </c>
      <c r="T523">
        <f t="shared" si="988"/>
        <v>-0.35149396384931503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N792" sqref="JN79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$A$791</v>
      </c>
      <c r="D111" s="1" t="str">
        <f>ADDRESS(C121-1,D121,1,1)</f>
        <v>$JN$791</v>
      </c>
      <c r="E111"/>
    </row>
    <row r="112" spans="1:5" x14ac:dyDescent="0.25">
      <c r="A112" s="7">
        <v>12164.144957890772</v>
      </c>
      <c r="C112" s="1" t="str">
        <f>ADDRESS(C121,1,1,1)</f>
        <v>$A$792</v>
      </c>
      <c r="D112" s="1" t="str">
        <f>ADDRESS(C121,D121-1,1,1)</f>
        <v>$JM$792</v>
      </c>
      <c r="E112"/>
    </row>
    <row r="113" spans="1:5" x14ac:dyDescent="0.25">
      <c r="A113" s="7">
        <v>11925.63231165762</v>
      </c>
      <c r="C113" s="1" t="str">
        <f>ADDRESS(C121+1,1,1,1)</f>
        <v>$A$793</v>
      </c>
      <c r="D113" s="1" t="str">
        <f>ADDRESS(C121-1,D121+1,1,1)</f>
        <v>$JO$791</v>
      </c>
    </row>
    <row r="114" spans="1:5" x14ac:dyDescent="0.25">
      <c r="A114" s="7">
        <v>11691.796383978059</v>
      </c>
      <c r="C114" s="1" t="str">
        <f>ADDRESS(C121,D121,1,1)</f>
        <v>$JN$792</v>
      </c>
      <c r="D114" s="1" t="str">
        <f>ADDRESS(C121+1,D121+1,1,1)</f>
        <v>$JO$793</v>
      </c>
    </row>
    <row r="115" spans="1:5" x14ac:dyDescent="0.25">
      <c r="A115" s="7">
        <v>11462.545474488292</v>
      </c>
      <c r="C115" s="1" t="str">
        <f>ADDRESS(C121+1,D121,1,1)</f>
        <v>$JN$793</v>
      </c>
    </row>
    <row r="116" spans="1:5" x14ac:dyDescent="0.25">
      <c r="A116" s="7">
        <v>11237.789680870874</v>
      </c>
      <c r="C116" s="1">
        <f>C117-1</f>
        <v>791</v>
      </c>
    </row>
    <row r="117" spans="1:5" x14ac:dyDescent="0.25">
      <c r="A117" s="7">
        <v>11017.440863598895</v>
      </c>
      <c r="C117" s="1">
        <f>C121</f>
        <v>792</v>
      </c>
      <c r="D117" s="1">
        <f>D121</f>
        <v>274</v>
      </c>
    </row>
    <row r="118" spans="1:5" x14ac:dyDescent="0.25">
      <c r="A118" s="7">
        <v>10801.412611371465</v>
      </c>
      <c r="C118" s="1">
        <f>C117+1</f>
        <v>793</v>
      </c>
      <c r="D118" s="1">
        <f>D117+1</f>
        <v>275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792</v>
      </c>
      <c r="D121" s="19">
        <v>274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R792</v>
      </c>
      <c r="D123" s="1" t="str">
        <f>"C"&amp;D121</f>
        <v>C274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1.7256979723034419E-2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128" x14ac:dyDescent="0.25">
      <c r="A689" s="7">
        <v>0.13267297885212009</v>
      </c>
      <c r="B689"/>
      <c r="C689"/>
      <c r="D689"/>
      <c r="E689"/>
      <c r="F689" s="27" t="s">
        <v>7</v>
      </c>
    </row>
    <row r="690" spans="1:128" x14ac:dyDescent="0.25">
      <c r="A690" s="7">
        <v>0.13007154789423539</v>
      </c>
      <c r="B690"/>
      <c r="C690"/>
      <c r="D690"/>
      <c r="E690"/>
      <c r="F690" s="27" t="s">
        <v>7</v>
      </c>
    </row>
    <row r="691" spans="1:128" x14ac:dyDescent="0.25">
      <c r="A691" s="7">
        <v>0.12752112538650529</v>
      </c>
      <c r="B691"/>
      <c r="C691"/>
      <c r="D691"/>
      <c r="E691"/>
      <c r="F691" s="27" t="s">
        <v>7</v>
      </c>
    </row>
    <row r="692" spans="1:128" x14ac:dyDescent="0.25">
      <c r="A692" s="7">
        <v>0.12502071116324048</v>
      </c>
      <c r="B692"/>
      <c r="C692"/>
      <c r="D692"/>
      <c r="E692"/>
      <c r="F692" s="27" t="s">
        <v>7</v>
      </c>
    </row>
    <row r="693" spans="1:128" x14ac:dyDescent="0.25">
      <c r="A693" s="7">
        <v>0.1225693246698436</v>
      </c>
      <c r="B693"/>
      <c r="C693"/>
      <c r="D693"/>
      <c r="E693"/>
      <c r="F693" s="27" t="s">
        <v>7</v>
      </c>
    </row>
    <row r="694" spans="1:128" x14ac:dyDescent="0.25">
      <c r="A694" s="7">
        <v>0.12016600457827803</v>
      </c>
      <c r="B694"/>
      <c r="C694"/>
      <c r="D694"/>
      <c r="E694"/>
      <c r="F694" s="27" t="s">
        <v>7</v>
      </c>
    </row>
    <row r="695" spans="1:128" x14ac:dyDescent="0.25">
      <c r="A695" s="7">
        <v>0.1178098084100765</v>
      </c>
      <c r="B695"/>
      <c r="C695"/>
      <c r="D695"/>
      <c r="E695"/>
      <c r="F695" s="27" t="s">
        <v>7</v>
      </c>
      <c r="DS695" s="27" t="s">
        <v>8</v>
      </c>
    </row>
    <row r="696" spans="1:128" x14ac:dyDescent="0.25">
      <c r="A696" s="7">
        <v>0.11549981216674166</v>
      </c>
      <c r="B696"/>
      <c r="C696"/>
      <c r="D696"/>
      <c r="E696"/>
      <c r="F696" s="27" t="s">
        <v>7</v>
      </c>
      <c r="DS696" s="27" t="s">
        <v>8</v>
      </c>
      <c r="DT696" s="27" t="s">
        <v>7</v>
      </c>
    </row>
    <row r="697" spans="1:128" x14ac:dyDescent="0.25">
      <c r="A697" s="7">
        <v>0.11323510996739378</v>
      </c>
      <c r="B697"/>
      <c r="C697"/>
      <c r="D697"/>
      <c r="E697"/>
      <c r="F697" s="27" t="s">
        <v>7</v>
      </c>
      <c r="DS697" s="27" t="s">
        <v>8</v>
      </c>
      <c r="DT697" s="27" t="s">
        <v>7</v>
      </c>
    </row>
    <row r="698" spans="1:128" x14ac:dyDescent="0.25">
      <c r="A698" s="7">
        <v>0.11101481369352331</v>
      </c>
      <c r="B698"/>
      <c r="C698"/>
      <c r="D698"/>
      <c r="E698"/>
      <c r="F698" s="27" t="s">
        <v>7</v>
      </c>
      <c r="DS698" s="27" t="s">
        <v>8</v>
      </c>
      <c r="DT698" s="27" t="s">
        <v>7</v>
      </c>
    </row>
    <row r="699" spans="1:128" x14ac:dyDescent="0.25">
      <c r="A699" s="7">
        <v>0.10883805264070913</v>
      </c>
      <c r="B699"/>
      <c r="C699"/>
      <c r="D699"/>
      <c r="E699"/>
      <c r="F699" s="27" t="s">
        <v>7</v>
      </c>
      <c r="DS699" s="27" t="s">
        <v>8</v>
      </c>
      <c r="DT699" s="27" t="s">
        <v>7</v>
      </c>
    </row>
    <row r="700" spans="1:128" x14ac:dyDescent="0.25">
      <c r="A700" s="7">
        <v>0.10670397317716582</v>
      </c>
      <c r="B700"/>
      <c r="C700"/>
      <c r="D700"/>
      <c r="E700"/>
      <c r="F700" s="27" t="s">
        <v>7</v>
      </c>
      <c r="DS700" s="27" t="s">
        <v>8</v>
      </c>
      <c r="DT700" s="27" t="s">
        <v>7</v>
      </c>
    </row>
    <row r="701" spans="1:128" x14ac:dyDescent="0.25">
      <c r="A701" s="7">
        <v>0.1046117384089861</v>
      </c>
      <c r="B701"/>
      <c r="C701"/>
      <c r="D701"/>
      <c r="E701"/>
      <c r="F701" s="27" t="s">
        <v>7</v>
      </c>
      <c r="DS701" s="27" t="s">
        <v>8</v>
      </c>
      <c r="DT701" s="27" t="s">
        <v>7</v>
      </c>
      <c r="DW701" s="27" t="s">
        <v>8</v>
      </c>
    </row>
    <row r="702" spans="1:128" x14ac:dyDescent="0.25">
      <c r="A702" s="7">
        <v>0.10256052785194716</v>
      </c>
      <c r="B702"/>
      <c r="C702"/>
      <c r="D702"/>
      <c r="E702"/>
      <c r="F702" s="27" t="s">
        <v>7</v>
      </c>
      <c r="DS702" s="27" t="s">
        <v>8</v>
      </c>
      <c r="DT702" s="27" t="s">
        <v>7</v>
      </c>
      <c r="DW702" s="27" t="s">
        <v>8</v>
      </c>
      <c r="DX702" s="27" t="s">
        <v>7</v>
      </c>
    </row>
    <row r="703" spans="1:128" x14ac:dyDescent="0.25">
      <c r="A703" s="7">
        <v>0.10054953710975212</v>
      </c>
      <c r="B703"/>
      <c r="C703"/>
      <c r="D703"/>
      <c r="E703"/>
      <c r="F703" s="27" t="s">
        <v>7</v>
      </c>
      <c r="DS703" s="27" t="s">
        <v>8</v>
      </c>
      <c r="DT703" s="27" t="s">
        <v>7</v>
      </c>
      <c r="DW703" s="27" t="s">
        <v>8</v>
      </c>
      <c r="DX703" s="27" t="s">
        <v>7</v>
      </c>
    </row>
    <row r="704" spans="1:128" x14ac:dyDescent="0.25">
      <c r="A704" s="7">
        <v>9.8577977558580512E-2</v>
      </c>
      <c r="B704"/>
      <c r="C704"/>
      <c r="D704"/>
      <c r="E704"/>
      <c r="F704" s="27" t="s">
        <v>7</v>
      </c>
      <c r="DI704" s="27" t="s">
        <v>8</v>
      </c>
      <c r="DS704" s="27" t="s">
        <v>8</v>
      </c>
      <c r="DT704" s="27" t="s">
        <v>7</v>
      </c>
      <c r="DW704" s="27" t="s">
        <v>8</v>
      </c>
      <c r="DX704" s="27" t="s">
        <v>7</v>
      </c>
    </row>
    <row r="705" spans="1:144" x14ac:dyDescent="0.25">
      <c r="A705" s="7">
        <v>9.6645076037824032E-2</v>
      </c>
      <c r="B705"/>
      <c r="C705"/>
      <c r="D705"/>
      <c r="E705"/>
      <c r="F705" s="27" t="s">
        <v>7</v>
      </c>
      <c r="DI705" s="27" t="s">
        <v>8</v>
      </c>
      <c r="DJ705" s="27" t="s">
        <v>7</v>
      </c>
      <c r="DK705" s="27" t="s">
        <v>8</v>
      </c>
      <c r="DS705" s="27" t="s">
        <v>8</v>
      </c>
      <c r="DT705" s="27" t="s">
        <v>7</v>
      </c>
      <c r="DW705" s="27" t="s">
        <v>8</v>
      </c>
      <c r="DX705" s="27" t="s">
        <v>7</v>
      </c>
    </row>
    <row r="706" spans="1:144" x14ac:dyDescent="0.25">
      <c r="A706" s="7">
        <v>9.4750074546886304E-2</v>
      </c>
      <c r="B706"/>
      <c r="C706"/>
      <c r="D706"/>
      <c r="E706"/>
      <c r="F706" s="27" t="s">
        <v>7</v>
      </c>
      <c r="DI706" s="27" t="s">
        <v>8</v>
      </c>
      <c r="DJ706" s="27" t="s">
        <v>7</v>
      </c>
      <c r="DK706" s="27" t="s">
        <v>8</v>
      </c>
      <c r="DL706" s="27" t="s">
        <v>7</v>
      </c>
      <c r="DS706" s="27" t="s">
        <v>8</v>
      </c>
      <c r="DT706" s="27" t="s">
        <v>7</v>
      </c>
      <c r="DU706" s="27" t="s">
        <v>8</v>
      </c>
      <c r="DW706" s="27" t="s">
        <v>8</v>
      </c>
      <c r="DX706" s="27" t="s">
        <v>7</v>
      </c>
      <c r="EC706" s="27" t="s">
        <v>8</v>
      </c>
    </row>
    <row r="707" spans="1:144" x14ac:dyDescent="0.25">
      <c r="A707" s="7">
        <v>9.2892229947927743E-2</v>
      </c>
      <c r="B707"/>
      <c r="C707"/>
      <c r="D707"/>
      <c r="E707"/>
      <c r="F707" s="27" t="s">
        <v>7</v>
      </c>
      <c r="DI707" s="27" t="s">
        <v>8</v>
      </c>
      <c r="DJ707" s="27" t="s">
        <v>7</v>
      </c>
      <c r="DK707" s="27" t="s">
        <v>8</v>
      </c>
      <c r="DL707" s="27" t="s">
        <v>7</v>
      </c>
      <c r="DQ707" s="27" t="s">
        <v>8</v>
      </c>
      <c r="DS707" s="27" t="s">
        <v>8</v>
      </c>
      <c r="DT707" s="27" t="s">
        <v>7</v>
      </c>
      <c r="DU707" s="27" t="s">
        <v>8</v>
      </c>
      <c r="DV707" s="27" t="s">
        <v>7</v>
      </c>
      <c r="DW707" s="27" t="s">
        <v>8</v>
      </c>
      <c r="DX707" s="27" t="s">
        <v>7</v>
      </c>
      <c r="EC707" s="27" t="s">
        <v>8</v>
      </c>
      <c r="ED707" s="27" t="s">
        <v>7</v>
      </c>
      <c r="EE707" s="27" t="s">
        <v>8</v>
      </c>
    </row>
    <row r="708" spans="1:144" x14ac:dyDescent="0.25">
      <c r="A708" s="7">
        <v>9.1070813674438963E-2</v>
      </c>
      <c r="B708"/>
      <c r="C708"/>
      <c r="D708"/>
      <c r="E708"/>
      <c r="F708" s="27" t="s">
        <v>7</v>
      </c>
      <c r="DI708" s="27" t="s">
        <v>8</v>
      </c>
      <c r="DJ708" s="27" t="s">
        <v>7</v>
      </c>
      <c r="DK708" s="27" t="s">
        <v>8</v>
      </c>
      <c r="DL708" s="27" t="s">
        <v>7</v>
      </c>
      <c r="DM708" s="27" t="s">
        <v>8</v>
      </c>
      <c r="DQ708" s="27" t="s">
        <v>8</v>
      </c>
      <c r="DR708" s="27" t="s">
        <v>7</v>
      </c>
      <c r="DS708" s="27" t="s">
        <v>8</v>
      </c>
      <c r="DT708" s="27" t="s">
        <v>7</v>
      </c>
      <c r="DU708" s="27" t="s">
        <v>8</v>
      </c>
      <c r="DV708" s="27" t="s">
        <v>7</v>
      </c>
      <c r="DW708" s="27" t="s">
        <v>8</v>
      </c>
      <c r="DX708" s="27" t="s">
        <v>7</v>
      </c>
      <c r="EA708" s="27" t="s">
        <v>8</v>
      </c>
      <c r="EC708" s="27" t="s">
        <v>8</v>
      </c>
      <c r="ED708" s="27" t="s">
        <v>7</v>
      </c>
      <c r="EE708" s="27" t="s">
        <v>8</v>
      </c>
      <c r="EF708" s="27" t="s">
        <v>7</v>
      </c>
    </row>
    <row r="709" spans="1:144" x14ac:dyDescent="0.25">
      <c r="A709" s="7">
        <v>8.9285111445528392E-2</v>
      </c>
      <c r="B709"/>
      <c r="C709"/>
      <c r="D709"/>
      <c r="E709"/>
      <c r="F709" s="27" t="s">
        <v>7</v>
      </c>
      <c r="DI709" s="27" t="s">
        <v>8</v>
      </c>
      <c r="DJ709" s="27" t="s">
        <v>7</v>
      </c>
      <c r="DK709" s="27" t="s">
        <v>8</v>
      </c>
      <c r="DL709" s="27" t="s">
        <v>7</v>
      </c>
      <c r="DM709" s="27" t="s">
        <v>8</v>
      </c>
      <c r="DN709" s="27" t="s">
        <v>7</v>
      </c>
      <c r="DO709" s="27" t="s">
        <v>8</v>
      </c>
      <c r="DQ709" s="27" t="s">
        <v>8</v>
      </c>
      <c r="DR709" s="27" t="s">
        <v>7</v>
      </c>
      <c r="DS709" s="27" t="s">
        <v>8</v>
      </c>
      <c r="DT709" s="27" t="s">
        <v>7</v>
      </c>
      <c r="DU709" s="27" t="s">
        <v>8</v>
      </c>
      <c r="DV709" s="27" t="s">
        <v>7</v>
      </c>
      <c r="DW709" s="27" t="s">
        <v>8</v>
      </c>
      <c r="DX709" s="27" t="s">
        <v>7</v>
      </c>
      <c r="EA709" s="27" t="s">
        <v>8</v>
      </c>
      <c r="EB709" s="27" t="s">
        <v>7</v>
      </c>
      <c r="EC709" s="27" t="s">
        <v>8</v>
      </c>
      <c r="ED709" s="27" t="s">
        <v>7</v>
      </c>
      <c r="EE709" s="27" t="s">
        <v>8</v>
      </c>
      <c r="EF709" s="27" t="s">
        <v>7</v>
      </c>
      <c r="EI709" s="27" t="s">
        <v>8</v>
      </c>
    </row>
    <row r="710" spans="1:144" x14ac:dyDescent="0.25">
      <c r="A710" s="7">
        <v>8.7534422985812155E-2</v>
      </c>
      <c r="B710"/>
      <c r="C710"/>
      <c r="D710"/>
      <c r="E710"/>
      <c r="F710" s="27" t="s">
        <v>7</v>
      </c>
      <c r="DG710" s="27" t="s">
        <v>8</v>
      </c>
      <c r="DI710" s="27" t="s">
        <v>8</v>
      </c>
      <c r="DJ710" s="27" t="s">
        <v>7</v>
      </c>
      <c r="DK710" s="27" t="s">
        <v>8</v>
      </c>
      <c r="DL710" s="27" t="s">
        <v>7</v>
      </c>
      <c r="DM710" s="27" t="s">
        <v>8</v>
      </c>
      <c r="DN710" s="27" t="s">
        <v>7</v>
      </c>
      <c r="DO710" s="27" t="s">
        <v>8</v>
      </c>
      <c r="DP710" s="27" t="s">
        <v>7</v>
      </c>
      <c r="DQ710" s="27" t="s">
        <v>8</v>
      </c>
      <c r="DR710" s="27" t="s">
        <v>7</v>
      </c>
      <c r="DS710" s="27" t="s">
        <v>8</v>
      </c>
      <c r="DT710" s="27" t="s">
        <v>7</v>
      </c>
      <c r="DU710" s="27" t="s">
        <v>8</v>
      </c>
      <c r="DV710" s="27" t="s">
        <v>7</v>
      </c>
      <c r="DW710" s="27" t="s">
        <v>8</v>
      </c>
      <c r="DX710" s="27" t="s">
        <v>7</v>
      </c>
      <c r="EA710" s="27" t="s">
        <v>8</v>
      </c>
      <c r="EB710" s="27" t="s">
        <v>7</v>
      </c>
      <c r="EC710" s="27" t="s">
        <v>8</v>
      </c>
      <c r="ED710" s="27" t="s">
        <v>7</v>
      </c>
      <c r="EE710" s="27" t="s">
        <v>8</v>
      </c>
      <c r="EF710" s="27" t="s">
        <v>7</v>
      </c>
      <c r="EI710" s="27" t="s">
        <v>8</v>
      </c>
      <c r="EJ710" s="27" t="s">
        <v>7</v>
      </c>
    </row>
    <row r="711" spans="1:144" x14ac:dyDescent="0.25">
      <c r="A711" s="7">
        <v>8.5818061750796232E-2</v>
      </c>
      <c r="B711"/>
      <c r="C711"/>
      <c r="D711"/>
      <c r="E711"/>
      <c r="F711" s="27" t="s">
        <v>7</v>
      </c>
      <c r="DG711" s="27" t="s">
        <v>8</v>
      </c>
      <c r="DH711" s="27" t="s">
        <v>7</v>
      </c>
      <c r="DI711" s="27" t="s">
        <v>8</v>
      </c>
      <c r="DJ711" s="27" t="s">
        <v>7</v>
      </c>
      <c r="DK711" s="27" t="s">
        <v>8</v>
      </c>
      <c r="DL711" s="27" t="s">
        <v>7</v>
      </c>
      <c r="DN711" s="27" t="s">
        <v>7</v>
      </c>
      <c r="DO711" s="27" t="s">
        <v>8</v>
      </c>
      <c r="DP711" s="27" t="s">
        <v>7</v>
      </c>
      <c r="DQ711" s="27" t="s">
        <v>8</v>
      </c>
      <c r="DR711" s="27" t="s">
        <v>7</v>
      </c>
      <c r="DS711" s="27" t="s">
        <v>8</v>
      </c>
      <c r="DT711" s="27" t="s">
        <v>7</v>
      </c>
      <c r="DU711" s="27" t="s">
        <v>8</v>
      </c>
      <c r="DV711" s="27" t="s">
        <v>7</v>
      </c>
      <c r="DW711" s="27" t="s">
        <v>8</v>
      </c>
      <c r="DX711" s="27" t="s">
        <v>7</v>
      </c>
      <c r="EA711" s="27" t="s">
        <v>8</v>
      </c>
      <c r="EB711" s="27" t="s">
        <v>7</v>
      </c>
      <c r="EC711" s="27" t="s">
        <v>8</v>
      </c>
      <c r="ED711" s="27" t="s">
        <v>7</v>
      </c>
      <c r="EF711" s="27" t="s">
        <v>7</v>
      </c>
      <c r="EG711" s="27" t="s">
        <v>8</v>
      </c>
      <c r="EI711" s="27" t="s">
        <v>8</v>
      </c>
      <c r="EJ711" s="27" t="s">
        <v>7</v>
      </c>
    </row>
    <row r="712" spans="1:144" x14ac:dyDescent="0.25">
      <c r="A712" s="7">
        <v>8.4135354657643366E-2</v>
      </c>
      <c r="B712"/>
      <c r="C712"/>
      <c r="D712"/>
      <c r="E712"/>
      <c r="F712" s="27" t="s">
        <v>7</v>
      </c>
      <c r="DG712" s="27" t="s">
        <v>8</v>
      </c>
      <c r="DH712" s="27" t="s">
        <v>7</v>
      </c>
      <c r="DI712" s="27" t="s">
        <v>8</v>
      </c>
      <c r="DJ712" s="27" t="s">
        <v>7</v>
      </c>
      <c r="DK712" s="27" t="s">
        <v>8</v>
      </c>
      <c r="DN712" s="27" t="s">
        <v>7</v>
      </c>
      <c r="DO712" s="27" t="s">
        <v>8</v>
      </c>
      <c r="DP712" s="27" t="s">
        <v>7</v>
      </c>
      <c r="DQ712" s="27" t="s">
        <v>8</v>
      </c>
      <c r="DR712" s="27" t="s">
        <v>7</v>
      </c>
      <c r="DS712" s="27" t="s">
        <v>8</v>
      </c>
      <c r="DT712" s="27" t="s">
        <v>7</v>
      </c>
      <c r="DU712" s="27" t="s">
        <v>8</v>
      </c>
      <c r="DV712" s="27" t="s">
        <v>7</v>
      </c>
      <c r="DW712" s="27" t="s">
        <v>8</v>
      </c>
      <c r="DX712" s="27" t="s">
        <v>7</v>
      </c>
      <c r="EA712" s="27" t="s">
        <v>8</v>
      </c>
      <c r="EB712" s="27" t="s">
        <v>7</v>
      </c>
      <c r="EC712" s="27" t="s">
        <v>8</v>
      </c>
      <c r="EF712" s="27" t="s">
        <v>7</v>
      </c>
      <c r="EG712" s="27" t="s">
        <v>8</v>
      </c>
      <c r="EH712" s="27" t="s">
        <v>7</v>
      </c>
      <c r="EI712" s="27" t="s">
        <v>8</v>
      </c>
      <c r="EJ712" s="27" t="s">
        <v>7</v>
      </c>
    </row>
    <row r="713" spans="1:144" x14ac:dyDescent="0.25">
      <c r="A713" s="7">
        <v>8.248564182121898E-2</v>
      </c>
      <c r="B713"/>
      <c r="C713"/>
      <c r="D713"/>
      <c r="E713"/>
      <c r="F713" s="27" t="s">
        <v>7</v>
      </c>
      <c r="DC713" s="27" t="s">
        <v>8</v>
      </c>
      <c r="DG713" s="27" t="s">
        <v>8</v>
      </c>
      <c r="DH713" s="27" t="s">
        <v>7</v>
      </c>
      <c r="DI713" s="27" t="s">
        <v>8</v>
      </c>
      <c r="DJ713" s="27" t="s">
        <v>7</v>
      </c>
      <c r="DK713" s="27" t="s">
        <v>8</v>
      </c>
      <c r="DN713" s="27" t="s">
        <v>7</v>
      </c>
      <c r="DO713" s="27" t="s">
        <v>8</v>
      </c>
      <c r="DP713" s="27" t="s">
        <v>7</v>
      </c>
      <c r="DQ713" s="27" t="s">
        <v>8</v>
      </c>
      <c r="DR713" s="27" t="s">
        <v>7</v>
      </c>
      <c r="DS713" s="27" t="s">
        <v>8</v>
      </c>
      <c r="DT713" s="27" t="s">
        <v>7</v>
      </c>
      <c r="DU713" s="27" t="s">
        <v>8</v>
      </c>
      <c r="DV713" s="27" t="s">
        <v>7</v>
      </c>
      <c r="DW713" s="27" t="s">
        <v>8</v>
      </c>
      <c r="DX713" s="27" t="s">
        <v>7</v>
      </c>
      <c r="EA713" s="27" t="s">
        <v>8</v>
      </c>
      <c r="EB713" s="27" t="s">
        <v>7</v>
      </c>
      <c r="EC713" s="27" t="s">
        <v>8</v>
      </c>
      <c r="EF713" s="27" t="s">
        <v>7</v>
      </c>
      <c r="EG713" s="27" t="s">
        <v>8</v>
      </c>
      <c r="EH713" s="27" t="s">
        <v>7</v>
      </c>
      <c r="EI713" s="27" t="s">
        <v>8</v>
      </c>
      <c r="EJ713" s="27" t="s">
        <v>7</v>
      </c>
      <c r="EK713" s="27" t="s">
        <v>8</v>
      </c>
    </row>
    <row r="714" spans="1:144" x14ac:dyDescent="0.25">
      <c r="A714" s="7">
        <v>8.0868276295312735E-2</v>
      </c>
      <c r="B714"/>
      <c r="C714"/>
      <c r="D714"/>
      <c r="E714"/>
      <c r="F714" s="27" t="s">
        <v>7</v>
      </c>
      <c r="DC714" s="27" t="s">
        <v>8</v>
      </c>
      <c r="DD714" s="27" t="s">
        <v>7</v>
      </c>
      <c r="DG714" s="27" t="s">
        <v>8</v>
      </c>
      <c r="DH714" s="27" t="s">
        <v>7</v>
      </c>
      <c r="DI714" s="27" t="s">
        <v>8</v>
      </c>
      <c r="DJ714" s="27" t="s">
        <v>7</v>
      </c>
      <c r="DK714" s="27" t="s">
        <v>8</v>
      </c>
      <c r="DN714" s="27" t="s">
        <v>7</v>
      </c>
      <c r="DO714" s="27" t="s">
        <v>8</v>
      </c>
      <c r="DP714" s="27" t="s">
        <v>7</v>
      </c>
      <c r="DQ714" s="27" t="s">
        <v>8</v>
      </c>
      <c r="DR714" s="27" t="s">
        <v>7</v>
      </c>
      <c r="DT714" s="27" t="s">
        <v>7</v>
      </c>
      <c r="DU714" s="27" t="s">
        <v>8</v>
      </c>
      <c r="DV714" s="27" t="s">
        <v>7</v>
      </c>
      <c r="DW714" s="27" t="s">
        <v>8</v>
      </c>
      <c r="DX714" s="27" t="s">
        <v>7</v>
      </c>
      <c r="EA714" s="27" t="s">
        <v>8</v>
      </c>
      <c r="EB714" s="27" t="s">
        <v>7</v>
      </c>
      <c r="EF714" s="27" t="s">
        <v>7</v>
      </c>
      <c r="EG714" s="27" t="s">
        <v>8</v>
      </c>
      <c r="EH714" s="27" t="s">
        <v>7</v>
      </c>
      <c r="EI714" s="27" t="s">
        <v>8</v>
      </c>
      <c r="EJ714" s="27" t="s">
        <v>7</v>
      </c>
      <c r="EK714" s="27" t="s">
        <v>8</v>
      </c>
      <c r="EL714" s="27" t="s">
        <v>7</v>
      </c>
    </row>
    <row r="715" spans="1:144" x14ac:dyDescent="0.25">
      <c r="A715" s="7">
        <v>7.9282623818934056E-2</v>
      </c>
      <c r="B715"/>
      <c r="C715"/>
      <c r="D715"/>
      <c r="E715"/>
      <c r="F715" s="27" t="s">
        <v>7</v>
      </c>
      <c r="DC715" s="27" t="s">
        <v>8</v>
      </c>
      <c r="DD715" s="27" t="s">
        <v>7</v>
      </c>
      <c r="DG715" s="27" t="s">
        <v>8</v>
      </c>
      <c r="DH715" s="27" t="s">
        <v>7</v>
      </c>
      <c r="DI715" s="27" t="s">
        <v>8</v>
      </c>
      <c r="DJ715" s="27" t="s">
        <v>7</v>
      </c>
      <c r="DK715" s="27" t="s">
        <v>8</v>
      </c>
      <c r="DN715" s="27" t="s">
        <v>7</v>
      </c>
      <c r="DP715" s="27" t="s">
        <v>7</v>
      </c>
      <c r="DQ715" s="27" t="s">
        <v>8</v>
      </c>
      <c r="DT715" s="27" t="s">
        <v>7</v>
      </c>
      <c r="DU715" s="27" t="s">
        <v>8</v>
      </c>
      <c r="DV715" s="27" t="s">
        <v>7</v>
      </c>
      <c r="DW715" s="27" t="s">
        <v>8</v>
      </c>
      <c r="DX715" s="27" t="s">
        <v>7</v>
      </c>
      <c r="EA715" s="27" t="s">
        <v>8</v>
      </c>
      <c r="EF715" s="27" t="s">
        <v>7</v>
      </c>
      <c r="EH715" s="27" t="s">
        <v>7</v>
      </c>
      <c r="EI715" s="27" t="s">
        <v>8</v>
      </c>
      <c r="EJ715" s="27" t="s">
        <v>7</v>
      </c>
      <c r="EK715" s="27" t="s">
        <v>8</v>
      </c>
      <c r="EL715" s="27" t="s">
        <v>7</v>
      </c>
      <c r="EM715" s="27" t="s">
        <v>8</v>
      </c>
    </row>
    <row r="716" spans="1:144" x14ac:dyDescent="0.25">
      <c r="A716" s="7">
        <v>7.7728062567582412E-2</v>
      </c>
      <c r="B716"/>
      <c r="C716"/>
      <c r="D716"/>
      <c r="E716"/>
      <c r="F716" s="27" t="s">
        <v>7</v>
      </c>
      <c r="CO716" s="27" t="s">
        <v>8</v>
      </c>
      <c r="DC716" s="27" t="s">
        <v>8</v>
      </c>
      <c r="DD716" s="27" t="s">
        <v>7</v>
      </c>
      <c r="DG716" s="27" t="s">
        <v>8</v>
      </c>
      <c r="DH716" s="27" t="s">
        <v>7</v>
      </c>
      <c r="DI716" s="27" t="s">
        <v>8</v>
      </c>
      <c r="DJ716" s="27" t="s">
        <v>7</v>
      </c>
      <c r="DK716" s="27" t="s">
        <v>8</v>
      </c>
      <c r="DP716" s="27" t="s">
        <v>7</v>
      </c>
      <c r="DQ716" s="27" t="s">
        <v>8</v>
      </c>
      <c r="DT716" s="27" t="s">
        <v>7</v>
      </c>
      <c r="DV716" s="27" t="s">
        <v>7</v>
      </c>
      <c r="DW716" s="27" t="s">
        <v>8</v>
      </c>
      <c r="DX716" s="27" t="s">
        <v>7</v>
      </c>
      <c r="EA716" s="27" t="s">
        <v>8</v>
      </c>
      <c r="EH716" s="27" t="s">
        <v>7</v>
      </c>
      <c r="EJ716" s="27" t="s">
        <v>7</v>
      </c>
      <c r="EK716" s="27" t="s">
        <v>8</v>
      </c>
      <c r="EL716" s="27" t="s">
        <v>7</v>
      </c>
      <c r="EM716" s="27" t="s">
        <v>8</v>
      </c>
      <c r="EN716" s="27" t="s">
        <v>7</v>
      </c>
    </row>
    <row r="717" spans="1:144" x14ac:dyDescent="0.25">
      <c r="A717" s="7">
        <v>7.6203982909394521E-2</v>
      </c>
      <c r="B717"/>
      <c r="C717"/>
      <c r="D717"/>
      <c r="E717"/>
      <c r="F717" s="27" t="s">
        <v>7</v>
      </c>
      <c r="CO717" s="27" t="s">
        <v>8</v>
      </c>
      <c r="CP717" s="27" t="s">
        <v>7</v>
      </c>
      <c r="DC717" s="27" t="s">
        <v>8</v>
      </c>
      <c r="DD717" s="27" t="s">
        <v>7</v>
      </c>
      <c r="DG717" s="27" t="s">
        <v>8</v>
      </c>
      <c r="DH717" s="27" t="s">
        <v>7</v>
      </c>
      <c r="DJ717" s="27" t="s">
        <v>7</v>
      </c>
      <c r="DK717" s="27" t="s">
        <v>8</v>
      </c>
      <c r="DP717" s="27" t="s">
        <v>7</v>
      </c>
      <c r="DQ717" s="27" t="s">
        <v>8</v>
      </c>
      <c r="DV717" s="27" t="s">
        <v>7</v>
      </c>
      <c r="DW717" s="27" t="s">
        <v>8</v>
      </c>
      <c r="DX717" s="27" t="s">
        <v>7</v>
      </c>
      <c r="DY717" s="27" t="s">
        <v>8</v>
      </c>
      <c r="EA717" s="27" t="s">
        <v>8</v>
      </c>
      <c r="EJ717" s="27" t="s">
        <v>7</v>
      </c>
      <c r="EK717" s="27" t="s">
        <v>8</v>
      </c>
      <c r="EL717" s="27" t="s">
        <v>7</v>
      </c>
      <c r="EM717" s="27" t="s">
        <v>8</v>
      </c>
      <c r="EN717" s="27" t="s">
        <v>7</v>
      </c>
    </row>
    <row r="718" spans="1:144" x14ac:dyDescent="0.25">
      <c r="A718" s="7">
        <v>7.4709787166073058E-2</v>
      </c>
      <c r="B718"/>
      <c r="C718"/>
      <c r="D718"/>
      <c r="E718"/>
      <c r="F718" s="27" t="s">
        <v>7</v>
      </c>
      <c r="CO718" s="27" t="s">
        <v>8</v>
      </c>
      <c r="CP718" s="27" t="s">
        <v>7</v>
      </c>
      <c r="DC718" s="27" t="s">
        <v>8</v>
      </c>
      <c r="DD718" s="27" t="s">
        <v>7</v>
      </c>
      <c r="DE718" s="27" t="s">
        <v>8</v>
      </c>
      <c r="DG718" s="27" t="s">
        <v>8</v>
      </c>
      <c r="DJ718" s="27" t="s">
        <v>7</v>
      </c>
      <c r="DK718" s="27" t="s">
        <v>8</v>
      </c>
      <c r="DP718" s="27" t="s">
        <v>7</v>
      </c>
      <c r="DV718" s="27" t="s">
        <v>7</v>
      </c>
      <c r="DW718" s="27" t="s">
        <v>8</v>
      </c>
      <c r="DX718" s="27" t="s">
        <v>7</v>
      </c>
      <c r="DY718" s="27" t="s">
        <v>8</v>
      </c>
      <c r="DZ718" s="27" t="s">
        <v>7</v>
      </c>
      <c r="EA718" s="27" t="s">
        <v>8</v>
      </c>
      <c r="EJ718" s="27" t="s">
        <v>7</v>
      </c>
      <c r="EK718" s="27" t="s">
        <v>8</v>
      </c>
      <c r="EL718" s="27" t="s">
        <v>7</v>
      </c>
      <c r="EM718" s="27" t="s">
        <v>8</v>
      </c>
      <c r="EN718" s="27" t="s">
        <v>7</v>
      </c>
    </row>
    <row r="719" spans="1:144" x14ac:dyDescent="0.25">
      <c r="A719" s="7">
        <v>7.3244889378503E-2</v>
      </c>
      <c r="B719"/>
      <c r="C719"/>
      <c r="D719"/>
      <c r="E719"/>
      <c r="F719" s="27" t="s">
        <v>7</v>
      </c>
      <c r="CO719" s="27" t="s">
        <v>8</v>
      </c>
      <c r="CP719" s="27" t="s">
        <v>7</v>
      </c>
      <c r="DC719" s="27" t="s">
        <v>8</v>
      </c>
      <c r="DD719" s="27" t="s">
        <v>7</v>
      </c>
      <c r="DE719" s="27" t="s">
        <v>8</v>
      </c>
      <c r="DF719" s="27" t="s">
        <v>7</v>
      </c>
      <c r="DG719" s="27" t="s">
        <v>8</v>
      </c>
      <c r="DJ719" s="27" t="s">
        <v>7</v>
      </c>
      <c r="DK719" s="27" t="s">
        <v>8</v>
      </c>
      <c r="DV719" s="27" t="s">
        <v>7</v>
      </c>
      <c r="DX719" s="27" t="s">
        <v>7</v>
      </c>
      <c r="DY719" s="27" t="s">
        <v>8</v>
      </c>
      <c r="DZ719" s="27" t="s">
        <v>7</v>
      </c>
      <c r="EA719" s="27" t="s">
        <v>8</v>
      </c>
      <c r="EJ719" s="27" t="s">
        <v>7</v>
      </c>
      <c r="EK719" s="27" t="s">
        <v>8</v>
      </c>
      <c r="EL719" s="27" t="s">
        <v>7</v>
      </c>
      <c r="EM719" s="27" t="s">
        <v>8</v>
      </c>
      <c r="EN719" s="27" t="s">
        <v>7</v>
      </c>
    </row>
    <row r="720" spans="1:144" x14ac:dyDescent="0.25">
      <c r="A720" s="7">
        <v>7.1808715076963722E-2</v>
      </c>
      <c r="B720"/>
      <c r="C720"/>
      <c r="D720"/>
      <c r="E720"/>
      <c r="F720" s="27" t="s">
        <v>7</v>
      </c>
      <c r="CO720" s="27" t="s">
        <v>8</v>
      </c>
      <c r="CP720" s="27" t="s">
        <v>7</v>
      </c>
      <c r="DC720" s="27" t="s">
        <v>8</v>
      </c>
      <c r="DD720" s="27" t="s">
        <v>7</v>
      </c>
      <c r="DE720" s="27" t="s">
        <v>8</v>
      </c>
      <c r="DF720" s="27" t="s">
        <v>7</v>
      </c>
      <c r="DG720" s="27" t="s">
        <v>8</v>
      </c>
      <c r="DJ720" s="27" t="s">
        <v>7</v>
      </c>
      <c r="DK720" s="27" t="s">
        <v>8</v>
      </c>
      <c r="DX720" s="27" t="s">
        <v>7</v>
      </c>
      <c r="DY720" s="27" t="s">
        <v>8</v>
      </c>
      <c r="DZ720" s="27" t="s">
        <v>7</v>
      </c>
      <c r="EA720" s="27" t="s">
        <v>8</v>
      </c>
      <c r="EJ720" s="27" t="s">
        <v>7</v>
      </c>
      <c r="EL720" s="27" t="s">
        <v>7</v>
      </c>
      <c r="EM720" s="27" t="s">
        <v>8</v>
      </c>
      <c r="EN720" s="27" t="s">
        <v>7</v>
      </c>
    </row>
    <row r="721" spans="1:246" x14ac:dyDescent="0.25">
      <c r="A721" s="7">
        <v>7.0400701055846782E-2</v>
      </c>
      <c r="B721"/>
      <c r="C721"/>
      <c r="D721"/>
      <c r="E721"/>
      <c r="F721" s="27" t="s">
        <v>7</v>
      </c>
      <c r="CO721" s="27" t="s">
        <v>8</v>
      </c>
      <c r="CP721" s="27" t="s">
        <v>7</v>
      </c>
      <c r="DC721" s="27" t="s">
        <v>8</v>
      </c>
      <c r="DD721" s="27" t="s">
        <v>7</v>
      </c>
      <c r="DE721" s="27" t="s">
        <v>8</v>
      </c>
      <c r="DF721" s="27" t="s">
        <v>7</v>
      </c>
      <c r="DG721" s="27" t="s">
        <v>8</v>
      </c>
      <c r="DJ721" s="27" t="s">
        <v>7</v>
      </c>
      <c r="DK721" s="27" t="s">
        <v>8</v>
      </c>
      <c r="DX721" s="27" t="s">
        <v>7</v>
      </c>
      <c r="DY721" s="27" t="s">
        <v>8</v>
      </c>
      <c r="DZ721" s="27" t="s">
        <v>7</v>
      </c>
      <c r="EA721" s="27" t="s">
        <v>8</v>
      </c>
      <c r="EL721" s="27" t="s">
        <v>7</v>
      </c>
      <c r="EM721" s="27" t="s">
        <v>8</v>
      </c>
      <c r="EN721" s="27" t="s">
        <v>7</v>
      </c>
    </row>
    <row r="722" spans="1:246" x14ac:dyDescent="0.25">
      <c r="A722" s="7">
        <v>6.9020295152790956E-2</v>
      </c>
      <c r="B722"/>
      <c r="C722"/>
      <c r="D722"/>
      <c r="E722"/>
      <c r="F722" s="27" t="s">
        <v>7</v>
      </c>
      <c r="CO722" s="27" t="s">
        <v>8</v>
      </c>
      <c r="CP722" s="27" t="s">
        <v>7</v>
      </c>
      <c r="DC722" s="27" t="s">
        <v>8</v>
      </c>
      <c r="DD722" s="27" t="s">
        <v>7</v>
      </c>
      <c r="DE722" s="27" t="s">
        <v>8</v>
      </c>
      <c r="DF722" s="27" t="s">
        <v>7</v>
      </c>
      <c r="DG722" s="27" t="s">
        <v>8</v>
      </c>
      <c r="DJ722" s="27" t="s">
        <v>7</v>
      </c>
      <c r="DK722" s="27" t="s">
        <v>8</v>
      </c>
      <c r="DX722" s="27" t="s">
        <v>7</v>
      </c>
      <c r="DZ722" s="27" t="s">
        <v>7</v>
      </c>
      <c r="EA722" s="27" t="s">
        <v>8</v>
      </c>
      <c r="EL722" s="27" t="s">
        <v>7</v>
      </c>
      <c r="EM722" s="27" t="s">
        <v>8</v>
      </c>
      <c r="EN722" s="27" t="s">
        <v>7</v>
      </c>
      <c r="EO722" s="27" t="s">
        <v>8</v>
      </c>
    </row>
    <row r="723" spans="1:246" x14ac:dyDescent="0.25">
      <c r="A723" s="7">
        <v>6.7666956032147993E-2</v>
      </c>
      <c r="B723"/>
      <c r="C723"/>
      <c r="D723"/>
      <c r="E723"/>
      <c r="F723" s="27" t="s">
        <v>7</v>
      </c>
      <c r="CO723" s="27" t="s">
        <v>8</v>
      </c>
      <c r="CP723" s="27" t="s">
        <v>7</v>
      </c>
      <c r="DA723" s="27" t="s">
        <v>8</v>
      </c>
      <c r="DC723" s="27" t="s">
        <v>8</v>
      </c>
      <c r="DD723" s="27" t="s">
        <v>7</v>
      </c>
      <c r="DE723" s="27" t="s">
        <v>8</v>
      </c>
      <c r="DF723" s="27" t="s">
        <v>7</v>
      </c>
      <c r="DG723" s="27" t="s">
        <v>8</v>
      </c>
      <c r="DJ723" s="27" t="s">
        <v>7</v>
      </c>
      <c r="DZ723" s="27" t="s">
        <v>7</v>
      </c>
      <c r="EA723" s="27" t="s">
        <v>8</v>
      </c>
      <c r="EL723" s="27" t="s">
        <v>7</v>
      </c>
      <c r="EM723" s="27" t="s">
        <v>8</v>
      </c>
      <c r="EN723" s="27" t="s">
        <v>7</v>
      </c>
      <c r="EO723" s="27" t="s">
        <v>8</v>
      </c>
      <c r="EP723" s="27" t="s">
        <v>7</v>
      </c>
    </row>
    <row r="724" spans="1:246" x14ac:dyDescent="0.25">
      <c r="A724" s="7">
        <v>6.6340152972694105E-2</v>
      </c>
      <c r="B724"/>
      <c r="C724"/>
      <c r="D724"/>
      <c r="E724"/>
      <c r="F724" s="27" t="s">
        <v>7</v>
      </c>
      <c r="CO724" s="27" t="s">
        <v>8</v>
      </c>
      <c r="CP724" s="27" t="s">
        <v>7</v>
      </c>
      <c r="CS724" s="27" t="s">
        <v>8</v>
      </c>
      <c r="DA724" s="27" t="s">
        <v>8</v>
      </c>
      <c r="DB724" s="27" t="s">
        <v>7</v>
      </c>
      <c r="DC724" s="27" t="s">
        <v>8</v>
      </c>
      <c r="DD724" s="27" t="s">
        <v>7</v>
      </c>
      <c r="DE724" s="27" t="s">
        <v>8</v>
      </c>
      <c r="DF724" s="27" t="s">
        <v>7</v>
      </c>
      <c r="DZ724" s="27" t="s">
        <v>7</v>
      </c>
      <c r="EA724" s="27" t="s">
        <v>8</v>
      </c>
      <c r="EL724" s="27" t="s">
        <v>7</v>
      </c>
      <c r="EM724" s="27" t="s">
        <v>8</v>
      </c>
      <c r="EN724" s="27" t="s">
        <v>7</v>
      </c>
      <c r="EO724" s="27" t="s">
        <v>8</v>
      </c>
      <c r="EP724" s="27" t="s">
        <v>7</v>
      </c>
    </row>
    <row r="725" spans="1:246" x14ac:dyDescent="0.25">
      <c r="A725" s="7">
        <v>6.5039365659504023E-2</v>
      </c>
      <c r="B725"/>
      <c r="C725"/>
      <c r="D725"/>
      <c r="E725"/>
      <c r="F725" s="27" t="s">
        <v>7</v>
      </c>
      <c r="CO725" s="27" t="s">
        <v>8</v>
      </c>
      <c r="CP725" s="27" t="s">
        <v>7</v>
      </c>
      <c r="CS725" s="27" t="s">
        <v>8</v>
      </c>
      <c r="CT725" s="27" t="s">
        <v>7</v>
      </c>
      <c r="DA725" s="27" t="s">
        <v>8</v>
      </c>
      <c r="DB725" s="27" t="s">
        <v>7</v>
      </c>
      <c r="DC725" s="27" t="s">
        <v>8</v>
      </c>
      <c r="DD725" s="27" t="s">
        <v>7</v>
      </c>
      <c r="DZ725" s="27" t="s">
        <v>7</v>
      </c>
      <c r="EA725" s="27" t="s">
        <v>8</v>
      </c>
      <c r="EL725" s="27" t="s">
        <v>7</v>
      </c>
      <c r="EM725" s="27" t="s">
        <v>8</v>
      </c>
      <c r="EN725" s="27" t="s">
        <v>7</v>
      </c>
      <c r="EO725" s="27" t="s">
        <v>8</v>
      </c>
      <c r="EP725" s="27" t="s">
        <v>7</v>
      </c>
    </row>
    <row r="726" spans="1:246" x14ac:dyDescent="0.25">
      <c r="A726" s="7">
        <v>6.3764083979905906E-2</v>
      </c>
      <c r="B726"/>
      <c r="C726"/>
      <c r="D726"/>
      <c r="E726"/>
      <c r="F726" s="27" t="s">
        <v>7</v>
      </c>
      <c r="CO726" s="27" t="s">
        <v>8</v>
      </c>
      <c r="CP726" s="27" t="s">
        <v>7</v>
      </c>
      <c r="CS726" s="27" t="s">
        <v>8</v>
      </c>
      <c r="CT726" s="27" t="s">
        <v>7</v>
      </c>
      <c r="DA726" s="27" t="s">
        <v>8</v>
      </c>
      <c r="DB726" s="27" t="s">
        <v>7</v>
      </c>
      <c r="DC726" s="27" t="s">
        <v>8</v>
      </c>
      <c r="DZ726" s="27" t="s">
        <v>7</v>
      </c>
      <c r="EL726" s="27" t="s">
        <v>7</v>
      </c>
      <c r="EM726" s="27" t="s">
        <v>8</v>
      </c>
      <c r="EN726" s="27" t="s">
        <v>7</v>
      </c>
      <c r="EO726" s="27" t="s">
        <v>8</v>
      </c>
      <c r="EP726" s="27" t="s">
        <v>7</v>
      </c>
    </row>
    <row r="727" spans="1:246" x14ac:dyDescent="0.25">
      <c r="A727" s="7">
        <v>6.251380782343717E-2</v>
      </c>
      <c r="B727"/>
      <c r="C727"/>
      <c r="D727"/>
      <c r="E727"/>
      <c r="F727" s="27" t="s">
        <v>7</v>
      </c>
      <c r="CO727" s="27" t="s">
        <v>8</v>
      </c>
      <c r="CP727" s="27" t="s">
        <v>7</v>
      </c>
      <c r="CS727" s="27" t="s">
        <v>8</v>
      </c>
      <c r="CT727" s="27" t="s">
        <v>7</v>
      </c>
      <c r="DA727" s="27" t="s">
        <v>8</v>
      </c>
      <c r="DB727" s="27" t="s">
        <v>7</v>
      </c>
      <c r="DC727" s="27" t="s">
        <v>8</v>
      </c>
      <c r="EL727" s="27" t="s">
        <v>7</v>
      </c>
      <c r="EM727" s="27" t="s">
        <v>8</v>
      </c>
      <c r="EN727" s="27" t="s">
        <v>7</v>
      </c>
      <c r="EP727" s="27" t="s">
        <v>7</v>
      </c>
    </row>
    <row r="728" spans="1:246" x14ac:dyDescent="0.25">
      <c r="A728" s="7">
        <v>6.1288046885722716E-2</v>
      </c>
      <c r="B728"/>
      <c r="C728"/>
      <c r="D728"/>
      <c r="E728"/>
      <c r="F728" s="27" t="s">
        <v>7</v>
      </c>
      <c r="CO728" s="27" t="s">
        <v>8</v>
      </c>
      <c r="CP728" s="27" t="s">
        <v>7</v>
      </c>
      <c r="CQ728" s="27" t="s">
        <v>8</v>
      </c>
      <c r="CS728" s="27" t="s">
        <v>8</v>
      </c>
      <c r="CT728" s="27" t="s">
        <v>7</v>
      </c>
      <c r="DA728" s="27" t="s">
        <v>8</v>
      </c>
      <c r="DB728" s="27" t="s">
        <v>7</v>
      </c>
      <c r="DC728" s="27" t="s">
        <v>8</v>
      </c>
      <c r="EL728" s="27" t="s">
        <v>7</v>
      </c>
      <c r="EP728" s="27" t="s">
        <v>7</v>
      </c>
    </row>
    <row r="729" spans="1:246" x14ac:dyDescent="0.25">
      <c r="A729" s="7">
        <v>6.0086320476198739E-2</v>
      </c>
      <c r="B729"/>
      <c r="C729"/>
      <c r="D729"/>
      <c r="E729"/>
      <c r="F729" s="27" t="s">
        <v>7</v>
      </c>
      <c r="CO729" s="27" t="s">
        <v>8</v>
      </c>
      <c r="CP729" s="27" t="s">
        <v>7</v>
      </c>
      <c r="CQ729" s="27" t="s">
        <v>8</v>
      </c>
      <c r="CR729" s="27" t="s">
        <v>7</v>
      </c>
      <c r="CS729" s="27" t="s">
        <v>8</v>
      </c>
      <c r="CT729" s="27" t="s">
        <v>7</v>
      </c>
      <c r="DA729" s="27" t="s">
        <v>8</v>
      </c>
      <c r="DB729" s="27" t="s">
        <v>7</v>
      </c>
      <c r="DC729" s="27" t="s">
        <v>8</v>
      </c>
      <c r="EP729" s="27" t="s">
        <v>7</v>
      </c>
      <c r="GO729" s="27" t="s">
        <v>8</v>
      </c>
    </row>
    <row r="730" spans="1:246" x14ac:dyDescent="0.25">
      <c r="A730" s="7">
        <v>5.8908157329606609E-2</v>
      </c>
      <c r="B730"/>
      <c r="C730"/>
      <c r="D730"/>
      <c r="E730"/>
      <c r="F730" s="27" t="s">
        <v>7</v>
      </c>
      <c r="CO730" s="27" t="s">
        <v>8</v>
      </c>
      <c r="CP730" s="27" t="s">
        <v>7</v>
      </c>
      <c r="CQ730" s="27" t="s">
        <v>8</v>
      </c>
      <c r="CR730" s="27" t="s">
        <v>7</v>
      </c>
      <c r="CS730" s="27" t="s">
        <v>8</v>
      </c>
      <c r="CT730" s="27" t="s">
        <v>7</v>
      </c>
      <c r="CU730" s="27" t="s">
        <v>8</v>
      </c>
      <c r="CY730" s="27" t="s">
        <v>8</v>
      </c>
      <c r="DA730" s="27" t="s">
        <v>8</v>
      </c>
      <c r="DB730" s="27" t="s">
        <v>7</v>
      </c>
      <c r="DC730" s="27" t="s">
        <v>8</v>
      </c>
      <c r="EP730" s="27" t="s">
        <v>7</v>
      </c>
      <c r="GO730" s="27" t="s">
        <v>8</v>
      </c>
      <c r="GP730" s="27" t="s">
        <v>7</v>
      </c>
    </row>
    <row r="731" spans="1:246" x14ac:dyDescent="0.25">
      <c r="A731" s="7">
        <v>5.7753095421182947E-2</v>
      </c>
      <c r="B731"/>
      <c r="C731"/>
      <c r="D731"/>
      <c r="E731"/>
      <c r="F731" s="27" t="s">
        <v>7</v>
      </c>
      <c r="CO731" s="27" t="s">
        <v>8</v>
      </c>
      <c r="CP731" s="27" t="s">
        <v>7</v>
      </c>
      <c r="CQ731" s="27" t="s">
        <v>8</v>
      </c>
      <c r="CR731" s="27" t="s">
        <v>7</v>
      </c>
      <c r="CS731" s="27" t="s">
        <v>8</v>
      </c>
      <c r="CT731" s="27" t="s">
        <v>7</v>
      </c>
      <c r="CU731" s="27" t="s">
        <v>8</v>
      </c>
      <c r="CV731" s="27" t="s">
        <v>7</v>
      </c>
      <c r="CY731" s="27" t="s">
        <v>8</v>
      </c>
      <c r="CZ731" s="27" t="s">
        <v>7</v>
      </c>
      <c r="DA731" s="27" t="s">
        <v>8</v>
      </c>
      <c r="DB731" s="27" t="s">
        <v>7</v>
      </c>
      <c r="DC731" s="27" t="s">
        <v>8</v>
      </c>
      <c r="EP731" s="27" t="s">
        <v>7</v>
      </c>
      <c r="GO731" s="27" t="s">
        <v>8</v>
      </c>
      <c r="GP731" s="27" t="s">
        <v>7</v>
      </c>
    </row>
    <row r="732" spans="1:246" x14ac:dyDescent="0.25">
      <c r="A732" s="7">
        <v>5.6620681785473484E-2</v>
      </c>
      <c r="B732"/>
      <c r="C732"/>
      <c r="D732"/>
      <c r="E732"/>
      <c r="F732" s="27" t="s">
        <v>7</v>
      </c>
      <c r="CO732" s="27" t="s">
        <v>8</v>
      </c>
      <c r="CP732" s="27" t="s">
        <v>7</v>
      </c>
      <c r="CQ732" s="27" t="s">
        <v>8</v>
      </c>
      <c r="CR732" s="27" t="s">
        <v>7</v>
      </c>
      <c r="CS732" s="27" t="s">
        <v>8</v>
      </c>
      <c r="CT732" s="27" t="s">
        <v>7</v>
      </c>
      <c r="CU732" s="27" t="s">
        <v>8</v>
      </c>
      <c r="CV732" s="27" t="s">
        <v>7</v>
      </c>
      <c r="CY732" s="27" t="s">
        <v>8</v>
      </c>
      <c r="CZ732" s="27" t="s">
        <v>7</v>
      </c>
      <c r="DA732" s="27" t="s">
        <v>8</v>
      </c>
      <c r="DB732" s="27" t="s">
        <v>7</v>
      </c>
      <c r="DC732" s="27" t="s">
        <v>8</v>
      </c>
      <c r="EP732" s="27" t="s">
        <v>7</v>
      </c>
      <c r="GO732" s="27" t="s">
        <v>8</v>
      </c>
      <c r="GP732" s="27" t="s">
        <v>7</v>
      </c>
      <c r="IK732" s="27" t="s">
        <v>8</v>
      </c>
    </row>
    <row r="733" spans="1:246" x14ac:dyDescent="0.25">
      <c r="A733" s="7">
        <v>5.5510472338699497E-2</v>
      </c>
      <c r="B733"/>
      <c r="C733"/>
      <c r="D733"/>
      <c r="E733"/>
      <c r="F733" s="27" t="s">
        <v>7</v>
      </c>
      <c r="CO733" s="27" t="s">
        <v>8</v>
      </c>
      <c r="CP733" s="27" t="s">
        <v>7</v>
      </c>
      <c r="CQ733" s="27" t="s">
        <v>8</v>
      </c>
      <c r="CR733" s="27" t="s">
        <v>7</v>
      </c>
      <c r="CS733" s="27" t="s">
        <v>8</v>
      </c>
      <c r="CT733" s="27" t="s">
        <v>7</v>
      </c>
      <c r="CU733" s="27" t="s">
        <v>8</v>
      </c>
      <c r="CV733" s="27" t="s">
        <v>7</v>
      </c>
      <c r="CY733" s="27" t="s">
        <v>8</v>
      </c>
      <c r="CZ733" s="27" t="s">
        <v>7</v>
      </c>
      <c r="DA733" s="27" t="s">
        <v>8</v>
      </c>
      <c r="DB733" s="27" t="s">
        <v>7</v>
      </c>
      <c r="DC733" s="27" t="s">
        <v>8</v>
      </c>
      <c r="EP733" s="27" t="s">
        <v>7</v>
      </c>
      <c r="GO733" s="27" t="s">
        <v>8</v>
      </c>
      <c r="GP733" s="27" t="s">
        <v>7</v>
      </c>
      <c r="IK733" s="27" t="s">
        <v>8</v>
      </c>
      <c r="IL733" s="27" t="s">
        <v>7</v>
      </c>
    </row>
    <row r="734" spans="1:246" x14ac:dyDescent="0.25">
      <c r="A734" s="7">
        <v>5.4422031704607354E-2</v>
      </c>
      <c r="B734"/>
      <c r="C734"/>
      <c r="D734"/>
      <c r="E734"/>
      <c r="F734" s="27" t="s">
        <v>7</v>
      </c>
      <c r="CO734" s="27" t="s">
        <v>8</v>
      </c>
      <c r="CP734" s="27" t="s">
        <v>7</v>
      </c>
      <c r="CQ734" s="27" t="s">
        <v>8</v>
      </c>
      <c r="CR734" s="27" t="s">
        <v>7</v>
      </c>
      <c r="CS734" s="27" t="s">
        <v>8</v>
      </c>
      <c r="CT734" s="27" t="s">
        <v>7</v>
      </c>
      <c r="CU734" s="27" t="s">
        <v>8</v>
      </c>
      <c r="CV734" s="27" t="s">
        <v>7</v>
      </c>
      <c r="CY734" s="27" t="s">
        <v>8</v>
      </c>
      <c r="CZ734" s="27" t="s">
        <v>7</v>
      </c>
      <c r="DA734" s="27" t="s">
        <v>8</v>
      </c>
      <c r="DB734" s="27" t="s">
        <v>7</v>
      </c>
      <c r="EP734" s="27" t="s">
        <v>7</v>
      </c>
      <c r="GO734" s="27" t="s">
        <v>8</v>
      </c>
      <c r="GP734" s="27" t="s">
        <v>7</v>
      </c>
      <c r="IK734" s="27" t="s">
        <v>8</v>
      </c>
      <c r="IL734" s="27" t="s">
        <v>7</v>
      </c>
    </row>
    <row r="735" spans="1:246" x14ac:dyDescent="0.25">
      <c r="A735" s="7">
        <v>5.3354933043732705E-2</v>
      </c>
      <c r="B735"/>
      <c r="C735"/>
      <c r="D735"/>
      <c r="E735"/>
      <c r="F735" s="27" t="s">
        <v>7</v>
      </c>
      <c r="CO735" s="27" t="s">
        <v>8</v>
      </c>
      <c r="CP735" s="27" t="s">
        <v>7</v>
      </c>
      <c r="CQ735" s="27" t="s">
        <v>8</v>
      </c>
      <c r="CR735" s="27" t="s">
        <v>7</v>
      </c>
      <c r="CS735" s="27" t="s">
        <v>8</v>
      </c>
      <c r="CT735" s="27" t="s">
        <v>7</v>
      </c>
      <c r="CU735" s="27" t="s">
        <v>8</v>
      </c>
      <c r="CV735" s="27" t="s">
        <v>7</v>
      </c>
      <c r="CY735" s="27" t="s">
        <v>8</v>
      </c>
      <c r="CZ735" s="27" t="s">
        <v>7</v>
      </c>
      <c r="DA735" s="27" t="s">
        <v>8</v>
      </c>
      <c r="EP735" s="27" t="s">
        <v>7</v>
      </c>
      <c r="GO735" s="27" t="s">
        <v>8</v>
      </c>
      <c r="GP735" s="27" t="s">
        <v>7</v>
      </c>
      <c r="GQ735" s="27" t="s">
        <v>8</v>
      </c>
      <c r="GU735" s="27" t="s">
        <v>8</v>
      </c>
      <c r="IK735" s="27" t="s">
        <v>8</v>
      </c>
      <c r="IL735" s="27" t="s">
        <v>7</v>
      </c>
    </row>
    <row r="736" spans="1:246" x14ac:dyDescent="0.25">
      <c r="A736" s="7">
        <v>5.2308757886012455E-2</v>
      </c>
      <c r="B736"/>
      <c r="C736"/>
      <c r="D736"/>
      <c r="E736"/>
      <c r="F736" s="27" t="s">
        <v>7</v>
      </c>
      <c r="CO736" s="27" t="s">
        <v>8</v>
      </c>
      <c r="CP736" s="27" t="s">
        <v>7</v>
      </c>
      <c r="CQ736" s="27" t="s">
        <v>8</v>
      </c>
      <c r="CR736" s="27" t="s">
        <v>7</v>
      </c>
      <c r="CS736" s="27" t="s">
        <v>8</v>
      </c>
      <c r="CT736" s="27" t="s">
        <v>7</v>
      </c>
      <c r="CU736" s="27" t="s">
        <v>8</v>
      </c>
      <c r="CV736" s="27" t="s">
        <v>7</v>
      </c>
      <c r="CY736" s="27" t="s">
        <v>8</v>
      </c>
      <c r="CZ736" s="27" t="s">
        <v>7</v>
      </c>
      <c r="DA736" s="27" t="s">
        <v>8</v>
      </c>
      <c r="EP736" s="27" t="s">
        <v>7</v>
      </c>
      <c r="GM736" s="27" t="s">
        <v>8</v>
      </c>
      <c r="GO736" s="27" t="s">
        <v>8</v>
      </c>
      <c r="GP736" s="27" t="s">
        <v>7</v>
      </c>
      <c r="GQ736" s="27" t="s">
        <v>8</v>
      </c>
      <c r="GR736" s="27" t="s">
        <v>7</v>
      </c>
      <c r="GU736" s="27" t="s">
        <v>8</v>
      </c>
      <c r="GV736" s="27" t="s">
        <v>7</v>
      </c>
      <c r="IK736" s="27" t="s">
        <v>8</v>
      </c>
      <c r="IL736" s="27" t="s">
        <v>7</v>
      </c>
    </row>
    <row r="737" spans="1:252" x14ac:dyDescent="0.25">
      <c r="A737" s="7">
        <v>5.1283095966678877E-2</v>
      </c>
      <c r="B737"/>
      <c r="C737"/>
      <c r="D737"/>
      <c r="E737"/>
      <c r="F737" s="27" t="s">
        <v>7</v>
      </c>
      <c r="CO737" s="27" t="s">
        <v>8</v>
      </c>
      <c r="CP737" s="27" t="s">
        <v>7</v>
      </c>
      <c r="CQ737" s="27" t="s">
        <v>8</v>
      </c>
      <c r="CR737" s="27" t="s">
        <v>7</v>
      </c>
      <c r="CS737" s="27" t="s">
        <v>8</v>
      </c>
      <c r="CT737" s="27" t="s">
        <v>7</v>
      </c>
      <c r="CV737" s="27" t="s">
        <v>7</v>
      </c>
      <c r="CY737" s="27" t="s">
        <v>8</v>
      </c>
      <c r="CZ737" s="27" t="s">
        <v>7</v>
      </c>
      <c r="DA737" s="27" t="s">
        <v>8</v>
      </c>
      <c r="EP737" s="27" t="s">
        <v>7</v>
      </c>
      <c r="GM737" s="27" t="s">
        <v>8</v>
      </c>
      <c r="GN737" s="27" t="s">
        <v>7</v>
      </c>
      <c r="GO737" s="27" t="s">
        <v>8</v>
      </c>
      <c r="GP737" s="27" t="s">
        <v>7</v>
      </c>
      <c r="GQ737" s="27" t="s">
        <v>8</v>
      </c>
      <c r="GR737" s="27" t="s">
        <v>7</v>
      </c>
      <c r="GS737" s="27" t="s">
        <v>8</v>
      </c>
      <c r="GU737" s="27" t="s">
        <v>8</v>
      </c>
      <c r="GV737" s="27" t="s">
        <v>7</v>
      </c>
      <c r="IK737" s="27" t="s">
        <v>8</v>
      </c>
      <c r="IL737" s="27" t="s">
        <v>7</v>
      </c>
    </row>
    <row r="738" spans="1:252" x14ac:dyDescent="0.25">
      <c r="A738" s="7">
        <v>5.0277545065371444E-2</v>
      </c>
      <c r="B738"/>
      <c r="C738"/>
      <c r="D738"/>
      <c r="E738"/>
      <c r="F738" s="27" t="s">
        <v>7</v>
      </c>
      <c r="CO738" s="27" t="s">
        <v>8</v>
      </c>
      <c r="CP738" s="27" t="s">
        <v>7</v>
      </c>
      <c r="CQ738" s="27" t="s">
        <v>8</v>
      </c>
      <c r="CR738" s="27" t="s">
        <v>7</v>
      </c>
      <c r="CV738" s="27" t="s">
        <v>7</v>
      </c>
      <c r="CW738" s="27" t="s">
        <v>8</v>
      </c>
      <c r="CY738" s="27" t="s">
        <v>8</v>
      </c>
      <c r="CZ738" s="27" t="s">
        <v>7</v>
      </c>
      <c r="DA738" s="27" t="s">
        <v>8</v>
      </c>
      <c r="EP738" s="27" t="s">
        <v>7</v>
      </c>
      <c r="EQ738" s="27" t="s">
        <v>8</v>
      </c>
      <c r="GM738" s="27" t="s">
        <v>8</v>
      </c>
      <c r="GN738" s="27" t="s">
        <v>7</v>
      </c>
      <c r="GO738" s="27" t="s">
        <v>8</v>
      </c>
      <c r="GP738" s="27" t="s">
        <v>7</v>
      </c>
      <c r="GQ738" s="27" t="s">
        <v>8</v>
      </c>
      <c r="GR738" s="27" t="s">
        <v>7</v>
      </c>
      <c r="GS738" s="27" t="s">
        <v>8</v>
      </c>
      <c r="GT738" s="27" t="s">
        <v>7</v>
      </c>
      <c r="GU738" s="27" t="s">
        <v>8</v>
      </c>
      <c r="GV738" s="27" t="s">
        <v>7</v>
      </c>
      <c r="IK738" s="27" t="s">
        <v>8</v>
      </c>
      <c r="IL738" s="27" t="s">
        <v>7</v>
      </c>
    </row>
    <row r="739" spans="1:252" x14ac:dyDescent="0.25">
      <c r="A739" s="7">
        <v>4.9291710848403378E-2</v>
      </c>
      <c r="B739"/>
      <c r="C739"/>
      <c r="D739"/>
      <c r="E739"/>
      <c r="F739" s="27" t="s">
        <v>7</v>
      </c>
      <c r="BW739" s="27" t="s">
        <v>8</v>
      </c>
      <c r="CE739" s="27" t="s">
        <v>8</v>
      </c>
      <c r="CO739" s="27" t="s">
        <v>8</v>
      </c>
      <c r="CP739" s="27" t="s">
        <v>7</v>
      </c>
      <c r="CQ739" s="27" t="s">
        <v>8</v>
      </c>
      <c r="CV739" s="27" t="s">
        <v>7</v>
      </c>
      <c r="CW739" s="27" t="s">
        <v>8</v>
      </c>
      <c r="CX739" s="27" t="s">
        <v>7</v>
      </c>
      <c r="CY739" s="27" t="s">
        <v>8</v>
      </c>
      <c r="CZ739" s="27" t="s">
        <v>7</v>
      </c>
      <c r="DA739" s="27" t="s">
        <v>8</v>
      </c>
      <c r="EP739" s="27" t="s">
        <v>7</v>
      </c>
      <c r="EQ739" s="27" t="s">
        <v>8</v>
      </c>
      <c r="ER739" s="27" t="s">
        <v>7</v>
      </c>
      <c r="GM739" s="27" t="s">
        <v>8</v>
      </c>
      <c r="GN739" s="27" t="s">
        <v>7</v>
      </c>
      <c r="GO739" s="27" t="s">
        <v>8</v>
      </c>
      <c r="GP739" s="27" t="s">
        <v>7</v>
      </c>
      <c r="GQ739" s="27" t="s">
        <v>8</v>
      </c>
      <c r="GR739" s="27" t="s">
        <v>7</v>
      </c>
      <c r="GS739" s="27" t="s">
        <v>8</v>
      </c>
      <c r="GT739" s="27" t="s">
        <v>7</v>
      </c>
      <c r="GU739" s="27" t="s">
        <v>8</v>
      </c>
      <c r="GV739" s="27" t="s">
        <v>7</v>
      </c>
      <c r="IK739" s="27" t="s">
        <v>8</v>
      </c>
      <c r="IL739" s="27" t="s">
        <v>7</v>
      </c>
    </row>
    <row r="740" spans="1:252" x14ac:dyDescent="0.25">
      <c r="A740" s="7">
        <v>4.8325206714120959E-2</v>
      </c>
      <c r="B740"/>
      <c r="C740"/>
      <c r="D740"/>
      <c r="E740"/>
      <c r="F740" s="27" t="s">
        <v>7</v>
      </c>
      <c r="BW740" s="27" t="s">
        <v>8</v>
      </c>
      <c r="BX740" s="27" t="s">
        <v>7</v>
      </c>
      <c r="CE740" s="27" t="s">
        <v>8</v>
      </c>
      <c r="CF740" s="27" t="s">
        <v>7</v>
      </c>
      <c r="CO740" s="27" t="s">
        <v>8</v>
      </c>
      <c r="CP740" s="27" t="s">
        <v>7</v>
      </c>
      <c r="CQ740" s="27" t="s">
        <v>8</v>
      </c>
      <c r="CV740" s="27" t="s">
        <v>7</v>
      </c>
      <c r="CW740" s="27" t="s">
        <v>8</v>
      </c>
      <c r="CX740" s="27" t="s">
        <v>7</v>
      </c>
      <c r="CY740" s="27" t="s">
        <v>8</v>
      </c>
      <c r="CZ740" s="27" t="s">
        <v>7</v>
      </c>
      <c r="DA740" s="27" t="s">
        <v>8</v>
      </c>
      <c r="EP740" s="27" t="s">
        <v>7</v>
      </c>
      <c r="EQ740" s="27" t="s">
        <v>8</v>
      </c>
      <c r="ER740" s="27" t="s">
        <v>7</v>
      </c>
      <c r="GM740" s="27" t="s">
        <v>8</v>
      </c>
      <c r="GN740" s="27" t="s">
        <v>7</v>
      </c>
      <c r="GO740" s="27" t="s">
        <v>8</v>
      </c>
      <c r="GP740" s="27" t="s">
        <v>7</v>
      </c>
      <c r="GR740" s="27" t="s">
        <v>7</v>
      </c>
      <c r="GS740" s="27" t="s">
        <v>8</v>
      </c>
      <c r="GT740" s="27" t="s">
        <v>7</v>
      </c>
      <c r="GV740" s="27" t="s">
        <v>7</v>
      </c>
      <c r="IA740" s="27" t="s">
        <v>8</v>
      </c>
      <c r="IK740" s="27" t="s">
        <v>8</v>
      </c>
      <c r="IL740" s="27" t="s">
        <v>7</v>
      </c>
    </row>
    <row r="741" spans="1:252" x14ac:dyDescent="0.25">
      <c r="A741" s="7">
        <v>4.7377653641295057E-2</v>
      </c>
      <c r="B741"/>
      <c r="C741"/>
      <c r="D741"/>
      <c r="E741"/>
      <c r="F741" s="27" t="s">
        <v>7</v>
      </c>
      <c r="BW741" s="27" t="s">
        <v>8</v>
      </c>
      <c r="BX741" s="27" t="s">
        <v>7</v>
      </c>
      <c r="CE741" s="27" t="s">
        <v>8</v>
      </c>
      <c r="CF741" s="27" t="s">
        <v>7</v>
      </c>
      <c r="CO741" s="27" t="s">
        <v>8</v>
      </c>
      <c r="CP741" s="27" t="s">
        <v>7</v>
      </c>
      <c r="CV741" s="27" t="s">
        <v>7</v>
      </c>
      <c r="CW741" s="27" t="s">
        <v>8</v>
      </c>
      <c r="CX741" s="27" t="s">
        <v>7</v>
      </c>
      <c r="CY741" s="27" t="s">
        <v>8</v>
      </c>
      <c r="CZ741" s="27" t="s">
        <v>7</v>
      </c>
      <c r="DA741" s="27" t="s">
        <v>8</v>
      </c>
      <c r="EP741" s="27" t="s">
        <v>7</v>
      </c>
      <c r="EQ741" s="27" t="s">
        <v>8</v>
      </c>
      <c r="ER741" s="27" t="s">
        <v>7</v>
      </c>
      <c r="GM741" s="27" t="s">
        <v>8</v>
      </c>
      <c r="GN741" s="27" t="s">
        <v>7</v>
      </c>
      <c r="GR741" s="27" t="s">
        <v>7</v>
      </c>
      <c r="GS741" s="27" t="s">
        <v>8</v>
      </c>
      <c r="GV741" s="27" t="s">
        <v>7</v>
      </c>
      <c r="HY741" s="27" t="s">
        <v>8</v>
      </c>
      <c r="IA741" s="27" t="s">
        <v>8</v>
      </c>
      <c r="IB741" s="27" t="s">
        <v>7</v>
      </c>
      <c r="IK741" s="27" t="s">
        <v>8</v>
      </c>
      <c r="IL741" s="27" t="s">
        <v>7</v>
      </c>
    </row>
    <row r="742" spans="1:252" x14ac:dyDescent="0.25">
      <c r="A742" s="7">
        <v>4.644868004048535E-2</v>
      </c>
      <c r="B742"/>
      <c r="C742"/>
      <c r="D742"/>
      <c r="E742"/>
      <c r="F742" s="27" t="s">
        <v>7</v>
      </c>
      <c r="BW742" s="27" t="s">
        <v>8</v>
      </c>
      <c r="BX742" s="27" t="s">
        <v>7</v>
      </c>
      <c r="CE742" s="27" t="s">
        <v>8</v>
      </c>
      <c r="CF742" s="27" t="s">
        <v>7</v>
      </c>
      <c r="CM742" s="27" t="s">
        <v>8</v>
      </c>
      <c r="CO742" s="27" t="s">
        <v>8</v>
      </c>
      <c r="CV742" s="27" t="s">
        <v>7</v>
      </c>
      <c r="CW742" s="27" t="s">
        <v>8</v>
      </c>
      <c r="CX742" s="27" t="s">
        <v>7</v>
      </c>
      <c r="CY742" s="27" t="s">
        <v>8</v>
      </c>
      <c r="CZ742" s="27" t="s">
        <v>7</v>
      </c>
      <c r="DA742" s="27" t="s">
        <v>8</v>
      </c>
      <c r="EP742" s="27" t="s">
        <v>7</v>
      </c>
      <c r="EQ742" s="27" t="s">
        <v>8</v>
      </c>
      <c r="ER742" s="27" t="s">
        <v>7</v>
      </c>
      <c r="GK742" s="27" t="s">
        <v>8</v>
      </c>
      <c r="GM742" s="27" t="s">
        <v>8</v>
      </c>
      <c r="GR742" s="27" t="s">
        <v>7</v>
      </c>
      <c r="GS742" s="27" t="s">
        <v>8</v>
      </c>
      <c r="GV742" s="27" t="s">
        <v>7</v>
      </c>
      <c r="HY742" s="27" t="s">
        <v>8</v>
      </c>
      <c r="HZ742" s="27" t="s">
        <v>7</v>
      </c>
      <c r="IA742" s="27" t="s">
        <v>8</v>
      </c>
      <c r="IB742" s="27" t="s">
        <v>7</v>
      </c>
      <c r="IK742" s="27" t="s">
        <v>8</v>
      </c>
      <c r="IL742" s="27" t="s">
        <v>7</v>
      </c>
    </row>
    <row r="743" spans="1:252" x14ac:dyDescent="0.25">
      <c r="A743" s="7">
        <v>4.5537921608318974E-2</v>
      </c>
      <c r="B743"/>
      <c r="C743"/>
      <c r="D743"/>
      <c r="E743"/>
      <c r="F743" s="27" t="s">
        <v>7</v>
      </c>
      <c r="BU743" s="27" t="s">
        <v>8</v>
      </c>
      <c r="BW743" s="27" t="s">
        <v>8</v>
      </c>
      <c r="BX743" s="27" t="s">
        <v>7</v>
      </c>
      <c r="CC743" s="27" t="s">
        <v>8</v>
      </c>
      <c r="CE743" s="27" t="s">
        <v>8</v>
      </c>
      <c r="CF743" s="27" t="s">
        <v>7</v>
      </c>
      <c r="CM743" s="27" t="s">
        <v>8</v>
      </c>
      <c r="CN743" s="27" t="s">
        <v>7</v>
      </c>
      <c r="CO743" s="27" t="s">
        <v>8</v>
      </c>
      <c r="CV743" s="27" t="s">
        <v>7</v>
      </c>
      <c r="CW743" s="27" t="s">
        <v>8</v>
      </c>
      <c r="CX743" s="27" t="s">
        <v>7</v>
      </c>
      <c r="CY743" s="27" t="s">
        <v>8</v>
      </c>
      <c r="CZ743" s="27" t="s">
        <v>7</v>
      </c>
      <c r="EP743" s="27" t="s">
        <v>7</v>
      </c>
      <c r="EQ743" s="27" t="s">
        <v>8</v>
      </c>
      <c r="ER743" s="27" t="s">
        <v>7</v>
      </c>
      <c r="GK743" s="27" t="s">
        <v>8</v>
      </c>
      <c r="GL743" s="27" t="s">
        <v>7</v>
      </c>
      <c r="GM743" s="27" t="s">
        <v>8</v>
      </c>
      <c r="GR743" s="27" t="s">
        <v>7</v>
      </c>
      <c r="GS743" s="27" t="s">
        <v>8</v>
      </c>
      <c r="GV743" s="27" t="s">
        <v>7</v>
      </c>
      <c r="HA743" s="27" t="s">
        <v>8</v>
      </c>
      <c r="HY743" s="27" t="s">
        <v>8</v>
      </c>
      <c r="HZ743" s="27" t="s">
        <v>7</v>
      </c>
      <c r="IA743" s="27" t="s">
        <v>8</v>
      </c>
      <c r="IB743" s="27" t="s">
        <v>7</v>
      </c>
      <c r="IK743" s="27" t="s">
        <v>8</v>
      </c>
      <c r="IL743" s="27" t="s">
        <v>7</v>
      </c>
    </row>
    <row r="744" spans="1:252" x14ac:dyDescent="0.25">
      <c r="A744" s="7">
        <v>4.4645021184626446E-2</v>
      </c>
      <c r="B744"/>
      <c r="C744"/>
      <c r="D744"/>
      <c r="E744"/>
      <c r="F744" s="27" t="s">
        <v>7</v>
      </c>
      <c r="BU744" s="27" t="s">
        <v>8</v>
      </c>
      <c r="BV744" s="27" t="s">
        <v>7</v>
      </c>
      <c r="BW744" s="27" t="s">
        <v>8</v>
      </c>
      <c r="BX744" s="27" t="s">
        <v>7</v>
      </c>
      <c r="CC744" s="27" t="s">
        <v>8</v>
      </c>
      <c r="CD744" s="27" t="s">
        <v>7</v>
      </c>
      <c r="CE744" s="27" t="s">
        <v>8</v>
      </c>
      <c r="CF744" s="27" t="s">
        <v>7</v>
      </c>
      <c r="CM744" s="27" t="s">
        <v>8</v>
      </c>
      <c r="CN744" s="27" t="s">
        <v>7</v>
      </c>
      <c r="CO744" s="27" t="s">
        <v>8</v>
      </c>
      <c r="CV744" s="27" t="s">
        <v>7</v>
      </c>
      <c r="CW744" s="27" t="s">
        <v>8</v>
      </c>
      <c r="CX744" s="27" t="s">
        <v>7</v>
      </c>
      <c r="CY744" s="27" t="s">
        <v>8</v>
      </c>
      <c r="EP744" s="27" t="s">
        <v>7</v>
      </c>
      <c r="EQ744" s="27" t="s">
        <v>8</v>
      </c>
      <c r="ER744" s="27" t="s">
        <v>7</v>
      </c>
      <c r="GK744" s="27" t="s">
        <v>8</v>
      </c>
      <c r="GL744" s="27" t="s">
        <v>7</v>
      </c>
      <c r="GM744" s="27" t="s">
        <v>8</v>
      </c>
      <c r="GR744" s="27" t="s">
        <v>7</v>
      </c>
      <c r="GV744" s="27" t="s">
        <v>7</v>
      </c>
      <c r="HA744" s="27" t="s">
        <v>8</v>
      </c>
      <c r="HB744" s="27" t="s">
        <v>7</v>
      </c>
      <c r="HU744" s="27" t="s">
        <v>8</v>
      </c>
      <c r="HY744" s="27" t="s">
        <v>8</v>
      </c>
      <c r="HZ744" s="27" t="s">
        <v>7</v>
      </c>
      <c r="IA744" s="27" t="s">
        <v>8</v>
      </c>
      <c r="IB744" s="27" t="s">
        <v>7</v>
      </c>
      <c r="IE744" s="27" t="s">
        <v>8</v>
      </c>
      <c r="IK744" s="27" t="s">
        <v>8</v>
      </c>
      <c r="IL744" s="27" t="s">
        <v>7</v>
      </c>
    </row>
    <row r="745" spans="1:252" x14ac:dyDescent="0.25">
      <c r="A745" s="7">
        <v>4.3769628612378868E-2</v>
      </c>
      <c r="B745"/>
      <c r="C745"/>
      <c r="D745"/>
      <c r="E745"/>
      <c r="F745" s="27" t="s">
        <v>7</v>
      </c>
      <c r="BU745" s="27" t="s">
        <v>8</v>
      </c>
      <c r="BV745" s="27" t="s">
        <v>7</v>
      </c>
      <c r="BW745" s="27" t="s">
        <v>8</v>
      </c>
      <c r="BX745" s="27" t="s">
        <v>7</v>
      </c>
      <c r="BY745" s="27" t="s">
        <v>8</v>
      </c>
      <c r="CC745" s="27" t="s">
        <v>8</v>
      </c>
      <c r="CD745" s="27" t="s">
        <v>7</v>
      </c>
      <c r="CE745" s="27" t="s">
        <v>8</v>
      </c>
      <c r="CF745" s="27" t="s">
        <v>7</v>
      </c>
      <c r="CM745" s="27" t="s">
        <v>8</v>
      </c>
      <c r="CN745" s="27" t="s">
        <v>7</v>
      </c>
      <c r="CO745" s="27" t="s">
        <v>8</v>
      </c>
      <c r="CV745" s="27" t="s">
        <v>7</v>
      </c>
      <c r="CW745" s="27" t="s">
        <v>8</v>
      </c>
      <c r="CX745" s="27" t="s">
        <v>7</v>
      </c>
      <c r="CY745" s="27" t="s">
        <v>8</v>
      </c>
      <c r="EP745" s="27" t="s">
        <v>7</v>
      </c>
      <c r="EQ745" s="27" t="s">
        <v>8</v>
      </c>
      <c r="ER745" s="27" t="s">
        <v>7</v>
      </c>
      <c r="GG745" s="27" t="s">
        <v>8</v>
      </c>
      <c r="GK745" s="27" t="s">
        <v>8</v>
      </c>
      <c r="GL745" s="27" t="s">
        <v>7</v>
      </c>
      <c r="GM745" s="27" t="s">
        <v>8</v>
      </c>
      <c r="GV745" s="27" t="s">
        <v>7</v>
      </c>
      <c r="HA745" s="27" t="s">
        <v>8</v>
      </c>
      <c r="HB745" s="27" t="s">
        <v>7</v>
      </c>
      <c r="HU745" s="27" t="s">
        <v>8</v>
      </c>
      <c r="HV745" s="27" t="s">
        <v>7</v>
      </c>
      <c r="HY745" s="27" t="s">
        <v>8</v>
      </c>
      <c r="HZ745" s="27" t="s">
        <v>7</v>
      </c>
      <c r="IA745" s="27" t="s">
        <v>8</v>
      </c>
      <c r="IB745" s="27" t="s">
        <v>7</v>
      </c>
      <c r="IE745" s="27" t="s">
        <v>8</v>
      </c>
      <c r="IF745" s="27" t="s">
        <v>7</v>
      </c>
      <c r="IK745" s="27" t="s">
        <v>8</v>
      </c>
      <c r="IL745" s="27" t="s">
        <v>7</v>
      </c>
    </row>
    <row r="746" spans="1:252" x14ac:dyDescent="0.25">
      <c r="A746" s="7">
        <v>4.2911400600371442E-2</v>
      </c>
      <c r="B746"/>
      <c r="C746"/>
      <c r="D746"/>
      <c r="E746"/>
      <c r="F746" s="27" t="s">
        <v>7</v>
      </c>
      <c r="BU746" s="27" t="s">
        <v>8</v>
      </c>
      <c r="BV746" s="27" t="s">
        <v>7</v>
      </c>
      <c r="BW746" s="27" t="s">
        <v>8</v>
      </c>
      <c r="BX746" s="27" t="s">
        <v>7</v>
      </c>
      <c r="BY746" s="27" t="s">
        <v>8</v>
      </c>
      <c r="BZ746" s="27" t="s">
        <v>7</v>
      </c>
      <c r="CA746" s="27" t="s">
        <v>8</v>
      </c>
      <c r="CC746" s="27" t="s">
        <v>8</v>
      </c>
      <c r="CD746" s="27" t="s">
        <v>7</v>
      </c>
      <c r="CE746" s="27" t="s">
        <v>8</v>
      </c>
      <c r="CF746" s="27" t="s">
        <v>7</v>
      </c>
      <c r="CM746" s="27" t="s">
        <v>8</v>
      </c>
      <c r="CN746" s="27" t="s">
        <v>7</v>
      </c>
      <c r="CO746" s="27" t="s">
        <v>8</v>
      </c>
      <c r="CV746" s="27" t="s">
        <v>7</v>
      </c>
      <c r="CW746" s="27" t="s">
        <v>8</v>
      </c>
      <c r="CX746" s="27" t="s">
        <v>7</v>
      </c>
      <c r="CY746" s="27" t="s">
        <v>8</v>
      </c>
      <c r="EP746" s="27" t="s">
        <v>7</v>
      </c>
      <c r="EQ746" s="27" t="s">
        <v>8</v>
      </c>
      <c r="ER746" s="27" t="s">
        <v>7</v>
      </c>
      <c r="EU746" s="27" t="s">
        <v>8</v>
      </c>
      <c r="EW746" s="27" t="s">
        <v>8</v>
      </c>
      <c r="FA746" s="27" t="s">
        <v>8</v>
      </c>
      <c r="GG746" s="27" t="s">
        <v>8</v>
      </c>
      <c r="GH746" s="27" t="s">
        <v>7</v>
      </c>
      <c r="GK746" s="27" t="s">
        <v>8</v>
      </c>
      <c r="GL746" s="27" t="s">
        <v>7</v>
      </c>
      <c r="GM746" s="27" t="s">
        <v>8</v>
      </c>
      <c r="GV746" s="27" t="s">
        <v>7</v>
      </c>
      <c r="HA746" s="27" t="s">
        <v>8</v>
      </c>
      <c r="HB746" s="27" t="s">
        <v>7</v>
      </c>
      <c r="HS746" s="27" t="s">
        <v>8</v>
      </c>
      <c r="HU746" s="27" t="s">
        <v>8</v>
      </c>
      <c r="HV746" s="27" t="s">
        <v>7</v>
      </c>
      <c r="HY746" s="27" t="s">
        <v>8</v>
      </c>
      <c r="HZ746" s="27" t="s">
        <v>7</v>
      </c>
      <c r="IA746" s="27" t="s">
        <v>8</v>
      </c>
      <c r="IB746" s="27" t="s">
        <v>7</v>
      </c>
      <c r="IC746" s="27" t="s">
        <v>8</v>
      </c>
      <c r="IE746" s="27" t="s">
        <v>8</v>
      </c>
      <c r="IF746" s="27" t="s">
        <v>7</v>
      </c>
      <c r="IK746" s="27" t="s">
        <v>8</v>
      </c>
      <c r="IL746" s="27" t="s">
        <v>7</v>
      </c>
    </row>
    <row r="747" spans="1:252" x14ac:dyDescent="0.25">
      <c r="A747" s="7">
        <v>4.2070000588599457E-2</v>
      </c>
      <c r="B747"/>
      <c r="C747"/>
      <c r="D747"/>
      <c r="E747"/>
      <c r="F747" s="27" t="s">
        <v>7</v>
      </c>
      <c r="BU747" s="27" t="s">
        <v>8</v>
      </c>
      <c r="BV747" s="27" t="s">
        <v>7</v>
      </c>
      <c r="BW747" s="27" t="s">
        <v>8</v>
      </c>
      <c r="BX747" s="27" t="s">
        <v>7</v>
      </c>
      <c r="BY747" s="27" t="s">
        <v>8</v>
      </c>
      <c r="BZ747" s="27" t="s">
        <v>7</v>
      </c>
      <c r="CA747" s="27" t="s">
        <v>8</v>
      </c>
      <c r="CB747" s="27" t="s">
        <v>7</v>
      </c>
      <c r="CC747" s="27" t="s">
        <v>8</v>
      </c>
      <c r="CD747" s="27" t="s">
        <v>7</v>
      </c>
      <c r="CE747" s="27" t="s">
        <v>8</v>
      </c>
      <c r="CF747" s="27" t="s">
        <v>7</v>
      </c>
      <c r="CM747" s="27" t="s">
        <v>8</v>
      </c>
      <c r="CN747" s="27" t="s">
        <v>7</v>
      </c>
      <c r="CO747" s="27" t="s">
        <v>8</v>
      </c>
      <c r="CV747" s="27" t="s">
        <v>7</v>
      </c>
      <c r="CW747" s="27" t="s">
        <v>8</v>
      </c>
      <c r="CX747" s="27" t="s">
        <v>7</v>
      </c>
      <c r="CY747" s="27" t="s">
        <v>8</v>
      </c>
      <c r="EP747" s="27" t="s">
        <v>7</v>
      </c>
      <c r="EQ747" s="27" t="s">
        <v>8</v>
      </c>
      <c r="ER747" s="27" t="s">
        <v>7</v>
      </c>
      <c r="EU747" s="27" t="s">
        <v>8</v>
      </c>
      <c r="EV747" s="27" t="s">
        <v>7</v>
      </c>
      <c r="EW747" s="27" t="s">
        <v>8</v>
      </c>
      <c r="EX747" s="27" t="s">
        <v>7</v>
      </c>
      <c r="FA747" s="27" t="s">
        <v>8</v>
      </c>
      <c r="FB747" s="27" t="s">
        <v>7</v>
      </c>
      <c r="GE747" s="27" t="s">
        <v>8</v>
      </c>
      <c r="GG747" s="27" t="s">
        <v>8</v>
      </c>
      <c r="GH747" s="27" t="s">
        <v>7</v>
      </c>
      <c r="GI747" s="27" t="s">
        <v>8</v>
      </c>
      <c r="GK747" s="27" t="s">
        <v>8</v>
      </c>
      <c r="GL747" s="27" t="s">
        <v>7</v>
      </c>
      <c r="GM747" s="27" t="s">
        <v>8</v>
      </c>
      <c r="GV747" s="27" t="s">
        <v>7</v>
      </c>
      <c r="GW747" s="27" t="s">
        <v>8</v>
      </c>
      <c r="HA747" s="27" t="s">
        <v>8</v>
      </c>
      <c r="HB747" s="27" t="s">
        <v>7</v>
      </c>
      <c r="HS747" s="27" t="s">
        <v>8</v>
      </c>
      <c r="HT747" s="27" t="s">
        <v>7</v>
      </c>
      <c r="HU747" s="27" t="s">
        <v>8</v>
      </c>
      <c r="HV747" s="27" t="s">
        <v>7</v>
      </c>
      <c r="HY747" s="27" t="s">
        <v>8</v>
      </c>
      <c r="HZ747" s="27" t="s">
        <v>7</v>
      </c>
      <c r="IB747" s="27" t="s">
        <v>7</v>
      </c>
      <c r="IC747" s="27" t="s">
        <v>8</v>
      </c>
      <c r="ID747" s="27" t="s">
        <v>7</v>
      </c>
      <c r="IE747" s="27" t="s">
        <v>8</v>
      </c>
      <c r="IF747" s="27" t="s">
        <v>7</v>
      </c>
      <c r="IK747" s="27" t="s">
        <v>8</v>
      </c>
      <c r="IL747" s="27" t="s">
        <v>7</v>
      </c>
    </row>
    <row r="748" spans="1:252" x14ac:dyDescent="0.25">
      <c r="A748" s="7">
        <v>4.1245098616273977E-2</v>
      </c>
      <c r="B748"/>
      <c r="C748"/>
      <c r="D748"/>
      <c r="E748"/>
      <c r="F748" s="27" t="s">
        <v>7</v>
      </c>
      <c r="BU748" s="27" t="s">
        <v>8</v>
      </c>
      <c r="BV748" s="27" t="s">
        <v>7</v>
      </c>
      <c r="BW748" s="27" t="s">
        <v>8</v>
      </c>
      <c r="BX748" s="27" t="s">
        <v>7</v>
      </c>
      <c r="BY748" s="27" t="s">
        <v>8</v>
      </c>
      <c r="BZ748" s="27" t="s">
        <v>7</v>
      </c>
      <c r="CA748" s="27" t="s">
        <v>8</v>
      </c>
      <c r="CB748" s="27" t="s">
        <v>7</v>
      </c>
      <c r="CC748" s="27" t="s">
        <v>8</v>
      </c>
      <c r="CD748" s="27" t="s">
        <v>7</v>
      </c>
      <c r="CE748" s="27" t="s">
        <v>8</v>
      </c>
      <c r="CF748" s="27" t="s">
        <v>7</v>
      </c>
      <c r="CG748" s="27" t="s">
        <v>8</v>
      </c>
      <c r="CK748" s="27" t="s">
        <v>8</v>
      </c>
      <c r="CM748" s="27" t="s">
        <v>8</v>
      </c>
      <c r="CN748" s="27" t="s">
        <v>7</v>
      </c>
      <c r="CO748" s="27" t="s">
        <v>8</v>
      </c>
      <c r="CV748" s="27" t="s">
        <v>7</v>
      </c>
      <c r="CW748" s="27" t="s">
        <v>8</v>
      </c>
      <c r="CX748" s="27" t="s">
        <v>7</v>
      </c>
      <c r="CY748" s="27" t="s">
        <v>8</v>
      </c>
      <c r="EP748" s="27" t="s">
        <v>7</v>
      </c>
      <c r="EQ748" s="27" t="s">
        <v>8</v>
      </c>
      <c r="ER748" s="27" t="s">
        <v>7</v>
      </c>
      <c r="EU748" s="27" t="s">
        <v>8</v>
      </c>
      <c r="EV748" s="27" t="s">
        <v>7</v>
      </c>
      <c r="EW748" s="27" t="s">
        <v>8</v>
      </c>
      <c r="EX748" s="27" t="s">
        <v>7</v>
      </c>
      <c r="EY748" s="27" t="s">
        <v>8</v>
      </c>
      <c r="FA748" s="27" t="s">
        <v>8</v>
      </c>
      <c r="FB748" s="27" t="s">
        <v>7</v>
      </c>
      <c r="GE748" s="27" t="s">
        <v>8</v>
      </c>
      <c r="GF748" s="27" t="s">
        <v>7</v>
      </c>
      <c r="GG748" s="27" t="s">
        <v>8</v>
      </c>
      <c r="GH748" s="27" t="s">
        <v>7</v>
      </c>
      <c r="GI748" s="27" t="s">
        <v>8</v>
      </c>
      <c r="GJ748" s="27" t="s">
        <v>7</v>
      </c>
      <c r="GK748" s="27" t="s">
        <v>8</v>
      </c>
      <c r="GL748" s="27" t="s">
        <v>7</v>
      </c>
      <c r="GM748" s="27" t="s">
        <v>8</v>
      </c>
      <c r="GV748" s="27" t="s">
        <v>7</v>
      </c>
      <c r="GW748" s="27" t="s">
        <v>8</v>
      </c>
      <c r="GX748" s="27" t="s">
        <v>7</v>
      </c>
      <c r="HA748" s="27" t="s">
        <v>8</v>
      </c>
      <c r="HB748" s="27" t="s">
        <v>7</v>
      </c>
      <c r="HS748" s="27" t="s">
        <v>8</v>
      </c>
      <c r="HT748" s="27" t="s">
        <v>7</v>
      </c>
      <c r="HU748" s="27" t="s">
        <v>8</v>
      </c>
      <c r="HV748" s="27" t="s">
        <v>7</v>
      </c>
      <c r="HY748" s="27" t="s">
        <v>8</v>
      </c>
      <c r="IB748" s="27" t="s">
        <v>7</v>
      </c>
      <c r="IC748" s="27" t="s">
        <v>8</v>
      </c>
      <c r="ID748" s="27" t="s">
        <v>7</v>
      </c>
      <c r="IE748" s="27" t="s">
        <v>8</v>
      </c>
      <c r="IF748" s="27" t="s">
        <v>7</v>
      </c>
      <c r="IK748" s="27" t="s">
        <v>8</v>
      </c>
      <c r="IL748" s="27" t="s">
        <v>7</v>
      </c>
    </row>
    <row r="749" spans="1:252" x14ac:dyDescent="0.25">
      <c r="A749" s="7">
        <v>4.043637119242547E-2</v>
      </c>
      <c r="B749"/>
      <c r="C749"/>
      <c r="D749"/>
      <c r="E749"/>
      <c r="F749" s="27" t="s">
        <v>7</v>
      </c>
      <c r="BU749" s="27" t="s">
        <v>8</v>
      </c>
      <c r="BV749" s="27" t="s">
        <v>7</v>
      </c>
      <c r="BW749" s="27" t="s">
        <v>8</v>
      </c>
      <c r="BX749" s="27" t="s">
        <v>7</v>
      </c>
      <c r="BY749" s="27" t="s">
        <v>8</v>
      </c>
      <c r="BZ749" s="27" t="s">
        <v>7</v>
      </c>
      <c r="CA749" s="27" t="s">
        <v>8</v>
      </c>
      <c r="CB749" s="27" t="s">
        <v>7</v>
      </c>
      <c r="CC749" s="27" t="s">
        <v>8</v>
      </c>
      <c r="CD749" s="27" t="s">
        <v>7</v>
      </c>
      <c r="CE749" s="27" t="s">
        <v>8</v>
      </c>
      <c r="CF749" s="27" t="s">
        <v>7</v>
      </c>
      <c r="CG749" s="27" t="s">
        <v>8</v>
      </c>
      <c r="CH749" s="27" t="s">
        <v>7</v>
      </c>
      <c r="CK749" s="27" t="s">
        <v>8</v>
      </c>
      <c r="CL749" s="27" t="s">
        <v>7</v>
      </c>
      <c r="CM749" s="27" t="s">
        <v>8</v>
      </c>
      <c r="CN749" s="27" t="s">
        <v>7</v>
      </c>
      <c r="CO749" s="27" t="s">
        <v>8</v>
      </c>
      <c r="CV749" s="27" t="s">
        <v>7</v>
      </c>
      <c r="CW749" s="27" t="s">
        <v>8</v>
      </c>
      <c r="CX749" s="27" t="s">
        <v>7</v>
      </c>
      <c r="CY749" s="27" t="s">
        <v>8</v>
      </c>
      <c r="EP749" s="27" t="s">
        <v>7</v>
      </c>
      <c r="EQ749" s="27" t="s">
        <v>8</v>
      </c>
      <c r="ER749" s="27" t="s">
        <v>7</v>
      </c>
      <c r="EU749" s="27" t="s">
        <v>8</v>
      </c>
      <c r="EV749" s="27" t="s">
        <v>7</v>
      </c>
      <c r="EW749" s="27" t="s">
        <v>8</v>
      </c>
      <c r="EX749" s="27" t="s">
        <v>7</v>
      </c>
      <c r="EY749" s="27" t="s">
        <v>8</v>
      </c>
      <c r="EZ749" s="27" t="s">
        <v>7</v>
      </c>
      <c r="FA749" s="27" t="s">
        <v>8</v>
      </c>
      <c r="FB749" s="27" t="s">
        <v>7</v>
      </c>
      <c r="GE749" s="27" t="s">
        <v>8</v>
      </c>
      <c r="GF749" s="27" t="s">
        <v>7</v>
      </c>
      <c r="GG749" s="27" t="s">
        <v>8</v>
      </c>
      <c r="GH749" s="27" t="s">
        <v>7</v>
      </c>
      <c r="GI749" s="27" t="s">
        <v>8</v>
      </c>
      <c r="GJ749" s="27" t="s">
        <v>7</v>
      </c>
      <c r="GK749" s="27" t="s">
        <v>8</v>
      </c>
      <c r="GL749" s="27" t="s">
        <v>7</v>
      </c>
      <c r="GM749" s="27" t="s">
        <v>8</v>
      </c>
      <c r="GV749" s="27" t="s">
        <v>7</v>
      </c>
      <c r="GW749" s="27" t="s">
        <v>8</v>
      </c>
      <c r="GX749" s="27" t="s">
        <v>7</v>
      </c>
      <c r="HA749" s="27" t="s">
        <v>8</v>
      </c>
      <c r="HB749" s="27" t="s">
        <v>7</v>
      </c>
      <c r="HM749" s="27" t="s">
        <v>8</v>
      </c>
      <c r="HS749" s="27" t="s">
        <v>8</v>
      </c>
      <c r="HT749" s="27" t="s">
        <v>7</v>
      </c>
      <c r="HU749" s="27" t="s">
        <v>8</v>
      </c>
      <c r="HV749" s="27" t="s">
        <v>7</v>
      </c>
      <c r="HY749" s="27" t="s">
        <v>8</v>
      </c>
      <c r="IB749" s="27" t="s">
        <v>7</v>
      </c>
      <c r="IC749" s="27" t="s">
        <v>8</v>
      </c>
      <c r="ID749" s="27" t="s">
        <v>7</v>
      </c>
      <c r="IE749" s="27" t="s">
        <v>8</v>
      </c>
      <c r="IF749" s="27" t="s">
        <v>7</v>
      </c>
      <c r="IK749" s="27" t="s">
        <v>8</v>
      </c>
      <c r="IL749" s="27" t="s">
        <v>7</v>
      </c>
      <c r="IQ749" s="27" t="s">
        <v>8</v>
      </c>
    </row>
    <row r="750" spans="1:252" x14ac:dyDescent="0.25">
      <c r="A750" s="7">
        <v>3.9643501169044582E-2</v>
      </c>
      <c r="B750"/>
      <c r="C750"/>
      <c r="D750"/>
      <c r="E750"/>
      <c r="F750" s="27" t="s">
        <v>7</v>
      </c>
      <c r="BU750" s="27" t="s">
        <v>8</v>
      </c>
      <c r="BV750" s="27" t="s">
        <v>7</v>
      </c>
      <c r="BW750" s="27" t="s">
        <v>8</v>
      </c>
      <c r="BX750" s="27" t="s">
        <v>7</v>
      </c>
      <c r="BY750" s="27" t="s">
        <v>8</v>
      </c>
      <c r="BZ750" s="27" t="s">
        <v>7</v>
      </c>
      <c r="CA750" s="27" t="s">
        <v>8</v>
      </c>
      <c r="CB750" s="27" t="s">
        <v>7</v>
      </c>
      <c r="CC750" s="27" t="s">
        <v>8</v>
      </c>
      <c r="CD750" s="27" t="s">
        <v>7</v>
      </c>
      <c r="CE750" s="27" t="s">
        <v>8</v>
      </c>
      <c r="CF750" s="27" t="s">
        <v>7</v>
      </c>
      <c r="CG750" s="27" t="s">
        <v>8</v>
      </c>
      <c r="CH750" s="27" t="s">
        <v>7</v>
      </c>
      <c r="CK750" s="27" t="s">
        <v>8</v>
      </c>
      <c r="CL750" s="27" t="s">
        <v>7</v>
      </c>
      <c r="CM750" s="27" t="s">
        <v>8</v>
      </c>
      <c r="CN750" s="27" t="s">
        <v>7</v>
      </c>
      <c r="CO750" s="27" t="s">
        <v>8</v>
      </c>
      <c r="CV750" s="27" t="s">
        <v>7</v>
      </c>
      <c r="CW750" s="27" t="s">
        <v>8</v>
      </c>
      <c r="CX750" s="27" t="s">
        <v>7</v>
      </c>
      <c r="CY750" s="27" t="s">
        <v>8</v>
      </c>
      <c r="EP750" s="27" t="s">
        <v>7</v>
      </c>
      <c r="EQ750" s="27" t="s">
        <v>8</v>
      </c>
      <c r="ER750" s="27" t="s">
        <v>7</v>
      </c>
      <c r="ES750" s="27" t="s">
        <v>8</v>
      </c>
      <c r="EU750" s="27" t="s">
        <v>8</v>
      </c>
      <c r="EV750" s="27" t="s">
        <v>7</v>
      </c>
      <c r="EW750" s="27" t="s">
        <v>8</v>
      </c>
      <c r="EX750" s="27" t="s">
        <v>7</v>
      </c>
      <c r="EY750" s="27" t="s">
        <v>8</v>
      </c>
      <c r="EZ750" s="27" t="s">
        <v>7</v>
      </c>
      <c r="FA750" s="27" t="s">
        <v>8</v>
      </c>
      <c r="FB750" s="27" t="s">
        <v>7</v>
      </c>
      <c r="GE750" s="27" t="s">
        <v>8</v>
      </c>
      <c r="GF750" s="27" t="s">
        <v>7</v>
      </c>
      <c r="GG750" s="27" t="s">
        <v>8</v>
      </c>
      <c r="GH750" s="27" t="s">
        <v>7</v>
      </c>
      <c r="GI750" s="27" t="s">
        <v>8</v>
      </c>
      <c r="GJ750" s="27" t="s">
        <v>7</v>
      </c>
      <c r="GL750" s="27" t="s">
        <v>7</v>
      </c>
      <c r="GM750" s="27" t="s">
        <v>8</v>
      </c>
      <c r="GV750" s="27" t="s">
        <v>7</v>
      </c>
      <c r="GW750" s="27" t="s">
        <v>8</v>
      </c>
      <c r="GX750" s="27" t="s">
        <v>7</v>
      </c>
      <c r="HA750" s="27" t="s">
        <v>8</v>
      </c>
      <c r="HB750" s="27" t="s">
        <v>7</v>
      </c>
      <c r="HK750" s="27" t="s">
        <v>8</v>
      </c>
      <c r="HM750" s="27" t="s">
        <v>8</v>
      </c>
      <c r="HN750" s="27" t="s">
        <v>7</v>
      </c>
      <c r="HS750" s="27" t="s">
        <v>8</v>
      </c>
      <c r="HT750" s="27" t="s">
        <v>7</v>
      </c>
      <c r="HU750" s="27" t="s">
        <v>8</v>
      </c>
      <c r="HV750" s="27" t="s">
        <v>7</v>
      </c>
      <c r="HW750" s="27" t="s">
        <v>8</v>
      </c>
      <c r="HY750" s="27" t="s">
        <v>8</v>
      </c>
      <c r="IB750" s="27" t="s">
        <v>7</v>
      </c>
      <c r="IC750" s="27" t="s">
        <v>8</v>
      </c>
      <c r="ID750" s="27" t="s">
        <v>7</v>
      </c>
      <c r="IF750" s="27" t="s">
        <v>7</v>
      </c>
      <c r="IK750" s="27" t="s">
        <v>8</v>
      </c>
      <c r="IL750" s="27" t="s">
        <v>7</v>
      </c>
      <c r="IQ750" s="27" t="s">
        <v>8</v>
      </c>
      <c r="IR750" s="27" t="s">
        <v>7</v>
      </c>
    </row>
    <row r="751" spans="1:252" x14ac:dyDescent="0.25">
      <c r="A751" s="7">
        <v>3.8866177616710372E-2</v>
      </c>
      <c r="B751"/>
      <c r="C751"/>
      <c r="D751"/>
      <c r="E751"/>
      <c r="F751" s="27" t="s">
        <v>7</v>
      </c>
      <c r="BU751" s="27" t="s">
        <v>8</v>
      </c>
      <c r="BV751" s="27" t="s">
        <v>7</v>
      </c>
      <c r="BW751" s="27" t="s">
        <v>8</v>
      </c>
      <c r="BX751" s="27" t="s">
        <v>7</v>
      </c>
      <c r="BY751" s="27" t="s">
        <v>8</v>
      </c>
      <c r="BZ751" s="27" t="s">
        <v>7</v>
      </c>
      <c r="CA751" s="27" t="s">
        <v>8</v>
      </c>
      <c r="CB751" s="27" t="s">
        <v>7</v>
      </c>
      <c r="CC751" s="27" t="s">
        <v>8</v>
      </c>
      <c r="CD751" s="27" t="s">
        <v>7</v>
      </c>
      <c r="CE751" s="27" t="s">
        <v>8</v>
      </c>
      <c r="CF751" s="27" t="s">
        <v>7</v>
      </c>
      <c r="CG751" s="27" t="s">
        <v>8</v>
      </c>
      <c r="CH751" s="27" t="s">
        <v>7</v>
      </c>
      <c r="CK751" s="27" t="s">
        <v>8</v>
      </c>
      <c r="CL751" s="27" t="s">
        <v>7</v>
      </c>
      <c r="CM751" s="27" t="s">
        <v>8</v>
      </c>
      <c r="CN751" s="27" t="s">
        <v>7</v>
      </c>
      <c r="CO751" s="27" t="s">
        <v>8</v>
      </c>
      <c r="CV751" s="27" t="s">
        <v>7</v>
      </c>
      <c r="CW751" s="27" t="s">
        <v>8</v>
      </c>
      <c r="CX751" s="27" t="s">
        <v>7</v>
      </c>
      <c r="EP751" s="27" t="s">
        <v>7</v>
      </c>
      <c r="EQ751" s="27" t="s">
        <v>8</v>
      </c>
      <c r="ER751" s="27" t="s">
        <v>7</v>
      </c>
      <c r="ES751" s="27" t="s">
        <v>8</v>
      </c>
      <c r="ET751" s="27" t="s">
        <v>7</v>
      </c>
      <c r="EU751" s="27" t="s">
        <v>8</v>
      </c>
      <c r="EV751" s="27" t="s">
        <v>7</v>
      </c>
      <c r="EW751" s="27" t="s">
        <v>8</v>
      </c>
      <c r="EX751" s="27" t="s">
        <v>7</v>
      </c>
      <c r="EY751" s="27" t="s">
        <v>8</v>
      </c>
      <c r="EZ751" s="27" t="s">
        <v>7</v>
      </c>
      <c r="FA751" s="27" t="s">
        <v>8</v>
      </c>
      <c r="FB751" s="27" t="s">
        <v>7</v>
      </c>
      <c r="GE751" s="27" t="s">
        <v>8</v>
      </c>
      <c r="GF751" s="27" t="s">
        <v>7</v>
      </c>
      <c r="GG751" s="27" t="s">
        <v>8</v>
      </c>
      <c r="GH751" s="27" t="s">
        <v>7</v>
      </c>
      <c r="GI751" s="27" t="s">
        <v>8</v>
      </c>
      <c r="GL751" s="27" t="s">
        <v>7</v>
      </c>
      <c r="GM751" s="27" t="s">
        <v>8</v>
      </c>
      <c r="GV751" s="27" t="s">
        <v>7</v>
      </c>
      <c r="GW751" s="27" t="s">
        <v>8</v>
      </c>
      <c r="GX751" s="27" t="s">
        <v>7</v>
      </c>
      <c r="GY751" s="27" t="s">
        <v>8</v>
      </c>
      <c r="HA751" s="27" t="s">
        <v>8</v>
      </c>
      <c r="HB751" s="27" t="s">
        <v>7</v>
      </c>
      <c r="HK751" s="27" t="s">
        <v>8</v>
      </c>
      <c r="HL751" s="27" t="s">
        <v>7</v>
      </c>
      <c r="HM751" s="27" t="s">
        <v>8</v>
      </c>
      <c r="HN751" s="27" t="s">
        <v>7</v>
      </c>
      <c r="HS751" s="27" t="s">
        <v>8</v>
      </c>
      <c r="HT751" s="27" t="s">
        <v>7</v>
      </c>
      <c r="HV751" s="27" t="s">
        <v>7</v>
      </c>
      <c r="HW751" s="27" t="s">
        <v>8</v>
      </c>
      <c r="HX751" s="27" t="s">
        <v>7</v>
      </c>
      <c r="HY751" s="27" t="s">
        <v>8</v>
      </c>
      <c r="IB751" s="27" t="s">
        <v>7</v>
      </c>
      <c r="IF751" s="27" t="s">
        <v>7</v>
      </c>
      <c r="IG751" s="27" t="s">
        <v>8</v>
      </c>
      <c r="II751" s="27" t="s">
        <v>8</v>
      </c>
      <c r="IK751" s="27" t="s">
        <v>8</v>
      </c>
      <c r="IL751" s="27" t="s">
        <v>7</v>
      </c>
      <c r="IM751" s="27" t="s">
        <v>8</v>
      </c>
      <c r="IQ751" s="27" t="s">
        <v>8</v>
      </c>
      <c r="IR751" s="27" t="s">
        <v>7</v>
      </c>
    </row>
    <row r="752" spans="1:252" x14ac:dyDescent="0.25">
      <c r="A752" s="7">
        <v>3.8104095702657229E-2</v>
      </c>
      <c r="B752"/>
      <c r="C752"/>
      <c r="D752"/>
      <c r="E752"/>
      <c r="F752" s="27" t="s">
        <v>7</v>
      </c>
      <c r="G752" s="27" t="s">
        <v>8</v>
      </c>
      <c r="BU752" s="27" t="s">
        <v>8</v>
      </c>
      <c r="BV752" s="27" t="s">
        <v>7</v>
      </c>
      <c r="BW752" s="27" t="s">
        <v>8</v>
      </c>
      <c r="BX752" s="27" t="s">
        <v>7</v>
      </c>
      <c r="BY752" s="27" t="s">
        <v>8</v>
      </c>
      <c r="BZ752" s="27" t="s">
        <v>7</v>
      </c>
      <c r="CA752" s="27" t="s">
        <v>8</v>
      </c>
      <c r="CB752" s="27" t="s">
        <v>7</v>
      </c>
      <c r="CC752" s="27" t="s">
        <v>8</v>
      </c>
      <c r="CD752" s="27" t="s">
        <v>7</v>
      </c>
      <c r="CE752" s="27" t="s">
        <v>8</v>
      </c>
      <c r="CF752" s="27" t="s">
        <v>7</v>
      </c>
      <c r="CG752" s="27" t="s">
        <v>8</v>
      </c>
      <c r="CH752" s="27" t="s">
        <v>7</v>
      </c>
      <c r="CI752" s="27" t="s">
        <v>8</v>
      </c>
      <c r="CK752" s="27" t="s">
        <v>8</v>
      </c>
      <c r="CL752" s="27" t="s">
        <v>7</v>
      </c>
      <c r="CM752" s="27" t="s">
        <v>8</v>
      </c>
      <c r="CN752" s="27" t="s">
        <v>7</v>
      </c>
      <c r="CO752" s="27" t="s">
        <v>8</v>
      </c>
      <c r="CV752" s="27" t="s">
        <v>7</v>
      </c>
      <c r="CW752" s="27" t="s">
        <v>8</v>
      </c>
      <c r="EP752" s="27" t="s">
        <v>7</v>
      </c>
      <c r="EQ752" s="27" t="s">
        <v>8</v>
      </c>
      <c r="ER752" s="27" t="s">
        <v>7</v>
      </c>
      <c r="ES752" s="27" t="s">
        <v>8</v>
      </c>
      <c r="ET752" s="27" t="s">
        <v>7</v>
      </c>
      <c r="EU752" s="27" t="s">
        <v>8</v>
      </c>
      <c r="EV752" s="27" t="s">
        <v>7</v>
      </c>
      <c r="EW752" s="27" t="s">
        <v>8</v>
      </c>
      <c r="EX752" s="27" t="s">
        <v>7</v>
      </c>
      <c r="EY752" s="27" t="s">
        <v>8</v>
      </c>
      <c r="EZ752" s="27" t="s">
        <v>7</v>
      </c>
      <c r="FA752" s="27" t="s">
        <v>8</v>
      </c>
      <c r="FB752" s="27" t="s">
        <v>7</v>
      </c>
      <c r="FC752" s="27" t="s">
        <v>8</v>
      </c>
      <c r="GE752" s="27" t="s">
        <v>8</v>
      </c>
      <c r="GF752" s="27" t="s">
        <v>7</v>
      </c>
      <c r="GG752" s="27" t="s">
        <v>8</v>
      </c>
      <c r="GH752" s="27" t="s">
        <v>7</v>
      </c>
      <c r="GI752" s="27" t="s">
        <v>8</v>
      </c>
      <c r="GL752" s="27" t="s">
        <v>7</v>
      </c>
      <c r="GV752" s="27" t="s">
        <v>7</v>
      </c>
      <c r="GW752" s="27" t="s">
        <v>8</v>
      </c>
      <c r="GX752" s="27" t="s">
        <v>7</v>
      </c>
      <c r="GY752" s="27" t="s">
        <v>8</v>
      </c>
      <c r="GZ752" s="27" t="s">
        <v>7</v>
      </c>
      <c r="HA752" s="27" t="s">
        <v>8</v>
      </c>
      <c r="HB752" s="27" t="s">
        <v>7</v>
      </c>
      <c r="HK752" s="27" t="s">
        <v>8</v>
      </c>
      <c r="HL752" s="27" t="s">
        <v>7</v>
      </c>
      <c r="HM752" s="27" t="s">
        <v>8</v>
      </c>
      <c r="HN752" s="27" t="s">
        <v>7</v>
      </c>
      <c r="HQ752" s="27" t="s">
        <v>8</v>
      </c>
      <c r="HS752" s="27" t="s">
        <v>8</v>
      </c>
      <c r="HV752" s="27" t="s">
        <v>7</v>
      </c>
      <c r="HW752" s="27" t="s">
        <v>8</v>
      </c>
      <c r="HX752" s="27" t="s">
        <v>7</v>
      </c>
      <c r="HY752" s="27" t="s">
        <v>8</v>
      </c>
      <c r="IF752" s="27" t="s">
        <v>7</v>
      </c>
      <c r="IG752" s="27" t="s">
        <v>8</v>
      </c>
      <c r="IH752" s="27" t="s">
        <v>7</v>
      </c>
      <c r="II752" s="27" t="s">
        <v>8</v>
      </c>
      <c r="IJ752" s="27" t="s">
        <v>7</v>
      </c>
      <c r="IK752" s="27" t="s">
        <v>8</v>
      </c>
      <c r="IL752" s="27" t="s">
        <v>7</v>
      </c>
      <c r="IM752" s="27" t="s">
        <v>8</v>
      </c>
      <c r="IN752" s="27" t="s">
        <v>7</v>
      </c>
      <c r="IQ752" s="27" t="s">
        <v>8</v>
      </c>
      <c r="IR752" s="27" t="s">
        <v>7</v>
      </c>
    </row>
    <row r="753" spans="1:270" x14ac:dyDescent="0.25">
      <c r="A753" s="7">
        <v>3.7356956571232579E-2</v>
      </c>
      <c r="B753"/>
      <c r="C753"/>
      <c r="D753"/>
      <c r="E753"/>
      <c r="F753" s="27" t="s">
        <v>7</v>
      </c>
      <c r="G753" s="27" t="s">
        <v>8</v>
      </c>
      <c r="H753" s="27" t="s">
        <v>7</v>
      </c>
      <c r="BS753" s="27" t="s">
        <v>8</v>
      </c>
      <c r="BU753" s="27" t="s">
        <v>8</v>
      </c>
      <c r="BV753" s="27" t="s">
        <v>7</v>
      </c>
      <c r="BW753" s="27" t="s">
        <v>8</v>
      </c>
      <c r="BX753" s="27" t="s">
        <v>7</v>
      </c>
      <c r="BY753" s="27" t="s">
        <v>8</v>
      </c>
      <c r="BZ753" s="27" t="s">
        <v>7</v>
      </c>
      <c r="CA753" s="27" t="s">
        <v>8</v>
      </c>
      <c r="CB753" s="27" t="s">
        <v>7</v>
      </c>
      <c r="CC753" s="27" t="s">
        <v>8</v>
      </c>
      <c r="CD753" s="27" t="s">
        <v>7</v>
      </c>
      <c r="CE753" s="27" t="s">
        <v>8</v>
      </c>
      <c r="CF753" s="27" t="s">
        <v>7</v>
      </c>
      <c r="CG753" s="27" t="s">
        <v>8</v>
      </c>
      <c r="CH753" s="27" t="s">
        <v>7</v>
      </c>
      <c r="CI753" s="27" t="s">
        <v>8</v>
      </c>
      <c r="CJ753" s="27" t="s">
        <v>7</v>
      </c>
      <c r="CK753" s="27" t="s">
        <v>8</v>
      </c>
      <c r="CL753" s="27" t="s">
        <v>7</v>
      </c>
      <c r="CM753" s="27" t="s">
        <v>8</v>
      </c>
      <c r="CN753" s="27" t="s">
        <v>7</v>
      </c>
      <c r="CO753" s="27" t="s">
        <v>8</v>
      </c>
      <c r="CV753" s="27" t="s">
        <v>7</v>
      </c>
      <c r="CW753" s="27" t="s">
        <v>8</v>
      </c>
      <c r="EP753" s="27" t="s">
        <v>7</v>
      </c>
      <c r="EQ753" s="27" t="s">
        <v>8</v>
      </c>
      <c r="ER753" s="27" t="s">
        <v>7</v>
      </c>
      <c r="ES753" s="27" t="s">
        <v>8</v>
      </c>
      <c r="ET753" s="27" t="s">
        <v>7</v>
      </c>
      <c r="EU753" s="27" t="s">
        <v>8</v>
      </c>
      <c r="EV753" s="27" t="s">
        <v>7</v>
      </c>
      <c r="EW753" s="27" t="s">
        <v>8</v>
      </c>
      <c r="EX753" s="27" t="s">
        <v>7</v>
      </c>
      <c r="EY753" s="27" t="s">
        <v>8</v>
      </c>
      <c r="EZ753" s="27" t="s">
        <v>7</v>
      </c>
      <c r="FA753" s="27" t="s">
        <v>8</v>
      </c>
      <c r="FB753" s="27" t="s">
        <v>7</v>
      </c>
      <c r="FC753" s="27" t="s">
        <v>8</v>
      </c>
      <c r="FD753" s="27" t="s">
        <v>7</v>
      </c>
      <c r="GE753" s="27" t="s">
        <v>8</v>
      </c>
      <c r="GF753" s="27" t="s">
        <v>7</v>
      </c>
      <c r="GG753" s="27" t="s">
        <v>8</v>
      </c>
      <c r="GH753" s="27" t="s">
        <v>7</v>
      </c>
      <c r="GV753" s="27" t="s">
        <v>7</v>
      </c>
      <c r="GW753" s="27" t="s">
        <v>8</v>
      </c>
      <c r="GX753" s="27" t="s">
        <v>7</v>
      </c>
      <c r="GY753" s="27" t="s">
        <v>8</v>
      </c>
      <c r="GZ753" s="27" t="s">
        <v>7</v>
      </c>
      <c r="HA753" s="27" t="s">
        <v>8</v>
      </c>
      <c r="HB753" s="27" t="s">
        <v>7</v>
      </c>
      <c r="HC753" s="27" t="s">
        <v>8</v>
      </c>
      <c r="HI753" s="27" t="s">
        <v>8</v>
      </c>
      <c r="HK753" s="27" t="s">
        <v>8</v>
      </c>
      <c r="HL753" s="27" t="s">
        <v>7</v>
      </c>
      <c r="HM753" s="27" t="s">
        <v>8</v>
      </c>
      <c r="HN753" s="27" t="s">
        <v>7</v>
      </c>
      <c r="HO753" s="27" t="s">
        <v>8</v>
      </c>
      <c r="HQ753" s="27" t="s">
        <v>8</v>
      </c>
      <c r="HR753" s="27" t="s">
        <v>7</v>
      </c>
      <c r="HS753" s="27" t="s">
        <v>8</v>
      </c>
      <c r="HV753" s="27" t="s">
        <v>7</v>
      </c>
      <c r="HW753" s="27" t="s">
        <v>8</v>
      </c>
      <c r="HX753" s="27" t="s">
        <v>7</v>
      </c>
      <c r="HY753" s="27" t="s">
        <v>8</v>
      </c>
      <c r="IF753" s="27" t="s">
        <v>7</v>
      </c>
      <c r="IG753" s="27" t="s">
        <v>8</v>
      </c>
      <c r="IH753" s="27" t="s">
        <v>7</v>
      </c>
      <c r="II753" s="27" t="s">
        <v>8</v>
      </c>
      <c r="IJ753" s="27" t="s">
        <v>7</v>
      </c>
      <c r="IK753" s="27" t="s">
        <v>8</v>
      </c>
      <c r="IL753" s="27" t="s">
        <v>7</v>
      </c>
      <c r="IM753" s="27" t="s">
        <v>8</v>
      </c>
      <c r="IN753" s="27" t="s">
        <v>7</v>
      </c>
      <c r="IO753" s="27" t="s">
        <v>8</v>
      </c>
      <c r="IQ753" s="27" t="s">
        <v>8</v>
      </c>
      <c r="IR753" s="27" t="s">
        <v>7</v>
      </c>
    </row>
    <row r="754" spans="1:270" x14ac:dyDescent="0.25">
      <c r="A754" s="7">
        <v>3.6624467226698605E-2</v>
      </c>
      <c r="B754"/>
      <c r="C754"/>
      <c r="D754"/>
      <c r="E754"/>
      <c r="F754" s="27" t="s">
        <v>7</v>
      </c>
      <c r="G754" s="27" t="s">
        <v>8</v>
      </c>
      <c r="H754" s="27" t="s">
        <v>7</v>
      </c>
      <c r="BS754" s="27" t="s">
        <v>8</v>
      </c>
      <c r="BT754" s="27" t="s">
        <v>7</v>
      </c>
      <c r="BU754" s="27" t="s">
        <v>8</v>
      </c>
      <c r="BV754" s="27" t="s">
        <v>7</v>
      </c>
      <c r="BW754" s="27" t="s">
        <v>8</v>
      </c>
      <c r="BX754" s="27" t="s">
        <v>7</v>
      </c>
      <c r="BY754" s="27" t="s">
        <v>8</v>
      </c>
      <c r="BZ754" s="27" t="s">
        <v>7</v>
      </c>
      <c r="CA754" s="27" t="s">
        <v>8</v>
      </c>
      <c r="CB754" s="27" t="s">
        <v>7</v>
      </c>
      <c r="CC754" s="27" t="s">
        <v>8</v>
      </c>
      <c r="CD754" s="27" t="s">
        <v>7</v>
      </c>
      <c r="CF754" s="27" t="s">
        <v>7</v>
      </c>
      <c r="CG754" s="27" t="s">
        <v>8</v>
      </c>
      <c r="CH754" s="27" t="s">
        <v>7</v>
      </c>
      <c r="CI754" s="27" t="s">
        <v>8</v>
      </c>
      <c r="CJ754" s="27" t="s">
        <v>7</v>
      </c>
      <c r="CK754" s="27" t="s">
        <v>8</v>
      </c>
      <c r="CL754" s="27" t="s">
        <v>7</v>
      </c>
      <c r="CM754" s="27" t="s">
        <v>8</v>
      </c>
      <c r="CN754" s="27" t="s">
        <v>7</v>
      </c>
      <c r="CO754" s="27" t="s">
        <v>8</v>
      </c>
      <c r="CV754" s="27" t="s">
        <v>7</v>
      </c>
      <c r="CW754" s="27" t="s">
        <v>8</v>
      </c>
      <c r="EP754" s="27" t="s">
        <v>7</v>
      </c>
      <c r="EQ754" s="27" t="s">
        <v>8</v>
      </c>
      <c r="ER754" s="27" t="s">
        <v>7</v>
      </c>
      <c r="ES754" s="27" t="s">
        <v>8</v>
      </c>
      <c r="ET754" s="27" t="s">
        <v>7</v>
      </c>
      <c r="EU754" s="27" t="s">
        <v>8</v>
      </c>
      <c r="EV754" s="27" t="s">
        <v>7</v>
      </c>
      <c r="EW754" s="27" t="s">
        <v>8</v>
      </c>
      <c r="EX754" s="27" t="s">
        <v>7</v>
      </c>
      <c r="EY754" s="27" t="s">
        <v>8</v>
      </c>
      <c r="EZ754" s="27" t="s">
        <v>7</v>
      </c>
      <c r="FB754" s="27" t="s">
        <v>7</v>
      </c>
      <c r="FC754" s="27" t="s">
        <v>8</v>
      </c>
      <c r="FD754" s="27" t="s">
        <v>7</v>
      </c>
      <c r="GE754" s="27" t="s">
        <v>8</v>
      </c>
      <c r="GF754" s="27" t="s">
        <v>7</v>
      </c>
      <c r="GG754" s="27" t="s">
        <v>8</v>
      </c>
      <c r="GV754" s="27" t="s">
        <v>7</v>
      </c>
      <c r="GW754" s="27" t="s">
        <v>8</v>
      </c>
      <c r="GX754" s="27" t="s">
        <v>7</v>
      </c>
      <c r="GY754" s="27" t="s">
        <v>8</v>
      </c>
      <c r="GZ754" s="27" t="s">
        <v>7</v>
      </c>
      <c r="HA754" s="27" t="s">
        <v>8</v>
      </c>
      <c r="HB754" s="27" t="s">
        <v>7</v>
      </c>
      <c r="HC754" s="27" t="s">
        <v>8</v>
      </c>
      <c r="HD754" s="27" t="s">
        <v>7</v>
      </c>
      <c r="HI754" s="27" t="s">
        <v>8</v>
      </c>
      <c r="HJ754" s="27" t="s">
        <v>7</v>
      </c>
      <c r="HK754" s="27" t="s">
        <v>8</v>
      </c>
      <c r="HL754" s="27" t="s">
        <v>7</v>
      </c>
      <c r="HN754" s="27" t="s">
        <v>7</v>
      </c>
      <c r="HO754" s="27" t="s">
        <v>8</v>
      </c>
      <c r="HP754" s="27" t="s">
        <v>7</v>
      </c>
      <c r="HQ754" s="27" t="s">
        <v>8</v>
      </c>
      <c r="HR754" s="27" t="s">
        <v>7</v>
      </c>
      <c r="HS754" s="27" t="s">
        <v>8</v>
      </c>
      <c r="HV754" s="27" t="s">
        <v>7</v>
      </c>
      <c r="HW754" s="27" t="s">
        <v>8</v>
      </c>
      <c r="HX754" s="27" t="s">
        <v>7</v>
      </c>
      <c r="IF754" s="27" t="s">
        <v>7</v>
      </c>
      <c r="IG754" s="27" t="s">
        <v>8</v>
      </c>
      <c r="IH754" s="27" t="s">
        <v>7</v>
      </c>
      <c r="II754" s="27" t="s">
        <v>8</v>
      </c>
      <c r="IJ754" s="27" t="s">
        <v>7</v>
      </c>
      <c r="IK754" s="27" t="s">
        <v>8</v>
      </c>
      <c r="IL754" s="27" t="s">
        <v>7</v>
      </c>
      <c r="IM754" s="27" t="s">
        <v>8</v>
      </c>
      <c r="IN754" s="27" t="s">
        <v>7</v>
      </c>
      <c r="IO754" s="27" t="s">
        <v>8</v>
      </c>
      <c r="IP754" s="27" t="s">
        <v>7</v>
      </c>
      <c r="IQ754" s="27" t="s">
        <v>8</v>
      </c>
      <c r="IR754" s="27" t="s">
        <v>7</v>
      </c>
    </row>
    <row r="755" spans="1:270" x14ac:dyDescent="0.25">
      <c r="A755" s="7">
        <v>3.5906340418331961E-2</v>
      </c>
      <c r="B755"/>
      <c r="C755"/>
      <c r="D755"/>
      <c r="E755"/>
      <c r="F755" s="27" t="s">
        <v>7</v>
      </c>
      <c r="G755" s="27" t="s">
        <v>8</v>
      </c>
      <c r="H755" s="27" t="s">
        <v>7</v>
      </c>
      <c r="BS755" s="27" t="s">
        <v>8</v>
      </c>
      <c r="BT755" s="27" t="s">
        <v>7</v>
      </c>
      <c r="BU755" s="27" t="s">
        <v>8</v>
      </c>
      <c r="BV755" s="27" t="s">
        <v>7</v>
      </c>
      <c r="BW755" s="27" t="s">
        <v>8</v>
      </c>
      <c r="BX755" s="27" t="s">
        <v>7</v>
      </c>
      <c r="BY755" s="27" t="s">
        <v>8</v>
      </c>
      <c r="BZ755" s="27" t="s">
        <v>7</v>
      </c>
      <c r="CA755" s="27" t="s">
        <v>8</v>
      </c>
      <c r="CB755" s="27" t="s">
        <v>7</v>
      </c>
      <c r="CC755" s="27" t="s">
        <v>8</v>
      </c>
      <c r="CF755" s="27" t="s">
        <v>7</v>
      </c>
      <c r="CG755" s="27" t="s">
        <v>8</v>
      </c>
      <c r="CH755" s="27" t="s">
        <v>7</v>
      </c>
      <c r="CI755" s="27" t="s">
        <v>8</v>
      </c>
      <c r="CJ755" s="27" t="s">
        <v>7</v>
      </c>
      <c r="CK755" s="27" t="s">
        <v>8</v>
      </c>
      <c r="CL755" s="27" t="s">
        <v>7</v>
      </c>
      <c r="CN755" s="27" t="s">
        <v>7</v>
      </c>
      <c r="CO755" s="27" t="s">
        <v>8</v>
      </c>
      <c r="CV755" s="27" t="s">
        <v>7</v>
      </c>
      <c r="CW755" s="27" t="s">
        <v>8</v>
      </c>
      <c r="EP755" s="27" t="s">
        <v>7</v>
      </c>
      <c r="EQ755" s="27" t="s">
        <v>8</v>
      </c>
      <c r="ER755" s="27" t="s">
        <v>7</v>
      </c>
      <c r="ES755" s="27" t="s">
        <v>8</v>
      </c>
      <c r="ET755" s="27" t="s">
        <v>7</v>
      </c>
      <c r="EU755" s="27" t="s">
        <v>8</v>
      </c>
      <c r="EV755" s="27" t="s">
        <v>7</v>
      </c>
      <c r="EW755" s="27" t="s">
        <v>8</v>
      </c>
      <c r="EX755" s="27" t="s">
        <v>7</v>
      </c>
      <c r="EY755" s="27" t="s">
        <v>8</v>
      </c>
      <c r="FB755" s="27" t="s">
        <v>7</v>
      </c>
      <c r="FC755" s="27" t="s">
        <v>8</v>
      </c>
      <c r="FD755" s="27" t="s">
        <v>7</v>
      </c>
      <c r="GE755" s="27" t="s">
        <v>8</v>
      </c>
      <c r="GF755" s="27" t="s">
        <v>7</v>
      </c>
      <c r="GG755" s="27" t="s">
        <v>8</v>
      </c>
      <c r="GV755" s="27" t="s">
        <v>7</v>
      </c>
      <c r="GW755" s="27" t="s">
        <v>8</v>
      </c>
      <c r="GX755" s="27" t="s">
        <v>7</v>
      </c>
      <c r="GY755" s="27" t="s">
        <v>8</v>
      </c>
      <c r="GZ755" s="27" t="s">
        <v>7</v>
      </c>
      <c r="HA755" s="27" t="s">
        <v>8</v>
      </c>
      <c r="HB755" s="27" t="s">
        <v>7</v>
      </c>
      <c r="HC755" s="27" t="s">
        <v>8</v>
      </c>
      <c r="HD755" s="27" t="s">
        <v>7</v>
      </c>
      <c r="HI755" s="27" t="s">
        <v>8</v>
      </c>
      <c r="HJ755" s="27" t="s">
        <v>7</v>
      </c>
      <c r="HK755" s="27" t="s">
        <v>8</v>
      </c>
      <c r="HN755" s="27" t="s">
        <v>7</v>
      </c>
      <c r="HO755" s="27" t="s">
        <v>8</v>
      </c>
      <c r="HP755" s="27" t="s">
        <v>7</v>
      </c>
      <c r="HQ755" s="27" t="s">
        <v>8</v>
      </c>
      <c r="HR755" s="27" t="s">
        <v>7</v>
      </c>
      <c r="HS755" s="27" t="s">
        <v>8</v>
      </c>
      <c r="HV755" s="27" t="s">
        <v>7</v>
      </c>
      <c r="HW755" s="27" t="s">
        <v>8</v>
      </c>
      <c r="IF755" s="27" t="s">
        <v>7</v>
      </c>
      <c r="IG755" s="27" t="s">
        <v>8</v>
      </c>
      <c r="IH755" s="27" t="s">
        <v>7</v>
      </c>
      <c r="II755" s="27" t="s">
        <v>8</v>
      </c>
      <c r="IJ755" s="27" t="s">
        <v>7</v>
      </c>
      <c r="IK755" s="27" t="s">
        <v>8</v>
      </c>
      <c r="IL755" s="27" t="s">
        <v>7</v>
      </c>
      <c r="IM755" s="27" t="s">
        <v>8</v>
      </c>
      <c r="IN755" s="27" t="s">
        <v>7</v>
      </c>
      <c r="IO755" s="27" t="s">
        <v>8</v>
      </c>
      <c r="IP755" s="27" t="s">
        <v>7</v>
      </c>
      <c r="IQ755" s="27" t="s">
        <v>8</v>
      </c>
      <c r="IR755" s="27" t="s">
        <v>7</v>
      </c>
      <c r="IS755" s="27" t="s">
        <v>8</v>
      </c>
    </row>
    <row r="756" spans="1:270" x14ac:dyDescent="0.25">
      <c r="A756" s="7">
        <v>3.5202294527776436E-2</v>
      </c>
      <c r="B756"/>
      <c r="C756"/>
      <c r="D756"/>
      <c r="E756"/>
      <c r="F756" s="27" t="s">
        <v>7</v>
      </c>
      <c r="G756" s="27" t="s">
        <v>8</v>
      </c>
      <c r="H756" s="27" t="s">
        <v>7</v>
      </c>
      <c r="BS756" s="27" t="s">
        <v>8</v>
      </c>
      <c r="BT756" s="27" t="s">
        <v>7</v>
      </c>
      <c r="BU756" s="27" t="s">
        <v>8</v>
      </c>
      <c r="BV756" s="27" t="s">
        <v>7</v>
      </c>
      <c r="BW756" s="27" t="s">
        <v>8</v>
      </c>
      <c r="BX756" s="27" t="s">
        <v>7</v>
      </c>
      <c r="BY756" s="27" t="s">
        <v>8</v>
      </c>
      <c r="BZ756" s="27" t="s">
        <v>7</v>
      </c>
      <c r="CA756" s="27" t="s">
        <v>8</v>
      </c>
      <c r="CB756" s="27" t="s">
        <v>7</v>
      </c>
      <c r="CF756" s="27" t="s">
        <v>7</v>
      </c>
      <c r="CG756" s="27" t="s">
        <v>8</v>
      </c>
      <c r="CH756" s="27" t="s">
        <v>7</v>
      </c>
      <c r="CI756" s="27" t="s">
        <v>8</v>
      </c>
      <c r="CJ756" s="27" t="s">
        <v>7</v>
      </c>
      <c r="CK756" s="27" t="s">
        <v>8</v>
      </c>
      <c r="CN756" s="27" t="s">
        <v>7</v>
      </c>
      <c r="CO756" s="27" t="s">
        <v>8</v>
      </c>
      <c r="CV756" s="27" t="s">
        <v>7</v>
      </c>
      <c r="EP756" s="27" t="s">
        <v>7</v>
      </c>
      <c r="EQ756" s="27" t="s">
        <v>8</v>
      </c>
      <c r="ER756" s="27" t="s">
        <v>7</v>
      </c>
      <c r="ES756" s="27" t="s">
        <v>8</v>
      </c>
      <c r="ET756" s="27" t="s">
        <v>7</v>
      </c>
      <c r="EU756" s="27" t="s">
        <v>8</v>
      </c>
      <c r="EV756" s="27" t="s">
        <v>7</v>
      </c>
      <c r="EW756" s="27" t="s">
        <v>8</v>
      </c>
      <c r="EX756" s="27" t="s">
        <v>7</v>
      </c>
      <c r="EY756" s="27" t="s">
        <v>8</v>
      </c>
      <c r="FB756" s="27" t="s">
        <v>7</v>
      </c>
      <c r="FC756" s="27" t="s">
        <v>8</v>
      </c>
      <c r="FD756" s="27" t="s">
        <v>7</v>
      </c>
      <c r="GE756" s="27" t="s">
        <v>8</v>
      </c>
      <c r="GF756" s="27" t="s">
        <v>7</v>
      </c>
      <c r="GV756" s="27" t="s">
        <v>7</v>
      </c>
      <c r="GX756" s="27" t="s">
        <v>7</v>
      </c>
      <c r="GZ756" s="27" t="s">
        <v>7</v>
      </c>
      <c r="HA756" s="27" t="s">
        <v>8</v>
      </c>
      <c r="HB756" s="27" t="s">
        <v>7</v>
      </c>
      <c r="HC756" s="27" t="s">
        <v>8</v>
      </c>
      <c r="HD756" s="27" t="s">
        <v>7</v>
      </c>
      <c r="HI756" s="27" t="s">
        <v>8</v>
      </c>
      <c r="HJ756" s="27" t="s">
        <v>7</v>
      </c>
      <c r="HK756" s="27" t="s">
        <v>8</v>
      </c>
      <c r="HN756" s="27" t="s">
        <v>7</v>
      </c>
      <c r="HO756" s="27" t="s">
        <v>8</v>
      </c>
      <c r="HP756" s="27" t="s">
        <v>7</v>
      </c>
      <c r="HQ756" s="27" t="s">
        <v>8</v>
      </c>
      <c r="HR756" s="27" t="s">
        <v>7</v>
      </c>
      <c r="HS756" s="27" t="s">
        <v>8</v>
      </c>
      <c r="HV756" s="27" t="s">
        <v>7</v>
      </c>
      <c r="IF756" s="27" t="s">
        <v>7</v>
      </c>
      <c r="IG756" s="27" t="s">
        <v>8</v>
      </c>
      <c r="IH756" s="27" t="s">
        <v>7</v>
      </c>
      <c r="II756" s="27" t="s">
        <v>8</v>
      </c>
      <c r="IJ756" s="27" t="s">
        <v>7</v>
      </c>
      <c r="IK756" s="27" t="s">
        <v>8</v>
      </c>
      <c r="IL756" s="27" t="s">
        <v>7</v>
      </c>
      <c r="IM756" s="27" t="s">
        <v>8</v>
      </c>
      <c r="IN756" s="27" t="s">
        <v>7</v>
      </c>
      <c r="IO756" s="27" t="s">
        <v>8</v>
      </c>
      <c r="IP756" s="27" t="s">
        <v>7</v>
      </c>
      <c r="IQ756" s="27" t="s">
        <v>8</v>
      </c>
      <c r="IR756" s="27" t="s">
        <v>7</v>
      </c>
      <c r="IS756" s="27" t="s">
        <v>8</v>
      </c>
      <c r="IT756" s="27" t="s">
        <v>7</v>
      </c>
      <c r="JA756" s="27" t="s">
        <v>8</v>
      </c>
    </row>
    <row r="757" spans="1:270" x14ac:dyDescent="0.25">
      <c r="A757" s="7">
        <v>3.451205345860435E-2</v>
      </c>
      <c r="B757"/>
      <c r="C757"/>
      <c r="D757"/>
      <c r="E757"/>
      <c r="F757" s="27" t="s">
        <v>7</v>
      </c>
      <c r="G757" s="27" t="s">
        <v>8</v>
      </c>
      <c r="H757" s="27" t="s">
        <v>7</v>
      </c>
      <c r="BS757" s="27" t="s">
        <v>8</v>
      </c>
      <c r="BT757" s="27" t="s">
        <v>7</v>
      </c>
      <c r="BU757" s="27" t="s">
        <v>8</v>
      </c>
      <c r="BV757" s="27" t="s">
        <v>7</v>
      </c>
      <c r="BW757" s="27" t="s">
        <v>8</v>
      </c>
      <c r="BX757" s="27" t="s">
        <v>7</v>
      </c>
      <c r="BY757" s="27" t="s">
        <v>8</v>
      </c>
      <c r="BZ757" s="27" t="s">
        <v>7</v>
      </c>
      <c r="CA757" s="27" t="s">
        <v>8</v>
      </c>
      <c r="CF757" s="27" t="s">
        <v>7</v>
      </c>
      <c r="CG757" s="27" t="s">
        <v>8</v>
      </c>
      <c r="CH757" s="27" t="s">
        <v>7</v>
      </c>
      <c r="CI757" s="27" t="s">
        <v>8</v>
      </c>
      <c r="CJ757" s="27" t="s">
        <v>7</v>
      </c>
      <c r="CK757" s="27" t="s">
        <v>8</v>
      </c>
      <c r="CN757" s="27" t="s">
        <v>7</v>
      </c>
      <c r="EP757" s="27" t="s">
        <v>7</v>
      </c>
      <c r="EQ757" s="27" t="s">
        <v>8</v>
      </c>
      <c r="ER757" s="27" t="s">
        <v>7</v>
      </c>
      <c r="ES757" s="27" t="s">
        <v>8</v>
      </c>
      <c r="ET757" s="27" t="s">
        <v>7</v>
      </c>
      <c r="EU757" s="27" t="s">
        <v>8</v>
      </c>
      <c r="EV757" s="27" t="s">
        <v>7</v>
      </c>
      <c r="EX757" s="27" t="s">
        <v>7</v>
      </c>
      <c r="EY757" s="27" t="s">
        <v>8</v>
      </c>
      <c r="FB757" s="27" t="s">
        <v>7</v>
      </c>
      <c r="FC757" s="27" t="s">
        <v>8</v>
      </c>
      <c r="FD757" s="27" t="s">
        <v>7</v>
      </c>
      <c r="GE757" s="27" t="s">
        <v>8</v>
      </c>
      <c r="GZ757" s="27" t="s">
        <v>7</v>
      </c>
      <c r="HA757" s="27" t="s">
        <v>8</v>
      </c>
      <c r="HB757" s="27" t="s">
        <v>7</v>
      </c>
      <c r="HC757" s="27" t="s">
        <v>8</v>
      </c>
      <c r="HD757" s="27" t="s">
        <v>7</v>
      </c>
      <c r="HI757" s="27" t="s">
        <v>8</v>
      </c>
      <c r="HJ757" s="27" t="s">
        <v>7</v>
      </c>
      <c r="HK757" s="27" t="s">
        <v>8</v>
      </c>
      <c r="HN757" s="27" t="s">
        <v>7</v>
      </c>
      <c r="HO757" s="27" t="s">
        <v>8</v>
      </c>
      <c r="HP757" s="27" t="s">
        <v>7</v>
      </c>
      <c r="HQ757" s="27" t="s">
        <v>8</v>
      </c>
      <c r="HR757" s="27" t="s">
        <v>7</v>
      </c>
      <c r="HS757" s="27" t="s">
        <v>8</v>
      </c>
      <c r="IF757" s="27" t="s">
        <v>7</v>
      </c>
      <c r="IG757" s="27" t="s">
        <v>8</v>
      </c>
      <c r="IH757" s="27" t="s">
        <v>7</v>
      </c>
      <c r="IJ757" s="27" t="s">
        <v>7</v>
      </c>
      <c r="IK757" s="27" t="s">
        <v>8</v>
      </c>
      <c r="IL757" s="27" t="s">
        <v>7</v>
      </c>
      <c r="IM757" s="27" t="s">
        <v>8</v>
      </c>
      <c r="IN757" s="27" t="s">
        <v>7</v>
      </c>
      <c r="IO757" s="27" t="s">
        <v>8</v>
      </c>
      <c r="IP757" s="27" t="s">
        <v>7</v>
      </c>
      <c r="IR757" s="27" t="s">
        <v>7</v>
      </c>
      <c r="IS757" s="27" t="s">
        <v>8</v>
      </c>
      <c r="IT757" s="27" t="s">
        <v>7</v>
      </c>
      <c r="IY757" s="27" t="s">
        <v>8</v>
      </c>
      <c r="JA757" s="27" t="s">
        <v>8</v>
      </c>
      <c r="JB757" s="27" t="s">
        <v>7</v>
      </c>
    </row>
    <row r="758" spans="1:270" x14ac:dyDescent="0.25">
      <c r="A758" s="7">
        <v>3.3835346528043479E-2</v>
      </c>
      <c r="B758"/>
      <c r="C758"/>
      <c r="D758"/>
      <c r="E758"/>
      <c r="F758" s="27" t="s">
        <v>7</v>
      </c>
      <c r="G758" s="27" t="s">
        <v>8</v>
      </c>
      <c r="H758" s="27" t="s">
        <v>7</v>
      </c>
      <c r="BS758" s="27" t="s">
        <v>8</v>
      </c>
      <c r="BT758" s="27" t="s">
        <v>7</v>
      </c>
      <c r="BU758" s="27" t="s">
        <v>8</v>
      </c>
      <c r="BV758" s="27" t="s">
        <v>7</v>
      </c>
      <c r="BW758" s="27" t="s">
        <v>8</v>
      </c>
      <c r="BX758" s="27" t="s">
        <v>7</v>
      </c>
      <c r="BY758" s="27" t="s">
        <v>8</v>
      </c>
      <c r="BZ758" s="27" t="s">
        <v>7</v>
      </c>
      <c r="CF758" s="27" t="s">
        <v>7</v>
      </c>
      <c r="CG758" s="27" t="s">
        <v>8</v>
      </c>
      <c r="CH758" s="27" t="s">
        <v>7</v>
      </c>
      <c r="CI758" s="27" t="s">
        <v>8</v>
      </c>
      <c r="CJ758" s="27" t="s">
        <v>7</v>
      </c>
      <c r="CK758" s="27" t="s">
        <v>8</v>
      </c>
      <c r="EP758" s="27" t="s">
        <v>7</v>
      </c>
      <c r="EQ758" s="27" t="s">
        <v>8</v>
      </c>
      <c r="ER758" s="27" t="s">
        <v>7</v>
      </c>
      <c r="ES758" s="27" t="s">
        <v>8</v>
      </c>
      <c r="ET758" s="27" t="s">
        <v>7</v>
      </c>
      <c r="EU758" s="27" t="s">
        <v>8</v>
      </c>
      <c r="EX758" s="27" t="s">
        <v>7</v>
      </c>
      <c r="EY758" s="27" t="s">
        <v>8</v>
      </c>
      <c r="FB758" s="27" t="s">
        <v>7</v>
      </c>
      <c r="FD758" s="27" t="s">
        <v>7</v>
      </c>
      <c r="FE758" s="27" t="s">
        <v>8</v>
      </c>
      <c r="GC758" s="27" t="s">
        <v>8</v>
      </c>
      <c r="GE758" s="27" t="s">
        <v>8</v>
      </c>
      <c r="GZ758" s="27" t="s">
        <v>7</v>
      </c>
      <c r="HA758" s="27" t="s">
        <v>8</v>
      </c>
      <c r="HB758" s="27" t="s">
        <v>7</v>
      </c>
      <c r="HC758" s="27" t="s">
        <v>8</v>
      </c>
      <c r="HD758" s="27" t="s">
        <v>7</v>
      </c>
      <c r="HI758" s="27" t="s">
        <v>8</v>
      </c>
      <c r="HJ758" s="27" t="s">
        <v>7</v>
      </c>
      <c r="HN758" s="27" t="s">
        <v>7</v>
      </c>
      <c r="HO758" s="27" t="s">
        <v>8</v>
      </c>
      <c r="HP758" s="27" t="s">
        <v>7</v>
      </c>
      <c r="HQ758" s="27" t="s">
        <v>8</v>
      </c>
      <c r="HR758" s="27" t="s">
        <v>7</v>
      </c>
      <c r="HS758" s="27" t="s">
        <v>8</v>
      </c>
      <c r="IF758" s="27" t="s">
        <v>7</v>
      </c>
      <c r="IG758" s="27" t="s">
        <v>8</v>
      </c>
      <c r="IJ758" s="27" t="s">
        <v>7</v>
      </c>
      <c r="IK758" s="27" t="s">
        <v>8</v>
      </c>
      <c r="IL758" s="27" t="s">
        <v>7</v>
      </c>
      <c r="IM758" s="27" t="s">
        <v>8</v>
      </c>
      <c r="IN758" s="27" t="s">
        <v>7</v>
      </c>
      <c r="IO758" s="27" t="s">
        <v>8</v>
      </c>
      <c r="IR758" s="27" t="s">
        <v>7</v>
      </c>
      <c r="IS758" s="27" t="s">
        <v>8</v>
      </c>
      <c r="IT758" s="27" t="s">
        <v>7</v>
      </c>
      <c r="IU758" s="27" t="s">
        <v>8</v>
      </c>
      <c r="IW758" s="27" t="s">
        <v>8</v>
      </c>
      <c r="IY758" s="27" t="s">
        <v>8</v>
      </c>
      <c r="IZ758" s="27" t="s">
        <v>7</v>
      </c>
      <c r="JA758" s="27" t="s">
        <v>8</v>
      </c>
      <c r="JB758" s="27" t="s">
        <v>7</v>
      </c>
    </row>
    <row r="759" spans="1:270" x14ac:dyDescent="0.25">
      <c r="A759" s="7">
        <v>3.3171908360826938E-2</v>
      </c>
      <c r="B759"/>
      <c r="C759"/>
      <c r="D759"/>
      <c r="E759"/>
      <c r="F759" s="27" t="s">
        <v>7</v>
      </c>
      <c r="G759" s="27" t="s">
        <v>8</v>
      </c>
      <c r="H759" s="27" t="s">
        <v>7</v>
      </c>
      <c r="BS759" s="27" t="s">
        <v>8</v>
      </c>
      <c r="BT759" s="27" t="s">
        <v>7</v>
      </c>
      <c r="BU759" s="27" t="s">
        <v>8</v>
      </c>
      <c r="BV759" s="27" t="s">
        <v>7</v>
      </c>
      <c r="BX759" s="27" t="s">
        <v>7</v>
      </c>
      <c r="BY759" s="27" t="s">
        <v>8</v>
      </c>
      <c r="CF759" s="27" t="s">
        <v>7</v>
      </c>
      <c r="CG759" s="27" t="s">
        <v>8</v>
      </c>
      <c r="CH759" s="27" t="s">
        <v>7</v>
      </c>
      <c r="CI759" s="27" t="s">
        <v>8</v>
      </c>
      <c r="CJ759" s="27" t="s">
        <v>7</v>
      </c>
      <c r="CK759" s="27" t="s">
        <v>8</v>
      </c>
      <c r="EP759" s="27" t="s">
        <v>7</v>
      </c>
      <c r="EQ759" s="27" t="s">
        <v>8</v>
      </c>
      <c r="ER759" s="27" t="s">
        <v>7</v>
      </c>
      <c r="ES759" s="27" t="s">
        <v>8</v>
      </c>
      <c r="ET759" s="27" t="s">
        <v>7</v>
      </c>
      <c r="EU759" s="27" t="s">
        <v>8</v>
      </c>
      <c r="EX759" s="27" t="s">
        <v>7</v>
      </c>
      <c r="EY759" s="27" t="s">
        <v>8</v>
      </c>
      <c r="FD759" s="27" t="s">
        <v>7</v>
      </c>
      <c r="FE759" s="27" t="s">
        <v>8</v>
      </c>
      <c r="FF759" s="27" t="s">
        <v>7</v>
      </c>
      <c r="FG759" s="27" t="s">
        <v>8</v>
      </c>
      <c r="FY759" s="27" t="s">
        <v>8</v>
      </c>
      <c r="GA759" s="27" t="s">
        <v>8</v>
      </c>
      <c r="GC759" s="27" t="s">
        <v>8</v>
      </c>
      <c r="GD759" s="27" t="s">
        <v>7</v>
      </c>
      <c r="GE759" s="27" t="s">
        <v>8</v>
      </c>
      <c r="GZ759" s="27" t="s">
        <v>7</v>
      </c>
      <c r="HB759" s="27" t="s">
        <v>7</v>
      </c>
      <c r="HC759" s="27" t="s">
        <v>8</v>
      </c>
      <c r="HD759" s="27" t="s">
        <v>7</v>
      </c>
      <c r="HI759" s="27" t="s">
        <v>8</v>
      </c>
      <c r="HN759" s="27" t="s">
        <v>7</v>
      </c>
      <c r="HO759" s="27" t="s">
        <v>8</v>
      </c>
      <c r="HP759" s="27" t="s">
        <v>7</v>
      </c>
      <c r="HQ759" s="27" t="s">
        <v>8</v>
      </c>
      <c r="HR759" s="27" t="s">
        <v>7</v>
      </c>
      <c r="IF759" s="27" t="s">
        <v>7</v>
      </c>
      <c r="IG759" s="27" t="s">
        <v>8</v>
      </c>
      <c r="IJ759" s="27" t="s">
        <v>7</v>
      </c>
      <c r="IL759" s="27" t="s">
        <v>7</v>
      </c>
      <c r="IM759" s="27" t="s">
        <v>8</v>
      </c>
      <c r="IN759" s="27" t="s">
        <v>7</v>
      </c>
      <c r="IO759" s="27" t="s">
        <v>8</v>
      </c>
      <c r="IR759" s="27" t="s">
        <v>7</v>
      </c>
      <c r="IS759" s="27" t="s">
        <v>8</v>
      </c>
      <c r="IT759" s="27" t="s">
        <v>7</v>
      </c>
      <c r="IU759" s="27" t="s">
        <v>8</v>
      </c>
      <c r="IV759" s="27" t="s">
        <v>7</v>
      </c>
      <c r="IW759" s="27" t="s">
        <v>8</v>
      </c>
      <c r="IX759" s="27" t="s">
        <v>7</v>
      </c>
      <c r="IY759" s="27" t="s">
        <v>8</v>
      </c>
      <c r="IZ759" s="27" t="s">
        <v>7</v>
      </c>
      <c r="JA759" s="27" t="s">
        <v>8</v>
      </c>
      <c r="JB759" s="27" t="s">
        <v>7</v>
      </c>
      <c r="JC759" s="27" t="s">
        <v>8</v>
      </c>
    </row>
    <row r="760" spans="1:270" x14ac:dyDescent="0.25">
      <c r="A760" s="7">
        <v>3.2521478785124451E-2</v>
      </c>
      <c r="B760"/>
      <c r="C760"/>
      <c r="D760"/>
      <c r="E760"/>
      <c r="F760" s="27" t="s">
        <v>7</v>
      </c>
      <c r="G760" s="27" t="s">
        <v>8</v>
      </c>
      <c r="H760" s="27" t="s">
        <v>7</v>
      </c>
      <c r="BS760" s="27" t="s">
        <v>8</v>
      </c>
      <c r="BT760" s="27" t="s">
        <v>7</v>
      </c>
      <c r="BU760" s="27" t="s">
        <v>8</v>
      </c>
      <c r="BX760" s="27" t="s">
        <v>7</v>
      </c>
      <c r="BY760" s="27" t="s">
        <v>8</v>
      </c>
      <c r="CF760" s="27" t="s">
        <v>7</v>
      </c>
      <c r="CG760" s="27" t="s">
        <v>8</v>
      </c>
      <c r="CH760" s="27" t="s">
        <v>7</v>
      </c>
      <c r="CI760" s="27" t="s">
        <v>8</v>
      </c>
      <c r="CJ760" s="27" t="s">
        <v>7</v>
      </c>
      <c r="EP760" s="27" t="s">
        <v>7</v>
      </c>
      <c r="EQ760" s="27" t="s">
        <v>8</v>
      </c>
      <c r="ER760" s="27" t="s">
        <v>7</v>
      </c>
      <c r="ET760" s="27" t="s">
        <v>7</v>
      </c>
      <c r="EU760" s="27" t="s">
        <v>8</v>
      </c>
      <c r="EX760" s="27" t="s">
        <v>7</v>
      </c>
      <c r="EY760" s="27" t="s">
        <v>8</v>
      </c>
      <c r="FD760" s="27" t="s">
        <v>7</v>
      </c>
      <c r="FE760" s="27" t="s">
        <v>8</v>
      </c>
      <c r="FF760" s="27" t="s">
        <v>7</v>
      </c>
      <c r="FG760" s="27" t="s">
        <v>8</v>
      </c>
      <c r="FH760" s="27" t="s">
        <v>7</v>
      </c>
      <c r="FY760" s="27" t="s">
        <v>8</v>
      </c>
      <c r="FZ760" s="27" t="s">
        <v>7</v>
      </c>
      <c r="GA760" s="27" t="s">
        <v>8</v>
      </c>
      <c r="GB760" s="27" t="s">
        <v>7</v>
      </c>
      <c r="GC760" s="27" t="s">
        <v>8</v>
      </c>
      <c r="GD760" s="27" t="s">
        <v>7</v>
      </c>
      <c r="GE760" s="27" t="s">
        <v>8</v>
      </c>
      <c r="HB760" s="27" t="s">
        <v>7</v>
      </c>
      <c r="HC760" s="27" t="s">
        <v>8</v>
      </c>
      <c r="HD760" s="27" t="s">
        <v>7</v>
      </c>
      <c r="HE760" s="27" t="s">
        <v>8</v>
      </c>
      <c r="HI760" s="27" t="s">
        <v>8</v>
      </c>
      <c r="HN760" s="27" t="s">
        <v>7</v>
      </c>
      <c r="HO760" s="27" t="s">
        <v>8</v>
      </c>
      <c r="HP760" s="27" t="s">
        <v>7</v>
      </c>
      <c r="IF760" s="27" t="s">
        <v>7</v>
      </c>
      <c r="IL760" s="27" t="s">
        <v>7</v>
      </c>
      <c r="IM760" s="27" t="s">
        <v>8</v>
      </c>
      <c r="IN760" s="27" t="s">
        <v>7</v>
      </c>
      <c r="IO760" s="27" t="s">
        <v>8</v>
      </c>
      <c r="IR760" s="27" t="s">
        <v>7</v>
      </c>
      <c r="IS760" s="27" t="s">
        <v>8</v>
      </c>
      <c r="IT760" s="27" t="s">
        <v>7</v>
      </c>
      <c r="IU760" s="27" t="s">
        <v>8</v>
      </c>
      <c r="IV760" s="27" t="s">
        <v>7</v>
      </c>
      <c r="IW760" s="27" t="s">
        <v>8</v>
      </c>
      <c r="IX760" s="27" t="s">
        <v>7</v>
      </c>
      <c r="IY760" s="27" t="s">
        <v>8</v>
      </c>
      <c r="IZ760" s="27" t="s">
        <v>7</v>
      </c>
      <c r="JB760" s="27" t="s">
        <v>7</v>
      </c>
      <c r="JC760" s="27" t="s">
        <v>8</v>
      </c>
      <c r="JD760" s="27" t="s">
        <v>7</v>
      </c>
      <c r="JE760" s="27" t="s">
        <v>8</v>
      </c>
    </row>
    <row r="761" spans="1:270" x14ac:dyDescent="0.25">
      <c r="A761" s="7">
        <v>3.1883802730514173E-2</v>
      </c>
      <c r="B761"/>
      <c r="C761"/>
      <c r="D761"/>
      <c r="E761"/>
      <c r="F761" s="27" t="s">
        <v>7</v>
      </c>
      <c r="G761" s="27" t="s">
        <v>8</v>
      </c>
      <c r="H761" s="27" t="s">
        <v>7</v>
      </c>
      <c r="BS761" s="27" t="s">
        <v>8</v>
      </c>
      <c r="BT761" s="27" t="s">
        <v>7</v>
      </c>
      <c r="BU761" s="27" t="s">
        <v>8</v>
      </c>
      <c r="BX761" s="27" t="s">
        <v>7</v>
      </c>
      <c r="BY761" s="27" t="s">
        <v>8</v>
      </c>
      <c r="CF761" s="27" t="s">
        <v>7</v>
      </c>
      <c r="CG761" s="27" t="s">
        <v>8</v>
      </c>
      <c r="CH761" s="27" t="s">
        <v>7</v>
      </c>
      <c r="CI761" s="27" t="s">
        <v>8</v>
      </c>
      <c r="EP761" s="27" t="s">
        <v>7</v>
      </c>
      <c r="EQ761" s="27" t="s">
        <v>8</v>
      </c>
      <c r="ET761" s="27" t="s">
        <v>7</v>
      </c>
      <c r="EU761" s="27" t="s">
        <v>8</v>
      </c>
      <c r="EX761" s="27" t="s">
        <v>7</v>
      </c>
      <c r="EY761" s="27" t="s">
        <v>8</v>
      </c>
      <c r="FD761" s="27" t="s">
        <v>7</v>
      </c>
      <c r="FE761" s="27" t="s">
        <v>8</v>
      </c>
      <c r="FF761" s="27" t="s">
        <v>7</v>
      </c>
      <c r="FG761" s="27" t="s">
        <v>8</v>
      </c>
      <c r="FH761" s="27" t="s">
        <v>7</v>
      </c>
      <c r="FY761" s="27" t="s">
        <v>8</v>
      </c>
      <c r="FZ761" s="27" t="s">
        <v>7</v>
      </c>
      <c r="GA761" s="27" t="s">
        <v>8</v>
      </c>
      <c r="GB761" s="27" t="s">
        <v>7</v>
      </c>
      <c r="GC761" s="27" t="s">
        <v>8</v>
      </c>
      <c r="GD761" s="27" t="s">
        <v>7</v>
      </c>
      <c r="GE761" s="27" t="s">
        <v>8</v>
      </c>
      <c r="HB761" s="27" t="s">
        <v>7</v>
      </c>
      <c r="HC761" s="27" t="s">
        <v>8</v>
      </c>
      <c r="HD761" s="27" t="s">
        <v>7</v>
      </c>
      <c r="HE761" s="27" t="s">
        <v>8</v>
      </c>
      <c r="HF761" s="27" t="s">
        <v>7</v>
      </c>
      <c r="HI761" s="27" t="s">
        <v>8</v>
      </c>
      <c r="HN761" s="27" t="s">
        <v>7</v>
      </c>
      <c r="IL761" s="27" t="s">
        <v>7</v>
      </c>
      <c r="IM761" s="27" t="s">
        <v>8</v>
      </c>
      <c r="IN761" s="27" t="s">
        <v>7</v>
      </c>
      <c r="IO761" s="27" t="s">
        <v>8</v>
      </c>
      <c r="IR761" s="27" t="s">
        <v>7</v>
      </c>
      <c r="IT761" s="27" t="s">
        <v>7</v>
      </c>
      <c r="IU761" s="27" t="s">
        <v>8</v>
      </c>
      <c r="IV761" s="27" t="s">
        <v>7</v>
      </c>
      <c r="IW761" s="27" t="s">
        <v>8</v>
      </c>
      <c r="IX761" s="27" t="s">
        <v>7</v>
      </c>
      <c r="IY761" s="27" t="s">
        <v>8</v>
      </c>
      <c r="JB761" s="27" t="s">
        <v>7</v>
      </c>
      <c r="JC761" s="27" t="s">
        <v>8</v>
      </c>
      <c r="JD761" s="27" t="s">
        <v>7</v>
      </c>
      <c r="JE761" s="27" t="s">
        <v>8</v>
      </c>
      <c r="JF761" s="27" t="s">
        <v>7</v>
      </c>
    </row>
    <row r="762" spans="1:270" x14ac:dyDescent="0.25">
      <c r="A762" s="7">
        <v>3.1258630127955073E-2</v>
      </c>
      <c r="B762"/>
      <c r="C762"/>
      <c r="D762"/>
      <c r="E762"/>
      <c r="F762" s="27" t="s">
        <v>7</v>
      </c>
      <c r="G762" s="27" t="s">
        <v>8</v>
      </c>
      <c r="H762" s="27" t="s">
        <v>7</v>
      </c>
      <c r="BS762" s="27" t="s">
        <v>8</v>
      </c>
      <c r="BT762" s="27" t="s">
        <v>7</v>
      </c>
      <c r="BU762" s="27" t="s">
        <v>8</v>
      </c>
      <c r="BX762" s="27" t="s">
        <v>7</v>
      </c>
      <c r="CF762" s="27" t="s">
        <v>7</v>
      </c>
      <c r="CH762" s="27" t="s">
        <v>7</v>
      </c>
      <c r="EP762" s="27" t="s">
        <v>7</v>
      </c>
      <c r="EQ762" s="27" t="s">
        <v>8</v>
      </c>
      <c r="ET762" s="27" t="s">
        <v>7</v>
      </c>
      <c r="EU762" s="27" t="s">
        <v>8</v>
      </c>
      <c r="EX762" s="27" t="s">
        <v>7</v>
      </c>
      <c r="EY762" s="27" t="s">
        <v>8</v>
      </c>
      <c r="FD762" s="27" t="s">
        <v>7</v>
      </c>
      <c r="FE762" s="27" t="s">
        <v>8</v>
      </c>
      <c r="FF762" s="27" t="s">
        <v>7</v>
      </c>
      <c r="FG762" s="27" t="s">
        <v>8</v>
      </c>
      <c r="FH762" s="27" t="s">
        <v>7</v>
      </c>
      <c r="FY762" s="27" t="s">
        <v>8</v>
      </c>
      <c r="FZ762" s="27" t="s">
        <v>7</v>
      </c>
      <c r="GA762" s="27" t="s">
        <v>8</v>
      </c>
      <c r="GB762" s="27" t="s">
        <v>7</v>
      </c>
      <c r="GC762" s="27" t="s">
        <v>8</v>
      </c>
      <c r="GD762" s="27" t="s">
        <v>7</v>
      </c>
      <c r="GE762" s="27" t="s">
        <v>8</v>
      </c>
      <c r="HB762" s="27" t="s">
        <v>7</v>
      </c>
      <c r="HC762" s="27" t="s">
        <v>8</v>
      </c>
      <c r="HD762" s="27" t="s">
        <v>7</v>
      </c>
      <c r="HE762" s="27" t="s">
        <v>8</v>
      </c>
      <c r="HF762" s="27" t="s">
        <v>7</v>
      </c>
      <c r="HG762" s="27" t="s">
        <v>8</v>
      </c>
      <c r="HI762" s="27" t="s">
        <v>8</v>
      </c>
      <c r="IL762" s="27" t="s">
        <v>7</v>
      </c>
      <c r="IM762" s="27" t="s">
        <v>8</v>
      </c>
      <c r="IN762" s="27" t="s">
        <v>7</v>
      </c>
      <c r="IO762" s="27" t="s">
        <v>8</v>
      </c>
      <c r="IT762" s="27" t="s">
        <v>7</v>
      </c>
      <c r="IU762" s="27" t="s">
        <v>8</v>
      </c>
      <c r="IV762" s="27" t="s">
        <v>7</v>
      </c>
      <c r="IW762" s="27" t="s">
        <v>8</v>
      </c>
      <c r="IX762" s="27" t="s">
        <v>7</v>
      </c>
      <c r="IY762" s="27" t="s">
        <v>8</v>
      </c>
      <c r="JB762" s="27" t="s">
        <v>7</v>
      </c>
      <c r="JC762" s="27" t="s">
        <v>8</v>
      </c>
      <c r="JD762" s="27" t="s">
        <v>7</v>
      </c>
      <c r="JE762" s="27" t="s">
        <v>8</v>
      </c>
      <c r="JF762" s="27" t="s">
        <v>7</v>
      </c>
    </row>
    <row r="763" spans="1:270" x14ac:dyDescent="0.25">
      <c r="A763" s="7">
        <v>3.064571581172066E-2</v>
      </c>
      <c r="B763"/>
      <c r="C763"/>
      <c r="D763"/>
      <c r="E763"/>
      <c r="F763" s="27" t="s">
        <v>7</v>
      </c>
      <c r="G763" s="27" t="s">
        <v>8</v>
      </c>
      <c r="H763" s="27" t="s">
        <v>7</v>
      </c>
      <c r="BS763" s="27" t="s">
        <v>8</v>
      </c>
      <c r="BT763" s="27" t="s">
        <v>7</v>
      </c>
      <c r="BU763" s="27" t="s">
        <v>8</v>
      </c>
      <c r="EP763" s="27" t="s">
        <v>7</v>
      </c>
      <c r="EQ763" s="27" t="s">
        <v>8</v>
      </c>
      <c r="ET763" s="27" t="s">
        <v>7</v>
      </c>
      <c r="EU763" s="27" t="s">
        <v>8</v>
      </c>
      <c r="EX763" s="27" t="s">
        <v>7</v>
      </c>
      <c r="EY763" s="27" t="s">
        <v>8</v>
      </c>
      <c r="FD763" s="27" t="s">
        <v>7</v>
      </c>
      <c r="FE763" s="27" t="s">
        <v>8</v>
      </c>
      <c r="FF763" s="27" t="s">
        <v>7</v>
      </c>
      <c r="FG763" s="27" t="s">
        <v>8</v>
      </c>
      <c r="FH763" s="27" t="s">
        <v>7</v>
      </c>
      <c r="FY763" s="27" t="s">
        <v>8</v>
      </c>
      <c r="FZ763" s="27" t="s">
        <v>7</v>
      </c>
      <c r="GA763" s="27" t="s">
        <v>8</v>
      </c>
      <c r="GB763" s="27" t="s">
        <v>7</v>
      </c>
      <c r="GC763" s="27" t="s">
        <v>8</v>
      </c>
      <c r="GD763" s="27" t="s">
        <v>7</v>
      </c>
      <c r="HB763" s="27" t="s">
        <v>7</v>
      </c>
      <c r="HC763" s="27" t="s">
        <v>8</v>
      </c>
      <c r="HD763" s="27" t="s">
        <v>7</v>
      </c>
      <c r="HE763" s="27" t="s">
        <v>8</v>
      </c>
      <c r="HF763" s="27" t="s">
        <v>7</v>
      </c>
      <c r="HG763" s="27" t="s">
        <v>8</v>
      </c>
      <c r="HH763" s="27" t="s">
        <v>7</v>
      </c>
      <c r="HI763" s="27" t="s">
        <v>8</v>
      </c>
      <c r="IL763" s="27" t="s">
        <v>7</v>
      </c>
      <c r="IM763" s="27" t="s">
        <v>8</v>
      </c>
      <c r="IN763" s="27" t="s">
        <v>7</v>
      </c>
      <c r="IO763" s="27" t="s">
        <v>8</v>
      </c>
      <c r="IT763" s="27" t="s">
        <v>7</v>
      </c>
      <c r="IU763" s="27" t="s">
        <v>8</v>
      </c>
      <c r="IV763" s="27" t="s">
        <v>7</v>
      </c>
      <c r="IX763" s="27" t="s">
        <v>7</v>
      </c>
      <c r="IY763" s="27" t="s">
        <v>8</v>
      </c>
      <c r="JB763" s="27" t="s">
        <v>7</v>
      </c>
      <c r="JC763" s="27" t="s">
        <v>8</v>
      </c>
      <c r="JD763" s="27" t="s">
        <v>7</v>
      </c>
      <c r="JE763" s="27" t="s">
        <v>8</v>
      </c>
      <c r="JF763" s="27" t="s">
        <v>7</v>
      </c>
    </row>
    <row r="764" spans="1:270" x14ac:dyDescent="0.25">
      <c r="A764" s="7">
        <v>3.0044819423255549E-2</v>
      </c>
      <c r="B764"/>
      <c r="C764"/>
      <c r="D764"/>
      <c r="E764"/>
      <c r="F764" s="27" t="s">
        <v>7</v>
      </c>
      <c r="G764" s="27" t="s">
        <v>8</v>
      </c>
      <c r="H764" s="27" t="s">
        <v>7</v>
      </c>
      <c r="BS764" s="27" t="s">
        <v>8</v>
      </c>
      <c r="BT764" s="27" t="s">
        <v>7</v>
      </c>
      <c r="BU764" s="27" t="s">
        <v>8</v>
      </c>
      <c r="EP764" s="27" t="s">
        <v>7</v>
      </c>
      <c r="EQ764" s="27" t="s">
        <v>8</v>
      </c>
      <c r="ET764" s="27" t="s">
        <v>7</v>
      </c>
      <c r="EU764" s="27" t="s">
        <v>8</v>
      </c>
      <c r="EX764" s="27" t="s">
        <v>7</v>
      </c>
      <c r="EY764" s="27" t="s">
        <v>8</v>
      </c>
      <c r="FD764" s="27" t="s">
        <v>7</v>
      </c>
      <c r="FE764" s="27" t="s">
        <v>8</v>
      </c>
      <c r="FF764" s="27" t="s">
        <v>7</v>
      </c>
      <c r="FG764" s="27" t="s">
        <v>8</v>
      </c>
      <c r="FH764" s="27" t="s">
        <v>7</v>
      </c>
      <c r="FY764" s="27" t="s">
        <v>8</v>
      </c>
      <c r="FZ764" s="27" t="s">
        <v>7</v>
      </c>
      <c r="GA764" s="27" t="s">
        <v>8</v>
      </c>
      <c r="GB764" s="27" t="s">
        <v>7</v>
      </c>
      <c r="GC764" s="27" t="s">
        <v>8</v>
      </c>
      <c r="HB764" s="27" t="s">
        <v>7</v>
      </c>
      <c r="HC764" s="27" t="s">
        <v>8</v>
      </c>
      <c r="HD764" s="27" t="s">
        <v>7</v>
      </c>
      <c r="HF764" s="27" t="s">
        <v>7</v>
      </c>
      <c r="HG764" s="27" t="s">
        <v>8</v>
      </c>
      <c r="HH764" s="27" t="s">
        <v>7</v>
      </c>
      <c r="HI764" s="27" t="s">
        <v>8</v>
      </c>
      <c r="IL764" s="27" t="s">
        <v>7</v>
      </c>
      <c r="IM764" s="27" t="s">
        <v>8</v>
      </c>
      <c r="IN764" s="27" t="s">
        <v>7</v>
      </c>
      <c r="IT764" s="27" t="s">
        <v>7</v>
      </c>
      <c r="IU764" s="27" t="s">
        <v>8</v>
      </c>
      <c r="IX764" s="27" t="s">
        <v>7</v>
      </c>
      <c r="IY764" s="27" t="s">
        <v>8</v>
      </c>
      <c r="JB764" s="27" t="s">
        <v>7</v>
      </c>
      <c r="JC764" s="27" t="s">
        <v>8</v>
      </c>
      <c r="JD764" s="27" t="s">
        <v>7</v>
      </c>
      <c r="JF764" s="27" t="s">
        <v>7</v>
      </c>
    </row>
    <row r="765" spans="1:270" x14ac:dyDescent="0.25">
      <c r="A765" s="7">
        <v>2.9455705316917203E-2</v>
      </c>
      <c r="B765"/>
      <c r="C765"/>
      <c r="D765"/>
      <c r="E765"/>
      <c r="F765" s="27" t="s">
        <v>7</v>
      </c>
      <c r="G765" s="27" t="s">
        <v>8</v>
      </c>
      <c r="H765" s="27" t="s">
        <v>7</v>
      </c>
      <c r="BS765" s="27" t="s">
        <v>8</v>
      </c>
      <c r="BT765" s="27" t="s">
        <v>7</v>
      </c>
      <c r="BU765" s="27" t="s">
        <v>8</v>
      </c>
      <c r="EP765" s="27" t="s">
        <v>7</v>
      </c>
      <c r="EQ765" s="27" t="s">
        <v>8</v>
      </c>
      <c r="ET765" s="27" t="s">
        <v>7</v>
      </c>
      <c r="EU765" s="27" t="s">
        <v>8</v>
      </c>
      <c r="EX765" s="27" t="s">
        <v>7</v>
      </c>
      <c r="FD765" s="27" t="s">
        <v>7</v>
      </c>
      <c r="FF765" s="27" t="s">
        <v>7</v>
      </c>
      <c r="FG765" s="27" t="s">
        <v>8</v>
      </c>
      <c r="FH765" s="27" t="s">
        <v>7</v>
      </c>
      <c r="FI765" s="27" t="s">
        <v>8</v>
      </c>
      <c r="FY765" s="27" t="s">
        <v>8</v>
      </c>
      <c r="FZ765" s="27" t="s">
        <v>7</v>
      </c>
      <c r="GA765" s="27" t="s">
        <v>8</v>
      </c>
      <c r="GB765" s="27" t="s">
        <v>7</v>
      </c>
      <c r="HB765" s="27" t="s">
        <v>7</v>
      </c>
      <c r="HC765" s="27" t="s">
        <v>8</v>
      </c>
      <c r="HF765" s="27" t="s">
        <v>7</v>
      </c>
      <c r="HG765" s="27" t="s">
        <v>8</v>
      </c>
      <c r="HH765" s="27" t="s">
        <v>7</v>
      </c>
      <c r="HI765" s="27" t="s">
        <v>8</v>
      </c>
      <c r="IL765" s="27" t="s">
        <v>7</v>
      </c>
      <c r="IM765" s="27" t="s">
        <v>8</v>
      </c>
      <c r="IT765" s="27" t="s">
        <v>7</v>
      </c>
      <c r="IU765" s="27" t="s">
        <v>8</v>
      </c>
      <c r="IX765" s="27" t="s">
        <v>7</v>
      </c>
      <c r="IY765" s="27" t="s">
        <v>8</v>
      </c>
      <c r="JB765" s="27" t="s">
        <v>7</v>
      </c>
      <c r="JC765" s="27" t="s">
        <v>8</v>
      </c>
      <c r="JF765" s="27" t="s">
        <v>7</v>
      </c>
    </row>
    <row r="766" spans="1:270" x14ac:dyDescent="0.25">
      <c r="A766" s="7">
        <v>2.8878142467565884E-2</v>
      </c>
      <c r="B766"/>
      <c r="C766"/>
      <c r="D766"/>
      <c r="E766"/>
      <c r="F766" s="27" t="s">
        <v>7</v>
      </c>
      <c r="G766" s="27" t="s">
        <v>8</v>
      </c>
      <c r="H766" s="27" t="s">
        <v>7</v>
      </c>
      <c r="BS766" s="27" t="s">
        <v>8</v>
      </c>
      <c r="BT766" s="27" t="s">
        <v>7</v>
      </c>
      <c r="BU766" s="27" t="s">
        <v>8</v>
      </c>
      <c r="EP766" s="27" t="s">
        <v>7</v>
      </c>
      <c r="EQ766" s="27" t="s">
        <v>8</v>
      </c>
      <c r="ET766" s="27" t="s">
        <v>7</v>
      </c>
      <c r="EU766" s="27" t="s">
        <v>8</v>
      </c>
      <c r="FF766" s="27" t="s">
        <v>7</v>
      </c>
      <c r="FG766" s="27" t="s">
        <v>8</v>
      </c>
      <c r="FH766" s="27" t="s">
        <v>7</v>
      </c>
      <c r="FI766" s="27" t="s">
        <v>8</v>
      </c>
      <c r="FJ766" s="27" t="s">
        <v>7</v>
      </c>
      <c r="FY766" s="27" t="s">
        <v>8</v>
      </c>
      <c r="FZ766" s="27" t="s">
        <v>7</v>
      </c>
      <c r="GA766" s="27" t="s">
        <v>8</v>
      </c>
      <c r="HB766" s="27" t="s">
        <v>7</v>
      </c>
      <c r="HC766" s="27" t="s">
        <v>8</v>
      </c>
      <c r="HF766" s="27" t="s">
        <v>7</v>
      </c>
      <c r="HG766" s="27" t="s">
        <v>8</v>
      </c>
      <c r="HH766" s="27" t="s">
        <v>7</v>
      </c>
      <c r="HI766" s="27" t="s">
        <v>8</v>
      </c>
      <c r="IL766" s="27" t="s">
        <v>7</v>
      </c>
      <c r="IM766" s="27" t="s">
        <v>8</v>
      </c>
      <c r="IT766" s="27" t="s">
        <v>7</v>
      </c>
      <c r="IU766" s="27" t="s">
        <v>8</v>
      </c>
      <c r="IX766" s="27" t="s">
        <v>7</v>
      </c>
      <c r="IY766" s="27" t="s">
        <v>8</v>
      </c>
      <c r="JB766" s="27" t="s">
        <v>7</v>
      </c>
      <c r="JC766" s="27" t="s">
        <v>8</v>
      </c>
      <c r="JF766" s="27" t="s">
        <v>7</v>
      </c>
    </row>
    <row r="767" spans="1:270" x14ac:dyDescent="0.25">
      <c r="A767" s="7">
        <v>2.8311904379966554E-2</v>
      </c>
      <c r="B767"/>
      <c r="C767"/>
      <c r="D767"/>
      <c r="E767"/>
      <c r="F767" s="27" t="s">
        <v>7</v>
      </c>
      <c r="G767" s="27" t="s">
        <v>8</v>
      </c>
      <c r="H767" s="27" t="s">
        <v>7</v>
      </c>
      <c r="BS767" s="27" t="s">
        <v>8</v>
      </c>
      <c r="BT767" s="27" t="s">
        <v>7</v>
      </c>
      <c r="BU767" s="27" t="s">
        <v>8</v>
      </c>
      <c r="EP767" s="27" t="s">
        <v>7</v>
      </c>
      <c r="EQ767" s="27" t="s">
        <v>8</v>
      </c>
      <c r="ET767" s="27" t="s">
        <v>7</v>
      </c>
      <c r="EU767" s="27" t="s">
        <v>8</v>
      </c>
      <c r="FF767" s="27" t="s">
        <v>7</v>
      </c>
      <c r="FG767" s="27" t="s">
        <v>8</v>
      </c>
      <c r="FH767" s="27" t="s">
        <v>7</v>
      </c>
      <c r="FI767" s="27" t="s">
        <v>8</v>
      </c>
      <c r="FJ767" s="27" t="s">
        <v>7</v>
      </c>
      <c r="FY767" s="27" t="s">
        <v>8</v>
      </c>
      <c r="FZ767" s="27" t="s">
        <v>7</v>
      </c>
      <c r="GA767" s="27" t="s">
        <v>8</v>
      </c>
      <c r="HB767" s="27" t="s">
        <v>7</v>
      </c>
      <c r="HC767" s="27" t="s">
        <v>8</v>
      </c>
      <c r="HF767" s="27" t="s">
        <v>7</v>
      </c>
      <c r="HH767" s="27" t="s">
        <v>7</v>
      </c>
      <c r="HI767" s="27" t="s">
        <v>8</v>
      </c>
      <c r="IL767" s="27" t="s">
        <v>7</v>
      </c>
      <c r="IT767" s="27" t="s">
        <v>7</v>
      </c>
      <c r="IX767" s="27" t="s">
        <v>7</v>
      </c>
      <c r="IY767" s="27" t="s">
        <v>8</v>
      </c>
      <c r="JB767" s="27" t="s">
        <v>7</v>
      </c>
      <c r="JF767" s="27" t="s">
        <v>7</v>
      </c>
      <c r="JI767" s="27" t="s">
        <v>8</v>
      </c>
    </row>
    <row r="768" spans="1:270" x14ac:dyDescent="0.25">
      <c r="A768" s="7">
        <v>2.7756768999967207E-2</v>
      </c>
      <c r="B768"/>
      <c r="C768"/>
      <c r="D768"/>
      <c r="E768"/>
      <c r="F768" s="27" t="s">
        <v>7</v>
      </c>
      <c r="G768" s="27" t="s">
        <v>8</v>
      </c>
      <c r="H768" s="27" t="s">
        <v>7</v>
      </c>
      <c r="BS768" s="27" t="s">
        <v>8</v>
      </c>
      <c r="BT768" s="27" t="s">
        <v>7</v>
      </c>
      <c r="BU768" s="27" t="s">
        <v>8</v>
      </c>
      <c r="EP768" s="27" t="s">
        <v>7</v>
      </c>
      <c r="EQ768" s="27" t="s">
        <v>8</v>
      </c>
      <c r="ET768" s="27" t="s">
        <v>7</v>
      </c>
      <c r="EU768" s="27" t="s">
        <v>8</v>
      </c>
      <c r="FF768" s="27" t="s">
        <v>7</v>
      </c>
      <c r="FG768" s="27" t="s">
        <v>8</v>
      </c>
      <c r="FH768" s="27" t="s">
        <v>7</v>
      </c>
      <c r="FI768" s="27" t="s">
        <v>8</v>
      </c>
      <c r="FJ768" s="27" t="s">
        <v>7</v>
      </c>
      <c r="FQ768" s="27" t="s">
        <v>8</v>
      </c>
      <c r="FY768" s="27" t="s">
        <v>8</v>
      </c>
      <c r="FZ768" s="27" t="s">
        <v>7</v>
      </c>
      <c r="GA768" s="27" t="s">
        <v>8</v>
      </c>
      <c r="HB768" s="27" t="s">
        <v>7</v>
      </c>
      <c r="HC768" s="27" t="s">
        <v>8</v>
      </c>
      <c r="HH768" s="27" t="s">
        <v>7</v>
      </c>
      <c r="HI768" s="27" t="s">
        <v>8</v>
      </c>
      <c r="IX768" s="27" t="s">
        <v>7</v>
      </c>
      <c r="JF768" s="27" t="s">
        <v>7</v>
      </c>
      <c r="JI768" s="27" t="s">
        <v>8</v>
      </c>
      <c r="JJ768" s="27" t="s">
        <v>7</v>
      </c>
    </row>
    <row r="769" spans="1:270" x14ac:dyDescent="0.25">
      <c r="A769" s="7">
        <v>2.7212518627418834E-2</v>
      </c>
      <c r="B769"/>
      <c r="C769"/>
      <c r="D769"/>
      <c r="E769"/>
      <c r="F769" s="27" t="s">
        <v>7</v>
      </c>
      <c r="G769" s="27" t="s">
        <v>8</v>
      </c>
      <c r="H769" s="27" t="s">
        <v>7</v>
      </c>
      <c r="BS769" s="27" t="s">
        <v>8</v>
      </c>
      <c r="BT769" s="27" t="s">
        <v>7</v>
      </c>
      <c r="BU769" s="27" t="s">
        <v>8</v>
      </c>
      <c r="EP769" s="27" t="s">
        <v>7</v>
      </c>
      <c r="EQ769" s="27" t="s">
        <v>8</v>
      </c>
      <c r="ET769" s="27" t="s">
        <v>7</v>
      </c>
      <c r="EU769" s="27" t="s">
        <v>8</v>
      </c>
      <c r="FF769" s="27" t="s">
        <v>7</v>
      </c>
      <c r="FG769" s="27" t="s">
        <v>8</v>
      </c>
      <c r="FH769" s="27" t="s">
        <v>7</v>
      </c>
      <c r="FJ769" s="27" t="s">
        <v>7</v>
      </c>
      <c r="FQ769" s="27" t="s">
        <v>8</v>
      </c>
      <c r="FR769" s="27" t="s">
        <v>7</v>
      </c>
      <c r="FY769" s="27" t="s">
        <v>8</v>
      </c>
      <c r="FZ769" s="27" t="s">
        <v>7</v>
      </c>
      <c r="HB769" s="27" t="s">
        <v>7</v>
      </c>
      <c r="HH769" s="27" t="s">
        <v>7</v>
      </c>
      <c r="JF769" s="27" t="s">
        <v>7</v>
      </c>
      <c r="JI769" s="27" t="s">
        <v>8</v>
      </c>
      <c r="JJ769" s="27" t="s">
        <v>7</v>
      </c>
    </row>
    <row r="770" spans="1:270" x14ac:dyDescent="0.25">
      <c r="A770" s="7">
        <v>2.6678939830802779E-2</v>
      </c>
      <c r="B770"/>
      <c r="C770"/>
      <c r="D770"/>
      <c r="E770"/>
      <c r="F770" s="27" t="s">
        <v>7</v>
      </c>
      <c r="G770" s="27" t="s">
        <v>8</v>
      </c>
      <c r="H770" s="27" t="s">
        <v>7</v>
      </c>
      <c r="BS770" s="27" t="s">
        <v>8</v>
      </c>
      <c r="BT770" s="27" t="s">
        <v>7</v>
      </c>
      <c r="BU770" s="27" t="s">
        <v>8</v>
      </c>
      <c r="EP770" s="27" t="s">
        <v>7</v>
      </c>
      <c r="EQ770" s="27" t="s">
        <v>8</v>
      </c>
      <c r="ET770" s="27" t="s">
        <v>7</v>
      </c>
      <c r="EU770" s="27" t="s">
        <v>8</v>
      </c>
      <c r="FF770" s="27" t="s">
        <v>7</v>
      </c>
      <c r="FG770" s="27" t="s">
        <v>8</v>
      </c>
      <c r="FJ770" s="27" t="s">
        <v>7</v>
      </c>
      <c r="FQ770" s="27" t="s">
        <v>8</v>
      </c>
      <c r="FR770" s="27" t="s">
        <v>7</v>
      </c>
      <c r="FY770" s="27" t="s">
        <v>8</v>
      </c>
      <c r="JF770" s="27" t="s">
        <v>7</v>
      </c>
      <c r="JI770" s="27" t="s">
        <v>8</v>
      </c>
      <c r="JJ770" s="27" t="s">
        <v>7</v>
      </c>
    </row>
    <row r="771" spans="1:270" x14ac:dyDescent="0.25">
      <c r="A771" s="7">
        <v>2.615582336353214E-2</v>
      </c>
      <c r="B771"/>
      <c r="C771"/>
      <c r="D771"/>
      <c r="E771"/>
      <c r="F771" s="27" t="s">
        <v>7</v>
      </c>
      <c r="G771" s="27" t="s">
        <v>8</v>
      </c>
      <c r="H771" s="27" t="s">
        <v>7</v>
      </c>
      <c r="AW771" s="27" t="s">
        <v>8</v>
      </c>
      <c r="BS771" s="27" t="s">
        <v>8</v>
      </c>
      <c r="BT771" s="27" t="s">
        <v>7</v>
      </c>
      <c r="BU771" s="27" t="s">
        <v>8</v>
      </c>
      <c r="EP771" s="27" t="s">
        <v>7</v>
      </c>
      <c r="EQ771" s="27" t="s">
        <v>8</v>
      </c>
      <c r="ET771" s="27" t="s">
        <v>7</v>
      </c>
      <c r="EU771" s="27" t="s">
        <v>8</v>
      </c>
      <c r="FF771" s="27" t="s">
        <v>7</v>
      </c>
      <c r="FJ771" s="27" t="s">
        <v>7</v>
      </c>
      <c r="FO771" s="27" t="s">
        <v>8</v>
      </c>
      <c r="FQ771" s="27" t="s">
        <v>8</v>
      </c>
      <c r="FR771" s="27" t="s">
        <v>7</v>
      </c>
      <c r="FY771" s="27" t="s">
        <v>8</v>
      </c>
      <c r="JF771" s="27" t="s">
        <v>7</v>
      </c>
      <c r="JG771" s="27" t="s">
        <v>8</v>
      </c>
      <c r="JI771" s="27" t="s">
        <v>8</v>
      </c>
      <c r="JJ771" s="27" t="s">
        <v>7</v>
      </c>
    </row>
    <row r="772" spans="1:270" x14ac:dyDescent="0.25">
      <c r="A772" s="7">
        <v>2.5642964081894253E-2</v>
      </c>
      <c r="B772"/>
      <c r="C772"/>
      <c r="D772"/>
      <c r="E772"/>
      <c r="F772" s="27" t="s">
        <v>7</v>
      </c>
      <c r="G772" s="27" t="s">
        <v>8</v>
      </c>
      <c r="H772" s="27" t="s">
        <v>7</v>
      </c>
      <c r="AW772" s="27" t="s">
        <v>8</v>
      </c>
      <c r="AX772" s="27" t="s">
        <v>7</v>
      </c>
      <c r="BS772" s="27" t="s">
        <v>8</v>
      </c>
      <c r="BT772" s="27" t="s">
        <v>7</v>
      </c>
      <c r="EP772" s="27" t="s">
        <v>7</v>
      </c>
      <c r="EQ772" s="27" t="s">
        <v>8</v>
      </c>
      <c r="ET772" s="27" t="s">
        <v>7</v>
      </c>
      <c r="EU772" s="27" t="s">
        <v>8</v>
      </c>
      <c r="FJ772" s="27" t="s">
        <v>7</v>
      </c>
      <c r="FM772" s="27" t="s">
        <v>8</v>
      </c>
      <c r="FO772" s="27" t="s">
        <v>8</v>
      </c>
      <c r="FP772" s="27" t="s">
        <v>7</v>
      </c>
      <c r="FQ772" s="27" t="s">
        <v>8</v>
      </c>
      <c r="FR772" s="27" t="s">
        <v>7</v>
      </c>
      <c r="FY772" s="27" t="s">
        <v>8</v>
      </c>
      <c r="JF772" s="27" t="s">
        <v>7</v>
      </c>
      <c r="JG772" s="27" t="s">
        <v>8</v>
      </c>
      <c r="JH772" s="27" t="s">
        <v>7</v>
      </c>
      <c r="JI772" s="27" t="s">
        <v>8</v>
      </c>
      <c r="JJ772" s="27" t="s">
        <v>7</v>
      </c>
    </row>
    <row r="773" spans="1:270" x14ac:dyDescent="0.25">
      <c r="A773" s="7">
        <v>2.5140160864602207E-2</v>
      </c>
      <c r="B773"/>
      <c r="C773"/>
      <c r="D773"/>
      <c r="E773"/>
      <c r="F773" s="27" t="s">
        <v>7</v>
      </c>
      <c r="G773" s="27" t="s">
        <v>8</v>
      </c>
      <c r="H773" s="27" t="s">
        <v>7</v>
      </c>
      <c r="AU773" s="27" t="s">
        <v>8</v>
      </c>
      <c r="AW773" s="27" t="s">
        <v>8</v>
      </c>
      <c r="AX773" s="27" t="s">
        <v>7</v>
      </c>
      <c r="BS773" s="27" t="s">
        <v>8</v>
      </c>
      <c r="EP773" s="27" t="s">
        <v>7</v>
      </c>
      <c r="EQ773" s="27" t="s">
        <v>8</v>
      </c>
      <c r="ET773" s="27" t="s">
        <v>7</v>
      </c>
      <c r="EU773" s="27" t="s">
        <v>8</v>
      </c>
      <c r="FJ773" s="27" t="s">
        <v>7</v>
      </c>
      <c r="FM773" s="27" t="s">
        <v>8</v>
      </c>
      <c r="FN773" s="27" t="s">
        <v>7</v>
      </c>
      <c r="FO773" s="27" t="s">
        <v>8</v>
      </c>
      <c r="FP773" s="27" t="s">
        <v>7</v>
      </c>
      <c r="FQ773" s="27" t="s">
        <v>8</v>
      </c>
      <c r="FR773" s="27" t="s">
        <v>7</v>
      </c>
      <c r="FY773" s="27" t="s">
        <v>8</v>
      </c>
      <c r="JF773" s="27" t="s">
        <v>7</v>
      </c>
      <c r="JG773" s="27" t="s">
        <v>8</v>
      </c>
      <c r="JH773" s="27" t="s">
        <v>7</v>
      </c>
      <c r="JI773" s="27" t="s">
        <v>8</v>
      </c>
      <c r="JJ773" s="27" t="s">
        <v>7</v>
      </c>
    </row>
    <row r="774" spans="1:270" x14ac:dyDescent="0.25">
      <c r="A774" s="7">
        <v>2.4647216533923735E-2</v>
      </c>
      <c r="B774"/>
      <c r="C774"/>
      <c r="D774"/>
      <c r="E774"/>
      <c r="F774" s="27" t="s">
        <v>7</v>
      </c>
      <c r="G774" s="27" t="s">
        <v>8</v>
      </c>
      <c r="H774" s="27" t="s">
        <v>7</v>
      </c>
      <c r="AU774" s="27" t="s">
        <v>8</v>
      </c>
      <c r="AV774" s="27" t="s">
        <v>7</v>
      </c>
      <c r="AW774" s="27" t="s">
        <v>8</v>
      </c>
      <c r="AX774" s="27" t="s">
        <v>7</v>
      </c>
      <c r="BS774" s="27" t="s">
        <v>8</v>
      </c>
      <c r="EP774" s="27" t="s">
        <v>7</v>
      </c>
      <c r="EQ774" s="27" t="s">
        <v>8</v>
      </c>
      <c r="ET774" s="27" t="s">
        <v>7</v>
      </c>
      <c r="EU774" s="27" t="s">
        <v>8</v>
      </c>
      <c r="FJ774" s="27" t="s">
        <v>7</v>
      </c>
      <c r="FK774" s="27" t="s">
        <v>8</v>
      </c>
      <c r="FM774" s="27" t="s">
        <v>8</v>
      </c>
      <c r="FN774" s="27" t="s">
        <v>7</v>
      </c>
      <c r="FO774" s="27" t="s">
        <v>8</v>
      </c>
      <c r="FP774" s="27" t="s">
        <v>7</v>
      </c>
      <c r="FQ774" s="27" t="s">
        <v>8</v>
      </c>
      <c r="FR774" s="27" t="s">
        <v>7</v>
      </c>
      <c r="FS774" s="27" t="s">
        <v>8</v>
      </c>
      <c r="FY774" s="27" t="s">
        <v>8</v>
      </c>
      <c r="JF774" s="27" t="s">
        <v>7</v>
      </c>
      <c r="JG774" s="27" t="s">
        <v>8</v>
      </c>
      <c r="JH774" s="27" t="s">
        <v>7</v>
      </c>
      <c r="JI774" s="27" t="s">
        <v>8</v>
      </c>
      <c r="JJ774" s="27" t="s">
        <v>7</v>
      </c>
    </row>
    <row r="775" spans="1:270" x14ac:dyDescent="0.25">
      <c r="A775" s="7">
        <v>2.4163937778356601E-2</v>
      </c>
      <c r="B775"/>
      <c r="C775"/>
      <c r="D775"/>
      <c r="E775"/>
      <c r="F775" s="27" t="s">
        <v>7</v>
      </c>
      <c r="G775" s="27" t="s">
        <v>8</v>
      </c>
      <c r="H775" s="27" t="s">
        <v>7</v>
      </c>
      <c r="AU775" s="27" t="s">
        <v>8</v>
      </c>
      <c r="AV775" s="27" t="s">
        <v>7</v>
      </c>
      <c r="AW775" s="27" t="s">
        <v>8</v>
      </c>
      <c r="AX775" s="27" t="s">
        <v>7</v>
      </c>
      <c r="BS775" s="27" t="s">
        <v>8</v>
      </c>
      <c r="EP775" s="27" t="s">
        <v>7</v>
      </c>
      <c r="EQ775" s="27" t="s">
        <v>8</v>
      </c>
      <c r="ET775" s="27" t="s">
        <v>7</v>
      </c>
      <c r="EU775" s="27" t="s">
        <v>8</v>
      </c>
      <c r="FJ775" s="27" t="s">
        <v>7</v>
      </c>
      <c r="FK775" s="27" t="s">
        <v>8</v>
      </c>
      <c r="FL775" s="27" t="s">
        <v>7</v>
      </c>
      <c r="FM775" s="27" t="s">
        <v>8</v>
      </c>
      <c r="FN775" s="27" t="s">
        <v>7</v>
      </c>
      <c r="FO775" s="27" t="s">
        <v>8</v>
      </c>
      <c r="FP775" s="27" t="s">
        <v>7</v>
      </c>
      <c r="FQ775" s="27" t="s">
        <v>8</v>
      </c>
      <c r="FR775" s="27" t="s">
        <v>7</v>
      </c>
      <c r="FS775" s="27" t="s">
        <v>8</v>
      </c>
      <c r="FT775" s="27" t="s">
        <v>7</v>
      </c>
      <c r="FY775" s="27" t="s">
        <v>8</v>
      </c>
      <c r="JF775" s="27" t="s">
        <v>7</v>
      </c>
      <c r="JH775" s="27" t="s">
        <v>7</v>
      </c>
      <c r="JI775" s="27" t="s">
        <v>8</v>
      </c>
      <c r="JJ775" s="27" t="s">
        <v>7</v>
      </c>
    </row>
    <row r="776" spans="1:270" x14ac:dyDescent="0.25">
      <c r="A776" s="7">
        <v>2.3690135076820197E-2</v>
      </c>
      <c r="B776"/>
      <c r="C776"/>
      <c r="D776"/>
      <c r="E776"/>
      <c r="F776" s="27" t="s">
        <v>7</v>
      </c>
      <c r="H776" s="27" t="s">
        <v>7</v>
      </c>
      <c r="AU776" s="27" t="s">
        <v>8</v>
      </c>
      <c r="AV776" s="27" t="s">
        <v>7</v>
      </c>
      <c r="AW776" s="27" t="s">
        <v>8</v>
      </c>
      <c r="AX776" s="27" t="s">
        <v>7</v>
      </c>
      <c r="BS776" s="27" t="s">
        <v>8</v>
      </c>
      <c r="EP776" s="27" t="s">
        <v>7</v>
      </c>
      <c r="EQ776" s="27" t="s">
        <v>8</v>
      </c>
      <c r="ET776" s="27" t="s">
        <v>7</v>
      </c>
      <c r="EU776" s="27" t="s">
        <v>8</v>
      </c>
      <c r="FJ776" s="27" t="s">
        <v>7</v>
      </c>
      <c r="FK776" s="27" t="s">
        <v>8</v>
      </c>
      <c r="FL776" s="27" t="s">
        <v>7</v>
      </c>
      <c r="FM776" s="27" t="s">
        <v>8</v>
      </c>
      <c r="FN776" s="27" t="s">
        <v>7</v>
      </c>
      <c r="FO776" s="27" t="s">
        <v>8</v>
      </c>
      <c r="FP776" s="27" t="s">
        <v>7</v>
      </c>
      <c r="FR776" s="27" t="s">
        <v>7</v>
      </c>
      <c r="FS776" s="27" t="s">
        <v>8</v>
      </c>
      <c r="FT776" s="27" t="s">
        <v>7</v>
      </c>
      <c r="FY776" s="27" t="s">
        <v>8</v>
      </c>
      <c r="JH776" s="27" t="s">
        <v>7</v>
      </c>
      <c r="JI776" s="27" t="s">
        <v>8</v>
      </c>
      <c r="JJ776" s="27" t="s">
        <v>7</v>
      </c>
    </row>
    <row r="777" spans="1:270" x14ac:dyDescent="0.25">
      <c r="A777" s="7">
        <v>2.3225622624333527E-2</v>
      </c>
      <c r="B777"/>
      <c r="C777"/>
      <c r="D777"/>
      <c r="E777"/>
      <c r="H777" s="27" t="s">
        <v>7</v>
      </c>
      <c r="AU777" s="27" t="s">
        <v>8</v>
      </c>
      <c r="AV777" s="27" t="s">
        <v>7</v>
      </c>
      <c r="AW777" s="27" t="s">
        <v>8</v>
      </c>
      <c r="AX777" s="27" t="s">
        <v>7</v>
      </c>
      <c r="BS777" s="27" t="s">
        <v>8</v>
      </c>
      <c r="EP777" s="27" t="s">
        <v>7</v>
      </c>
      <c r="EQ777" s="27" t="s">
        <v>8</v>
      </c>
      <c r="ET777" s="27" t="s">
        <v>7</v>
      </c>
      <c r="EU777" s="27" t="s">
        <v>8</v>
      </c>
      <c r="FJ777" s="27" t="s">
        <v>7</v>
      </c>
      <c r="FK777" s="27" t="s">
        <v>8</v>
      </c>
      <c r="FL777" s="27" t="s">
        <v>7</v>
      </c>
      <c r="FM777" s="27" t="s">
        <v>8</v>
      </c>
      <c r="FN777" s="27" t="s">
        <v>7</v>
      </c>
      <c r="FO777" s="27" t="s">
        <v>8</v>
      </c>
      <c r="FR777" s="27" t="s">
        <v>7</v>
      </c>
      <c r="FT777" s="27" t="s">
        <v>7</v>
      </c>
      <c r="FY777" s="27" t="s">
        <v>8</v>
      </c>
      <c r="JH777" s="27" t="s">
        <v>7</v>
      </c>
      <c r="JJ777" s="27" t="s">
        <v>7</v>
      </c>
    </row>
    <row r="778" spans="1:270" x14ac:dyDescent="0.25">
      <c r="A778" s="7">
        <v>2.2770218259150519E-2</v>
      </c>
      <c r="B778"/>
      <c r="C778"/>
      <c r="D778"/>
      <c r="E778"/>
      <c r="H778" s="27" t="s">
        <v>7</v>
      </c>
      <c r="AU778" s="27" t="s">
        <v>8</v>
      </c>
      <c r="AV778" s="27" t="s">
        <v>7</v>
      </c>
      <c r="AW778" s="27" t="s">
        <v>8</v>
      </c>
      <c r="AX778" s="27" t="s">
        <v>7</v>
      </c>
      <c r="BM778" s="27" t="s">
        <v>8</v>
      </c>
      <c r="BS778" s="27" t="s">
        <v>8</v>
      </c>
      <c r="EP778" s="27" t="s">
        <v>7</v>
      </c>
      <c r="EQ778" s="27" t="s">
        <v>8</v>
      </c>
      <c r="ET778" s="27" t="s">
        <v>7</v>
      </c>
      <c r="FJ778" s="27" t="s">
        <v>7</v>
      </c>
      <c r="FK778" s="27" t="s">
        <v>8</v>
      </c>
      <c r="FL778" s="27" t="s">
        <v>7</v>
      </c>
      <c r="FM778" s="27" t="s">
        <v>8</v>
      </c>
      <c r="FN778" s="27" t="s">
        <v>7</v>
      </c>
      <c r="FO778" s="27" t="s">
        <v>8</v>
      </c>
      <c r="FT778" s="27" t="s">
        <v>7</v>
      </c>
      <c r="FY778" s="27" t="s">
        <v>8</v>
      </c>
      <c r="JJ778" s="27" t="s">
        <v>7</v>
      </c>
    </row>
    <row r="779" spans="1:270" x14ac:dyDescent="0.25">
      <c r="A779" s="7">
        <v>2.2323743391324039E-2</v>
      </c>
      <c r="B779"/>
      <c r="C779"/>
      <c r="D779"/>
      <c r="E779"/>
      <c r="H779" s="27" t="s">
        <v>7</v>
      </c>
      <c r="AU779" s="27" t="s">
        <v>8</v>
      </c>
      <c r="AV779" s="27" t="s">
        <v>7</v>
      </c>
      <c r="AW779" s="27" t="s">
        <v>8</v>
      </c>
      <c r="AX779" s="27" t="s">
        <v>7</v>
      </c>
      <c r="BA779" s="27" t="s">
        <v>8</v>
      </c>
      <c r="BM779" s="27" t="s">
        <v>8</v>
      </c>
      <c r="BN779" s="27" t="s">
        <v>7</v>
      </c>
      <c r="BS779" s="27" t="s">
        <v>8</v>
      </c>
      <c r="EP779" s="27" t="s">
        <v>7</v>
      </c>
      <c r="EQ779" s="27" t="s">
        <v>8</v>
      </c>
      <c r="FJ779" s="27" t="s">
        <v>7</v>
      </c>
      <c r="FK779" s="27" t="s">
        <v>8</v>
      </c>
      <c r="FL779" s="27" t="s">
        <v>7</v>
      </c>
      <c r="FM779" s="27" t="s">
        <v>8</v>
      </c>
      <c r="FN779" s="27" t="s">
        <v>7</v>
      </c>
      <c r="FO779" s="27" t="s">
        <v>8</v>
      </c>
      <c r="FT779" s="27" t="s">
        <v>7</v>
      </c>
      <c r="FU779" s="27" t="s">
        <v>8</v>
      </c>
      <c r="FY779" s="27" t="s">
        <v>8</v>
      </c>
      <c r="JJ779" s="27" t="s">
        <v>7</v>
      </c>
    </row>
    <row r="780" spans="1:270" x14ac:dyDescent="0.25">
      <c r="A780" s="7">
        <v>2.188602293267063E-2</v>
      </c>
      <c r="B780"/>
      <c r="C780"/>
      <c r="D780"/>
      <c r="E780"/>
      <c r="H780" s="27" t="s">
        <v>7</v>
      </c>
      <c r="AU780" s="27" t="s">
        <v>8</v>
      </c>
      <c r="AV780" s="27" t="s">
        <v>7</v>
      </c>
      <c r="AW780" s="27" t="s">
        <v>8</v>
      </c>
      <c r="AX780" s="27" t="s">
        <v>7</v>
      </c>
      <c r="BA780" s="27" t="s">
        <v>8</v>
      </c>
      <c r="BB780" s="27" t="s">
        <v>7</v>
      </c>
      <c r="BM780" s="27" t="s">
        <v>8</v>
      </c>
      <c r="BN780" s="27" t="s">
        <v>7</v>
      </c>
      <c r="BS780" s="27" t="s">
        <v>8</v>
      </c>
      <c r="EP780" s="27" t="s">
        <v>7</v>
      </c>
      <c r="FJ780" s="27" t="s">
        <v>7</v>
      </c>
      <c r="FK780" s="27" t="s">
        <v>8</v>
      </c>
      <c r="FL780" s="27" t="s">
        <v>7</v>
      </c>
      <c r="FM780" s="27" t="s">
        <v>8</v>
      </c>
      <c r="FN780" s="27" t="s">
        <v>7</v>
      </c>
      <c r="FT780" s="27" t="s">
        <v>7</v>
      </c>
      <c r="FU780" s="27" t="s">
        <v>8</v>
      </c>
      <c r="FV780" s="27" t="s">
        <v>7</v>
      </c>
      <c r="FY780" s="27" t="s">
        <v>8</v>
      </c>
      <c r="JJ780" s="27" t="s">
        <v>7</v>
      </c>
    </row>
    <row r="781" spans="1:270" x14ac:dyDescent="0.25">
      <c r="A781" s="7">
        <v>2.1456885228108461E-2</v>
      </c>
      <c r="B781"/>
      <c r="C781"/>
      <c r="D781"/>
      <c r="E781"/>
      <c r="H781" s="27" t="s">
        <v>7</v>
      </c>
      <c r="AU781" s="27" t="s">
        <v>8</v>
      </c>
      <c r="AV781" s="27" t="s">
        <v>7</v>
      </c>
      <c r="AW781" s="27" t="s">
        <v>8</v>
      </c>
      <c r="AX781" s="27" t="s">
        <v>7</v>
      </c>
      <c r="BA781" s="27" t="s">
        <v>8</v>
      </c>
      <c r="BB781" s="27" t="s">
        <v>7</v>
      </c>
      <c r="BC781" s="27" t="s">
        <v>8</v>
      </c>
      <c r="BM781" s="27" t="s">
        <v>8</v>
      </c>
      <c r="BN781" s="27" t="s">
        <v>7</v>
      </c>
      <c r="BS781" s="27" t="s">
        <v>8</v>
      </c>
      <c r="FJ781" s="27" t="s">
        <v>7</v>
      </c>
      <c r="FK781" s="27" t="s">
        <v>8</v>
      </c>
      <c r="FL781" s="27" t="s">
        <v>7</v>
      </c>
      <c r="FM781" s="27" t="s">
        <v>8</v>
      </c>
      <c r="FT781" s="27" t="s">
        <v>7</v>
      </c>
      <c r="FU781" s="27" t="s">
        <v>8</v>
      </c>
      <c r="FV781" s="27" t="s">
        <v>7</v>
      </c>
      <c r="FY781" s="27" t="s">
        <v>8</v>
      </c>
      <c r="JJ781" s="27" t="s">
        <v>7</v>
      </c>
    </row>
    <row r="782" spans="1:270" x14ac:dyDescent="0.25">
      <c r="A782" s="7">
        <v>2.1036161988341632E-2</v>
      </c>
      <c r="B782"/>
      <c r="C782"/>
      <c r="D782"/>
      <c r="E782"/>
      <c r="H782" s="27" t="s">
        <v>7</v>
      </c>
      <c r="AU782" s="27" t="s">
        <v>8</v>
      </c>
      <c r="AV782" s="27" t="s">
        <v>7</v>
      </c>
      <c r="AW782" s="27" t="s">
        <v>8</v>
      </c>
      <c r="AX782" s="27" t="s">
        <v>7</v>
      </c>
      <c r="BA782" s="27" t="s">
        <v>8</v>
      </c>
      <c r="BB782" s="27" t="s">
        <v>7</v>
      </c>
      <c r="BC782" s="27" t="s">
        <v>8</v>
      </c>
      <c r="BD782" s="27" t="s">
        <v>7</v>
      </c>
      <c r="BE782" s="27" t="s">
        <v>8</v>
      </c>
      <c r="BM782" s="27" t="s">
        <v>8</v>
      </c>
      <c r="BN782" s="27" t="s">
        <v>7</v>
      </c>
      <c r="BS782" s="27" t="s">
        <v>8</v>
      </c>
      <c r="FJ782" s="27" t="s">
        <v>7</v>
      </c>
      <c r="FK782" s="27" t="s">
        <v>8</v>
      </c>
      <c r="FL782" s="27" t="s">
        <v>7</v>
      </c>
      <c r="FM782" s="27" t="s">
        <v>8</v>
      </c>
      <c r="FT782" s="27" t="s">
        <v>7</v>
      </c>
      <c r="FU782" s="27" t="s">
        <v>8</v>
      </c>
      <c r="FV782" s="27" t="s">
        <v>7</v>
      </c>
      <c r="FY782" s="27" t="s">
        <v>8</v>
      </c>
      <c r="JJ782" s="27" t="s">
        <v>7</v>
      </c>
    </row>
    <row r="783" spans="1:270" x14ac:dyDescent="0.25">
      <c r="A783" s="7">
        <v>2.0623688223864345E-2</v>
      </c>
      <c r="B783"/>
      <c r="C783"/>
      <c r="D783"/>
      <c r="E783"/>
      <c r="H783" s="27" t="s">
        <v>7</v>
      </c>
      <c r="AU783" s="27" t="s">
        <v>8</v>
      </c>
      <c r="AV783" s="27" t="s">
        <v>7</v>
      </c>
      <c r="AX783" s="27" t="s">
        <v>7</v>
      </c>
      <c r="AY783" s="27" t="s">
        <v>8</v>
      </c>
      <c r="BA783" s="27" t="s">
        <v>8</v>
      </c>
      <c r="BB783" s="27" t="s">
        <v>7</v>
      </c>
      <c r="BC783" s="27" t="s">
        <v>8</v>
      </c>
      <c r="BD783" s="27" t="s">
        <v>7</v>
      </c>
      <c r="BE783" s="27" t="s">
        <v>8</v>
      </c>
      <c r="BF783" s="27" t="s">
        <v>7</v>
      </c>
      <c r="BK783" s="27" t="s">
        <v>8</v>
      </c>
      <c r="BM783" s="27" t="s">
        <v>8</v>
      </c>
      <c r="BN783" s="27" t="s">
        <v>7</v>
      </c>
      <c r="BS783" s="27" t="s">
        <v>8</v>
      </c>
      <c r="FJ783" s="27" t="s">
        <v>7</v>
      </c>
      <c r="FK783" s="27" t="s">
        <v>8</v>
      </c>
      <c r="FL783" s="27" t="s">
        <v>7</v>
      </c>
      <c r="FM783" s="27" t="s">
        <v>8</v>
      </c>
      <c r="FT783" s="27" t="s">
        <v>7</v>
      </c>
      <c r="FV783" s="27" t="s">
        <v>7</v>
      </c>
      <c r="FW783" s="27" t="s">
        <v>8</v>
      </c>
      <c r="FY783" s="27" t="s">
        <v>8</v>
      </c>
      <c r="JJ783" s="27" t="s">
        <v>7</v>
      </c>
    </row>
    <row r="784" spans="1:270" x14ac:dyDescent="0.25">
      <c r="A784" s="7">
        <v>2.021930218025916E-2</v>
      </c>
      <c r="B784"/>
      <c r="C784"/>
      <c r="D784"/>
      <c r="E784"/>
      <c r="H784" s="27" t="s">
        <v>7</v>
      </c>
      <c r="AU784" s="27" t="s">
        <v>8</v>
      </c>
      <c r="AX784" s="27" t="s">
        <v>7</v>
      </c>
      <c r="AY784" s="27" t="s">
        <v>8</v>
      </c>
      <c r="AZ784" s="27" t="s">
        <v>7</v>
      </c>
      <c r="BA784" s="27" t="s">
        <v>8</v>
      </c>
      <c r="BB784" s="27" t="s">
        <v>7</v>
      </c>
      <c r="BC784" s="27" t="s">
        <v>8</v>
      </c>
      <c r="BD784" s="27" t="s">
        <v>7</v>
      </c>
      <c r="BE784" s="27" t="s">
        <v>8</v>
      </c>
      <c r="BF784" s="27" t="s">
        <v>7</v>
      </c>
      <c r="BG784" s="27" t="s">
        <v>8</v>
      </c>
      <c r="BI784" s="27" t="s">
        <v>8</v>
      </c>
      <c r="BK784" s="27" t="s">
        <v>8</v>
      </c>
      <c r="BL784" s="27" t="s">
        <v>7</v>
      </c>
      <c r="BM784" s="27" t="s">
        <v>8</v>
      </c>
      <c r="BN784" s="27" t="s">
        <v>7</v>
      </c>
      <c r="BQ784" s="27" t="s">
        <v>8</v>
      </c>
      <c r="BS784" s="27" t="s">
        <v>8</v>
      </c>
      <c r="FJ784" s="27" t="s">
        <v>7</v>
      </c>
      <c r="FK784" s="27" t="s">
        <v>8</v>
      </c>
      <c r="FL784" s="27" t="s">
        <v>7</v>
      </c>
      <c r="FM784" s="27" t="s">
        <v>8</v>
      </c>
      <c r="FV784" s="27" t="s">
        <v>7</v>
      </c>
      <c r="FW784" s="27" t="s">
        <v>8</v>
      </c>
      <c r="FX784" s="27" t="s">
        <v>7</v>
      </c>
      <c r="FY784" s="27" t="s">
        <v>8</v>
      </c>
      <c r="JJ784" s="27" t="s">
        <v>7</v>
      </c>
    </row>
    <row r="785" spans="1:274" x14ac:dyDescent="0.25">
      <c r="A785" s="7">
        <v>1.9822845274763884E-2</v>
      </c>
      <c r="B785"/>
      <c r="C785"/>
      <c r="D785"/>
      <c r="E785"/>
      <c r="H785" s="27" t="s">
        <v>7</v>
      </c>
      <c r="AU785" s="27" t="s">
        <v>8</v>
      </c>
      <c r="AX785" s="27" t="s">
        <v>7</v>
      </c>
      <c r="AY785" s="27" t="s">
        <v>8</v>
      </c>
      <c r="AZ785" s="27" t="s">
        <v>7</v>
      </c>
      <c r="BA785" s="27" t="s">
        <v>8</v>
      </c>
      <c r="BB785" s="27" t="s">
        <v>7</v>
      </c>
      <c r="BC785" s="27" t="s">
        <v>8</v>
      </c>
      <c r="BD785" s="27" t="s">
        <v>7</v>
      </c>
      <c r="BE785" s="27" t="s">
        <v>8</v>
      </c>
      <c r="BF785" s="27" t="s">
        <v>7</v>
      </c>
      <c r="BG785" s="27" t="s">
        <v>8</v>
      </c>
      <c r="BH785" s="27" t="s">
        <v>7</v>
      </c>
      <c r="BI785" s="27" t="s">
        <v>8</v>
      </c>
      <c r="BJ785" s="27" t="s">
        <v>7</v>
      </c>
      <c r="BK785" s="27" t="s">
        <v>8</v>
      </c>
      <c r="BL785" s="27" t="s">
        <v>7</v>
      </c>
      <c r="BM785" s="27" t="s">
        <v>8</v>
      </c>
      <c r="BN785" s="27" t="s">
        <v>7</v>
      </c>
      <c r="BQ785" s="27" t="s">
        <v>8</v>
      </c>
      <c r="BR785" s="27" t="s">
        <v>7</v>
      </c>
      <c r="BS785" s="27" t="s">
        <v>8</v>
      </c>
      <c r="FJ785" s="27" t="s">
        <v>7</v>
      </c>
      <c r="FK785" s="27" t="s">
        <v>8</v>
      </c>
      <c r="FL785" s="27" t="s">
        <v>7</v>
      </c>
      <c r="FV785" s="27" t="s">
        <v>7</v>
      </c>
      <c r="FW785" s="27" t="s">
        <v>8</v>
      </c>
      <c r="FX785" s="27" t="s">
        <v>7</v>
      </c>
      <c r="FY785" s="27" t="s">
        <v>8</v>
      </c>
      <c r="JJ785" s="27" t="s">
        <v>7</v>
      </c>
    </row>
    <row r="786" spans="1:274" x14ac:dyDescent="0.25">
      <c r="A786" s="7">
        <v>1.9434162034082238E-2</v>
      </c>
      <c r="B786"/>
      <c r="C786"/>
      <c r="D786"/>
      <c r="E786"/>
      <c r="H786" s="27" t="s">
        <v>7</v>
      </c>
      <c r="I786" s="27" t="s">
        <v>8</v>
      </c>
      <c r="AU786" s="27" t="s">
        <v>8</v>
      </c>
      <c r="AX786" s="27" t="s">
        <v>7</v>
      </c>
      <c r="AY786" s="27" t="s">
        <v>8</v>
      </c>
      <c r="AZ786" s="27" t="s">
        <v>7</v>
      </c>
      <c r="BA786" s="27" t="s">
        <v>8</v>
      </c>
      <c r="BB786" s="27" t="s">
        <v>7</v>
      </c>
      <c r="BD786" s="27" t="s">
        <v>7</v>
      </c>
      <c r="BE786" s="27" t="s">
        <v>8</v>
      </c>
      <c r="BF786" s="27" t="s">
        <v>7</v>
      </c>
      <c r="BG786" s="27" t="s">
        <v>8</v>
      </c>
      <c r="BH786" s="27" t="s">
        <v>7</v>
      </c>
      <c r="BI786" s="27" t="s">
        <v>8</v>
      </c>
      <c r="BJ786" s="27" t="s">
        <v>7</v>
      </c>
      <c r="BK786" s="27" t="s">
        <v>8</v>
      </c>
      <c r="BL786" s="27" t="s">
        <v>7</v>
      </c>
      <c r="BM786" s="27" t="s">
        <v>8</v>
      </c>
      <c r="BN786" s="27" t="s">
        <v>7</v>
      </c>
      <c r="BQ786" s="27" t="s">
        <v>8</v>
      </c>
      <c r="BR786" s="27" t="s">
        <v>7</v>
      </c>
      <c r="BS786" s="27" t="s">
        <v>8</v>
      </c>
      <c r="FJ786" s="27" t="s">
        <v>7</v>
      </c>
      <c r="FK786" s="27" t="s">
        <v>8</v>
      </c>
      <c r="FV786" s="27" t="s">
        <v>7</v>
      </c>
      <c r="FW786" s="27" t="s">
        <v>8</v>
      </c>
      <c r="FX786" s="27" t="s">
        <v>7</v>
      </c>
      <c r="FY786" s="27" t="s">
        <v>8</v>
      </c>
      <c r="JJ786" s="27" t="s">
        <v>7</v>
      </c>
    </row>
    <row r="787" spans="1:274" x14ac:dyDescent="0.25">
      <c r="A787" s="7">
        <v>1.9053100033413959E-2</v>
      </c>
      <c r="B787"/>
      <c r="C787"/>
      <c r="D787"/>
      <c r="E787"/>
      <c r="H787" s="27" t="s">
        <v>7</v>
      </c>
      <c r="I787" s="27" t="s">
        <v>8</v>
      </c>
      <c r="J787" s="27" t="s">
        <v>7</v>
      </c>
      <c r="AQ787" s="27" t="s">
        <v>8</v>
      </c>
      <c r="AU787" s="27" t="s">
        <v>8</v>
      </c>
      <c r="AX787" s="27" t="s">
        <v>7</v>
      </c>
      <c r="AY787" s="27" t="s">
        <v>8</v>
      </c>
      <c r="AZ787" s="27" t="s">
        <v>7</v>
      </c>
      <c r="BA787" s="27" t="s">
        <v>8</v>
      </c>
      <c r="BD787" s="27" t="s">
        <v>7</v>
      </c>
      <c r="BE787" s="27" t="s">
        <v>8</v>
      </c>
      <c r="BF787" s="27" t="s">
        <v>7</v>
      </c>
      <c r="BG787" s="27" t="s">
        <v>8</v>
      </c>
      <c r="BH787" s="27" t="s">
        <v>7</v>
      </c>
      <c r="BI787" s="27" t="s">
        <v>8</v>
      </c>
      <c r="BJ787" s="27" t="s">
        <v>7</v>
      </c>
      <c r="BK787" s="27" t="s">
        <v>8</v>
      </c>
      <c r="BL787" s="27" t="s">
        <v>7</v>
      </c>
      <c r="BM787" s="27" t="s">
        <v>8</v>
      </c>
      <c r="BN787" s="27" t="s">
        <v>7</v>
      </c>
      <c r="BQ787" s="27" t="s">
        <v>8</v>
      </c>
      <c r="BR787" s="27" t="s">
        <v>7</v>
      </c>
      <c r="BS787" s="27" t="s">
        <v>8</v>
      </c>
      <c r="FJ787" s="27" t="s">
        <v>7</v>
      </c>
      <c r="FK787" s="27" t="s">
        <v>8</v>
      </c>
      <c r="FV787" s="27" t="s">
        <v>7</v>
      </c>
      <c r="FX787" s="27" t="s">
        <v>7</v>
      </c>
      <c r="FY787" s="27" t="s">
        <v>8</v>
      </c>
      <c r="JJ787" s="27" t="s">
        <v>7</v>
      </c>
      <c r="JK787" s="27" t="s">
        <v>8</v>
      </c>
      <c r="JM787" s="27" t="s">
        <v>8</v>
      </c>
    </row>
    <row r="788" spans="1:274" x14ac:dyDescent="0.25">
      <c r="A788" s="7">
        <v>1.867950983668035E-2</v>
      </c>
      <c r="B788"/>
      <c r="C788"/>
      <c r="D788"/>
      <c r="E788"/>
      <c r="H788" s="27" t="s">
        <v>7</v>
      </c>
      <c r="I788" s="27" t="s">
        <v>8</v>
      </c>
      <c r="J788" s="27" t="s">
        <v>7</v>
      </c>
      <c r="K788" s="27" t="s">
        <v>8</v>
      </c>
      <c r="M788" s="27" t="s">
        <v>8</v>
      </c>
      <c r="AQ788" s="27" t="s">
        <v>8</v>
      </c>
      <c r="AR788" s="27" t="s">
        <v>7</v>
      </c>
      <c r="AU788" s="27" t="s">
        <v>8</v>
      </c>
      <c r="AX788" s="27" t="s">
        <v>7</v>
      </c>
      <c r="AY788" s="27" t="s">
        <v>8</v>
      </c>
      <c r="AZ788" s="27" t="s">
        <v>7</v>
      </c>
      <c r="BA788" s="27" t="s">
        <v>8</v>
      </c>
      <c r="BD788" s="27" t="s">
        <v>7</v>
      </c>
      <c r="BE788" s="27" t="s">
        <v>8</v>
      </c>
      <c r="BF788" s="27" t="s">
        <v>7</v>
      </c>
      <c r="BH788" s="27" t="s">
        <v>7</v>
      </c>
      <c r="BI788" s="27" t="s">
        <v>8</v>
      </c>
      <c r="BJ788" s="27" t="s">
        <v>7</v>
      </c>
      <c r="BK788" s="27" t="s">
        <v>8</v>
      </c>
      <c r="BL788" s="27" t="s">
        <v>7</v>
      </c>
      <c r="BM788" s="27" t="s">
        <v>8</v>
      </c>
      <c r="BN788" s="27" t="s">
        <v>7</v>
      </c>
      <c r="BO788" s="27" t="s">
        <v>8</v>
      </c>
      <c r="BQ788" s="27" t="s">
        <v>8</v>
      </c>
      <c r="BR788" s="27" t="s">
        <v>7</v>
      </c>
      <c r="BS788" s="27" t="s">
        <v>8</v>
      </c>
      <c r="FJ788" s="27" t="s">
        <v>7</v>
      </c>
      <c r="FX788" s="27" t="s">
        <v>7</v>
      </c>
      <c r="FY788" s="27" t="s">
        <v>8</v>
      </c>
      <c r="JJ788" s="27" t="s">
        <v>7</v>
      </c>
      <c r="JK788" s="27" t="s">
        <v>8</v>
      </c>
      <c r="JL788" s="27" t="s">
        <v>7</v>
      </c>
      <c r="JM788" s="27" t="s">
        <v>8</v>
      </c>
      <c r="JN788" s="27" t="s">
        <v>7</v>
      </c>
    </row>
    <row r="789" spans="1:274" x14ac:dyDescent="0.25">
      <c r="A789" s="7">
        <v>1.8313244937921913E-2</v>
      </c>
      <c r="B789"/>
      <c r="C789"/>
      <c r="D789"/>
      <c r="E789"/>
      <c r="H789" s="27" t="s">
        <v>7</v>
      </c>
      <c r="I789" s="27" t="s">
        <v>8</v>
      </c>
      <c r="J789" s="27" t="s">
        <v>7</v>
      </c>
      <c r="K789" s="27" t="s">
        <v>8</v>
      </c>
      <c r="L789" s="27" t="s">
        <v>7</v>
      </c>
      <c r="M789" s="27" t="s">
        <v>8</v>
      </c>
      <c r="N789" s="27" t="s">
        <v>7</v>
      </c>
      <c r="AQ789" s="27" t="s">
        <v>8</v>
      </c>
      <c r="AR789" s="27" t="s">
        <v>7</v>
      </c>
      <c r="AU789" s="27" t="s">
        <v>8</v>
      </c>
      <c r="AX789" s="27" t="s">
        <v>7</v>
      </c>
      <c r="AY789" s="27" t="s">
        <v>8</v>
      </c>
      <c r="AZ789" s="27" t="s">
        <v>7</v>
      </c>
      <c r="BA789" s="27" t="s">
        <v>8</v>
      </c>
      <c r="BD789" s="27" t="s">
        <v>7</v>
      </c>
      <c r="BE789" s="27" t="s">
        <v>8</v>
      </c>
      <c r="BH789" s="27" t="s">
        <v>7</v>
      </c>
      <c r="BI789" s="27" t="s">
        <v>8</v>
      </c>
      <c r="BJ789" s="27" t="s">
        <v>7</v>
      </c>
      <c r="BK789" s="27" t="s">
        <v>8</v>
      </c>
      <c r="BL789" s="27" t="s">
        <v>7</v>
      </c>
      <c r="BN789" s="27" t="s">
        <v>7</v>
      </c>
      <c r="BO789" s="27" t="s">
        <v>8</v>
      </c>
      <c r="BP789" s="27" t="s">
        <v>7</v>
      </c>
      <c r="BQ789" s="27" t="s">
        <v>8</v>
      </c>
      <c r="BR789" s="27" t="s">
        <v>7</v>
      </c>
      <c r="FX789" s="18" t="s">
        <v>7</v>
      </c>
      <c r="FY789" s="27" t="s">
        <v>8</v>
      </c>
      <c r="JJ789" s="27" t="s">
        <v>7</v>
      </c>
      <c r="JK789" s="27" t="s">
        <v>8</v>
      </c>
      <c r="JL789" s="27" t="s">
        <v>7</v>
      </c>
      <c r="JM789" s="27" t="s">
        <v>8</v>
      </c>
      <c r="JN789" s="27" t="s">
        <v>7</v>
      </c>
    </row>
    <row r="790" spans="1:274" x14ac:dyDescent="0.25">
      <c r="A790" s="7">
        <v>1.7954161703845013E-2</v>
      </c>
      <c r="B790"/>
      <c r="C790"/>
      <c r="D790"/>
      <c r="E790"/>
      <c r="H790" s="27" t="s">
        <v>7</v>
      </c>
      <c r="I790" s="27" t="s">
        <v>8</v>
      </c>
      <c r="J790" s="27" t="s">
        <v>7</v>
      </c>
      <c r="K790" s="27" t="s">
        <v>8</v>
      </c>
      <c r="L790" s="27" t="s">
        <v>7</v>
      </c>
      <c r="M790" s="27" t="s">
        <v>8</v>
      </c>
      <c r="N790" s="27" t="s">
        <v>7</v>
      </c>
      <c r="AQ790" s="27" t="s">
        <v>8</v>
      </c>
      <c r="AR790" s="27" t="s">
        <v>7</v>
      </c>
      <c r="AU790" s="27" t="s">
        <v>8</v>
      </c>
      <c r="AX790" s="27" t="s">
        <v>7</v>
      </c>
      <c r="AY790" s="27" t="s">
        <v>8</v>
      </c>
      <c r="AZ790" s="27" t="s">
        <v>7</v>
      </c>
      <c r="BD790" s="27" t="s">
        <v>7</v>
      </c>
      <c r="BH790" s="27" t="s">
        <v>7</v>
      </c>
      <c r="BI790" s="27" t="s">
        <v>8</v>
      </c>
      <c r="BJ790" s="27" t="s">
        <v>7</v>
      </c>
      <c r="BK790" s="27" t="s">
        <v>8</v>
      </c>
      <c r="BN790" s="27" t="s">
        <v>7</v>
      </c>
      <c r="BO790" s="27" t="s">
        <v>8</v>
      </c>
      <c r="BP790" s="27" t="s">
        <v>7</v>
      </c>
      <c r="BQ790" s="27" t="s">
        <v>8</v>
      </c>
      <c r="FX790" s="27" t="s">
        <v>7</v>
      </c>
      <c r="FY790" s="27" t="s">
        <v>8</v>
      </c>
      <c r="JJ790" s="27" t="s">
        <v>7</v>
      </c>
      <c r="JK790" s="27" t="s">
        <v>8</v>
      </c>
      <c r="JL790" s="27" t="s">
        <v>7</v>
      </c>
      <c r="JM790" s="27" t="s">
        <v>8</v>
      </c>
      <c r="JN790" s="27" t="s">
        <v>7</v>
      </c>
    </row>
    <row r="791" spans="1:274" x14ac:dyDescent="0.25">
      <c r="A791" s="7">
        <v>1.7602119317495109E-2</v>
      </c>
      <c r="B791"/>
      <c r="C791"/>
      <c r="D791"/>
      <c r="E791"/>
      <c r="H791" s="27" t="s">
        <v>7</v>
      </c>
      <c r="I791" s="27" t="s">
        <v>8</v>
      </c>
      <c r="J791" s="27" t="s">
        <v>7</v>
      </c>
      <c r="K791" s="27" t="s">
        <v>8</v>
      </c>
      <c r="L791" s="27" t="s">
        <v>7</v>
      </c>
      <c r="M791" s="27" t="s">
        <v>8</v>
      </c>
      <c r="N791" s="27" t="s">
        <v>7</v>
      </c>
      <c r="AK791" s="27" t="s">
        <v>8</v>
      </c>
      <c r="AQ791" s="27" t="s">
        <v>8</v>
      </c>
      <c r="AR791" s="27" t="s">
        <v>7</v>
      </c>
      <c r="AS791" s="27" t="s">
        <v>8</v>
      </c>
      <c r="AU791" s="27" t="s">
        <v>8</v>
      </c>
      <c r="AX791" s="27" t="s">
        <v>7</v>
      </c>
      <c r="AY791" s="27" t="s">
        <v>8</v>
      </c>
      <c r="BH791" s="27" t="s">
        <v>7</v>
      </c>
      <c r="BI791" s="27" t="s">
        <v>8</v>
      </c>
      <c r="BJ791" s="27" t="s">
        <v>7</v>
      </c>
      <c r="BK791" s="27" t="s">
        <v>8</v>
      </c>
      <c r="BN791" s="27" t="s">
        <v>7</v>
      </c>
      <c r="BO791" s="27" t="s">
        <v>8</v>
      </c>
      <c r="BP791" s="27" t="s">
        <v>7</v>
      </c>
      <c r="BQ791" s="27" t="s">
        <v>8</v>
      </c>
      <c r="FX791" s="27" t="s">
        <v>7</v>
      </c>
      <c r="FY791" s="27" t="s">
        <v>8</v>
      </c>
      <c r="JJ791" s="27" t="s">
        <v>7</v>
      </c>
      <c r="JK791" s="27" t="s">
        <v>8</v>
      </c>
      <c r="JL791" s="27" t="s">
        <v>7</v>
      </c>
      <c r="JM791" s="27" t="s">
        <v>8</v>
      </c>
      <c r="JN791" s="27" t="s">
        <v>7</v>
      </c>
    </row>
    <row r="792" spans="1:274" x14ac:dyDescent="0.25">
      <c r="A792" s="7">
        <v>1.7256979723034419E-2</v>
      </c>
      <c r="B792"/>
      <c r="C792"/>
      <c r="D792"/>
      <c r="E792"/>
      <c r="H792" s="27" t="s">
        <v>7</v>
      </c>
      <c r="I792" s="27" t="s">
        <v>8</v>
      </c>
      <c r="J792" s="27" t="s">
        <v>7</v>
      </c>
      <c r="K792" s="27" t="s">
        <v>8</v>
      </c>
      <c r="L792" s="27" t="s">
        <v>7</v>
      </c>
      <c r="M792" s="27" t="s">
        <v>8</v>
      </c>
      <c r="N792" s="27" t="s">
        <v>7</v>
      </c>
      <c r="O792" s="27" t="s">
        <v>8</v>
      </c>
      <c r="AK792" s="27" t="s">
        <v>8</v>
      </c>
      <c r="AL792" s="27" t="s">
        <v>7</v>
      </c>
      <c r="AQ792" s="27" t="s">
        <v>8</v>
      </c>
      <c r="AR792" s="27" t="s">
        <v>7</v>
      </c>
      <c r="AS792" s="27" t="s">
        <v>8</v>
      </c>
      <c r="AT792" s="27" t="s">
        <v>7</v>
      </c>
      <c r="AU792" s="27" t="s">
        <v>8</v>
      </c>
      <c r="AX792" s="27" t="s">
        <v>7</v>
      </c>
      <c r="AY792" s="27" t="s">
        <v>8</v>
      </c>
      <c r="BH792" s="27" t="s">
        <v>7</v>
      </c>
      <c r="BJ792" s="27" t="s">
        <v>7</v>
      </c>
      <c r="BN792" s="27" t="s">
        <v>7</v>
      </c>
      <c r="BO792" s="27" t="s">
        <v>8</v>
      </c>
      <c r="BP792" s="27" t="s">
        <v>7</v>
      </c>
      <c r="BQ792" s="27" t="s">
        <v>8</v>
      </c>
      <c r="FX792" s="27" t="s">
        <v>7</v>
      </c>
      <c r="FY792" s="27" t="s">
        <v>8</v>
      </c>
      <c r="JJ792" s="27" t="s">
        <v>7</v>
      </c>
      <c r="JK792" s="27" t="s">
        <v>8</v>
      </c>
      <c r="JL792" s="27" t="s">
        <v>7</v>
      </c>
      <c r="JM792" s="27" t="s">
        <v>8</v>
      </c>
      <c r="JN792" s="27" t="s">
        <v>7</v>
      </c>
    </row>
    <row r="793" spans="1:274" x14ac:dyDescent="0.25">
      <c r="A793" s="7">
        <v>1.6918607571602372E-2</v>
      </c>
      <c r="B793"/>
      <c r="C793"/>
      <c r="D793"/>
      <c r="E793"/>
      <c r="H793" s="27" t="s">
        <v>7</v>
      </c>
      <c r="I793" s="27" t="s">
        <v>8</v>
      </c>
      <c r="J793" s="27" t="s">
        <v>7</v>
      </c>
      <c r="K793" s="27" t="s">
        <v>8</v>
      </c>
      <c r="L793" s="27" t="s">
        <v>7</v>
      </c>
      <c r="M793" s="27" t="s">
        <v>8</v>
      </c>
      <c r="N793" s="27" t="s">
        <v>7</v>
      </c>
      <c r="O793" s="27" t="s">
        <v>8</v>
      </c>
      <c r="P793" s="27" t="s">
        <v>7</v>
      </c>
      <c r="AK793" s="27" t="s">
        <v>8</v>
      </c>
      <c r="AL793" s="27" t="s">
        <v>7</v>
      </c>
      <c r="AQ793" s="27" t="s">
        <v>8</v>
      </c>
      <c r="AR793" s="27" t="s">
        <v>7</v>
      </c>
      <c r="AS793" s="27" t="s">
        <v>8</v>
      </c>
      <c r="AT793" s="27" t="s">
        <v>7</v>
      </c>
      <c r="AU793" s="27" t="s">
        <v>8</v>
      </c>
      <c r="AX793" s="27" t="s">
        <v>7</v>
      </c>
      <c r="AY793" s="27" t="s">
        <v>8</v>
      </c>
      <c r="BN793" s="27" t="s">
        <v>7</v>
      </c>
      <c r="BO793" s="27" t="s">
        <v>8</v>
      </c>
      <c r="BP793" s="27" t="s">
        <v>7</v>
      </c>
      <c r="BQ793" s="27" t="s">
        <v>8</v>
      </c>
      <c r="FX793" s="27" t="s">
        <v>7</v>
      </c>
      <c r="FY793" s="27" t="s">
        <v>8</v>
      </c>
      <c r="JJ793" s="27" t="s">
        <v>7</v>
      </c>
      <c r="JL793" s="27" t="s">
        <v>7</v>
      </c>
      <c r="JM793" s="27" t="s">
        <v>8</v>
      </c>
    </row>
    <row r="794" spans="1:274" x14ac:dyDescent="0.25">
      <c r="A794" s="7">
        <v>1.6586870168237622E-2</v>
      </c>
      <c r="B794"/>
      <c r="C794"/>
      <c r="D794"/>
      <c r="E794"/>
      <c r="H794" s="27" t="s">
        <v>7</v>
      </c>
      <c r="I794" s="27" t="s">
        <v>8</v>
      </c>
      <c r="J794" s="27" t="s">
        <v>7</v>
      </c>
      <c r="K794" s="27" t="s">
        <v>8</v>
      </c>
      <c r="L794" s="27" t="s">
        <v>7</v>
      </c>
      <c r="M794" s="27" t="s">
        <v>8</v>
      </c>
      <c r="N794" s="27" t="s">
        <v>7</v>
      </c>
      <c r="O794" s="27" t="s">
        <v>8</v>
      </c>
      <c r="P794" s="27" t="s">
        <v>7</v>
      </c>
      <c r="AK794" s="27" t="s">
        <v>8</v>
      </c>
      <c r="AL794" s="27" t="s">
        <v>7</v>
      </c>
      <c r="AQ794" s="27" t="s">
        <v>8</v>
      </c>
      <c r="AR794" s="27" t="s">
        <v>7</v>
      </c>
      <c r="AS794" s="27" t="s">
        <v>8</v>
      </c>
      <c r="AT794" s="27" t="s">
        <v>7</v>
      </c>
      <c r="AU794" s="27" t="s">
        <v>8</v>
      </c>
      <c r="AX794" s="27" t="s">
        <v>7</v>
      </c>
      <c r="AY794" s="27" t="s">
        <v>8</v>
      </c>
      <c r="BN794" s="27" t="s">
        <v>7</v>
      </c>
      <c r="BO794" s="27" t="s">
        <v>8</v>
      </c>
      <c r="BP794" s="27" t="s">
        <v>7</v>
      </c>
      <c r="BQ794" s="27" t="s">
        <v>8</v>
      </c>
      <c r="FX794" s="27" t="s">
        <v>7</v>
      </c>
      <c r="JL794" s="27" t="s">
        <v>7</v>
      </c>
    </row>
    <row r="795" spans="1:274" x14ac:dyDescent="0.25">
      <c r="A795" s="7">
        <v>1.6261637419840807E-2</v>
      </c>
      <c r="B795"/>
      <c r="C795"/>
      <c r="D795"/>
      <c r="E795"/>
      <c r="H795" s="27" t="s">
        <v>7</v>
      </c>
      <c r="I795" s="27" t="s">
        <v>8</v>
      </c>
      <c r="J795" s="27" t="s">
        <v>7</v>
      </c>
      <c r="K795" s="27" t="s">
        <v>8</v>
      </c>
      <c r="L795" s="27" t="s">
        <v>7</v>
      </c>
      <c r="N795" s="27" t="s">
        <v>7</v>
      </c>
      <c r="P795" s="27" t="s">
        <v>7</v>
      </c>
      <c r="S795" s="27" t="s">
        <v>8</v>
      </c>
      <c r="AI795" s="27" t="s">
        <v>8</v>
      </c>
      <c r="AK795" s="27" t="s">
        <v>8</v>
      </c>
      <c r="AL795" s="27" t="s">
        <v>7</v>
      </c>
      <c r="AQ795" s="27" t="s">
        <v>8</v>
      </c>
      <c r="AR795" s="27" t="s">
        <v>7</v>
      </c>
      <c r="AS795" s="27" t="s">
        <v>8</v>
      </c>
      <c r="AT795" s="27" t="s">
        <v>7</v>
      </c>
      <c r="AU795" s="27" t="s">
        <v>8</v>
      </c>
      <c r="AX795" s="27" t="s">
        <v>7</v>
      </c>
      <c r="AY795" s="27" t="s">
        <v>8</v>
      </c>
      <c r="BN795" s="27" t="s">
        <v>7</v>
      </c>
      <c r="BO795" s="27" t="s">
        <v>8</v>
      </c>
      <c r="BP795" s="27" t="s">
        <v>7</v>
      </c>
      <c r="BQ795" s="27" t="s">
        <v>8</v>
      </c>
    </row>
    <row r="796" spans="1:274" x14ac:dyDescent="0.25">
      <c r="A796" s="7">
        <v>1.5942781784157655E-2</v>
      </c>
      <c r="B796"/>
      <c r="C796"/>
      <c r="D796"/>
      <c r="E796"/>
      <c r="H796" s="27" t="s">
        <v>7</v>
      </c>
      <c r="I796" s="27" t="s">
        <v>8</v>
      </c>
      <c r="J796" s="27" t="s">
        <v>7</v>
      </c>
      <c r="K796" s="27" t="s">
        <v>8</v>
      </c>
      <c r="P796" s="27" t="s">
        <v>7</v>
      </c>
      <c r="S796" s="27" t="s">
        <v>8</v>
      </c>
      <c r="T796" s="27" t="s">
        <v>7</v>
      </c>
      <c r="AI796" s="27" t="s">
        <v>8</v>
      </c>
      <c r="AJ796" s="27" t="s">
        <v>7</v>
      </c>
      <c r="AK796" s="27" t="s">
        <v>8</v>
      </c>
      <c r="AL796" s="27" t="s">
        <v>7</v>
      </c>
      <c r="AQ796" s="27" t="s">
        <v>8</v>
      </c>
      <c r="AR796" s="27" t="s">
        <v>7</v>
      </c>
      <c r="AS796" s="27" t="s">
        <v>8</v>
      </c>
      <c r="AT796" s="27" t="s">
        <v>7</v>
      </c>
      <c r="AU796" s="27" t="s">
        <v>8</v>
      </c>
      <c r="AX796" s="27" t="s">
        <v>7</v>
      </c>
      <c r="AY796" s="27" t="s">
        <v>8</v>
      </c>
      <c r="BN796" s="27" t="s">
        <v>7</v>
      </c>
      <c r="BO796" s="27" t="s">
        <v>8</v>
      </c>
      <c r="BP796" s="27" t="s">
        <v>7</v>
      </c>
    </row>
    <row r="797" spans="1:274" x14ac:dyDescent="0.25">
      <c r="A797" s="7">
        <v>1.5630178219762408E-2</v>
      </c>
      <c r="B797"/>
      <c r="C797"/>
      <c r="D797"/>
      <c r="E797"/>
      <c r="H797" s="27" t="s">
        <v>7</v>
      </c>
      <c r="I797" s="27" t="s">
        <v>8</v>
      </c>
      <c r="J797" s="27" t="s">
        <v>7</v>
      </c>
      <c r="K797" s="27" t="s">
        <v>8</v>
      </c>
      <c r="P797" s="27" t="s">
        <v>7</v>
      </c>
      <c r="S797" s="27" t="s">
        <v>8</v>
      </c>
      <c r="T797" s="27" t="s">
        <v>7</v>
      </c>
      <c r="AI797" s="27" t="s">
        <v>8</v>
      </c>
      <c r="AJ797" s="27" t="s">
        <v>7</v>
      </c>
      <c r="AK797" s="27" t="s">
        <v>8</v>
      </c>
      <c r="AL797" s="27" t="s">
        <v>7</v>
      </c>
      <c r="AQ797" s="27" t="s">
        <v>8</v>
      </c>
      <c r="AR797" s="27" t="s">
        <v>7</v>
      </c>
      <c r="AT797" s="27" t="s">
        <v>7</v>
      </c>
      <c r="AU797" s="27" t="s">
        <v>8</v>
      </c>
      <c r="AX797" s="27" t="s">
        <v>7</v>
      </c>
      <c r="BN797" s="27" t="s">
        <v>7</v>
      </c>
      <c r="BO797" s="27" t="s">
        <v>8</v>
      </c>
    </row>
    <row r="798" spans="1:274" x14ac:dyDescent="0.25">
      <c r="A798" s="7">
        <v>1.5323704137021967E-2</v>
      </c>
      <c r="B798"/>
      <c r="C798"/>
      <c r="D798"/>
      <c r="E798"/>
      <c r="H798" s="27" t="s">
        <v>7</v>
      </c>
      <c r="I798" s="27" t="s">
        <v>8</v>
      </c>
      <c r="J798" s="27" t="s">
        <v>7</v>
      </c>
      <c r="K798" s="27" t="s">
        <v>8</v>
      </c>
      <c r="P798" s="27" t="s">
        <v>7</v>
      </c>
      <c r="S798" s="27" t="s">
        <v>8</v>
      </c>
      <c r="T798" s="27" t="s">
        <v>7</v>
      </c>
      <c r="AI798" s="27" t="s">
        <v>8</v>
      </c>
      <c r="AJ798" s="27" t="s">
        <v>7</v>
      </c>
      <c r="AK798" s="27" t="s">
        <v>8</v>
      </c>
      <c r="AL798" s="27" t="s">
        <v>7</v>
      </c>
      <c r="AO798" s="27" t="s">
        <v>8</v>
      </c>
      <c r="AQ798" s="27" t="s">
        <v>8</v>
      </c>
      <c r="AT798" s="27" t="s">
        <v>7</v>
      </c>
      <c r="AU798" s="27" t="s">
        <v>8</v>
      </c>
      <c r="BN798" s="27" t="s">
        <v>7</v>
      </c>
      <c r="BO798" s="27" t="s">
        <v>8</v>
      </c>
    </row>
    <row r="799" spans="1:274" x14ac:dyDescent="0.25">
      <c r="A799" s="7">
        <v>1.5023239350021535E-2</v>
      </c>
      <c r="B799"/>
      <c r="C799"/>
      <c r="D799"/>
      <c r="E799"/>
      <c r="H799" s="27" t="s">
        <v>7</v>
      </c>
      <c r="I799" s="27" t="s">
        <v>8</v>
      </c>
      <c r="J799" s="27" t="s">
        <v>7</v>
      </c>
      <c r="K799" s="27" t="s">
        <v>8</v>
      </c>
      <c r="P799" s="27" t="s">
        <v>7</v>
      </c>
      <c r="Q799" s="27" t="s">
        <v>8</v>
      </c>
      <c r="S799" s="27" t="s">
        <v>8</v>
      </c>
      <c r="T799" s="27" t="s">
        <v>7</v>
      </c>
      <c r="AI799" s="27" t="s">
        <v>8</v>
      </c>
      <c r="AJ799" s="27" t="s">
        <v>7</v>
      </c>
      <c r="AK799" s="27" t="s">
        <v>8</v>
      </c>
      <c r="AL799" s="27" t="s">
        <v>7</v>
      </c>
      <c r="AO799" s="27" t="s">
        <v>8</v>
      </c>
      <c r="AP799" s="27" t="s">
        <v>7</v>
      </c>
      <c r="AQ799" s="27" t="s">
        <v>8</v>
      </c>
      <c r="AT799" s="27" t="s">
        <v>7</v>
      </c>
      <c r="AU799" s="27" t="s">
        <v>8</v>
      </c>
      <c r="BN799" s="27" t="s">
        <v>7</v>
      </c>
    </row>
    <row r="800" spans="1:274" x14ac:dyDescent="0.25">
      <c r="A800" s="7">
        <v>1.4728666029432878E-2</v>
      </c>
      <c r="B800"/>
      <c r="C800"/>
      <c r="D800"/>
      <c r="E800"/>
      <c r="H800" s="27" t="s">
        <v>7</v>
      </c>
      <c r="I800" s="27" t="s">
        <v>8</v>
      </c>
      <c r="J800" s="27" t="s">
        <v>7</v>
      </c>
      <c r="K800" s="27" t="s">
        <v>8</v>
      </c>
      <c r="P800" s="27" t="s">
        <v>7</v>
      </c>
      <c r="Q800" s="27" t="s">
        <v>8</v>
      </c>
      <c r="R800" s="27" t="s">
        <v>7</v>
      </c>
      <c r="S800" s="27" t="s">
        <v>8</v>
      </c>
      <c r="T800" s="27" t="s">
        <v>7</v>
      </c>
      <c r="AI800" s="27" t="s">
        <v>8</v>
      </c>
      <c r="AJ800" s="27" t="s">
        <v>7</v>
      </c>
      <c r="AK800" s="27" t="s">
        <v>8</v>
      </c>
      <c r="AL800" s="27" t="s">
        <v>7</v>
      </c>
      <c r="AO800" s="27" t="s">
        <v>8</v>
      </c>
      <c r="AP800" s="27" t="s">
        <v>7</v>
      </c>
      <c r="AQ800" s="27" t="s">
        <v>8</v>
      </c>
      <c r="AT800" s="27" t="s">
        <v>7</v>
      </c>
    </row>
    <row r="801" spans="1:43" x14ac:dyDescent="0.25">
      <c r="A801" s="7">
        <v>1.4439868656306743E-2</v>
      </c>
      <c r="B801"/>
      <c r="C801"/>
      <c r="D801"/>
      <c r="E801"/>
      <c r="H801" s="27" t="s">
        <v>7</v>
      </c>
      <c r="I801" s="27" t="s">
        <v>8</v>
      </c>
      <c r="J801" s="27" t="s">
        <v>7</v>
      </c>
      <c r="P801" s="27" t="s">
        <v>7</v>
      </c>
      <c r="Q801" s="27" t="s">
        <v>8</v>
      </c>
      <c r="R801" s="27" t="s">
        <v>7</v>
      </c>
      <c r="S801" s="27" t="s">
        <v>8</v>
      </c>
      <c r="T801" s="27" t="s">
        <v>7</v>
      </c>
      <c r="AI801" s="27" t="s">
        <v>8</v>
      </c>
      <c r="AJ801" s="27" t="s">
        <v>7</v>
      </c>
      <c r="AK801" s="27" t="s">
        <v>8</v>
      </c>
      <c r="AL801" s="27" t="s">
        <v>7</v>
      </c>
      <c r="AO801" s="27" t="s">
        <v>8</v>
      </c>
      <c r="AP801" s="27" t="s">
        <v>7</v>
      </c>
      <c r="AQ801" s="27" t="s">
        <v>8</v>
      </c>
    </row>
    <row r="802" spans="1:43" x14ac:dyDescent="0.25">
      <c r="A802" s="7">
        <v>1.4156733976771318E-2</v>
      </c>
      <c r="B802"/>
      <c r="C802"/>
      <c r="D802"/>
      <c r="E802"/>
      <c r="H802" s="27" t="s">
        <v>7</v>
      </c>
      <c r="P802" s="27" t="s">
        <v>7</v>
      </c>
      <c r="Q802" s="27" t="s">
        <v>8</v>
      </c>
      <c r="R802" s="27" t="s">
        <v>7</v>
      </c>
      <c r="S802" s="27" t="s">
        <v>8</v>
      </c>
      <c r="T802" s="27" t="s">
        <v>7</v>
      </c>
      <c r="AI802" s="27" t="s">
        <v>8</v>
      </c>
      <c r="AJ802" s="27" t="s">
        <v>7</v>
      </c>
      <c r="AK802" s="27" t="s">
        <v>8</v>
      </c>
      <c r="AL802" s="27" t="s">
        <v>7</v>
      </c>
      <c r="AO802" s="27" t="s">
        <v>8</v>
      </c>
      <c r="AP802" s="27" t="s">
        <v>7</v>
      </c>
      <c r="AQ802" s="27" t="s">
        <v>8</v>
      </c>
    </row>
    <row r="803" spans="1:43" x14ac:dyDescent="0.25">
      <c r="A803" s="7">
        <v>1.3879150957618939E-2</v>
      </c>
      <c r="B803"/>
      <c r="C803"/>
      <c r="D803"/>
      <c r="E803"/>
      <c r="P803" s="27" t="s">
        <v>7</v>
      </c>
      <c r="Q803" s="27" t="s">
        <v>8</v>
      </c>
      <c r="R803" s="27" t="s">
        <v>7</v>
      </c>
      <c r="S803" s="27" t="s">
        <v>8</v>
      </c>
      <c r="T803" s="27" t="s">
        <v>7</v>
      </c>
      <c r="AI803" s="27" t="s">
        <v>8</v>
      </c>
      <c r="AJ803" s="27" t="s">
        <v>7</v>
      </c>
      <c r="AL803" s="27" t="s">
        <v>7</v>
      </c>
      <c r="AO803" s="27" t="s">
        <v>8</v>
      </c>
      <c r="AP803" s="27" t="s">
        <v>7</v>
      </c>
      <c r="AQ803" s="27" t="s">
        <v>8</v>
      </c>
    </row>
    <row r="804" spans="1:43" x14ac:dyDescent="0.25">
      <c r="A804" s="7">
        <v>1.3607010742763666E-2</v>
      </c>
      <c r="B804"/>
      <c r="C804"/>
      <c r="D804"/>
      <c r="E804"/>
      <c r="P804" s="27" t="s">
        <v>7</v>
      </c>
      <c r="Q804" s="27" t="s">
        <v>8</v>
      </c>
      <c r="R804" s="27" t="s">
        <v>7</v>
      </c>
      <c r="S804" s="27" t="s">
        <v>8</v>
      </c>
      <c r="T804" s="27" t="s">
        <v>7</v>
      </c>
      <c r="AI804" s="27" t="s">
        <v>8</v>
      </c>
      <c r="AL804" s="27" t="s">
        <v>7</v>
      </c>
      <c r="AO804" s="27" t="s">
        <v>8</v>
      </c>
      <c r="AP804" s="27" t="s">
        <v>7</v>
      </c>
      <c r="AQ804" s="27" t="s">
        <v>8</v>
      </c>
    </row>
    <row r="805" spans="1:43" x14ac:dyDescent="0.25">
      <c r="A805" s="7">
        <v>1.3340206610552614E-2</v>
      </c>
      <c r="B805"/>
      <c r="C805"/>
      <c r="D805"/>
      <c r="E805"/>
      <c r="P805" s="27" t="s">
        <v>7</v>
      </c>
      <c r="R805" s="27" t="s">
        <v>7</v>
      </c>
      <c r="S805" s="27" t="s">
        <v>8</v>
      </c>
      <c r="T805" s="27" t="s">
        <v>7</v>
      </c>
      <c r="AI805" s="27" t="s">
        <v>8</v>
      </c>
      <c r="AL805" s="27" t="s">
        <v>7</v>
      </c>
      <c r="AO805" s="27" t="s">
        <v>8</v>
      </c>
      <c r="AP805" s="27" t="s">
        <v>7</v>
      </c>
      <c r="AQ805" s="27" t="s">
        <v>8</v>
      </c>
    </row>
    <row r="806" spans="1:43" x14ac:dyDescent="0.25">
      <c r="A806" s="7">
        <v>1.3078633931914328E-2</v>
      </c>
      <c r="B806"/>
      <c r="C806"/>
      <c r="D806"/>
      <c r="E806"/>
      <c r="R806" s="27" t="s">
        <v>7</v>
      </c>
      <c r="T806" s="27" t="s">
        <v>7</v>
      </c>
      <c r="U806" s="27" t="s">
        <v>8</v>
      </c>
      <c r="W806" s="27" t="s">
        <v>8</v>
      </c>
      <c r="AI806" s="27" t="s">
        <v>8</v>
      </c>
      <c r="AL806" s="27" t="s">
        <v>7</v>
      </c>
      <c r="AO806" s="27" t="s">
        <v>8</v>
      </c>
      <c r="AP806" s="27" t="s">
        <v>7</v>
      </c>
      <c r="AQ806" s="27" t="s">
        <v>8</v>
      </c>
    </row>
    <row r="807" spans="1:43" x14ac:dyDescent="0.25">
      <c r="A807" s="7">
        <v>1.2822190129327771E-2</v>
      </c>
      <c r="B807"/>
      <c r="C807"/>
      <c r="D807"/>
      <c r="E807"/>
      <c r="T807" s="27" t="s">
        <v>7</v>
      </c>
      <c r="U807" s="27" t="s">
        <v>8</v>
      </c>
      <c r="V807" s="27" t="s">
        <v>7</v>
      </c>
      <c r="W807" s="27" t="s">
        <v>8</v>
      </c>
      <c r="X807" s="27" t="s">
        <v>7</v>
      </c>
      <c r="AI807" s="27" t="s">
        <v>8</v>
      </c>
      <c r="AL807" s="27" t="s">
        <v>7</v>
      </c>
      <c r="AO807" s="27" t="s">
        <v>8</v>
      </c>
      <c r="AP807" s="27" t="s">
        <v>7</v>
      </c>
      <c r="AQ807" s="27" t="s">
        <v>8</v>
      </c>
    </row>
    <row r="808" spans="1:43" x14ac:dyDescent="0.25">
      <c r="A808" s="7">
        <v>1.2570774636595854E-2</v>
      </c>
      <c r="B808"/>
      <c r="C808"/>
      <c r="D808"/>
      <c r="E808"/>
      <c r="T808" s="27" t="s">
        <v>7</v>
      </c>
      <c r="U808" s="27" t="s">
        <v>8</v>
      </c>
      <c r="V808" s="27" t="s">
        <v>7</v>
      </c>
      <c r="W808" s="27" t="s">
        <v>8</v>
      </c>
      <c r="X808" s="27" t="s">
        <v>7</v>
      </c>
      <c r="AE808" s="27" t="s">
        <v>8</v>
      </c>
      <c r="AI808" s="27" t="s">
        <v>8</v>
      </c>
      <c r="AL808" s="27" t="s">
        <v>7</v>
      </c>
      <c r="AM808" s="27" t="s">
        <v>8</v>
      </c>
      <c r="AO808" s="27" t="s">
        <v>8</v>
      </c>
      <c r="AP808" s="27" t="s">
        <v>7</v>
      </c>
    </row>
    <row r="809" spans="1:43" x14ac:dyDescent="0.25">
      <c r="A809" s="7">
        <v>1.23242888594077E-2</v>
      </c>
      <c r="B809"/>
      <c r="C809"/>
      <c r="D809"/>
      <c r="E809"/>
      <c r="T809" s="27" t="s">
        <v>7</v>
      </c>
      <c r="U809" s="27" t="s">
        <v>8</v>
      </c>
      <c r="V809" s="27" t="s">
        <v>7</v>
      </c>
      <c r="W809" s="27" t="s">
        <v>8</v>
      </c>
      <c r="X809" s="27" t="s">
        <v>7</v>
      </c>
      <c r="AE809" s="27" t="s">
        <v>8</v>
      </c>
      <c r="AF809" s="27" t="s">
        <v>7</v>
      </c>
      <c r="AG809" s="27" t="s">
        <v>8</v>
      </c>
      <c r="AI809" s="27" t="s">
        <v>8</v>
      </c>
      <c r="AL809" s="27" t="s">
        <v>7</v>
      </c>
      <c r="AM809" s="27" t="s">
        <v>8</v>
      </c>
      <c r="AN809" s="27" t="s">
        <v>7</v>
      </c>
      <c r="AO809" s="27" t="s">
        <v>8</v>
      </c>
    </row>
    <row r="810" spans="1:43" x14ac:dyDescent="0.25">
      <c r="A810" s="7">
        <v>1.2082636136674216E-2</v>
      </c>
      <c r="B810"/>
      <c r="C810"/>
      <c r="D810"/>
      <c r="E810"/>
      <c r="T810" s="27" t="s">
        <v>7</v>
      </c>
      <c r="U810" s="27" t="s">
        <v>8</v>
      </c>
      <c r="V810" s="27" t="s">
        <v>7</v>
      </c>
      <c r="W810" s="27" t="s">
        <v>8</v>
      </c>
      <c r="X810" s="27" t="s">
        <v>7</v>
      </c>
      <c r="AE810" s="27" t="s">
        <v>8</v>
      </c>
      <c r="AF810" s="27" t="s">
        <v>7</v>
      </c>
      <c r="AG810" s="27" t="s">
        <v>8</v>
      </c>
      <c r="AH810" s="27" t="s">
        <v>7</v>
      </c>
      <c r="AI810" s="27" t="s">
        <v>8</v>
      </c>
      <c r="AL810" s="27" t="s">
        <v>7</v>
      </c>
      <c r="AM810" s="27" t="s">
        <v>8</v>
      </c>
      <c r="AN810" s="27" t="s">
        <v>7</v>
      </c>
      <c r="AO810" s="27" t="s">
        <v>8</v>
      </c>
    </row>
    <row r="811" spans="1:43" x14ac:dyDescent="0.25">
      <c r="A811" s="7">
        <v>1.184572170262178E-2</v>
      </c>
      <c r="B811"/>
      <c r="C811"/>
      <c r="D811"/>
      <c r="E811"/>
      <c r="T811" s="27" t="s">
        <v>7</v>
      </c>
      <c r="U811" s="27" t="s">
        <v>8</v>
      </c>
      <c r="V811" s="27" t="s">
        <v>7</v>
      </c>
      <c r="W811" s="27" t="s">
        <v>8</v>
      </c>
      <c r="X811" s="27" t="s">
        <v>7</v>
      </c>
      <c r="AE811" s="27" t="s">
        <v>8</v>
      </c>
      <c r="AF811" s="27" t="s">
        <v>7</v>
      </c>
      <c r="AG811" s="27" t="s">
        <v>8</v>
      </c>
      <c r="AH811" s="27" t="s">
        <v>7</v>
      </c>
      <c r="AI811" s="27" t="s">
        <v>8</v>
      </c>
      <c r="AL811" s="27" t="s">
        <v>7</v>
      </c>
      <c r="AM811" s="27" t="s">
        <v>8</v>
      </c>
      <c r="AN811" s="27" t="s">
        <v>7</v>
      </c>
      <c r="AO811" s="27" t="s">
        <v>8</v>
      </c>
    </row>
    <row r="812" spans="1:43" x14ac:dyDescent="0.25">
      <c r="A812" s="7">
        <v>1.1613452649629196E-2</v>
      </c>
      <c r="B812"/>
      <c r="C812"/>
      <c r="D812"/>
      <c r="E812"/>
      <c r="T812" s="27" t="s">
        <v>7</v>
      </c>
      <c r="U812" s="27" t="s">
        <v>8</v>
      </c>
      <c r="V812" s="27" t="s">
        <v>7</v>
      </c>
      <c r="X812" s="27" t="s">
        <v>7</v>
      </c>
      <c r="AE812" s="27" t="s">
        <v>8</v>
      </c>
      <c r="AF812" s="27" t="s">
        <v>7</v>
      </c>
      <c r="AG812" s="27" t="s">
        <v>8</v>
      </c>
      <c r="AH812" s="27" t="s">
        <v>7</v>
      </c>
      <c r="AI812" s="27" t="s">
        <v>8</v>
      </c>
      <c r="AL812" s="27" t="s">
        <v>7</v>
      </c>
      <c r="AM812" s="27" t="s">
        <v>8</v>
      </c>
      <c r="AN812" s="27" t="s">
        <v>7</v>
      </c>
      <c r="AO812" s="27" t="s">
        <v>8</v>
      </c>
    </row>
    <row r="813" spans="1:43" x14ac:dyDescent="0.25">
      <c r="A813" s="7">
        <v>1.138573789179333E-2</v>
      </c>
      <c r="B813"/>
      <c r="C813"/>
      <c r="D813"/>
      <c r="E813"/>
      <c r="T813" s="27" t="s">
        <v>7</v>
      </c>
      <c r="U813" s="27" t="s">
        <v>8</v>
      </c>
      <c r="X813" s="27" t="s">
        <v>7</v>
      </c>
      <c r="AE813" s="27" t="s">
        <v>8</v>
      </c>
      <c r="AF813" s="27" t="s">
        <v>7</v>
      </c>
      <c r="AG813" s="27" t="s">
        <v>8</v>
      </c>
      <c r="AH813" s="27" t="s">
        <v>7</v>
      </c>
      <c r="AI813" s="27" t="s">
        <v>8</v>
      </c>
      <c r="AL813" s="27" t="s">
        <v>7</v>
      </c>
      <c r="AM813" s="27" t="s">
        <v>8</v>
      </c>
      <c r="AN813" s="27" t="s">
        <v>7</v>
      </c>
      <c r="AO813" s="27" t="s">
        <v>8</v>
      </c>
    </row>
    <row r="814" spans="1:43" x14ac:dyDescent="0.25">
      <c r="A814" s="7">
        <v>1.1162488129209149E-2</v>
      </c>
      <c r="B814"/>
      <c r="C814"/>
      <c r="D814"/>
      <c r="E814"/>
      <c r="T814" s="27" t="s">
        <v>7</v>
      </c>
      <c r="U814" s="27" t="s">
        <v>8</v>
      </c>
      <c r="X814" s="27" t="s">
        <v>7</v>
      </c>
      <c r="AE814" s="27" t="s">
        <v>8</v>
      </c>
      <c r="AF814" s="27" t="s">
        <v>7</v>
      </c>
      <c r="AG814" s="27" t="s">
        <v>8</v>
      </c>
      <c r="AH814" s="27" t="s">
        <v>7</v>
      </c>
      <c r="AI814" s="27" t="s">
        <v>8</v>
      </c>
      <c r="AL814" s="27" t="s">
        <v>7</v>
      </c>
      <c r="AM814" s="27" t="s">
        <v>8</v>
      </c>
      <c r="AN814" s="27" t="s">
        <v>7</v>
      </c>
      <c r="AO814" s="27" t="s">
        <v>8</v>
      </c>
    </row>
    <row r="815" spans="1:43" x14ac:dyDescent="0.25">
      <c r="A815" s="7">
        <v>1.0943615812950145E-2</v>
      </c>
      <c r="B815"/>
      <c r="C815"/>
      <c r="D815"/>
      <c r="E815"/>
      <c r="T815" s="27" t="s">
        <v>7</v>
      </c>
      <c r="U815" s="27" t="s">
        <v>8</v>
      </c>
      <c r="X815" s="27" t="s">
        <v>7</v>
      </c>
      <c r="AE815" s="27" t="s">
        <v>8</v>
      </c>
      <c r="AF815" s="27" t="s">
        <v>7</v>
      </c>
      <c r="AG815" s="27" t="s">
        <v>8</v>
      </c>
      <c r="AH815" s="27" t="s">
        <v>7</v>
      </c>
      <c r="AI815" s="27" t="s">
        <v>8</v>
      </c>
      <c r="AL815" s="27" t="s">
        <v>7</v>
      </c>
      <c r="AM815" s="27" t="s">
        <v>8</v>
      </c>
      <c r="AN815" s="27" t="s">
        <v>7</v>
      </c>
      <c r="AO815" s="27" t="s">
        <v>8</v>
      </c>
    </row>
    <row r="816" spans="1:43" x14ac:dyDescent="0.25">
      <c r="A816" s="7">
        <v>1.0729035110735436E-2</v>
      </c>
      <c r="B816"/>
      <c r="C816"/>
      <c r="D816"/>
      <c r="E816"/>
      <c r="T816" s="27" t="s">
        <v>7</v>
      </c>
      <c r="U816" s="27" t="s">
        <v>8</v>
      </c>
      <c r="X816" s="27" t="s">
        <v>7</v>
      </c>
      <c r="Y816" s="27" t="s">
        <v>8</v>
      </c>
      <c r="AE816" s="27" t="s">
        <v>8</v>
      </c>
      <c r="AF816" s="27" t="s">
        <v>7</v>
      </c>
      <c r="AG816" s="27" t="s">
        <v>8</v>
      </c>
      <c r="AH816" s="27" t="s">
        <v>7</v>
      </c>
      <c r="AI816" s="27" t="s">
        <v>8</v>
      </c>
      <c r="AL816" s="27" t="s">
        <v>7</v>
      </c>
      <c r="AN816" s="27" t="s">
        <v>7</v>
      </c>
      <c r="AO816" s="27" t="s">
        <v>8</v>
      </c>
    </row>
    <row r="817" spans="1:41" x14ac:dyDescent="0.25">
      <c r="A817" s="7">
        <v>1.0518661873270036E-2</v>
      </c>
      <c r="B817"/>
      <c r="C817"/>
      <c r="D817"/>
      <c r="E817"/>
      <c r="T817" s="27" t="s">
        <v>7</v>
      </c>
      <c r="U817" s="27" t="s">
        <v>8</v>
      </c>
      <c r="X817" s="27" t="s">
        <v>7</v>
      </c>
      <c r="Y817" s="27" t="s">
        <v>8</v>
      </c>
      <c r="Z817" s="27" t="s">
        <v>7</v>
      </c>
      <c r="AE817" s="27" t="s">
        <v>8</v>
      </c>
      <c r="AF817" s="27" t="s">
        <v>7</v>
      </c>
      <c r="AG817" s="27" t="s">
        <v>8</v>
      </c>
      <c r="AH817" s="27" t="s">
        <v>7</v>
      </c>
      <c r="AI817" s="27" t="s">
        <v>8</v>
      </c>
      <c r="AN817" s="27" t="s">
        <v>7</v>
      </c>
      <c r="AO817" s="27" t="s">
        <v>8</v>
      </c>
    </row>
    <row r="818" spans="1:41" x14ac:dyDescent="0.25">
      <c r="A818" s="7">
        <v>1.0312413601245135E-2</v>
      </c>
      <c r="B818"/>
      <c r="C818"/>
      <c r="D818"/>
      <c r="E818"/>
      <c r="T818" s="27" t="s">
        <v>7</v>
      </c>
      <c r="U818" s="27" t="s">
        <v>8</v>
      </c>
      <c r="X818" s="27" t="s">
        <v>7</v>
      </c>
      <c r="Y818" s="27" t="s">
        <v>8</v>
      </c>
      <c r="Z818" s="27" t="s">
        <v>7</v>
      </c>
      <c r="AE818" s="27" t="s">
        <v>8</v>
      </c>
      <c r="AF818" s="27" t="s">
        <v>7</v>
      </c>
      <c r="AG818" s="27" t="s">
        <v>8</v>
      </c>
      <c r="AH818" s="27" t="s">
        <v>7</v>
      </c>
      <c r="AI818" s="27" t="s">
        <v>8</v>
      </c>
      <c r="AN818" s="27" t="s">
        <v>7</v>
      </c>
      <c r="AO818" s="27" t="s">
        <v>8</v>
      </c>
    </row>
    <row r="819" spans="1:41" x14ac:dyDescent="0.25">
      <c r="A819" s="7">
        <v>1.0110209412985426E-2</v>
      </c>
      <c r="B819"/>
      <c r="C819"/>
      <c r="D819"/>
      <c r="E819"/>
      <c r="T819" s="27" t="s">
        <v>7</v>
      </c>
      <c r="X819" s="27" t="s">
        <v>7</v>
      </c>
      <c r="Y819" s="27" t="s">
        <v>8</v>
      </c>
      <c r="Z819" s="27" t="s">
        <v>7</v>
      </c>
      <c r="AA819" s="27" t="s">
        <v>8</v>
      </c>
      <c r="AE819" s="27" t="s">
        <v>8</v>
      </c>
      <c r="AF819" s="27" t="s">
        <v>7</v>
      </c>
      <c r="AG819" s="27" t="s">
        <v>8</v>
      </c>
      <c r="AH819" s="27" t="s">
        <v>7</v>
      </c>
      <c r="AI819" s="27" t="s">
        <v>8</v>
      </c>
      <c r="AN819" s="27" t="s">
        <v>7</v>
      </c>
      <c r="AO819" s="27" t="s">
        <v>8</v>
      </c>
    </row>
    <row r="820" spans="1:41" x14ac:dyDescent="0.25">
      <c r="A820" s="7">
        <v>9.9119700127308103E-3</v>
      </c>
      <c r="B820"/>
      <c r="C820"/>
      <c r="D820"/>
      <c r="E820"/>
      <c r="X820" s="27" t="s">
        <v>7</v>
      </c>
      <c r="Y820" s="27" t="s">
        <v>8</v>
      </c>
      <c r="Z820" s="27" t="s">
        <v>7</v>
      </c>
      <c r="AA820" s="27" t="s">
        <v>8</v>
      </c>
      <c r="AB820" s="27" t="s">
        <v>7</v>
      </c>
      <c r="AC820" s="27" t="s">
        <v>8</v>
      </c>
      <c r="AE820" s="27" t="s">
        <v>8</v>
      </c>
      <c r="AF820" s="27" t="s">
        <v>7</v>
      </c>
      <c r="AG820" s="27" t="s">
        <v>8</v>
      </c>
      <c r="AH820" s="27" t="s">
        <v>7</v>
      </c>
      <c r="AI820" s="27" t="s">
        <v>8</v>
      </c>
      <c r="AN820" s="27" t="s">
        <v>7</v>
      </c>
      <c r="AO820" s="27" t="s">
        <v>8</v>
      </c>
    </row>
    <row r="821" spans="1:41" x14ac:dyDescent="0.25">
      <c r="A821" s="7">
        <v>9.717617659540009E-3</v>
      </c>
      <c r="B821"/>
      <c r="C821"/>
      <c r="D821"/>
      <c r="E821"/>
      <c r="X821" s="27" t="s">
        <v>7</v>
      </c>
      <c r="Y821" s="27" t="s">
        <v>8</v>
      </c>
      <c r="Z821" s="27" t="s">
        <v>7</v>
      </c>
      <c r="AA821" s="27" t="s">
        <v>8</v>
      </c>
      <c r="AB821" s="27" t="s">
        <v>7</v>
      </c>
      <c r="AC821" s="27" t="s">
        <v>8</v>
      </c>
      <c r="AD821" s="27" t="s">
        <v>7</v>
      </c>
      <c r="AE821" s="27" t="s">
        <v>8</v>
      </c>
      <c r="AF821" s="27" t="s">
        <v>7</v>
      </c>
      <c r="AG821" s="27" t="s">
        <v>8</v>
      </c>
      <c r="AH821" s="27" t="s">
        <v>7</v>
      </c>
      <c r="AI821" s="27" t="s">
        <v>8</v>
      </c>
      <c r="AN821" s="27" t="s">
        <v>7</v>
      </c>
      <c r="AO821" s="27" t="s">
        <v>8</v>
      </c>
    </row>
    <row r="822" spans="1:41" x14ac:dyDescent="0.25">
      <c r="A822" s="7">
        <v>9.5270761368039299E-3</v>
      </c>
      <c r="B822"/>
      <c r="C822"/>
      <c r="D822"/>
      <c r="E822"/>
      <c r="X822" s="27" t="s">
        <v>7</v>
      </c>
      <c r="Y822" s="27" t="s">
        <v>8</v>
      </c>
      <c r="Z822" s="27" t="s">
        <v>7</v>
      </c>
      <c r="AA822" s="27" t="s">
        <v>8</v>
      </c>
      <c r="AB822" s="27" t="s">
        <v>7</v>
      </c>
      <c r="AC822" s="27" t="s">
        <v>8</v>
      </c>
      <c r="AD822" s="27" t="s">
        <v>7</v>
      </c>
      <c r="AE822" s="27" t="s">
        <v>8</v>
      </c>
      <c r="AF822" s="27" t="s">
        <v>7</v>
      </c>
      <c r="AG822" s="27" t="s">
        <v>8</v>
      </c>
      <c r="AH822" s="27" t="s">
        <v>7</v>
      </c>
      <c r="AI822" s="27" t="s">
        <v>8</v>
      </c>
      <c r="AN822" s="27" t="s">
        <v>7</v>
      </c>
    </row>
    <row r="823" spans="1:41" x14ac:dyDescent="0.25">
      <c r="A823" s="7">
        <v>9.3402707223567936E-3</v>
      </c>
      <c r="B823"/>
      <c r="C823"/>
      <c r="D823"/>
      <c r="E823"/>
      <c r="X823" s="27" t="s">
        <v>7</v>
      </c>
      <c r="Y823" s="27" t="s">
        <v>8</v>
      </c>
      <c r="Z823" s="27" t="s">
        <v>7</v>
      </c>
      <c r="AA823" s="27" t="s">
        <v>8</v>
      </c>
      <c r="AB823" s="27" t="s">
        <v>7</v>
      </c>
      <c r="AC823" s="27" t="s">
        <v>8</v>
      </c>
      <c r="AD823" s="27" t="s">
        <v>7</v>
      </c>
      <c r="AE823" s="27" t="s">
        <v>8</v>
      </c>
      <c r="AF823" s="27" t="s">
        <v>7</v>
      </c>
      <c r="AG823" s="27" t="s">
        <v>8</v>
      </c>
      <c r="AH823" s="27" t="s">
        <v>7</v>
      </c>
    </row>
    <row r="824" spans="1:41" x14ac:dyDescent="0.25">
      <c r="A824" s="7">
        <v>9.1571281591733261E-3</v>
      </c>
      <c r="B824"/>
      <c r="C824"/>
      <c r="D824"/>
      <c r="E824"/>
      <c r="X824" s="27" t="s">
        <v>7</v>
      </c>
      <c r="Z824" s="27" t="s">
        <v>7</v>
      </c>
      <c r="AA824" s="27" t="s">
        <v>8</v>
      </c>
      <c r="AB824" s="27" t="s">
        <v>7</v>
      </c>
      <c r="AC824" s="27" t="s">
        <v>8</v>
      </c>
      <c r="AD824" s="27" t="s">
        <v>7</v>
      </c>
      <c r="AE824" s="27" t="s">
        <v>8</v>
      </c>
      <c r="AF824" s="27" t="s">
        <v>7</v>
      </c>
    </row>
    <row r="825" spans="1:41" x14ac:dyDescent="0.25">
      <c r="A825" s="7">
        <v>8.9775766266405148E-3</v>
      </c>
      <c r="B825"/>
      <c r="C825"/>
      <c r="D825"/>
      <c r="E825"/>
      <c r="Z825" s="27" t="s">
        <v>7</v>
      </c>
      <c r="AA825" s="27" t="s">
        <v>8</v>
      </c>
      <c r="AB825" s="27" t="s">
        <v>7</v>
      </c>
      <c r="AC825" s="27" t="s">
        <v>8</v>
      </c>
      <c r="AD825" s="27" t="s">
        <v>7</v>
      </c>
      <c r="AE825" s="27" t="s">
        <v>8</v>
      </c>
    </row>
    <row r="826" spans="1:41" x14ac:dyDescent="0.25">
      <c r="A826" s="7">
        <v>8.8015457123926614E-3</v>
      </c>
      <c r="B826"/>
      <c r="C826"/>
      <c r="D826"/>
      <c r="E826"/>
      <c r="Z826" s="27" t="s">
        <v>7</v>
      </c>
      <c r="AA826" s="27" t="s">
        <v>8</v>
      </c>
      <c r="AB826" s="27" t="s">
        <v>7</v>
      </c>
      <c r="AC826" s="27" t="s">
        <v>8</v>
      </c>
      <c r="AD826" s="27" t="s">
        <v>7</v>
      </c>
      <c r="AE826" s="27" t="s">
        <v>8</v>
      </c>
    </row>
    <row r="827" spans="1:41" x14ac:dyDescent="0.25">
      <c r="A827" s="7">
        <v>8.6289663846986879E-3</v>
      </c>
      <c r="B827"/>
      <c r="C827"/>
      <c r="D827"/>
      <c r="E827"/>
      <c r="Z827" s="27" t="s">
        <v>7</v>
      </c>
      <c r="AA827" s="27" t="s">
        <v>8</v>
      </c>
      <c r="AB827" s="27" t="s">
        <v>7</v>
      </c>
      <c r="AC827" s="27" t="s">
        <v>8</v>
      </c>
      <c r="AD827" s="27" t="s">
        <v>7</v>
      </c>
      <c r="AE827" s="27" t="s">
        <v>8</v>
      </c>
    </row>
    <row r="828" spans="1:41" x14ac:dyDescent="0.25">
      <c r="A828" s="7">
        <v>8.4597709653908715E-3</v>
      </c>
      <c r="B828"/>
      <c r="C828"/>
      <c r="D828"/>
      <c r="E828"/>
      <c r="Z828" s="27" t="s">
        <v>7</v>
      </c>
      <c r="AB828" s="27" t="s">
        <v>7</v>
      </c>
      <c r="AC828" s="27" t="s">
        <v>8</v>
      </c>
      <c r="AD828" s="27" t="s">
        <v>7</v>
      </c>
    </row>
    <row r="829" spans="1:41" x14ac:dyDescent="0.25">
      <c r="A829" s="7">
        <v>8.2938931033243839E-3</v>
      </c>
      <c r="B829"/>
      <c r="C829"/>
      <c r="D829"/>
      <c r="E829"/>
      <c r="AB829" s="27" t="s">
        <v>7</v>
      </c>
      <c r="AC829" s="27" t="s">
        <v>8</v>
      </c>
    </row>
    <row r="830" spans="1:41" x14ac:dyDescent="0.25">
      <c r="A830" s="7">
        <v>8.1312677483572383E-3</v>
      </c>
      <c r="B830"/>
      <c r="C830"/>
      <c r="D830"/>
      <c r="E830"/>
      <c r="AB830" s="27" t="s">
        <v>7</v>
      </c>
      <c r="AC830" s="27" t="s">
        <v>8</v>
      </c>
    </row>
    <row r="831" spans="1:41" x14ac:dyDescent="0.25">
      <c r="A831" s="7">
        <v>7.9718311258404305E-3</v>
      </c>
      <c r="B831"/>
      <c r="C831"/>
      <c r="D831"/>
      <c r="E831"/>
      <c r="AB831" s="27" t="s">
        <v>7</v>
      </c>
      <c r="AC831" s="27" t="s">
        <v>8</v>
      </c>
    </row>
    <row r="832" spans="1:41" x14ac:dyDescent="0.25">
      <c r="A832" s="7">
        <v>7.8155207116082648E-3</v>
      </c>
      <c r="B832"/>
      <c r="C832"/>
      <c r="D832"/>
      <c r="E832"/>
      <c r="AB832" s="27" t="s">
        <v>7</v>
      </c>
      <c r="AC832" s="27" t="s">
        <v>8</v>
      </c>
    </row>
    <row r="833" spans="1:29" x14ac:dyDescent="0.25">
      <c r="A833" s="7">
        <v>7.6622752074590825E-3</v>
      </c>
      <c r="B833"/>
      <c r="C833"/>
      <c r="D833"/>
      <c r="E833"/>
      <c r="AB833" s="27" t="s">
        <v>7</v>
      </c>
      <c r="AC833" s="27" t="s">
        <v>8</v>
      </c>
    </row>
    <row r="834" spans="1:29" x14ac:dyDescent="0.25">
      <c r="A834" s="7">
        <v>7.5120345171167469E-3</v>
      </c>
      <c r="B834"/>
      <c r="C834"/>
      <c r="D834"/>
      <c r="E834"/>
      <c r="AB834" s="27" t="s">
        <v>7</v>
      </c>
    </row>
    <row r="835" spans="1:29" x14ac:dyDescent="0.25">
      <c r="A835" s="7">
        <v>7.3647397226634772E-3</v>
      </c>
      <c r="B835"/>
      <c r="C835"/>
      <c r="D835"/>
      <c r="E835"/>
    </row>
    <row r="836" spans="1:29" x14ac:dyDescent="0.25">
      <c r="A836" s="7">
        <v>7.2203330614347815E-3</v>
      </c>
      <c r="B836"/>
      <c r="C836"/>
      <c r="D836"/>
      <c r="E836"/>
    </row>
    <row r="837" spans="1:29" x14ac:dyDescent="0.25">
      <c r="A837" s="7">
        <v>7.0787579033674327E-3</v>
      </c>
      <c r="B837"/>
      <c r="C837"/>
      <c r="D837"/>
      <c r="E837"/>
    </row>
    <row r="838" spans="1:29" x14ac:dyDescent="0.25">
      <c r="A838" s="7">
        <v>6.9399587287916013E-3</v>
      </c>
      <c r="B838"/>
      <c r="C838"/>
      <c r="D838"/>
      <c r="E838"/>
    </row>
    <row r="839" spans="1:29" x14ac:dyDescent="0.25">
      <c r="A839" s="7">
        <v>6.8038811066584333E-3</v>
      </c>
      <c r="B839"/>
      <c r="C839"/>
      <c r="D839"/>
      <c r="E839"/>
    </row>
    <row r="840" spans="1:29" x14ac:dyDescent="0.25">
      <c r="A840" s="7">
        <v>6.6704716731945425E-3</v>
      </c>
      <c r="B840"/>
      <c r="C840"/>
      <c r="D840"/>
      <c r="E840"/>
    </row>
    <row r="841" spans="1:29" x14ac:dyDescent="0.25">
      <c r="A841" s="7">
        <v>6.5396781109750427E-3</v>
      </c>
      <c r="B841"/>
      <c r="C841"/>
      <c r="D841"/>
      <c r="E841"/>
    </row>
    <row r="842" spans="1:29" x14ac:dyDescent="0.25">
      <c r="A842" s="7">
        <v>6.4114491284069045E-3</v>
      </c>
      <c r="B842"/>
      <c r="C842"/>
      <c r="D842"/>
      <c r="E842"/>
    </row>
    <row r="843" spans="1:29" x14ac:dyDescent="0.25">
      <c r="A843" s="7">
        <v>6.2857344396146115E-3</v>
      </c>
      <c r="B843"/>
      <c r="C843"/>
      <c r="D843"/>
      <c r="E843"/>
    </row>
    <row r="844" spans="1:29" x14ac:dyDescent="0.25">
      <c r="A844" s="7">
        <v>6.1624847447202076E-3</v>
      </c>
      <c r="B844"/>
      <c r="C844"/>
      <c r="D844"/>
      <c r="E844"/>
    </row>
    <row r="845" spans="1:29" x14ac:dyDescent="0.25">
      <c r="A845" s="7">
        <v>6.0416517105100079E-3</v>
      </c>
      <c r="B845"/>
      <c r="C845"/>
      <c r="D845"/>
      <c r="E845"/>
    </row>
    <row r="846" spans="1:29" x14ac:dyDescent="0.25">
      <c r="A846" s="7">
        <v>5.9231879514803996E-3</v>
      </c>
      <c r="B846"/>
      <c r="C846"/>
      <c r="D846"/>
      <c r="E846"/>
    </row>
    <row r="847" spans="1:29" x14ac:dyDescent="0.25">
      <c r="A847" s="7">
        <v>5.8070470112552936E-3</v>
      </c>
      <c r="B847"/>
      <c r="C847"/>
      <c r="D847"/>
      <c r="E847"/>
    </row>
    <row r="848" spans="1:29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24" operator="equal">
      <formula>$U$1</formula>
    </cfRule>
    <cfRule type="cellIs" dxfId="89" priority="925" operator="equal">
      <formula>$S$1</formula>
    </cfRule>
  </conditionalFormatting>
  <conditionalFormatting sqref="D27">
    <cfRule type="cellIs" dxfId="88" priority="922" operator="equal">
      <formula>$S$1</formula>
    </cfRule>
    <cfRule type="cellIs" dxfId="87" priority="923" operator="equal">
      <formula>$U$1</formula>
    </cfRule>
  </conditionalFormatting>
  <conditionalFormatting sqref="C164">
    <cfRule type="cellIs" dxfId="86" priority="920" operator="equal">
      <formula>$U$1</formula>
    </cfRule>
    <cfRule type="cellIs" dxfId="85" priority="921" operator="equal">
      <formula>$S$1</formula>
    </cfRule>
  </conditionalFormatting>
  <conditionalFormatting sqref="D164">
    <cfRule type="cellIs" dxfId="84" priority="918" operator="equal">
      <formula>$S$1</formula>
    </cfRule>
    <cfRule type="cellIs" dxfId="83" priority="919" operator="equal">
      <formula>$U$1</formula>
    </cfRule>
  </conditionalFormatting>
  <conditionalFormatting sqref="C55">
    <cfRule type="cellIs" dxfId="82" priority="916" operator="equal">
      <formula>$U$1</formula>
    </cfRule>
    <cfRule type="cellIs" dxfId="81" priority="917" operator="equal">
      <formula>$S$1</formula>
    </cfRule>
  </conditionalFormatting>
  <conditionalFormatting sqref="D55">
    <cfRule type="cellIs" dxfId="80" priority="914" operator="equal">
      <formula>$S$1</formula>
    </cfRule>
    <cfRule type="cellIs" dxfId="79" priority="915" operator="equal">
      <formula>$U$1</formula>
    </cfRule>
  </conditionalFormatting>
  <conditionalFormatting sqref="C89">
    <cfRule type="cellIs" dxfId="78" priority="912" operator="equal">
      <formula>$U$1</formula>
    </cfRule>
    <cfRule type="cellIs" dxfId="77" priority="913" operator="equal">
      <formula>$S$1</formula>
    </cfRule>
  </conditionalFormatting>
  <conditionalFormatting sqref="D89">
    <cfRule type="cellIs" dxfId="76" priority="910" operator="equal">
      <formula>$S$1</formula>
    </cfRule>
    <cfRule type="cellIs" dxfId="75" priority="911" operator="equal">
      <formula>$U$1</formula>
    </cfRule>
  </conditionalFormatting>
  <conditionalFormatting sqref="C136">
    <cfRule type="cellIs" dxfId="74" priority="908" operator="equal">
      <formula>$U$1</formula>
    </cfRule>
    <cfRule type="cellIs" dxfId="73" priority="909" operator="equal">
      <formula>$S$1</formula>
    </cfRule>
  </conditionalFormatting>
  <conditionalFormatting sqref="D136">
    <cfRule type="cellIs" dxfId="72" priority="906" operator="equal">
      <formula>$S$1</formula>
    </cfRule>
    <cfRule type="cellIs" dxfId="71" priority="907" operator="equal">
      <formula>$U$1</formula>
    </cfRule>
  </conditionalFormatting>
  <conditionalFormatting sqref="C1">
    <cfRule type="cellIs" dxfId="70" priority="90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73" zoomScale="90" zoomScaleNormal="90" workbookViewId="0">
      <pane xSplit="4" topLeftCell="CL1" activePane="topRight" state="frozen"/>
      <selection activeCell="A109" sqref="A109"/>
      <selection pane="topRight" activeCell="FE321" sqref="FE32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$A$320</v>
      </c>
      <c r="D111" s="1" t="str">
        <f>ADDRESS(C121-1,D121,1,1)</f>
        <v>$FE$320</v>
      </c>
      <c r="E111"/>
    </row>
    <row r="112" spans="1:5" x14ac:dyDescent="0.25">
      <c r="A112" s="30">
        <v>515.50191262726139</v>
      </c>
      <c r="C112" s="1" t="str">
        <f>ADDRESS(C121,1,1,1)</f>
        <v>$A$321</v>
      </c>
      <c r="D112" s="1" t="str">
        <f>ADDRESS(C121,D121-1,1,1)</f>
        <v>$FD$321</v>
      </c>
      <c r="E112"/>
    </row>
    <row r="113" spans="1:5" x14ac:dyDescent="0.25">
      <c r="A113" s="30">
        <v>490.95420250215363</v>
      </c>
      <c r="C113" s="1" t="str">
        <f>ADDRESS(C121+1,1,1,1)</f>
        <v>$A$322</v>
      </c>
      <c r="D113" s="1" t="str">
        <f>ADDRESS(C121-1,D121+1,1,1)</f>
        <v>$FF$320</v>
      </c>
    </row>
    <row r="114" spans="1:5" x14ac:dyDescent="0.25">
      <c r="A114" s="30">
        <v>467.57543095443202</v>
      </c>
      <c r="C114" s="1" t="str">
        <f>ADDRESS(C121,D121,1,1)</f>
        <v>$FE$321</v>
      </c>
      <c r="D114" s="1" t="str">
        <f>ADDRESS(C121+1,D121+1,1,1)</f>
        <v>$FF$322</v>
      </c>
    </row>
    <row r="115" spans="1:5" x14ac:dyDescent="0.25">
      <c r="A115" s="30">
        <v>445.30993424231622</v>
      </c>
      <c r="C115" s="1" t="str">
        <f>ADDRESS(C121+1,D121,1,1)</f>
        <v>$FE$322</v>
      </c>
    </row>
    <row r="116" spans="1:5" x14ac:dyDescent="0.25">
      <c r="A116" s="30">
        <v>424.10469927839637</v>
      </c>
      <c r="C116" s="1">
        <f>C117-1</f>
        <v>320</v>
      </c>
    </row>
    <row r="117" spans="1:5" x14ac:dyDescent="0.25">
      <c r="A117" s="30">
        <v>403.9092374079965</v>
      </c>
      <c r="C117" s="1">
        <f>C121</f>
        <v>321</v>
      </c>
      <c r="D117" s="1">
        <f>D121</f>
        <v>161</v>
      </c>
    </row>
    <row r="118" spans="1:5" x14ac:dyDescent="0.25">
      <c r="A118" s="30">
        <v>384.6754641980919</v>
      </c>
      <c r="C118" s="1">
        <f>C117+1</f>
        <v>322</v>
      </c>
      <c r="D118" s="1">
        <f>D117+1</f>
        <v>162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321</v>
      </c>
      <c r="D121" s="19">
        <v>161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R321</v>
      </c>
      <c r="D123" s="1" t="str">
        <f>"C"&amp;D121</f>
        <v>C161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1.9216167485857926E-2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96" x14ac:dyDescent="0.25">
      <c r="A273" s="30">
        <v>0.19987253960121379</v>
      </c>
      <c r="B273"/>
      <c r="C273"/>
      <c r="D273"/>
      <c r="E273"/>
      <c r="F273" s="27" t="s">
        <v>7</v>
      </c>
    </row>
    <row r="274" spans="1:96" x14ac:dyDescent="0.25">
      <c r="A274" s="30">
        <v>0.19035479962020352</v>
      </c>
      <c r="B274"/>
      <c r="C274"/>
      <c r="D274"/>
      <c r="E274"/>
      <c r="F274" s="27" t="s">
        <v>7</v>
      </c>
    </row>
    <row r="275" spans="1:96" x14ac:dyDescent="0.25">
      <c r="A275" s="30">
        <v>0.18129028535257471</v>
      </c>
      <c r="B275"/>
      <c r="C275"/>
      <c r="D275"/>
      <c r="E275"/>
      <c r="F275" s="27" t="s">
        <v>7</v>
      </c>
    </row>
    <row r="276" spans="1:96" x14ac:dyDescent="0.25">
      <c r="A276" s="30">
        <v>0.17265741462149967</v>
      </c>
      <c r="B276"/>
      <c r="C276"/>
      <c r="D276"/>
      <c r="E276"/>
      <c r="F276" s="27" t="s">
        <v>7</v>
      </c>
    </row>
    <row r="277" spans="1:96" x14ac:dyDescent="0.25">
      <c r="A277" s="30">
        <v>0.16443563297285677</v>
      </c>
      <c r="B277"/>
      <c r="C277"/>
      <c r="D277"/>
      <c r="E277"/>
      <c r="F277" s="27" t="s">
        <v>7</v>
      </c>
    </row>
    <row r="278" spans="1:96" x14ac:dyDescent="0.25">
      <c r="A278" s="30">
        <v>0.15660536473605399</v>
      </c>
      <c r="B278"/>
      <c r="C278"/>
      <c r="D278"/>
      <c r="E278"/>
      <c r="F278" s="27" t="s">
        <v>7</v>
      </c>
    </row>
    <row r="279" spans="1:96" x14ac:dyDescent="0.25">
      <c r="A279" s="30">
        <v>0.14914796641528946</v>
      </c>
      <c r="B279"/>
      <c r="C279"/>
      <c r="D279"/>
      <c r="E279"/>
      <c r="F279" s="27" t="s">
        <v>7</v>
      </c>
    </row>
    <row r="280" spans="1:96" x14ac:dyDescent="0.25">
      <c r="A280" s="30">
        <v>0.14204568230027562</v>
      </c>
      <c r="B280"/>
      <c r="C280"/>
      <c r="D280"/>
      <c r="E280"/>
      <c r="F280" s="27" t="s">
        <v>7</v>
      </c>
    </row>
    <row r="281" spans="1:96" x14ac:dyDescent="0.25">
      <c r="A281" s="30">
        <v>0.13528160219073862</v>
      </c>
      <c r="B281"/>
      <c r="C281"/>
      <c r="D281"/>
      <c r="E281"/>
      <c r="F281" s="27" t="s">
        <v>7</v>
      </c>
    </row>
    <row r="282" spans="1:96" x14ac:dyDescent="0.25">
      <c r="A282" s="30">
        <v>0.12883962113403674</v>
      </c>
      <c r="B282"/>
      <c r="C282"/>
      <c r="D282"/>
      <c r="E282"/>
      <c r="F282" s="27" t="s">
        <v>7</v>
      </c>
    </row>
    <row r="283" spans="1:96" x14ac:dyDescent="0.25">
      <c r="A283" s="30">
        <v>0.12270440108003494</v>
      </c>
      <c r="B283"/>
      <c r="C283"/>
      <c r="D283"/>
      <c r="E283"/>
      <c r="F283" s="27" t="s">
        <v>7</v>
      </c>
    </row>
    <row r="284" spans="1:96" x14ac:dyDescent="0.25">
      <c r="A284" s="30">
        <v>0.11686133436193799</v>
      </c>
      <c r="B284"/>
      <c r="C284"/>
      <c r="D284"/>
      <c r="E284"/>
      <c r="F284" s="27" t="s">
        <v>7</v>
      </c>
      <c r="CM284" s="27" t="s">
        <v>8</v>
      </c>
    </row>
    <row r="285" spans="1:96" x14ac:dyDescent="0.25">
      <c r="A285" s="30">
        <v>0.11129650891613138</v>
      </c>
      <c r="B285"/>
      <c r="C285"/>
      <c r="D285"/>
      <c r="E285"/>
      <c r="F285" s="27" t="s">
        <v>7</v>
      </c>
      <c r="CM285" s="27" t="s">
        <v>8</v>
      </c>
      <c r="CN285" s="27" t="s">
        <v>7</v>
      </c>
    </row>
    <row r="286" spans="1:96" x14ac:dyDescent="0.25">
      <c r="A286" s="30">
        <v>0.10599667515822032</v>
      </c>
      <c r="B286"/>
      <c r="C286"/>
      <c r="D286"/>
      <c r="E286"/>
      <c r="F286" s="27" t="s">
        <v>7</v>
      </c>
      <c r="CM286" s="27" t="s">
        <v>8</v>
      </c>
      <c r="CN286" s="27" t="s">
        <v>7</v>
      </c>
    </row>
    <row r="287" spans="1:96" x14ac:dyDescent="0.25">
      <c r="A287" s="30">
        <v>0.10094921443640027</v>
      </c>
      <c r="B287"/>
      <c r="C287"/>
      <c r="D287"/>
      <c r="E287"/>
      <c r="F287" s="27" t="s">
        <v>7</v>
      </c>
      <c r="CM287" s="27" t="s">
        <v>8</v>
      </c>
      <c r="CN287" s="27" t="s">
        <v>7</v>
      </c>
      <c r="CQ287" s="31" t="s">
        <v>8</v>
      </c>
    </row>
    <row r="288" spans="1:96" x14ac:dyDescent="0.25">
      <c r="A288" s="30">
        <v>9.6142108987047836E-2</v>
      </c>
      <c r="B288"/>
      <c r="C288"/>
      <c r="D288"/>
      <c r="E288"/>
      <c r="F288" s="27" t="s">
        <v>7</v>
      </c>
      <c r="CI288" s="27" t="s">
        <v>8</v>
      </c>
      <c r="CK288" s="27" t="s">
        <v>8</v>
      </c>
      <c r="CM288" s="27" t="s">
        <v>8</v>
      </c>
      <c r="CN288" s="27" t="s">
        <v>7</v>
      </c>
      <c r="CQ288" s="27" t="s">
        <v>8</v>
      </c>
      <c r="CR288" s="31" t="s">
        <v>7</v>
      </c>
    </row>
    <row r="289" spans="1:148" x14ac:dyDescent="0.25">
      <c r="A289" s="30">
        <v>9.1563913320997906E-2</v>
      </c>
      <c r="B289"/>
      <c r="C289"/>
      <c r="D289"/>
      <c r="E289"/>
      <c r="F289" s="27" t="s">
        <v>7</v>
      </c>
      <c r="CI289" s="27" t="s">
        <v>8</v>
      </c>
      <c r="CJ289" s="27" t="s">
        <v>7</v>
      </c>
      <c r="CK289" s="27" t="s">
        <v>8</v>
      </c>
      <c r="CL289" s="27" t="s">
        <v>7</v>
      </c>
      <c r="CM289" s="27" t="s">
        <v>8</v>
      </c>
      <c r="CN289" s="27" t="s">
        <v>7</v>
      </c>
      <c r="CO289" s="27" t="s">
        <v>8</v>
      </c>
      <c r="CQ289" s="27" t="s">
        <v>8</v>
      </c>
      <c r="CR289" s="27" t="s">
        <v>7</v>
      </c>
      <c r="CS289" s="31" t="s">
        <v>8</v>
      </c>
    </row>
    <row r="290" spans="1:148" x14ac:dyDescent="0.25">
      <c r="A290" s="30">
        <v>8.7203726972378923E-2</v>
      </c>
      <c r="B290"/>
      <c r="C290"/>
      <c r="D290"/>
      <c r="E290"/>
      <c r="F290" s="27" t="s">
        <v>7</v>
      </c>
      <c r="CG290" s="27" t="s">
        <v>8</v>
      </c>
      <c r="CI290" s="27" t="s">
        <v>8</v>
      </c>
      <c r="CJ290" s="27" t="s">
        <v>7</v>
      </c>
      <c r="CK290" s="27" t="s">
        <v>8</v>
      </c>
      <c r="CL290" s="27" t="s">
        <v>7</v>
      </c>
      <c r="CM290" s="27" t="s">
        <v>8</v>
      </c>
      <c r="CN290" s="27" t="s">
        <v>7</v>
      </c>
      <c r="CO290" s="27" t="s">
        <v>8</v>
      </c>
      <c r="CP290" s="27" t="s">
        <v>7</v>
      </c>
      <c r="CQ290" s="27" t="s">
        <v>8</v>
      </c>
      <c r="CR290" s="27" t="s">
        <v>7</v>
      </c>
      <c r="CS290" s="27" t="s">
        <v>8</v>
      </c>
      <c r="CT290" s="31" t="s">
        <v>7</v>
      </c>
    </row>
    <row r="291" spans="1:148" x14ac:dyDescent="0.25">
      <c r="A291" s="30">
        <v>8.3051168545122747E-2</v>
      </c>
      <c r="B291"/>
      <c r="C291"/>
      <c r="D291"/>
      <c r="E291"/>
      <c r="F291" s="27" t="s">
        <v>7</v>
      </c>
      <c r="CG291" s="27" t="s">
        <v>8</v>
      </c>
      <c r="CH291" s="27" t="s">
        <v>7</v>
      </c>
      <c r="CI291" s="27" t="s">
        <v>8</v>
      </c>
      <c r="CJ291" s="27" t="s">
        <v>7</v>
      </c>
      <c r="CK291" s="27" t="s">
        <v>8</v>
      </c>
      <c r="CL291" s="27" t="s">
        <v>7</v>
      </c>
      <c r="CM291" s="27" t="s">
        <v>8</v>
      </c>
      <c r="CN291" s="27" t="s">
        <v>7</v>
      </c>
      <c r="CO291" s="27" t="s">
        <v>8</v>
      </c>
      <c r="CP291" s="27" t="s">
        <v>7</v>
      </c>
      <c r="CQ291" s="27" t="s">
        <v>8</v>
      </c>
      <c r="CR291" s="27" t="s">
        <v>7</v>
      </c>
      <c r="CS291" s="27" t="s">
        <v>8</v>
      </c>
      <c r="CT291" s="27" t="s">
        <v>7</v>
      </c>
      <c r="CU291" s="31"/>
    </row>
    <row r="292" spans="1:148" x14ac:dyDescent="0.25">
      <c r="A292" s="30">
        <v>7.9096350995354961E-2</v>
      </c>
      <c r="B292"/>
      <c r="C292"/>
      <c r="D292"/>
      <c r="E292"/>
      <c r="F292" s="27" t="s">
        <v>7</v>
      </c>
      <c r="CE292" s="27" t="s">
        <v>8</v>
      </c>
      <c r="CG292" s="27" t="s">
        <v>8</v>
      </c>
      <c r="CH292" s="27" t="s">
        <v>7</v>
      </c>
      <c r="CI292" s="27" t="s">
        <v>8</v>
      </c>
      <c r="CJ292" s="27" t="s">
        <v>7</v>
      </c>
      <c r="CK292" s="27" t="s">
        <v>8</v>
      </c>
      <c r="CL292" s="27" t="s">
        <v>7</v>
      </c>
      <c r="CM292" s="27" t="s">
        <v>8</v>
      </c>
      <c r="CN292" s="27" t="s">
        <v>7</v>
      </c>
      <c r="CP292" s="27" t="s">
        <v>7</v>
      </c>
      <c r="CQ292" s="27" t="s">
        <v>8</v>
      </c>
      <c r="CR292" s="27" t="s">
        <v>7</v>
      </c>
      <c r="CS292" s="27" t="s">
        <v>8</v>
      </c>
      <c r="CT292" s="27" t="s">
        <v>7</v>
      </c>
      <c r="CU292" s="27" t="s">
        <v>8</v>
      </c>
      <c r="CV292" s="31"/>
    </row>
    <row r="293" spans="1:148" x14ac:dyDescent="0.25">
      <c r="A293" s="30">
        <v>7.5329858090814217E-2</v>
      </c>
      <c r="B293"/>
      <c r="C293"/>
      <c r="D293"/>
      <c r="E293"/>
      <c r="F293" s="27" t="s">
        <v>7</v>
      </c>
      <c r="BQ293" s="27" t="s">
        <v>8</v>
      </c>
      <c r="CE293" s="27" t="s">
        <v>8</v>
      </c>
      <c r="CF293" s="27" t="s">
        <v>7</v>
      </c>
      <c r="CG293" s="27" t="s">
        <v>8</v>
      </c>
      <c r="CH293" s="27" t="s">
        <v>7</v>
      </c>
      <c r="CJ293" s="27" t="s">
        <v>7</v>
      </c>
      <c r="CK293" s="27" t="s">
        <v>8</v>
      </c>
      <c r="CL293" s="27" t="s">
        <v>7</v>
      </c>
      <c r="CP293" s="27" t="s">
        <v>7</v>
      </c>
      <c r="CR293" s="27" t="s">
        <v>7</v>
      </c>
      <c r="CS293" s="27" t="s">
        <v>8</v>
      </c>
      <c r="CT293" s="27" t="s">
        <v>7</v>
      </c>
      <c r="CU293" s="27" t="s">
        <v>8</v>
      </c>
      <c r="CV293" s="27" t="s">
        <v>7</v>
      </c>
      <c r="CW293" s="31"/>
    </row>
    <row r="294" spans="1:148" x14ac:dyDescent="0.25">
      <c r="A294" s="30">
        <v>7.1742721991251604E-2</v>
      </c>
      <c r="B294"/>
      <c r="C294"/>
      <c r="D294"/>
      <c r="E294"/>
      <c r="F294" s="27" t="s">
        <v>7</v>
      </c>
      <c r="BQ294" s="27" t="s">
        <v>8</v>
      </c>
      <c r="BR294" s="27" t="s">
        <v>7</v>
      </c>
      <c r="CE294" s="27" t="s">
        <v>8</v>
      </c>
      <c r="CF294" s="27" t="s">
        <v>7</v>
      </c>
      <c r="CG294" s="27" t="s">
        <v>8</v>
      </c>
      <c r="CJ294" s="27" t="s">
        <v>7</v>
      </c>
      <c r="CK294" s="27" t="s">
        <v>8</v>
      </c>
      <c r="CR294" s="27" t="s">
        <v>7</v>
      </c>
      <c r="CS294" s="27" t="s">
        <v>8</v>
      </c>
      <c r="CT294" s="27" t="s">
        <v>7</v>
      </c>
      <c r="CU294" s="27" t="s">
        <v>8</v>
      </c>
      <c r="CV294" s="27" t="s">
        <v>7</v>
      </c>
      <c r="CX294" s="31"/>
    </row>
    <row r="295" spans="1:148" x14ac:dyDescent="0.25">
      <c r="A295" s="30">
        <v>6.8326401896430078E-2</v>
      </c>
      <c r="B295"/>
      <c r="C295"/>
      <c r="D295"/>
      <c r="E295"/>
      <c r="F295" s="27" t="s">
        <v>7</v>
      </c>
      <c r="BQ295" s="27" t="s">
        <v>8</v>
      </c>
      <c r="BR295" s="27" t="s">
        <v>7</v>
      </c>
      <c r="CE295" s="27" t="s">
        <v>8</v>
      </c>
      <c r="CF295" s="27" t="s">
        <v>7</v>
      </c>
      <c r="CG295" s="27" t="s">
        <v>8</v>
      </c>
      <c r="CJ295" s="27" t="s">
        <v>7</v>
      </c>
      <c r="CR295" s="27" t="s">
        <v>7</v>
      </c>
      <c r="CS295" s="27" t="s">
        <v>8</v>
      </c>
      <c r="CT295" s="27" t="s">
        <v>7</v>
      </c>
      <c r="CU295" s="27" t="s">
        <v>8</v>
      </c>
      <c r="CV295" s="27" t="s">
        <v>7</v>
      </c>
      <c r="CY295" s="31"/>
    </row>
    <row r="296" spans="1:148" x14ac:dyDescent="0.25">
      <c r="A296" s="30">
        <v>6.5072763710885759E-2</v>
      </c>
      <c r="B296"/>
      <c r="C296"/>
      <c r="D296"/>
      <c r="E296"/>
      <c r="F296" s="27" t="s">
        <v>7</v>
      </c>
      <c r="BQ296" s="27" t="s">
        <v>8</v>
      </c>
      <c r="BR296" s="27" t="s">
        <v>7</v>
      </c>
      <c r="BU296" s="27" t="s">
        <v>8</v>
      </c>
      <c r="CC296" s="27" t="s">
        <v>8</v>
      </c>
      <c r="CE296" s="27" t="s">
        <v>8</v>
      </c>
      <c r="CF296" s="27" t="s">
        <v>7</v>
      </c>
      <c r="CR296" s="27" t="s">
        <v>7</v>
      </c>
      <c r="CT296" s="27" t="s">
        <v>7</v>
      </c>
      <c r="CU296" s="27" t="s">
        <v>8</v>
      </c>
      <c r="CV296" s="27" t="s">
        <v>7</v>
      </c>
      <c r="CZ296" s="31"/>
    </row>
    <row r="297" spans="1:148" x14ac:dyDescent="0.25">
      <c r="A297" s="30">
        <v>6.197406067703403E-2</v>
      </c>
      <c r="B297"/>
      <c r="C297"/>
      <c r="D297"/>
      <c r="E297"/>
      <c r="F297" s="27" t="s">
        <v>7</v>
      </c>
      <c r="BQ297" s="27" t="s">
        <v>8</v>
      </c>
      <c r="BR297" s="27" t="s">
        <v>7</v>
      </c>
      <c r="BS297" s="27" t="s">
        <v>8</v>
      </c>
      <c r="BU297" s="27" t="s">
        <v>8</v>
      </c>
      <c r="BV297" s="27" t="s">
        <v>7</v>
      </c>
      <c r="CC297" s="27" t="s">
        <v>8</v>
      </c>
      <c r="CD297" s="27" t="s">
        <v>7</v>
      </c>
      <c r="CE297" s="27" t="s">
        <v>8</v>
      </c>
      <c r="CT297" s="27" t="s">
        <v>7</v>
      </c>
      <c r="CV297" s="27" t="s">
        <v>7</v>
      </c>
      <c r="DA297" s="31"/>
    </row>
    <row r="298" spans="1:148" x14ac:dyDescent="0.25">
      <c r="A298" s="30">
        <v>5.9022914930508576E-2</v>
      </c>
      <c r="B298"/>
      <c r="C298"/>
      <c r="D298"/>
      <c r="E298"/>
      <c r="F298" s="27" t="s">
        <v>7</v>
      </c>
      <c r="BQ298" s="27" t="s">
        <v>8</v>
      </c>
      <c r="BR298" s="27" t="s">
        <v>7</v>
      </c>
      <c r="BS298" s="27" t="s">
        <v>8</v>
      </c>
      <c r="BT298" s="27" t="s">
        <v>7</v>
      </c>
      <c r="BU298" s="27" t="s">
        <v>8</v>
      </c>
      <c r="BV298" s="27" t="s">
        <v>7</v>
      </c>
      <c r="BW298" s="27" t="s">
        <v>8</v>
      </c>
      <c r="CC298" s="27" t="s">
        <v>8</v>
      </c>
      <c r="CD298" s="27" t="s">
        <v>7</v>
      </c>
      <c r="CE298" s="27" t="s">
        <v>8</v>
      </c>
      <c r="CV298" s="27" t="s">
        <v>7</v>
      </c>
      <c r="DB298" s="31"/>
      <c r="DU298" s="27" t="s">
        <v>8</v>
      </c>
    </row>
    <row r="299" spans="1:148" x14ac:dyDescent="0.25">
      <c r="A299" s="30">
        <v>5.6212299933817669E-2</v>
      </c>
      <c r="B299"/>
      <c r="C299"/>
      <c r="D299"/>
      <c r="E299"/>
      <c r="F299" s="27" t="s">
        <v>7</v>
      </c>
      <c r="BQ299" s="27" t="s">
        <v>8</v>
      </c>
      <c r="BR299" s="27" t="s">
        <v>7</v>
      </c>
      <c r="BS299" s="27" t="s">
        <v>8</v>
      </c>
      <c r="BT299" s="27" t="s">
        <v>7</v>
      </c>
      <c r="BU299" s="27" t="s">
        <v>8</v>
      </c>
      <c r="BV299" s="27" t="s">
        <v>7</v>
      </c>
      <c r="BW299" s="27" t="s">
        <v>8</v>
      </c>
      <c r="BX299" s="27" t="s">
        <v>7</v>
      </c>
      <c r="CA299" s="27" t="s">
        <v>8</v>
      </c>
      <c r="CC299" s="27" t="s">
        <v>8</v>
      </c>
      <c r="CD299" s="27" t="s">
        <v>7</v>
      </c>
      <c r="CV299" s="27" t="s">
        <v>7</v>
      </c>
      <c r="DC299" s="31"/>
      <c r="DU299" s="27" t="s">
        <v>8</v>
      </c>
      <c r="DV299" s="27" t="s">
        <v>7</v>
      </c>
      <c r="EO299" s="27" t="s">
        <v>8</v>
      </c>
      <c r="EQ299" s="27" t="s">
        <v>8</v>
      </c>
    </row>
    <row r="300" spans="1:148" x14ac:dyDescent="0.25">
      <c r="A300" s="30">
        <v>5.3535523746492994E-2</v>
      </c>
      <c r="B300"/>
      <c r="C300"/>
      <c r="D300"/>
      <c r="E300"/>
      <c r="F300" s="27" t="s">
        <v>7</v>
      </c>
      <c r="BQ300" s="27" t="s">
        <v>8</v>
      </c>
      <c r="BR300" s="27" t="s">
        <v>7</v>
      </c>
      <c r="BS300" s="27" t="s">
        <v>8</v>
      </c>
      <c r="BT300" s="27" t="s">
        <v>7</v>
      </c>
      <c r="BU300" s="27" t="s">
        <v>8</v>
      </c>
      <c r="BV300" s="27" t="s">
        <v>7</v>
      </c>
      <c r="BW300" s="27" t="s">
        <v>8</v>
      </c>
      <c r="BX300" s="27" t="s">
        <v>7</v>
      </c>
      <c r="CA300" s="27" t="s">
        <v>8</v>
      </c>
      <c r="CB300" s="27" t="s">
        <v>7</v>
      </c>
      <c r="CC300" s="27" t="s">
        <v>8</v>
      </c>
      <c r="CV300" s="27" t="s">
        <v>7</v>
      </c>
      <c r="DD300" s="31"/>
      <c r="DU300" s="27" t="s">
        <v>8</v>
      </c>
      <c r="DV300" s="27" t="s">
        <v>7</v>
      </c>
      <c r="DW300" s="27" t="s">
        <v>8</v>
      </c>
      <c r="EO300" s="27" t="s">
        <v>8</v>
      </c>
      <c r="EP300" s="27" t="s">
        <v>7</v>
      </c>
      <c r="EQ300" s="27" t="s">
        <v>8</v>
      </c>
      <c r="ER300" s="27" t="s">
        <v>7</v>
      </c>
    </row>
    <row r="301" spans="1:148" x14ac:dyDescent="0.25">
      <c r="A301" s="30">
        <v>5.0986213091898068E-2</v>
      </c>
      <c r="B301"/>
      <c r="C301"/>
      <c r="D301"/>
      <c r="E301"/>
      <c r="F301" s="27" t="s">
        <v>7</v>
      </c>
      <c r="BQ301" s="27" t="s">
        <v>8</v>
      </c>
      <c r="BR301" s="27" t="s">
        <v>7</v>
      </c>
      <c r="BS301" s="27" t="s">
        <v>8</v>
      </c>
      <c r="BT301" s="27" t="s">
        <v>7</v>
      </c>
      <c r="BV301" s="27" t="s">
        <v>7</v>
      </c>
      <c r="BX301" s="27" t="s">
        <v>7</v>
      </c>
      <c r="BY301" s="27" t="s">
        <v>8</v>
      </c>
      <c r="CA301" s="27" t="s">
        <v>8</v>
      </c>
      <c r="CB301" s="27" t="s">
        <v>7</v>
      </c>
      <c r="CC301" s="27" t="s">
        <v>8</v>
      </c>
      <c r="CV301" s="27" t="s">
        <v>7</v>
      </c>
      <c r="DE301" s="31"/>
      <c r="DU301" s="27" t="s">
        <v>8</v>
      </c>
      <c r="DV301" s="27" t="s">
        <v>7</v>
      </c>
      <c r="DW301" s="27" t="s">
        <v>8</v>
      </c>
      <c r="DX301" s="27" t="s">
        <v>7</v>
      </c>
      <c r="EO301" s="27" t="s">
        <v>8</v>
      </c>
      <c r="EP301" s="27" t="s">
        <v>7</v>
      </c>
      <c r="EQ301" s="27" t="s">
        <v>8</v>
      </c>
      <c r="ER301" s="27" t="s">
        <v>7</v>
      </c>
    </row>
    <row r="302" spans="1:148" x14ac:dyDescent="0.25">
      <c r="A302" s="30">
        <v>4.8558298182760043E-2</v>
      </c>
      <c r="B302"/>
      <c r="C302"/>
      <c r="D302"/>
      <c r="E302"/>
      <c r="F302" s="27" t="s">
        <v>7</v>
      </c>
      <c r="BA302" s="27" t="s">
        <v>8</v>
      </c>
      <c r="BI302" s="27" t="s">
        <v>8</v>
      </c>
      <c r="BQ302" s="27" t="s">
        <v>8</v>
      </c>
      <c r="BR302" s="27" t="s">
        <v>7</v>
      </c>
      <c r="BX302" s="27" t="s">
        <v>7</v>
      </c>
      <c r="BY302" s="27" t="s">
        <v>8</v>
      </c>
      <c r="BZ302" s="27" t="s">
        <v>7</v>
      </c>
      <c r="CA302" s="27" t="s">
        <v>8</v>
      </c>
      <c r="CB302" s="27" t="s">
        <v>7</v>
      </c>
      <c r="CC302" s="27" t="s">
        <v>8</v>
      </c>
      <c r="CV302" s="27" t="s">
        <v>7</v>
      </c>
      <c r="CW302" s="27" t="s">
        <v>8</v>
      </c>
      <c r="DF302" s="31"/>
      <c r="DU302" s="27" t="s">
        <v>8</v>
      </c>
      <c r="DV302" s="27" t="s">
        <v>7</v>
      </c>
      <c r="DW302" s="27" t="s">
        <v>8</v>
      </c>
      <c r="DX302" s="27" t="s">
        <v>7</v>
      </c>
      <c r="EK302" s="27" t="s">
        <v>8</v>
      </c>
      <c r="EO302" s="27" t="s">
        <v>8</v>
      </c>
      <c r="EP302" s="27" t="s">
        <v>7</v>
      </c>
      <c r="ER302" s="27" t="s">
        <v>7</v>
      </c>
    </row>
    <row r="303" spans="1:148" x14ac:dyDescent="0.25">
      <c r="A303" s="30">
        <v>4.6245998269295263E-2</v>
      </c>
      <c r="B303"/>
      <c r="C303"/>
      <c r="D303"/>
      <c r="E303"/>
      <c r="F303" s="27" t="s">
        <v>7</v>
      </c>
      <c r="BA303" s="27" t="s">
        <v>8</v>
      </c>
      <c r="BB303" s="27" t="s">
        <v>7</v>
      </c>
      <c r="BI303" s="27" t="s">
        <v>8</v>
      </c>
      <c r="BJ303" s="27" t="s">
        <v>7</v>
      </c>
      <c r="BO303" s="27" t="s">
        <v>8</v>
      </c>
      <c r="BQ303" s="27" t="s">
        <v>8</v>
      </c>
      <c r="BX303" s="27" t="s">
        <v>7</v>
      </c>
      <c r="BY303" s="27" t="s">
        <v>8</v>
      </c>
      <c r="BZ303" s="27" t="s">
        <v>7</v>
      </c>
      <c r="CA303" s="27" t="s">
        <v>8</v>
      </c>
      <c r="CB303" s="27" t="s">
        <v>7</v>
      </c>
      <c r="CV303" s="27" t="s">
        <v>7</v>
      </c>
      <c r="CW303" s="27" t="s">
        <v>8</v>
      </c>
      <c r="CX303" s="27" t="s">
        <v>7</v>
      </c>
      <c r="DG303" s="31"/>
      <c r="DS303" s="27" t="s">
        <v>8</v>
      </c>
      <c r="DU303" s="27" t="s">
        <v>8</v>
      </c>
      <c r="DV303" s="27" t="s">
        <v>7</v>
      </c>
      <c r="DX303" s="27" t="s">
        <v>7</v>
      </c>
      <c r="EK303" s="27" t="s">
        <v>8</v>
      </c>
      <c r="EL303" s="27" t="s">
        <v>7</v>
      </c>
      <c r="EO303" s="27" t="s">
        <v>8</v>
      </c>
      <c r="ER303" s="27" t="s">
        <v>7</v>
      </c>
    </row>
    <row r="304" spans="1:148" x14ac:dyDescent="0.25">
      <c r="A304" s="30">
        <v>4.4043807875519279E-2</v>
      </c>
      <c r="B304"/>
      <c r="C304"/>
      <c r="D304"/>
      <c r="E304"/>
      <c r="F304" s="27" t="s">
        <v>7</v>
      </c>
      <c r="AY304" s="27" t="s">
        <v>8</v>
      </c>
      <c r="BA304" s="27" t="s">
        <v>8</v>
      </c>
      <c r="BB304" s="27" t="s">
        <v>7</v>
      </c>
      <c r="BC304" s="27" t="s">
        <v>8</v>
      </c>
      <c r="BG304" s="27" t="s">
        <v>8</v>
      </c>
      <c r="BI304" s="27" t="s">
        <v>8</v>
      </c>
      <c r="BJ304" s="27" t="s">
        <v>7</v>
      </c>
      <c r="BO304" s="27" t="s">
        <v>8</v>
      </c>
      <c r="BP304" s="27" t="s">
        <v>7</v>
      </c>
      <c r="BQ304" s="27" t="s">
        <v>8</v>
      </c>
      <c r="BX304" s="27" t="s">
        <v>7</v>
      </c>
      <c r="BY304" s="27" t="s">
        <v>8</v>
      </c>
      <c r="BZ304" s="27" t="s">
        <v>7</v>
      </c>
      <c r="CA304" s="27" t="s">
        <v>8</v>
      </c>
      <c r="CV304" s="27" t="s">
        <v>7</v>
      </c>
      <c r="CW304" s="27" t="s">
        <v>8</v>
      </c>
      <c r="CX304" s="27" t="s">
        <v>7</v>
      </c>
      <c r="DH304" s="31"/>
      <c r="DS304" s="27" t="s">
        <v>8</v>
      </c>
      <c r="DT304" s="27" t="s">
        <v>7</v>
      </c>
      <c r="DU304" s="27" t="s">
        <v>8</v>
      </c>
      <c r="DX304" s="27" t="s">
        <v>7</v>
      </c>
      <c r="EA304" s="27" t="s">
        <v>8</v>
      </c>
      <c r="EI304" s="27" t="s">
        <v>8</v>
      </c>
      <c r="EK304" s="27" t="s">
        <v>8</v>
      </c>
      <c r="EL304" s="27" t="s">
        <v>7</v>
      </c>
      <c r="EO304" s="27" t="s">
        <v>8</v>
      </c>
      <c r="ER304" s="27" t="s">
        <v>7</v>
      </c>
    </row>
    <row r="305" spans="1:160" x14ac:dyDescent="0.25">
      <c r="A305" s="30">
        <v>4.1946483690970725E-2</v>
      </c>
      <c r="B305"/>
      <c r="C305"/>
      <c r="D305"/>
      <c r="E305"/>
      <c r="F305" s="27" t="s">
        <v>7</v>
      </c>
      <c r="AY305" s="27" t="s">
        <v>8</v>
      </c>
      <c r="AZ305" s="27" t="s">
        <v>7</v>
      </c>
      <c r="BA305" s="27" t="s">
        <v>8</v>
      </c>
      <c r="BB305" s="27" t="s">
        <v>7</v>
      </c>
      <c r="BC305" s="27" t="s">
        <v>8</v>
      </c>
      <c r="BD305" s="27" t="s">
        <v>7</v>
      </c>
      <c r="BE305" s="27" t="s">
        <v>8</v>
      </c>
      <c r="BG305" s="27" t="s">
        <v>8</v>
      </c>
      <c r="BH305" s="27" t="s">
        <v>7</v>
      </c>
      <c r="BI305" s="27" t="s">
        <v>8</v>
      </c>
      <c r="BJ305" s="27" t="s">
        <v>7</v>
      </c>
      <c r="BK305" s="27" t="s">
        <v>8</v>
      </c>
      <c r="BO305" s="27" t="s">
        <v>8</v>
      </c>
      <c r="BP305" s="27" t="s">
        <v>7</v>
      </c>
      <c r="BQ305" s="27" t="s">
        <v>8</v>
      </c>
      <c r="BX305" s="27" t="s">
        <v>7</v>
      </c>
      <c r="BY305" s="27" t="s">
        <v>8</v>
      </c>
      <c r="BZ305" s="27" t="s">
        <v>7</v>
      </c>
      <c r="CA305" s="27" t="s">
        <v>8</v>
      </c>
      <c r="CV305" s="27" t="s">
        <v>7</v>
      </c>
      <c r="CW305" s="27" t="s">
        <v>8</v>
      </c>
      <c r="CX305" s="27" t="s">
        <v>7</v>
      </c>
      <c r="DA305" s="27" t="s">
        <v>8</v>
      </c>
      <c r="DC305" s="27" t="s">
        <v>8</v>
      </c>
      <c r="DE305" s="27" t="s">
        <v>8</v>
      </c>
      <c r="DI305" s="31"/>
      <c r="DQ305" s="27" t="s">
        <v>8</v>
      </c>
      <c r="DS305" s="27" t="s">
        <v>8</v>
      </c>
      <c r="DT305" s="27" t="s">
        <v>7</v>
      </c>
      <c r="DU305" s="27" t="s">
        <v>8</v>
      </c>
      <c r="DX305" s="27" t="s">
        <v>7</v>
      </c>
      <c r="DY305" s="27" t="s">
        <v>8</v>
      </c>
      <c r="EA305" s="27" t="s">
        <v>8</v>
      </c>
      <c r="EB305" s="27" t="s">
        <v>7</v>
      </c>
      <c r="EI305" s="27" t="s">
        <v>8</v>
      </c>
      <c r="EJ305" s="27" t="s">
        <v>7</v>
      </c>
      <c r="EK305" s="27" t="s">
        <v>8</v>
      </c>
      <c r="EL305" s="27" t="s">
        <v>7</v>
      </c>
      <c r="EO305" s="27" t="s">
        <v>8</v>
      </c>
      <c r="ER305" s="27" t="s">
        <v>7</v>
      </c>
    </row>
    <row r="306" spans="1:160" x14ac:dyDescent="0.25">
      <c r="A306" s="30">
        <v>3.9949032086638768E-2</v>
      </c>
      <c r="B306"/>
      <c r="C306"/>
      <c r="D306"/>
      <c r="E306"/>
      <c r="F306" s="27" t="s">
        <v>7</v>
      </c>
      <c r="AY306" s="27" t="s">
        <v>8</v>
      </c>
      <c r="AZ306" s="27" t="s">
        <v>7</v>
      </c>
      <c r="BA306" s="27" t="s">
        <v>8</v>
      </c>
      <c r="BB306" s="27" t="s">
        <v>7</v>
      </c>
      <c r="BC306" s="27" t="s">
        <v>8</v>
      </c>
      <c r="BD306" s="27" t="s">
        <v>7</v>
      </c>
      <c r="BE306" s="27" t="s">
        <v>8</v>
      </c>
      <c r="BF306" s="27" t="s">
        <v>7</v>
      </c>
      <c r="BG306" s="27" t="s">
        <v>8</v>
      </c>
      <c r="BH306" s="27" t="s">
        <v>7</v>
      </c>
      <c r="BI306" s="27" t="s">
        <v>8</v>
      </c>
      <c r="BJ306" s="27" t="s">
        <v>7</v>
      </c>
      <c r="BK306" s="27" t="s">
        <v>8</v>
      </c>
      <c r="BL306" s="27" t="s">
        <v>7</v>
      </c>
      <c r="BO306" s="27" t="s">
        <v>8</v>
      </c>
      <c r="BP306" s="27" t="s">
        <v>7</v>
      </c>
      <c r="BQ306" s="27" t="s">
        <v>8</v>
      </c>
      <c r="BX306" s="27" t="s">
        <v>7</v>
      </c>
      <c r="BY306" s="27" t="s">
        <v>8</v>
      </c>
      <c r="BZ306" s="27" t="s">
        <v>7</v>
      </c>
      <c r="CV306" s="27" t="s">
        <v>7</v>
      </c>
      <c r="CW306" s="27" t="s">
        <v>8</v>
      </c>
      <c r="CX306" s="27" t="s">
        <v>7</v>
      </c>
      <c r="DA306" s="27" t="s">
        <v>8</v>
      </c>
      <c r="DB306" s="27" t="s">
        <v>7</v>
      </c>
      <c r="DC306" s="27" t="s">
        <v>8</v>
      </c>
      <c r="DD306" s="27" t="s">
        <v>7</v>
      </c>
      <c r="DE306" s="27" t="s">
        <v>8</v>
      </c>
      <c r="DF306" s="27" t="s">
        <v>7</v>
      </c>
      <c r="DJ306" s="31"/>
      <c r="DQ306" s="27" t="s">
        <v>8</v>
      </c>
      <c r="DR306" s="27" t="s">
        <v>7</v>
      </c>
      <c r="DS306" s="27" t="s">
        <v>8</v>
      </c>
      <c r="DT306" s="27" t="s">
        <v>7</v>
      </c>
      <c r="DU306" s="27" t="s">
        <v>8</v>
      </c>
      <c r="DX306" s="27" t="s">
        <v>7</v>
      </c>
      <c r="DY306" s="27" t="s">
        <v>8</v>
      </c>
      <c r="DZ306" s="27" t="s">
        <v>7</v>
      </c>
      <c r="EA306" s="27" t="s">
        <v>8</v>
      </c>
      <c r="EB306" s="27" t="s">
        <v>7</v>
      </c>
      <c r="EE306" s="27" t="s">
        <v>8</v>
      </c>
      <c r="EI306" s="27" t="s">
        <v>8</v>
      </c>
      <c r="EJ306" s="27" t="s">
        <v>7</v>
      </c>
      <c r="EK306" s="27" t="s">
        <v>8</v>
      </c>
      <c r="EL306" s="27" t="s">
        <v>7</v>
      </c>
      <c r="EO306" s="27" t="s">
        <v>8</v>
      </c>
      <c r="ER306" s="27" t="s">
        <v>7</v>
      </c>
      <c r="EU306" s="27" t="s">
        <v>8</v>
      </c>
    </row>
    <row r="307" spans="1:160" x14ac:dyDescent="0.25">
      <c r="A307" s="30">
        <v>3.8046697225370241E-2</v>
      </c>
      <c r="B307"/>
      <c r="C307"/>
      <c r="D307"/>
      <c r="E307"/>
      <c r="F307" s="27" t="s">
        <v>7</v>
      </c>
      <c r="G307" s="27" t="s">
        <v>8</v>
      </c>
      <c r="AY307" s="27" t="s">
        <v>8</v>
      </c>
      <c r="AZ307" s="27" t="s">
        <v>7</v>
      </c>
      <c r="BA307" s="27" t="s">
        <v>8</v>
      </c>
      <c r="BB307" s="27" t="s">
        <v>7</v>
      </c>
      <c r="BC307" s="27" t="s">
        <v>8</v>
      </c>
      <c r="BD307" s="27" t="s">
        <v>7</v>
      </c>
      <c r="BE307" s="27" t="s">
        <v>8</v>
      </c>
      <c r="BF307" s="27" t="s">
        <v>7</v>
      </c>
      <c r="BG307" s="27" t="s">
        <v>8</v>
      </c>
      <c r="BH307" s="27" t="s">
        <v>7</v>
      </c>
      <c r="BJ307" s="27" t="s">
        <v>7</v>
      </c>
      <c r="BK307" s="27" t="s">
        <v>8</v>
      </c>
      <c r="BL307" s="27" t="s">
        <v>7</v>
      </c>
      <c r="BM307" s="27" t="s">
        <v>8</v>
      </c>
      <c r="BO307" s="27" t="s">
        <v>8</v>
      </c>
      <c r="BP307" s="27" t="s">
        <v>7</v>
      </c>
      <c r="BQ307" s="27" t="s">
        <v>8</v>
      </c>
      <c r="BX307" s="27" t="s">
        <v>7</v>
      </c>
      <c r="BY307" s="27" t="s">
        <v>8</v>
      </c>
      <c r="CV307" s="27" t="s">
        <v>7</v>
      </c>
      <c r="CW307" s="27" t="s">
        <v>8</v>
      </c>
      <c r="CX307" s="27" t="s">
        <v>7</v>
      </c>
      <c r="CY307" s="27" t="s">
        <v>8</v>
      </c>
      <c r="DA307" s="27" t="s">
        <v>8</v>
      </c>
      <c r="DB307" s="27" t="s">
        <v>7</v>
      </c>
      <c r="DC307" s="27" t="s">
        <v>8</v>
      </c>
      <c r="DD307" s="27" t="s">
        <v>7</v>
      </c>
      <c r="DE307" s="27" t="s">
        <v>8</v>
      </c>
      <c r="DF307" s="27" t="s">
        <v>7</v>
      </c>
      <c r="DK307" s="31"/>
      <c r="DQ307" s="27" t="s">
        <v>8</v>
      </c>
      <c r="DR307" s="27" t="s">
        <v>7</v>
      </c>
      <c r="DS307" s="27" t="s">
        <v>8</v>
      </c>
      <c r="DT307" s="27" t="s">
        <v>7</v>
      </c>
      <c r="DX307" s="27" t="s">
        <v>7</v>
      </c>
      <c r="DY307" s="27" t="s">
        <v>8</v>
      </c>
      <c r="DZ307" s="27" t="s">
        <v>7</v>
      </c>
      <c r="EA307" s="27" t="s">
        <v>8</v>
      </c>
      <c r="EB307" s="27" t="s">
        <v>7</v>
      </c>
      <c r="EE307" s="27" t="s">
        <v>8</v>
      </c>
      <c r="EF307" s="27" t="s">
        <v>7</v>
      </c>
      <c r="EG307" s="27" t="s">
        <v>8</v>
      </c>
      <c r="EI307" s="27" t="s">
        <v>8</v>
      </c>
      <c r="EJ307" s="27" t="s">
        <v>7</v>
      </c>
      <c r="EK307" s="27" t="s">
        <v>8</v>
      </c>
      <c r="EL307" s="27" t="s">
        <v>7</v>
      </c>
      <c r="EM307" s="27" t="s">
        <v>8</v>
      </c>
      <c r="EO307" s="27" t="s">
        <v>8</v>
      </c>
      <c r="ER307" s="27" t="s">
        <v>7</v>
      </c>
      <c r="ES307" s="27" t="s">
        <v>8</v>
      </c>
      <c r="EU307" s="27" t="s">
        <v>8</v>
      </c>
      <c r="EV307" s="27" t="s">
        <v>7</v>
      </c>
    </row>
    <row r="308" spans="1:160" x14ac:dyDescent="0.25">
      <c r="A308" s="30">
        <v>3.6234949738447833E-2</v>
      </c>
      <c r="B308"/>
      <c r="C308"/>
      <c r="D308"/>
      <c r="E308"/>
      <c r="F308" s="27" t="s">
        <v>7</v>
      </c>
      <c r="G308" s="27" t="s">
        <v>8</v>
      </c>
      <c r="H308" s="27" t="s">
        <v>7</v>
      </c>
      <c r="AW308" s="27" t="s">
        <v>8</v>
      </c>
      <c r="AY308" s="27" t="s">
        <v>8</v>
      </c>
      <c r="AZ308" s="27" t="s">
        <v>7</v>
      </c>
      <c r="BA308" s="27" t="s">
        <v>8</v>
      </c>
      <c r="BB308" s="27" t="s">
        <v>7</v>
      </c>
      <c r="BC308" s="27" t="s">
        <v>8</v>
      </c>
      <c r="BD308" s="27" t="s">
        <v>7</v>
      </c>
      <c r="BE308" s="27" t="s">
        <v>8</v>
      </c>
      <c r="BF308" s="27" t="s">
        <v>7</v>
      </c>
      <c r="BJ308" s="27" t="s">
        <v>7</v>
      </c>
      <c r="BK308" s="27" t="s">
        <v>8</v>
      </c>
      <c r="BL308" s="27" t="s">
        <v>7</v>
      </c>
      <c r="BM308" s="27" t="s">
        <v>8</v>
      </c>
      <c r="BN308" s="27" t="s">
        <v>7</v>
      </c>
      <c r="BO308" s="27" t="s">
        <v>8</v>
      </c>
      <c r="BP308" s="27" t="s">
        <v>7</v>
      </c>
      <c r="BQ308" s="27" t="s">
        <v>8</v>
      </c>
      <c r="BX308" s="27" t="s">
        <v>7</v>
      </c>
      <c r="CV308" s="27" t="s">
        <v>7</v>
      </c>
      <c r="CW308" s="27" t="s">
        <v>8</v>
      </c>
      <c r="CX308" s="27" t="s">
        <v>7</v>
      </c>
      <c r="CY308" s="27" t="s">
        <v>8</v>
      </c>
      <c r="CZ308" s="27" t="s">
        <v>7</v>
      </c>
      <c r="DA308" s="27" t="s">
        <v>8</v>
      </c>
      <c r="DB308" s="27" t="s">
        <v>7</v>
      </c>
      <c r="DC308" s="27" t="s">
        <v>8</v>
      </c>
      <c r="DD308" s="27" t="s">
        <v>7</v>
      </c>
      <c r="DE308" s="27" t="s">
        <v>8</v>
      </c>
      <c r="DF308" s="27" t="s">
        <v>7</v>
      </c>
      <c r="DL308" s="31"/>
      <c r="DQ308" s="27" t="s">
        <v>8</v>
      </c>
      <c r="DR308" s="27" t="s">
        <v>7</v>
      </c>
      <c r="DX308" s="27" t="s">
        <v>7</v>
      </c>
      <c r="DZ308" s="27" t="s">
        <v>7</v>
      </c>
      <c r="EA308" s="27" t="s">
        <v>8</v>
      </c>
      <c r="EB308" s="27" t="s">
        <v>7</v>
      </c>
      <c r="EC308" s="27" t="s">
        <v>8</v>
      </c>
      <c r="EE308" s="27" t="s">
        <v>8</v>
      </c>
      <c r="EF308" s="27" t="s">
        <v>7</v>
      </c>
      <c r="EG308" s="27" t="s">
        <v>8</v>
      </c>
      <c r="EH308" s="27" t="s">
        <v>7</v>
      </c>
      <c r="EI308" s="27" t="s">
        <v>8</v>
      </c>
      <c r="EJ308" s="27" t="s">
        <v>7</v>
      </c>
      <c r="EL308" s="27" t="s">
        <v>7</v>
      </c>
      <c r="EM308" s="27" t="s">
        <v>8</v>
      </c>
      <c r="EN308" s="27" t="s">
        <v>7</v>
      </c>
      <c r="EO308" s="27" t="s">
        <v>8</v>
      </c>
      <c r="ER308" s="27" t="s">
        <v>7</v>
      </c>
      <c r="ES308" s="27" t="s">
        <v>8</v>
      </c>
      <c r="ET308" s="27" t="s">
        <v>7</v>
      </c>
      <c r="EU308" s="27" t="s">
        <v>8</v>
      </c>
      <c r="EV308" s="27" t="s">
        <v>7</v>
      </c>
    </row>
    <row r="309" spans="1:160" x14ac:dyDescent="0.25">
      <c r="A309" s="30">
        <v>3.4509475941378875E-2</v>
      </c>
      <c r="B309"/>
      <c r="C309"/>
      <c r="D309"/>
      <c r="E309"/>
      <c r="F309" s="27" t="s">
        <v>7</v>
      </c>
      <c r="G309" s="27" t="s">
        <v>8</v>
      </c>
      <c r="H309" s="27" t="s">
        <v>7</v>
      </c>
      <c r="AW309" s="27" t="s">
        <v>8</v>
      </c>
      <c r="AX309" s="27" t="s">
        <v>7</v>
      </c>
      <c r="AY309" s="27" t="s">
        <v>8</v>
      </c>
      <c r="AZ309" s="27" t="s">
        <v>7</v>
      </c>
      <c r="BB309" s="27" t="s">
        <v>7</v>
      </c>
      <c r="BC309" s="27" t="s">
        <v>8</v>
      </c>
      <c r="BD309" s="27" t="s">
        <v>7</v>
      </c>
      <c r="BJ309" s="27" t="s">
        <v>7</v>
      </c>
      <c r="BK309" s="27" t="s">
        <v>8</v>
      </c>
      <c r="BL309" s="27" t="s">
        <v>7</v>
      </c>
      <c r="BM309" s="27" t="s">
        <v>8</v>
      </c>
      <c r="BN309" s="27" t="s">
        <v>7</v>
      </c>
      <c r="BO309" s="27" t="s">
        <v>8</v>
      </c>
      <c r="BP309" s="27" t="s">
        <v>7</v>
      </c>
      <c r="CV309" s="27" t="s">
        <v>7</v>
      </c>
      <c r="CW309" s="27" t="s">
        <v>8</v>
      </c>
      <c r="CX309" s="27" t="s">
        <v>7</v>
      </c>
      <c r="CY309" s="27" t="s">
        <v>8</v>
      </c>
      <c r="CZ309" s="27" t="s">
        <v>7</v>
      </c>
      <c r="DA309" s="27" t="s">
        <v>8</v>
      </c>
      <c r="DB309" s="27" t="s">
        <v>7</v>
      </c>
      <c r="DD309" s="27" t="s">
        <v>7</v>
      </c>
      <c r="DE309" s="27" t="s">
        <v>8</v>
      </c>
      <c r="DF309" s="27" t="s">
        <v>7</v>
      </c>
      <c r="DM309" s="31"/>
      <c r="DQ309" s="27" t="s">
        <v>8</v>
      </c>
      <c r="DZ309" s="27" t="s">
        <v>7</v>
      </c>
      <c r="EA309" s="27" t="s">
        <v>8</v>
      </c>
      <c r="EB309" s="27" t="s">
        <v>7</v>
      </c>
      <c r="EC309" s="27" t="s">
        <v>8</v>
      </c>
      <c r="ED309" s="27" t="s">
        <v>7</v>
      </c>
      <c r="EE309" s="27" t="s">
        <v>8</v>
      </c>
      <c r="EF309" s="27" t="s">
        <v>7</v>
      </c>
      <c r="EG309" s="27" t="s">
        <v>8</v>
      </c>
      <c r="EH309" s="27" t="s">
        <v>7</v>
      </c>
      <c r="EI309" s="27" t="s">
        <v>8</v>
      </c>
      <c r="EL309" s="27" t="s">
        <v>7</v>
      </c>
      <c r="EM309" s="27" t="s">
        <v>8</v>
      </c>
      <c r="EN309" s="27" t="s">
        <v>7</v>
      </c>
      <c r="EO309" s="27" t="s">
        <v>8</v>
      </c>
      <c r="ER309" s="27" t="s">
        <v>7</v>
      </c>
      <c r="ES309" s="27" t="s">
        <v>8</v>
      </c>
      <c r="ET309" s="27" t="s">
        <v>7</v>
      </c>
      <c r="EU309" s="27" t="s">
        <v>8</v>
      </c>
      <c r="EV309" s="27" t="s">
        <v>7</v>
      </c>
      <c r="EW309" s="27" t="s">
        <v>8</v>
      </c>
      <c r="EY309" s="27" t="s">
        <v>8</v>
      </c>
    </row>
    <row r="310" spans="1:160" x14ac:dyDescent="0.25">
      <c r="A310" s="30">
        <v>3.286616756321796E-2</v>
      </c>
      <c r="B310"/>
      <c r="C310"/>
      <c r="D310"/>
      <c r="E310"/>
      <c r="F310" s="27" t="s">
        <v>7</v>
      </c>
      <c r="G310" s="27" t="s">
        <v>8</v>
      </c>
      <c r="H310" s="27" t="s">
        <v>7</v>
      </c>
      <c r="AW310" s="27" t="s">
        <v>8</v>
      </c>
      <c r="AX310" s="27" t="s">
        <v>7</v>
      </c>
      <c r="AY310" s="27" t="s">
        <v>8</v>
      </c>
      <c r="BB310" s="27" t="s">
        <v>7</v>
      </c>
      <c r="BC310" s="27" t="s">
        <v>8</v>
      </c>
      <c r="BJ310" s="27" t="s">
        <v>7</v>
      </c>
      <c r="BK310" s="27" t="s">
        <v>8</v>
      </c>
      <c r="BL310" s="27" t="s">
        <v>7</v>
      </c>
      <c r="BM310" s="27" t="s">
        <v>8</v>
      </c>
      <c r="BN310" s="27" t="s">
        <v>7</v>
      </c>
      <c r="CV310" s="27" t="s">
        <v>7</v>
      </c>
      <c r="CW310" s="27" t="s">
        <v>8</v>
      </c>
      <c r="CX310" s="27" t="s">
        <v>7</v>
      </c>
      <c r="CZ310" s="27" t="s">
        <v>7</v>
      </c>
      <c r="DA310" s="27" t="s">
        <v>8</v>
      </c>
      <c r="DD310" s="27" t="s">
        <v>7</v>
      </c>
      <c r="DE310" s="27" t="s">
        <v>8</v>
      </c>
      <c r="DF310" s="27" t="s">
        <v>7</v>
      </c>
      <c r="DG310" s="27" t="s">
        <v>8</v>
      </c>
      <c r="DN310" s="31"/>
      <c r="DO310" s="27" t="s">
        <v>8</v>
      </c>
      <c r="DQ310" s="27" t="s">
        <v>8</v>
      </c>
      <c r="DZ310" s="27" t="s">
        <v>7</v>
      </c>
      <c r="EB310" s="27" t="s">
        <v>7</v>
      </c>
      <c r="EC310" s="27" t="s">
        <v>8</v>
      </c>
      <c r="ED310" s="27" t="s">
        <v>7</v>
      </c>
      <c r="EE310" s="27" t="s">
        <v>8</v>
      </c>
      <c r="EF310" s="27" t="s">
        <v>7</v>
      </c>
      <c r="EH310" s="27" t="s">
        <v>7</v>
      </c>
      <c r="EL310" s="27" t="s">
        <v>7</v>
      </c>
      <c r="EN310" s="27" t="s">
        <v>7</v>
      </c>
      <c r="ER310" s="27" t="s">
        <v>7</v>
      </c>
      <c r="ES310" s="27" t="s">
        <v>8</v>
      </c>
      <c r="ET310" s="27" t="s">
        <v>7</v>
      </c>
      <c r="EU310" s="27" t="s">
        <v>8</v>
      </c>
      <c r="EV310" s="27" t="s">
        <v>7</v>
      </c>
      <c r="EW310" s="27" t="s">
        <v>8</v>
      </c>
      <c r="EX310" s="27" t="s">
        <v>7</v>
      </c>
      <c r="EY310" s="27" t="s">
        <v>8</v>
      </c>
      <c r="EZ310" s="27" t="s">
        <v>7</v>
      </c>
      <c r="FA310" s="27" t="s">
        <v>8</v>
      </c>
    </row>
    <row r="311" spans="1:160" x14ac:dyDescent="0.25">
      <c r="A311" s="30">
        <v>3.1301111964969472E-2</v>
      </c>
      <c r="B311"/>
      <c r="C311"/>
      <c r="D311"/>
      <c r="E311"/>
      <c r="F311" s="27" t="s">
        <v>7</v>
      </c>
      <c r="G311" s="27" t="s">
        <v>8</v>
      </c>
      <c r="H311" s="27" t="s">
        <v>7</v>
      </c>
      <c r="AW311" s="27" t="s">
        <v>8</v>
      </c>
      <c r="AX311" s="27" t="s">
        <v>7</v>
      </c>
      <c r="AY311" s="27" t="s">
        <v>8</v>
      </c>
      <c r="BB311" s="27" t="s">
        <v>7</v>
      </c>
      <c r="BJ311" s="27" t="s">
        <v>7</v>
      </c>
      <c r="BL311" s="27" t="s">
        <v>7</v>
      </c>
      <c r="CV311" s="27" t="s">
        <v>7</v>
      </c>
      <c r="CW311" s="27" t="s">
        <v>8</v>
      </c>
      <c r="CZ311" s="27" t="s">
        <v>7</v>
      </c>
      <c r="DA311" s="27" t="s">
        <v>8</v>
      </c>
      <c r="DD311" s="27" t="s">
        <v>7</v>
      </c>
      <c r="DE311" s="27" t="s">
        <v>8</v>
      </c>
      <c r="DF311" s="27" t="s">
        <v>7</v>
      </c>
      <c r="DG311" s="27" t="s">
        <v>8</v>
      </c>
      <c r="DH311" s="27" t="s">
        <v>7</v>
      </c>
      <c r="DO311" s="31" t="s">
        <v>8</v>
      </c>
      <c r="DP311" s="27" t="s">
        <v>7</v>
      </c>
      <c r="DQ311" s="27" t="s">
        <v>8</v>
      </c>
      <c r="EB311" s="27" t="s">
        <v>7</v>
      </c>
      <c r="EC311" s="27" t="s">
        <v>8</v>
      </c>
      <c r="ED311" s="27" t="s">
        <v>7</v>
      </c>
      <c r="EE311" s="27" t="s">
        <v>8</v>
      </c>
      <c r="ER311" s="27" t="s">
        <v>7</v>
      </c>
      <c r="ES311" s="27" t="s">
        <v>8</v>
      </c>
      <c r="ET311" s="27" t="s">
        <v>7</v>
      </c>
      <c r="EU311" s="27" t="s">
        <v>8</v>
      </c>
      <c r="EV311" s="27" t="s">
        <v>7</v>
      </c>
      <c r="EW311" s="27" t="s">
        <v>8</v>
      </c>
      <c r="EX311" s="27" t="s">
        <v>7</v>
      </c>
      <c r="EY311" s="27" t="s">
        <v>8</v>
      </c>
      <c r="EZ311" s="27" t="s">
        <v>7</v>
      </c>
      <c r="FA311" s="27" t="s">
        <v>8</v>
      </c>
      <c r="FB311" s="27" t="s">
        <v>7</v>
      </c>
    </row>
    <row r="312" spans="1:160" x14ac:dyDescent="0.25">
      <c r="A312" s="30">
        <v>2.9810582823780438E-2</v>
      </c>
      <c r="B312"/>
      <c r="C312"/>
      <c r="D312"/>
      <c r="E312"/>
      <c r="F312" s="27" t="s">
        <v>7</v>
      </c>
      <c r="G312" s="27" t="s">
        <v>8</v>
      </c>
      <c r="H312" s="27" t="s">
        <v>7</v>
      </c>
      <c r="AW312" s="27" t="s">
        <v>8</v>
      </c>
      <c r="AX312" s="27" t="s">
        <v>7</v>
      </c>
      <c r="AY312" s="27" t="s">
        <v>8</v>
      </c>
      <c r="CV312" s="27" t="s">
        <v>7</v>
      </c>
      <c r="CW312" s="27" t="s">
        <v>8</v>
      </c>
      <c r="CZ312" s="27" t="s">
        <v>7</v>
      </c>
      <c r="DA312" s="27" t="s">
        <v>8</v>
      </c>
      <c r="DD312" s="27" t="s">
        <v>7</v>
      </c>
      <c r="DF312" s="27" t="s">
        <v>7</v>
      </c>
      <c r="DG312" s="27" t="s">
        <v>8</v>
      </c>
      <c r="DH312" s="27" t="s">
        <v>7</v>
      </c>
      <c r="DO312" s="27" t="s">
        <v>8</v>
      </c>
      <c r="DP312" s="27" t="s">
        <v>7</v>
      </c>
      <c r="DQ312" s="27" t="s">
        <v>8</v>
      </c>
      <c r="EB312" s="27" t="s">
        <v>7</v>
      </c>
      <c r="EC312" s="27" t="s">
        <v>8</v>
      </c>
      <c r="ED312" s="27" t="s">
        <v>7</v>
      </c>
      <c r="EE312" s="27" t="s">
        <v>8</v>
      </c>
      <c r="ER312" s="27" t="s">
        <v>7</v>
      </c>
      <c r="ES312" s="27" t="s">
        <v>8</v>
      </c>
      <c r="ET312" s="27" t="s">
        <v>7</v>
      </c>
      <c r="EV312" s="27" t="s">
        <v>7</v>
      </c>
      <c r="EW312" s="27" t="s">
        <v>8</v>
      </c>
      <c r="EX312" s="27" t="s">
        <v>7</v>
      </c>
      <c r="EY312" s="27" t="s">
        <v>8</v>
      </c>
      <c r="EZ312" s="27" t="s">
        <v>7</v>
      </c>
      <c r="FA312" s="27" t="s">
        <v>8</v>
      </c>
      <c r="FB312" s="27" t="s">
        <v>7</v>
      </c>
    </row>
    <row r="313" spans="1:160" x14ac:dyDescent="0.25">
      <c r="A313" s="30">
        <v>2.8391031260743264E-2</v>
      </c>
      <c r="B313"/>
      <c r="C313"/>
      <c r="D313"/>
      <c r="E313"/>
      <c r="F313" s="27" t="s">
        <v>7</v>
      </c>
      <c r="G313" s="27" t="s">
        <v>8</v>
      </c>
      <c r="H313" s="27" t="s">
        <v>7</v>
      </c>
      <c r="AW313" s="27" t="s">
        <v>8</v>
      </c>
      <c r="AX313" s="27" t="s">
        <v>7</v>
      </c>
      <c r="AY313" s="27" t="s">
        <v>8</v>
      </c>
      <c r="CV313" s="27" t="s">
        <v>7</v>
      </c>
      <c r="CW313" s="27" t="s">
        <v>8</v>
      </c>
      <c r="CZ313" s="27" t="s">
        <v>7</v>
      </c>
      <c r="DA313" s="27" t="s">
        <v>8</v>
      </c>
      <c r="DF313" s="27" t="s">
        <v>7</v>
      </c>
      <c r="DG313" s="27" t="s">
        <v>8</v>
      </c>
      <c r="DH313" s="27" t="s">
        <v>7</v>
      </c>
      <c r="DO313" s="33" t="s">
        <v>8</v>
      </c>
      <c r="DP313" s="27" t="s">
        <v>7</v>
      </c>
      <c r="DQ313" s="27" t="s">
        <v>8</v>
      </c>
      <c r="EB313" s="27" t="s">
        <v>7</v>
      </c>
      <c r="EC313" s="27" t="s">
        <v>8</v>
      </c>
      <c r="ED313" s="27" t="s">
        <v>7</v>
      </c>
      <c r="ER313" s="27" t="s">
        <v>7</v>
      </c>
      <c r="EV313" s="27" t="s">
        <v>7</v>
      </c>
      <c r="EX313" s="27" t="s">
        <v>7</v>
      </c>
      <c r="EZ313" s="27" t="s">
        <v>7</v>
      </c>
      <c r="FB313" s="27" t="s">
        <v>7</v>
      </c>
      <c r="FC313" s="27" t="s">
        <v>8</v>
      </c>
    </row>
    <row r="314" spans="1:160" x14ac:dyDescent="0.25">
      <c r="A314" s="30">
        <v>2.7039077391184052E-2</v>
      </c>
      <c r="B314"/>
      <c r="C314"/>
      <c r="D314"/>
      <c r="E314"/>
      <c r="F314" s="27" t="s">
        <v>7</v>
      </c>
      <c r="G314" s="27" t="s">
        <v>8</v>
      </c>
      <c r="H314" s="27" t="s">
        <v>7</v>
      </c>
      <c r="AW314" s="27" t="s">
        <v>8</v>
      </c>
      <c r="AX314" s="27" t="s">
        <v>7</v>
      </c>
      <c r="AY314" s="27" t="s">
        <v>8</v>
      </c>
      <c r="CV314" s="27" t="s">
        <v>7</v>
      </c>
      <c r="CW314" s="27" t="s">
        <v>8</v>
      </c>
      <c r="CZ314" s="27" t="s">
        <v>7</v>
      </c>
      <c r="DA314" s="27" t="s">
        <v>8</v>
      </c>
      <c r="DF314" s="27" t="s">
        <v>7</v>
      </c>
      <c r="DH314" s="27" t="s">
        <v>7</v>
      </c>
      <c r="DM314" s="27" t="s">
        <v>8</v>
      </c>
      <c r="DO314" s="27" t="s">
        <v>8</v>
      </c>
      <c r="DP314" s="27" t="s">
        <v>7</v>
      </c>
      <c r="EB314" s="27" t="s">
        <v>7</v>
      </c>
      <c r="FB314" s="27" t="s">
        <v>7</v>
      </c>
      <c r="FC314" s="27" t="s">
        <v>8</v>
      </c>
      <c r="FD314" s="27" t="s">
        <v>7</v>
      </c>
    </row>
    <row r="315" spans="1:160" x14ac:dyDescent="0.25">
      <c r="A315" s="30">
        <v>2.5751502277318133E-2</v>
      </c>
      <c r="B315"/>
      <c r="C315"/>
      <c r="D315"/>
      <c r="E315"/>
      <c r="F315" s="27" t="s">
        <v>7</v>
      </c>
      <c r="G315" s="27" t="s">
        <v>8</v>
      </c>
      <c r="H315" s="27" t="s">
        <v>7</v>
      </c>
      <c r="AO315" s="27" t="s">
        <v>8</v>
      </c>
      <c r="AW315" s="27" t="s">
        <v>8</v>
      </c>
      <c r="AX315" s="27" t="s">
        <v>7</v>
      </c>
      <c r="CV315" s="27" t="s">
        <v>7</v>
      </c>
      <c r="CW315" s="27" t="s">
        <v>8</v>
      </c>
      <c r="CZ315" s="27" t="s">
        <v>7</v>
      </c>
      <c r="DA315" s="27" t="s">
        <v>8</v>
      </c>
      <c r="DH315" s="27" t="s">
        <v>7</v>
      </c>
      <c r="DK315" s="27" t="s">
        <v>8</v>
      </c>
      <c r="DM315" s="27" t="s">
        <v>8</v>
      </c>
      <c r="DN315" s="27" t="s">
        <v>7</v>
      </c>
      <c r="DO315" s="27" t="s">
        <v>8</v>
      </c>
      <c r="FB315" s="27" t="s">
        <v>7</v>
      </c>
      <c r="FC315" s="27" t="s">
        <v>8</v>
      </c>
      <c r="FD315" s="27" t="s">
        <v>7</v>
      </c>
    </row>
    <row r="316" spans="1:160" x14ac:dyDescent="0.25">
      <c r="A316" s="30">
        <v>2.4525240264112496E-2</v>
      </c>
      <c r="B316"/>
      <c r="C316"/>
      <c r="D316"/>
      <c r="E316"/>
      <c r="F316" s="27" t="s">
        <v>7</v>
      </c>
      <c r="H316" s="27" t="s">
        <v>7</v>
      </c>
      <c r="AM316" s="27" t="s">
        <v>8</v>
      </c>
      <c r="AO316" s="27" t="s">
        <v>8</v>
      </c>
      <c r="AP316" s="27" t="s">
        <v>7</v>
      </c>
      <c r="AW316" s="27" t="s">
        <v>8</v>
      </c>
      <c r="CV316" s="27" t="s">
        <v>7</v>
      </c>
      <c r="CW316" s="27" t="s">
        <v>8</v>
      </c>
      <c r="CZ316" s="27" t="s">
        <v>7</v>
      </c>
      <c r="DA316" s="27" t="s">
        <v>8</v>
      </c>
      <c r="DH316" s="27" t="s">
        <v>7</v>
      </c>
      <c r="DI316" s="27" t="s">
        <v>8</v>
      </c>
      <c r="DK316" s="27" t="s">
        <v>8</v>
      </c>
      <c r="DL316" s="27" t="s">
        <v>7</v>
      </c>
      <c r="DM316" s="27" t="s">
        <v>8</v>
      </c>
      <c r="DN316" s="27" t="s">
        <v>7</v>
      </c>
      <c r="DO316" s="27" t="s">
        <v>8</v>
      </c>
      <c r="DV316" s="31"/>
      <c r="FB316" s="27" t="s">
        <v>7</v>
      </c>
      <c r="FC316" s="27" t="s">
        <v>8</v>
      </c>
      <c r="FD316" s="27" t="s">
        <v>7</v>
      </c>
    </row>
    <row r="317" spans="1:160" x14ac:dyDescent="0.25">
      <c r="A317" s="30">
        <v>2.3357371680107129E-2</v>
      </c>
      <c r="B317"/>
      <c r="C317"/>
      <c r="D317"/>
      <c r="E317"/>
      <c r="H317" s="27" t="s">
        <v>7</v>
      </c>
      <c r="AM317" s="27" t="s">
        <v>8</v>
      </c>
      <c r="AN317" s="27" t="s">
        <v>7</v>
      </c>
      <c r="AO317" s="27" t="s">
        <v>8</v>
      </c>
      <c r="AP317" s="27" t="s">
        <v>7</v>
      </c>
      <c r="AW317" s="27" t="s">
        <v>8</v>
      </c>
      <c r="CV317" s="27" t="s">
        <v>7</v>
      </c>
      <c r="CW317" s="27" t="s">
        <v>8</v>
      </c>
      <c r="CZ317" s="27" t="s">
        <v>7</v>
      </c>
      <c r="DH317" s="27" t="s">
        <v>7</v>
      </c>
      <c r="DI317" s="27" t="s">
        <v>8</v>
      </c>
      <c r="DJ317" s="27" t="s">
        <v>7</v>
      </c>
      <c r="DK317" s="27" t="s">
        <v>8</v>
      </c>
      <c r="DL317" s="27" t="s">
        <v>7</v>
      </c>
      <c r="DM317" s="27" t="s">
        <v>8</v>
      </c>
      <c r="DN317" s="27" t="s">
        <v>7</v>
      </c>
      <c r="DO317" s="27" t="s">
        <v>8</v>
      </c>
      <c r="DU317" s="31"/>
      <c r="FB317" s="27" t="s">
        <v>7</v>
      </c>
      <c r="FD317" s="27" t="s">
        <v>7</v>
      </c>
    </row>
    <row r="318" spans="1:160" x14ac:dyDescent="0.25">
      <c r="A318" s="30">
        <v>2.2245115885816305E-2</v>
      </c>
      <c r="B318"/>
      <c r="C318"/>
      <c r="D318"/>
      <c r="E318"/>
      <c r="H318" s="27" t="s">
        <v>7</v>
      </c>
      <c r="AM318" s="27" t="s">
        <v>8</v>
      </c>
      <c r="AN318" s="27" t="s">
        <v>7</v>
      </c>
      <c r="AO318" s="27" t="s">
        <v>8</v>
      </c>
      <c r="AP318" s="27" t="s">
        <v>7</v>
      </c>
      <c r="AQ318" s="27" t="s">
        <v>8</v>
      </c>
      <c r="AU318" s="27" t="s">
        <v>8</v>
      </c>
      <c r="AW318" s="27" t="s">
        <v>8</v>
      </c>
      <c r="CV318" s="27" t="s">
        <v>7</v>
      </c>
      <c r="DH318" s="27" t="s">
        <v>7</v>
      </c>
      <c r="DI318" s="27" t="s">
        <v>8</v>
      </c>
      <c r="DJ318" s="27" t="s">
        <v>7</v>
      </c>
      <c r="DK318" s="27" t="s">
        <v>8</v>
      </c>
      <c r="DL318" s="27" t="s">
        <v>7</v>
      </c>
      <c r="DN318" s="27" t="s">
        <v>7</v>
      </c>
      <c r="DO318" s="27" t="s">
        <v>8</v>
      </c>
      <c r="DT318" s="31"/>
      <c r="FD318" s="27" t="s">
        <v>7</v>
      </c>
    </row>
    <row r="319" spans="1:160" x14ac:dyDescent="0.25">
      <c r="A319" s="30">
        <v>2.1185824653158377E-2</v>
      </c>
      <c r="B319"/>
      <c r="C319"/>
      <c r="D319"/>
      <c r="E319"/>
      <c r="H319" s="27" t="s">
        <v>7</v>
      </c>
      <c r="AK319" s="27" t="s">
        <v>8</v>
      </c>
      <c r="AM319" s="27" t="s">
        <v>8</v>
      </c>
      <c r="AN319" s="27" t="s">
        <v>7</v>
      </c>
      <c r="AP319" s="27" t="s">
        <v>7</v>
      </c>
      <c r="AQ319" s="27" t="s">
        <v>8</v>
      </c>
      <c r="AR319" s="27" t="s">
        <v>7</v>
      </c>
      <c r="AS319" s="27" t="s">
        <v>8</v>
      </c>
      <c r="AU319" s="27" t="s">
        <v>8</v>
      </c>
      <c r="AV319" s="27" t="s">
        <v>7</v>
      </c>
      <c r="AW319" s="27" t="s">
        <v>8</v>
      </c>
      <c r="DH319" s="27" t="s">
        <v>7</v>
      </c>
      <c r="DI319" s="27" t="s">
        <v>8</v>
      </c>
      <c r="DJ319" s="27" t="s">
        <v>7</v>
      </c>
      <c r="DK319" s="27" t="s">
        <v>8</v>
      </c>
      <c r="DN319" s="32" t="s">
        <v>7</v>
      </c>
      <c r="DO319" s="27" t="s">
        <v>8</v>
      </c>
      <c r="DS319" s="31"/>
      <c r="FD319" s="27" t="s">
        <v>7</v>
      </c>
    </row>
    <row r="320" spans="1:160" x14ac:dyDescent="0.25">
      <c r="A320" s="30">
        <v>2.0176975860150829E-2</v>
      </c>
      <c r="B320"/>
      <c r="C320"/>
      <c r="D320"/>
      <c r="E320"/>
      <c r="H320" s="27" t="s">
        <v>7</v>
      </c>
      <c r="AK320" s="27" t="s">
        <v>8</v>
      </c>
      <c r="AL320" s="27" t="s">
        <v>7</v>
      </c>
      <c r="AM320" s="27" t="s">
        <v>8</v>
      </c>
      <c r="AP320" s="27" t="s">
        <v>7</v>
      </c>
      <c r="AQ320" s="27" t="s">
        <v>8</v>
      </c>
      <c r="AR320" s="27" t="s">
        <v>7</v>
      </c>
      <c r="AS320" s="27" t="s">
        <v>8</v>
      </c>
      <c r="AT320" s="27" t="s">
        <v>7</v>
      </c>
      <c r="AU320" s="27" t="s">
        <v>8</v>
      </c>
      <c r="AV320" s="27" t="s">
        <v>7</v>
      </c>
      <c r="AW320" s="27" t="s">
        <v>8</v>
      </c>
      <c r="DH320" s="27" t="s">
        <v>7</v>
      </c>
      <c r="DI320" s="27" t="s">
        <v>8</v>
      </c>
      <c r="DJ320" s="27" t="s">
        <v>7</v>
      </c>
      <c r="DN320" s="27" t="s">
        <v>7</v>
      </c>
      <c r="DO320" s="27" t="s">
        <v>8</v>
      </c>
      <c r="DR320" s="31"/>
      <c r="FD320" s="27" t="s">
        <v>7</v>
      </c>
    </row>
    <row r="321" spans="1:161" x14ac:dyDescent="0.25">
      <c r="A321" s="30">
        <v>1.9216167485857926E-2</v>
      </c>
      <c r="B321"/>
      <c r="C321"/>
      <c r="D321"/>
      <c r="E321"/>
      <c r="H321" s="27" t="s">
        <v>7</v>
      </c>
      <c r="I321" s="27" t="s">
        <v>8</v>
      </c>
      <c r="AK321" s="27" t="s">
        <v>8</v>
      </c>
      <c r="AL321" s="27" t="s">
        <v>7</v>
      </c>
      <c r="AM321" s="27" t="s">
        <v>8</v>
      </c>
      <c r="AP321" s="27" t="s">
        <v>7</v>
      </c>
      <c r="AQ321" s="27" t="s">
        <v>8</v>
      </c>
      <c r="AR321" s="27" t="s">
        <v>7</v>
      </c>
      <c r="AS321" s="27" t="s">
        <v>8</v>
      </c>
      <c r="AT321" s="27" t="s">
        <v>7</v>
      </c>
      <c r="AU321" s="27" t="s">
        <v>8</v>
      </c>
      <c r="AV321" s="27" t="s">
        <v>7</v>
      </c>
      <c r="AW321" s="27" t="s">
        <v>8</v>
      </c>
      <c r="DH321" s="27" t="s">
        <v>7</v>
      </c>
      <c r="DN321" s="27" t="s">
        <v>7</v>
      </c>
      <c r="DO321" s="27" t="s">
        <v>8</v>
      </c>
      <c r="DQ321" s="31"/>
      <c r="FD321" s="27" t="s">
        <v>7</v>
      </c>
      <c r="FE321" s="27" t="s">
        <v>8</v>
      </c>
    </row>
    <row r="322" spans="1:161" x14ac:dyDescent="0.25">
      <c r="A322" s="30">
        <v>1.8301111891293256E-2</v>
      </c>
      <c r="B322"/>
      <c r="C322"/>
      <c r="D322"/>
      <c r="E322"/>
      <c r="H322" s="27" t="s">
        <v>7</v>
      </c>
      <c r="I322" s="27" t="s">
        <v>8</v>
      </c>
      <c r="J322" s="27" t="s">
        <v>7</v>
      </c>
      <c r="K322" s="27" t="s">
        <v>8</v>
      </c>
      <c r="AI322" s="27" t="s">
        <v>8</v>
      </c>
      <c r="AK322" s="27" t="s">
        <v>8</v>
      </c>
      <c r="AL322" s="27" t="s">
        <v>7</v>
      </c>
      <c r="AP322" s="27" t="s">
        <v>7</v>
      </c>
      <c r="AQ322" s="27" t="s">
        <v>8</v>
      </c>
      <c r="AR322" s="27" t="s">
        <v>7</v>
      </c>
      <c r="AS322" s="27" t="s">
        <v>8</v>
      </c>
      <c r="AT322" s="27" t="s">
        <v>7</v>
      </c>
      <c r="AU322" s="27" t="s">
        <v>8</v>
      </c>
      <c r="AV322" s="27" t="s">
        <v>7</v>
      </c>
      <c r="AW322" s="27" t="s">
        <v>8</v>
      </c>
      <c r="DN322" s="18" t="s">
        <v>7</v>
      </c>
      <c r="DO322" s="27" t="s">
        <v>8</v>
      </c>
      <c r="DP322" s="31"/>
      <c r="FD322" s="27" t="s">
        <v>7</v>
      </c>
      <c r="FE322" s="27" t="s">
        <v>8</v>
      </c>
    </row>
    <row r="323" spans="1:161" x14ac:dyDescent="0.25">
      <c r="A323" s="30">
        <v>1.7429630372660238E-2</v>
      </c>
      <c r="B323"/>
      <c r="C323"/>
      <c r="D323"/>
      <c r="E323"/>
      <c r="H323" s="27" t="s">
        <v>7</v>
      </c>
      <c r="I323" s="27" t="s">
        <v>8</v>
      </c>
      <c r="J323" s="27" t="s">
        <v>7</v>
      </c>
      <c r="K323" s="27" t="s">
        <v>8</v>
      </c>
      <c r="L323" s="27" t="s">
        <v>7</v>
      </c>
      <c r="AC323" s="27" t="s">
        <v>8</v>
      </c>
      <c r="AI323" s="27" t="s">
        <v>8</v>
      </c>
      <c r="AJ323" s="27" t="s">
        <v>7</v>
      </c>
      <c r="AK323" s="27" t="s">
        <v>8</v>
      </c>
      <c r="AP323" s="27" t="s">
        <v>7</v>
      </c>
      <c r="AQ323" s="27" t="s">
        <v>8</v>
      </c>
      <c r="AR323" s="27" t="s">
        <v>7</v>
      </c>
      <c r="AT323" s="27" t="s">
        <v>7</v>
      </c>
      <c r="AV323" s="27" t="s">
        <v>7</v>
      </c>
      <c r="AW323" s="27" t="s">
        <v>8</v>
      </c>
      <c r="DN323" s="27" t="s">
        <v>7</v>
      </c>
      <c r="DO323" s="31" t="s">
        <v>8</v>
      </c>
      <c r="FD323" s="27" t="s">
        <v>7</v>
      </c>
      <c r="FE323" s="27" t="s">
        <v>8</v>
      </c>
    </row>
    <row r="324" spans="1:161" x14ac:dyDescent="0.25">
      <c r="A324" s="30">
        <v>1.6599647973962125E-2</v>
      </c>
      <c r="B324"/>
      <c r="C324"/>
      <c r="D324"/>
      <c r="E324"/>
      <c r="H324" s="27" t="s">
        <v>7</v>
      </c>
      <c r="I324" s="27" t="s">
        <v>8</v>
      </c>
      <c r="J324" s="27" t="s">
        <v>7</v>
      </c>
      <c r="K324" s="27" t="s">
        <v>8</v>
      </c>
      <c r="L324" s="27" t="s">
        <v>7</v>
      </c>
      <c r="AC324" s="27" t="s">
        <v>8</v>
      </c>
      <c r="AD324" s="27" t="s">
        <v>7</v>
      </c>
      <c r="AI324" s="27" t="s">
        <v>8</v>
      </c>
      <c r="AJ324" s="27" t="s">
        <v>7</v>
      </c>
      <c r="AK324" s="27" t="s">
        <v>8</v>
      </c>
      <c r="AP324" s="27" t="s">
        <v>7</v>
      </c>
      <c r="AQ324" s="27" t="s">
        <v>8</v>
      </c>
      <c r="AV324" s="27" t="s">
        <v>7</v>
      </c>
      <c r="AW324" s="27" t="s">
        <v>8</v>
      </c>
      <c r="DN324" s="31" t="s">
        <v>7</v>
      </c>
      <c r="FD324" s="27" t="s">
        <v>7</v>
      </c>
    </row>
    <row r="325" spans="1:161" x14ac:dyDescent="0.25">
      <c r="A325" s="30">
        <v>1.580918854663059E-2</v>
      </c>
      <c r="B325"/>
      <c r="C325"/>
      <c r="D325"/>
      <c r="E325"/>
      <c r="H325" s="27" t="s">
        <v>7</v>
      </c>
      <c r="I325" s="27" t="s">
        <v>8</v>
      </c>
      <c r="J325" s="27" t="s">
        <v>7</v>
      </c>
      <c r="K325" s="27" t="s">
        <v>8</v>
      </c>
      <c r="L325" s="27" t="s">
        <v>7</v>
      </c>
      <c r="M325" s="27" t="s">
        <v>8</v>
      </c>
      <c r="AA325" s="27" t="s">
        <v>8</v>
      </c>
      <c r="AC325" s="27" t="s">
        <v>8</v>
      </c>
      <c r="AD325" s="27" t="s">
        <v>7</v>
      </c>
      <c r="AI325" s="27" t="s">
        <v>8</v>
      </c>
      <c r="AJ325" s="27" t="s">
        <v>7</v>
      </c>
      <c r="AK325" s="27" t="s">
        <v>8</v>
      </c>
      <c r="AP325" s="27" t="s">
        <v>7</v>
      </c>
      <c r="AV325" s="27" t="s">
        <v>7</v>
      </c>
      <c r="AW325" s="27" t="s">
        <v>8</v>
      </c>
    </row>
    <row r="326" spans="1:161" x14ac:dyDescent="0.25">
      <c r="A326" s="30">
        <v>1.5056370044410079E-2</v>
      </c>
      <c r="B326"/>
      <c r="C326"/>
      <c r="D326"/>
      <c r="E326"/>
      <c r="H326" s="27" t="s">
        <v>7</v>
      </c>
      <c r="I326" s="27" t="s">
        <v>8</v>
      </c>
      <c r="J326" s="27" t="s">
        <v>7</v>
      </c>
      <c r="L326" s="27" t="s">
        <v>7</v>
      </c>
      <c r="M326" s="27" t="s">
        <v>8</v>
      </c>
      <c r="N326" s="27" t="s">
        <v>7</v>
      </c>
      <c r="AA326" s="27" t="s">
        <v>8</v>
      </c>
      <c r="AB326" s="27" t="s">
        <v>7</v>
      </c>
      <c r="AC326" s="27" t="s">
        <v>8</v>
      </c>
      <c r="AD326" s="27" t="s">
        <v>7</v>
      </c>
      <c r="AG326" s="27" t="s">
        <v>8</v>
      </c>
      <c r="AI326" s="27" t="s">
        <v>8</v>
      </c>
      <c r="AJ326" s="27" t="s">
        <v>7</v>
      </c>
      <c r="AV326" s="27" t="s">
        <v>7</v>
      </c>
    </row>
    <row r="327" spans="1:161" x14ac:dyDescent="0.25">
      <c r="A327" s="30">
        <v>1.4339400042295308E-2</v>
      </c>
      <c r="B327"/>
      <c r="C327"/>
      <c r="D327"/>
      <c r="E327"/>
      <c r="H327" s="27" t="s">
        <v>7</v>
      </c>
      <c r="L327" s="27" t="s">
        <v>7</v>
      </c>
      <c r="M327" s="27" t="s">
        <v>8</v>
      </c>
      <c r="N327" s="27" t="s">
        <v>7</v>
      </c>
      <c r="AA327" s="27" t="s">
        <v>8</v>
      </c>
      <c r="AB327" s="27" t="s">
        <v>7</v>
      </c>
      <c r="AC327" s="27" t="s">
        <v>8</v>
      </c>
      <c r="AD327" s="27" t="s">
        <v>7</v>
      </c>
      <c r="AG327" s="27" t="s">
        <v>8</v>
      </c>
      <c r="AH327" s="27" t="s">
        <v>7</v>
      </c>
      <c r="AI327" s="27" t="s">
        <v>8</v>
      </c>
    </row>
    <row r="328" spans="1:161" x14ac:dyDescent="0.25">
      <c r="A328" s="30">
        <v>1.365657146885267E-2</v>
      </c>
      <c r="B328"/>
      <c r="C328"/>
      <c r="D328"/>
      <c r="E328"/>
      <c r="L328" s="27" t="s">
        <v>7</v>
      </c>
      <c r="M328" s="27" t="s">
        <v>8</v>
      </c>
      <c r="N328" s="27" t="s">
        <v>7</v>
      </c>
      <c r="AA328" s="27" t="s">
        <v>8</v>
      </c>
      <c r="AB328" s="27" t="s">
        <v>7</v>
      </c>
      <c r="AD328" s="27" t="s">
        <v>7</v>
      </c>
      <c r="AG328" s="27" t="s">
        <v>8</v>
      </c>
      <c r="AH328" s="27" t="s">
        <v>7</v>
      </c>
      <c r="AI328" s="27" t="s">
        <v>8</v>
      </c>
    </row>
    <row r="329" spans="1:161" x14ac:dyDescent="0.25">
      <c r="A329" s="30">
        <v>1.3006258541764442E-2</v>
      </c>
      <c r="B329"/>
      <c r="C329"/>
      <c r="D329"/>
      <c r="E329"/>
      <c r="L329" s="27" t="s">
        <v>7</v>
      </c>
      <c r="N329" s="27" t="s">
        <v>7</v>
      </c>
      <c r="O329" s="27" t="s">
        <v>8</v>
      </c>
      <c r="AA329" s="27" t="s">
        <v>8</v>
      </c>
      <c r="AD329" s="27" t="s">
        <v>7</v>
      </c>
      <c r="AG329" s="27" t="s">
        <v>8</v>
      </c>
      <c r="AH329" s="27" t="s">
        <v>7</v>
      </c>
    </row>
    <row r="330" spans="1:161" x14ac:dyDescent="0.25">
      <c r="A330" s="30">
        <v>1.2386912896918512E-2</v>
      </c>
      <c r="B330"/>
      <c r="C330"/>
      <c r="D330"/>
      <c r="E330"/>
      <c r="N330" s="27" t="s">
        <v>7</v>
      </c>
      <c r="O330" s="27" t="s">
        <v>8</v>
      </c>
      <c r="P330" s="27" t="s">
        <v>7</v>
      </c>
      <c r="W330" s="27" t="s">
        <v>8</v>
      </c>
      <c r="Y330" s="27" t="s">
        <v>8</v>
      </c>
      <c r="AA330" s="27" t="s">
        <v>8</v>
      </c>
      <c r="AD330" s="27" t="s">
        <v>7</v>
      </c>
      <c r="AE330" s="27" t="s">
        <v>8</v>
      </c>
      <c r="AG330" s="27" t="s">
        <v>8</v>
      </c>
    </row>
    <row r="331" spans="1:161" x14ac:dyDescent="0.25">
      <c r="A331" s="30">
        <v>1.179705990182715E-2</v>
      </c>
      <c r="B331"/>
      <c r="C331"/>
      <c r="D331"/>
      <c r="E331"/>
      <c r="N331" s="27" t="s">
        <v>7</v>
      </c>
      <c r="O331" s="27" t="s">
        <v>8</v>
      </c>
      <c r="P331" s="27" t="s">
        <v>7</v>
      </c>
      <c r="W331" s="27" t="s">
        <v>8</v>
      </c>
      <c r="X331" s="27" t="s">
        <v>7</v>
      </c>
      <c r="Y331" s="27" t="s">
        <v>8</v>
      </c>
      <c r="Z331" s="27" t="s">
        <v>7</v>
      </c>
      <c r="AA331" s="27" t="s">
        <v>8</v>
      </c>
      <c r="AD331" s="27" t="s">
        <v>7</v>
      </c>
      <c r="AE331" s="27" t="s">
        <v>8</v>
      </c>
      <c r="AF331" s="27" t="s">
        <v>7</v>
      </c>
      <c r="AG331" s="27" t="s">
        <v>8</v>
      </c>
    </row>
    <row r="332" spans="1:161" x14ac:dyDescent="0.25">
      <c r="A332" s="30">
        <v>1.1235295144597281E-2</v>
      </c>
      <c r="B332"/>
      <c r="C332"/>
      <c r="D332"/>
      <c r="E332"/>
      <c r="N332" s="27" t="s">
        <v>7</v>
      </c>
      <c r="O332" s="27" t="s">
        <v>8</v>
      </c>
      <c r="P332" s="27" t="s">
        <v>7</v>
      </c>
      <c r="W332" s="27" t="s">
        <v>8</v>
      </c>
      <c r="X332" s="27" t="s">
        <v>7</v>
      </c>
      <c r="Y332" s="27" t="s">
        <v>8</v>
      </c>
      <c r="Z332" s="27" t="s">
        <v>7</v>
      </c>
      <c r="AA332" s="27" t="s">
        <v>8</v>
      </c>
      <c r="AD332" s="27" t="s">
        <v>7</v>
      </c>
      <c r="AE332" s="27" t="s">
        <v>8</v>
      </c>
      <c r="AF332" s="27" t="s">
        <v>7</v>
      </c>
      <c r="AG332" s="27" t="s">
        <v>8</v>
      </c>
    </row>
    <row r="333" spans="1:161" x14ac:dyDescent="0.25">
      <c r="A333" s="30">
        <v>1.0700281090092644E-2</v>
      </c>
      <c r="B333"/>
      <c r="C333"/>
      <c r="D333"/>
      <c r="E333"/>
      <c r="N333" s="27" t="s">
        <v>7</v>
      </c>
      <c r="O333" s="27" t="s">
        <v>8</v>
      </c>
      <c r="P333" s="27" t="s">
        <v>7</v>
      </c>
      <c r="Q333" s="27" t="s">
        <v>8</v>
      </c>
      <c r="W333" s="27" t="s">
        <v>8</v>
      </c>
      <c r="X333" s="27" t="s">
        <v>7</v>
      </c>
      <c r="Y333" s="27" t="s">
        <v>8</v>
      </c>
      <c r="Z333" s="27" t="s">
        <v>7</v>
      </c>
      <c r="AA333" s="27" t="s">
        <v>8</v>
      </c>
      <c r="AD333" s="27" t="s">
        <v>7</v>
      </c>
      <c r="AF333" s="27" t="s">
        <v>7</v>
      </c>
      <c r="AG333" s="27" t="s">
        <v>8</v>
      </c>
    </row>
    <row r="334" spans="1:161" x14ac:dyDescent="0.25">
      <c r="A334" s="30">
        <v>1.0190743895326324E-2</v>
      </c>
      <c r="B334"/>
      <c r="C334"/>
      <c r="D334"/>
      <c r="E334"/>
      <c r="N334" s="27" t="s">
        <v>7</v>
      </c>
      <c r="P334" s="27" t="s">
        <v>7</v>
      </c>
      <c r="Q334" s="27" t="s">
        <v>8</v>
      </c>
      <c r="R334" s="27" t="s">
        <v>7</v>
      </c>
      <c r="S334" s="27" t="s">
        <v>8</v>
      </c>
      <c r="W334" s="27" t="s">
        <v>8</v>
      </c>
      <c r="X334" s="27" t="s">
        <v>7</v>
      </c>
      <c r="Y334" s="27" t="s">
        <v>8</v>
      </c>
      <c r="Z334" s="27" t="s">
        <v>7</v>
      </c>
      <c r="AA334" s="27" t="s">
        <v>8</v>
      </c>
      <c r="AF334" s="27" t="s">
        <v>7</v>
      </c>
      <c r="AG334" s="27" t="s">
        <v>8</v>
      </c>
    </row>
    <row r="335" spans="1:161" x14ac:dyDescent="0.25">
      <c r="A335" s="30">
        <v>9.7054703765012563E-3</v>
      </c>
      <c r="B335"/>
      <c r="C335"/>
      <c r="D335"/>
      <c r="E335"/>
      <c r="P335" s="27" t="s">
        <v>7</v>
      </c>
      <c r="Q335" s="27" t="s">
        <v>8</v>
      </c>
      <c r="R335" s="27" t="s">
        <v>7</v>
      </c>
      <c r="S335" s="27" t="s">
        <v>8</v>
      </c>
      <c r="T335" s="27" t="s">
        <v>7</v>
      </c>
      <c r="U335" s="27" t="s">
        <v>8</v>
      </c>
      <c r="W335" s="27" t="s">
        <v>8</v>
      </c>
      <c r="X335" s="27" t="s">
        <v>7</v>
      </c>
      <c r="Y335" s="27" t="s">
        <v>8</v>
      </c>
      <c r="Z335" s="27" t="s">
        <v>7</v>
      </c>
      <c r="AA335" s="27" t="s">
        <v>8</v>
      </c>
      <c r="AF335" s="27" t="s">
        <v>7</v>
      </c>
    </row>
    <row r="336" spans="1:161" x14ac:dyDescent="0.25">
      <c r="A336" s="30">
        <v>9.2433051204773835E-3</v>
      </c>
      <c r="B336"/>
      <c r="C336"/>
      <c r="D336"/>
      <c r="E336"/>
      <c r="P336" s="27" t="s">
        <v>7</v>
      </c>
      <c r="R336" s="27" t="s">
        <v>7</v>
      </c>
      <c r="S336" s="27" t="s">
        <v>8</v>
      </c>
      <c r="T336" s="27" t="s">
        <v>7</v>
      </c>
      <c r="U336" s="27" t="s">
        <v>8</v>
      </c>
      <c r="V336" s="27" t="s">
        <v>7</v>
      </c>
      <c r="W336" s="27" t="s">
        <v>8</v>
      </c>
      <c r="X336" s="27" t="s">
        <v>7</v>
      </c>
      <c r="Z336" s="27" t="s">
        <v>7</v>
      </c>
    </row>
    <row r="337" spans="1:23" x14ac:dyDescent="0.25">
      <c r="A337" s="30">
        <v>8.8031477337879808E-3</v>
      </c>
      <c r="B337"/>
      <c r="C337"/>
      <c r="D337"/>
      <c r="E337"/>
      <c r="R337" s="27" t="s">
        <v>7</v>
      </c>
      <c r="S337" s="27" t="s">
        <v>8</v>
      </c>
      <c r="T337" s="27" t="s">
        <v>7</v>
      </c>
      <c r="U337" s="27" t="s">
        <v>8</v>
      </c>
      <c r="V337" s="27" t="s">
        <v>7</v>
      </c>
      <c r="W337" s="27" t="s">
        <v>8</v>
      </c>
    </row>
    <row r="338" spans="1:23" x14ac:dyDescent="0.25">
      <c r="A338" s="30">
        <v>8.3839502226552166E-3</v>
      </c>
      <c r="B338"/>
      <c r="C338"/>
      <c r="D338"/>
      <c r="E338"/>
      <c r="R338" s="27" t="s">
        <v>7</v>
      </c>
      <c r="T338" s="27" t="s">
        <v>7</v>
      </c>
      <c r="U338" s="27" t="s">
        <v>8</v>
      </c>
      <c r="V338" s="27" t="s">
        <v>7</v>
      </c>
    </row>
    <row r="339" spans="1:23" x14ac:dyDescent="0.25">
      <c r="A339" s="30">
        <v>7.9847144977668698E-3</v>
      </c>
      <c r="B339"/>
      <c r="C339"/>
      <c r="D339"/>
      <c r="E339"/>
      <c r="T339" s="27" t="s">
        <v>7</v>
      </c>
      <c r="U339" s="27" t="s">
        <v>8</v>
      </c>
    </row>
    <row r="340" spans="1:23" x14ac:dyDescent="0.25">
      <c r="A340" s="30">
        <v>7.6044899978732058E-3</v>
      </c>
      <c r="B340"/>
      <c r="C340"/>
      <c r="D340"/>
      <c r="E340"/>
      <c r="T340" s="27" t="s">
        <v>7</v>
      </c>
    </row>
    <row r="341" spans="1:23" x14ac:dyDescent="0.25">
      <c r="A341" s="30">
        <v>7.2423714265459072E-3</v>
      </c>
      <c r="B341"/>
      <c r="C341"/>
      <c r="D341"/>
      <c r="E341"/>
    </row>
    <row r="342" spans="1:23" x14ac:dyDescent="0.25">
      <c r="A342" s="30">
        <v>6.8974965967103846E-3</v>
      </c>
      <c r="B342"/>
      <c r="C342"/>
      <c r="D342"/>
      <c r="E342"/>
    </row>
    <row r="343" spans="1:23" x14ac:dyDescent="0.25">
      <c r="A343" s="30">
        <v>6.5690443778194116E-3</v>
      </c>
      <c r="B343"/>
      <c r="C343"/>
      <c r="D343"/>
      <c r="E343"/>
    </row>
    <row r="344" spans="1:23" x14ac:dyDescent="0.25">
      <c r="A344" s="30">
        <v>6.2562327407803897E-3</v>
      </c>
      <c r="B344"/>
      <c r="C344"/>
      <c r="D344"/>
      <c r="E344"/>
    </row>
    <row r="345" spans="1:23" x14ac:dyDescent="0.25">
      <c r="A345" s="30">
        <v>5.9583168959813212E-3</v>
      </c>
      <c r="B345"/>
      <c r="C345"/>
      <c r="D345"/>
      <c r="E345"/>
    </row>
    <row r="346" spans="1:23" x14ac:dyDescent="0.25">
      <c r="A346" s="30">
        <v>5.6745875199822084E-3</v>
      </c>
      <c r="B346"/>
      <c r="C346"/>
      <c r="D346"/>
      <c r="E346"/>
    </row>
    <row r="347" spans="1:23" x14ac:dyDescent="0.25">
      <c r="A347" s="30">
        <v>5.4043690666497205E-3</v>
      </c>
      <c r="B347"/>
      <c r="C347"/>
      <c r="D347"/>
      <c r="E347"/>
    </row>
    <row r="348" spans="1:23" x14ac:dyDescent="0.25">
      <c r="A348" s="30">
        <v>5.1470181587140174E-3</v>
      </c>
      <c r="B348"/>
      <c r="C348"/>
      <c r="D348"/>
      <c r="E348"/>
    </row>
    <row r="349" spans="1:23" x14ac:dyDescent="0.25">
      <c r="A349" s="30">
        <v>4.9019220559181099E-3</v>
      </c>
      <c r="B349"/>
      <c r="C349"/>
      <c r="D349"/>
      <c r="E349"/>
    </row>
    <row r="350" spans="1:23" x14ac:dyDescent="0.25">
      <c r="A350" s="30">
        <v>4.6684971961124836E-3</v>
      </c>
      <c r="B350"/>
      <c r="C350"/>
      <c r="D350"/>
      <c r="E350"/>
    </row>
    <row r="351" spans="1:23" x14ac:dyDescent="0.25">
      <c r="A351" s="30">
        <v>4.4461878058214112E-3</v>
      </c>
      <c r="B351"/>
      <c r="C351"/>
      <c r="D351"/>
      <c r="E351"/>
    </row>
    <row r="352" spans="1:23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39" operator="equal">
      <formula>$U$1</formula>
    </cfRule>
    <cfRule type="cellIs" dxfId="67" priority="940" operator="equal">
      <formula>$S$1</formula>
    </cfRule>
  </conditionalFormatting>
  <conditionalFormatting sqref="D136">
    <cfRule type="cellIs" dxfId="66" priority="937" operator="equal">
      <formula>$S$1</formula>
    </cfRule>
    <cfRule type="cellIs" dxfId="65" priority="938" operator="equal">
      <formula>$U$1</formula>
    </cfRule>
  </conditionalFormatting>
  <conditionalFormatting sqref="C162">
    <cfRule type="cellIs" dxfId="64" priority="935" operator="equal">
      <formula>$U$1</formula>
    </cfRule>
    <cfRule type="cellIs" dxfId="63" priority="936" operator="equal">
      <formula>$S$1</formula>
    </cfRule>
  </conditionalFormatting>
  <conditionalFormatting sqref="D162">
    <cfRule type="cellIs" dxfId="62" priority="933" operator="equal">
      <formula>$S$1</formula>
    </cfRule>
    <cfRule type="cellIs" dxfId="61" priority="934" operator="equal">
      <formula>$U$1</formula>
    </cfRule>
  </conditionalFormatting>
  <conditionalFormatting sqref="C187">
    <cfRule type="cellIs" dxfId="60" priority="931" operator="equal">
      <formula>$U$1</formula>
    </cfRule>
    <cfRule type="cellIs" dxfId="59" priority="932" operator="equal">
      <formula>$S$1</formula>
    </cfRule>
  </conditionalFormatting>
  <conditionalFormatting sqref="D187">
    <cfRule type="cellIs" dxfId="58" priority="929" operator="equal">
      <formula>$S$1</formula>
    </cfRule>
    <cfRule type="cellIs" dxfId="57" priority="930" operator="equal">
      <formula>$U$1</formula>
    </cfRule>
  </conditionalFormatting>
  <conditionalFormatting sqref="C212">
    <cfRule type="cellIs" dxfId="56" priority="927" operator="equal">
      <formula>$U$1</formula>
    </cfRule>
    <cfRule type="cellIs" dxfId="55" priority="928" operator="equal">
      <formula>$S$1</formula>
    </cfRule>
  </conditionalFormatting>
  <conditionalFormatting sqref="D212">
    <cfRule type="cellIs" dxfId="54" priority="925" operator="equal">
      <formula>$S$1</formula>
    </cfRule>
    <cfRule type="cellIs" dxfId="53" priority="926" operator="equal">
      <formula>$U$1</formula>
    </cfRule>
  </conditionalFormatting>
  <conditionalFormatting sqref="C237">
    <cfRule type="cellIs" dxfId="52" priority="923" operator="equal">
      <formula>$U$1</formula>
    </cfRule>
    <cfRule type="cellIs" dxfId="51" priority="924" operator="equal">
      <formula>$S$1</formula>
    </cfRule>
  </conditionalFormatting>
  <conditionalFormatting sqref="D237">
    <cfRule type="cellIs" dxfId="50" priority="921" operator="equal">
      <formula>$S$1</formula>
    </cfRule>
    <cfRule type="cellIs" dxfId="49" priority="922" operator="equal">
      <formula>$U$1</formula>
    </cfRule>
  </conditionalFormatting>
  <conditionalFormatting sqref="C106">
    <cfRule type="cellIs" dxfId="48" priority="919" operator="equal">
      <formula>$U$1</formula>
    </cfRule>
    <cfRule type="cellIs" dxfId="47" priority="920" operator="equal">
      <formula>$S$1</formula>
    </cfRule>
  </conditionalFormatting>
  <conditionalFormatting sqref="D106">
    <cfRule type="cellIs" dxfId="46" priority="917" operator="equal">
      <formula>$S$1</formula>
    </cfRule>
    <cfRule type="cellIs" dxfId="45" priority="918" operator="equal">
      <formula>$U$1</formula>
    </cfRule>
  </conditionalFormatting>
  <conditionalFormatting sqref="C81">
    <cfRule type="cellIs" dxfId="44" priority="915" operator="equal">
      <formula>$U$1</formula>
    </cfRule>
    <cfRule type="cellIs" dxfId="43" priority="916" operator="equal">
      <formula>$S$1</formula>
    </cfRule>
  </conditionalFormatting>
  <conditionalFormatting sqref="D81">
    <cfRule type="cellIs" dxfId="42" priority="913" operator="equal">
      <formula>$S$1</formula>
    </cfRule>
    <cfRule type="cellIs" dxfId="41" priority="914" operator="equal">
      <formula>$U$1</formula>
    </cfRule>
  </conditionalFormatting>
  <conditionalFormatting sqref="C56">
    <cfRule type="cellIs" dxfId="40" priority="911" operator="equal">
      <formula>$U$1</formula>
    </cfRule>
    <cfRule type="cellIs" dxfId="39" priority="912" operator="equal">
      <formula>$S$1</formula>
    </cfRule>
  </conditionalFormatting>
  <conditionalFormatting sqref="D56">
    <cfRule type="cellIs" dxfId="38" priority="909" operator="equal">
      <formula>$S$1</formula>
    </cfRule>
    <cfRule type="cellIs" dxfId="37" priority="910" operator="equal">
      <formula>$U$1</formula>
    </cfRule>
  </conditionalFormatting>
  <conditionalFormatting sqref="C31">
    <cfRule type="cellIs" dxfId="36" priority="907" operator="equal">
      <formula>$U$1</formula>
    </cfRule>
    <cfRule type="cellIs" dxfId="35" priority="908" operator="equal">
      <formula>$S$1</formula>
    </cfRule>
  </conditionalFormatting>
  <conditionalFormatting sqref="D31">
    <cfRule type="cellIs" dxfId="34" priority="905" operator="equal">
      <formula>$S$1</formula>
    </cfRule>
    <cfRule type="cellIs" dxfId="33" priority="90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X164" sqref="AX16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$A$163</v>
      </c>
      <c r="D111" s="1" t="str">
        <f>ADDRESS(C121-1,D121,1,1)</f>
        <v>$AX$163</v>
      </c>
      <c r="E111"/>
    </row>
    <row r="112" spans="1:5" x14ac:dyDescent="0.25">
      <c r="A112" s="30">
        <v>2.3579476910000019</v>
      </c>
      <c r="C112" s="1" t="str">
        <f>ADDRESS(C121,1,1,1)</f>
        <v>$A$164</v>
      </c>
      <c r="D112" s="1" t="str">
        <f>ADDRESS(C121,D121-1,1,1)</f>
        <v>$AW$164</v>
      </c>
      <c r="E112"/>
    </row>
    <row r="113" spans="1:6" x14ac:dyDescent="0.25">
      <c r="A113" s="30">
        <v>2.1435888100000016</v>
      </c>
      <c r="C113" s="1" t="str">
        <f>ADDRESS(C121+1,1,1,1)</f>
        <v>$A$165</v>
      </c>
      <c r="D113" s="1" t="str">
        <f>ADDRESS(C121-1,D121+1,1,1)</f>
        <v>$AY$163</v>
      </c>
    </row>
    <row r="114" spans="1:6" x14ac:dyDescent="0.25">
      <c r="A114" s="30">
        <v>1.9487171000000014</v>
      </c>
      <c r="C114" s="1" t="str">
        <f>ADDRESS(C121,D121,1,1)</f>
        <v>$AX$164</v>
      </c>
      <c r="D114" s="1" t="str">
        <f>ADDRESS(C121+1,D121+1,1,1)</f>
        <v>$AY$165</v>
      </c>
    </row>
    <row r="115" spans="1:6" x14ac:dyDescent="0.25">
      <c r="A115" s="30">
        <v>1.7715610000000011</v>
      </c>
      <c r="C115" s="1" t="str">
        <f>ADDRESS(C121+1,D121,1,1)</f>
        <v>$AX$165</v>
      </c>
    </row>
    <row r="116" spans="1:6" x14ac:dyDescent="0.25">
      <c r="A116" s="30">
        <v>1.6105100000000008</v>
      </c>
      <c r="C116" s="1">
        <f>C117-1</f>
        <v>163</v>
      </c>
    </row>
    <row r="117" spans="1:6" x14ac:dyDescent="0.25">
      <c r="A117" s="30">
        <v>1.4641000000000006</v>
      </c>
      <c r="C117" s="1">
        <f>C121</f>
        <v>164</v>
      </c>
      <c r="D117" s="1">
        <f>D121</f>
        <v>50</v>
      </c>
    </row>
    <row r="118" spans="1:6" x14ac:dyDescent="0.25">
      <c r="A118" s="30">
        <v>1.3310000000000004</v>
      </c>
      <c r="C118" s="1">
        <f>C117+1</f>
        <v>165</v>
      </c>
      <c r="D118" s="1">
        <f>D117+1</f>
        <v>51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164</v>
      </c>
      <c r="D121" s="19">
        <v>50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R164</v>
      </c>
      <c r="D123" s="1" t="str">
        <f>"C"&amp;D121</f>
        <v>C50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1.6600246545589663E-2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29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29" x14ac:dyDescent="0.25">
      <c r="A130" s="30">
        <v>0.42409761837248428</v>
      </c>
      <c r="C130" s="6"/>
      <c r="D130" s="6"/>
      <c r="E130"/>
      <c r="F130" s="27" t="s">
        <v>7</v>
      </c>
    </row>
    <row r="131" spans="1:29" x14ac:dyDescent="0.25">
      <c r="A131" s="30">
        <v>0.38554328942953109</v>
      </c>
      <c r="E131"/>
      <c r="F131" s="27" t="s">
        <v>7</v>
      </c>
    </row>
    <row r="132" spans="1:29" x14ac:dyDescent="0.25">
      <c r="A132" s="30">
        <v>0.35049389948139187</v>
      </c>
      <c r="C132" s="1" t="s">
        <v>13</v>
      </c>
      <c r="E132"/>
      <c r="F132" s="27" t="s">
        <v>7</v>
      </c>
    </row>
    <row r="133" spans="1:29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29" x14ac:dyDescent="0.25">
      <c r="A134" s="30">
        <v>0.28966437973668741</v>
      </c>
      <c r="C134"/>
      <c r="D134"/>
      <c r="E134"/>
      <c r="F134" s="27" t="s">
        <v>7</v>
      </c>
    </row>
    <row r="135" spans="1:29" x14ac:dyDescent="0.25">
      <c r="A135" s="30">
        <v>0.2633312543060794</v>
      </c>
      <c r="C135" s="1" t="s">
        <v>14</v>
      </c>
      <c r="E135"/>
      <c r="F135" s="27" t="s">
        <v>7</v>
      </c>
    </row>
    <row r="136" spans="1:29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29" x14ac:dyDescent="0.25">
      <c r="A137" s="30">
        <v>0.2176291357901482</v>
      </c>
      <c r="E137"/>
      <c r="F137" s="27" t="s">
        <v>7</v>
      </c>
    </row>
    <row r="138" spans="1:29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29" x14ac:dyDescent="0.25">
      <c r="A139" s="30">
        <v>0.17985878990921333</v>
      </c>
      <c r="E139"/>
      <c r="F139" s="27" t="s">
        <v>7</v>
      </c>
    </row>
    <row r="140" spans="1:29" x14ac:dyDescent="0.25">
      <c r="A140" s="30">
        <v>0.16350799082655756</v>
      </c>
      <c r="C140" s="1">
        <v>0</v>
      </c>
      <c r="E140"/>
      <c r="F140" s="27" t="s">
        <v>7</v>
      </c>
    </row>
    <row r="141" spans="1:29" x14ac:dyDescent="0.25">
      <c r="A141" s="30">
        <v>0.14864362802414322</v>
      </c>
      <c r="C141" s="1">
        <v>1</v>
      </c>
      <c r="E141"/>
      <c r="F141" s="27" t="s">
        <v>7</v>
      </c>
    </row>
    <row r="142" spans="1:29" x14ac:dyDescent="0.25">
      <c r="A142" s="30">
        <v>0.13513057093103928</v>
      </c>
      <c r="C142" s="1">
        <v>2</v>
      </c>
      <c r="E142"/>
      <c r="F142" s="27" t="s">
        <v>7</v>
      </c>
    </row>
    <row r="143" spans="1:29" x14ac:dyDescent="0.25">
      <c r="A143" s="30">
        <v>0.12284597357367205</v>
      </c>
      <c r="C143" s="1">
        <v>3</v>
      </c>
      <c r="E143"/>
      <c r="F143" s="27" t="s">
        <v>7</v>
      </c>
    </row>
    <row r="144" spans="1:29" x14ac:dyDescent="0.25">
      <c r="A144" s="30">
        <v>0.11167815779424731</v>
      </c>
      <c r="C144" s="1">
        <v>4</v>
      </c>
      <c r="E144"/>
      <c r="F144" s="27" t="s">
        <v>7</v>
      </c>
      <c r="AC144" s="27" t="s">
        <v>8</v>
      </c>
    </row>
    <row r="145" spans="1:50" x14ac:dyDescent="0.25">
      <c r="A145" s="30">
        <v>0.10152559799477026</v>
      </c>
      <c r="B145"/>
      <c r="C145"/>
      <c r="D145"/>
      <c r="E145"/>
      <c r="F145" s="27" t="s">
        <v>7</v>
      </c>
      <c r="AC145" s="27" t="s">
        <v>8</v>
      </c>
      <c r="AD145" s="27" t="s">
        <v>7</v>
      </c>
      <c r="AE145" s="27" t="s">
        <v>8</v>
      </c>
    </row>
    <row r="146" spans="1:50" x14ac:dyDescent="0.25">
      <c r="A146" s="30">
        <v>9.2295998177063854E-2</v>
      </c>
      <c r="B146"/>
      <c r="C146"/>
      <c r="D146"/>
      <c r="E146"/>
      <c r="F146" s="27" t="s">
        <v>7</v>
      </c>
      <c r="AA146" s="27" t="s">
        <v>8</v>
      </c>
      <c r="AC146" s="27" t="s">
        <v>8</v>
      </c>
      <c r="AD146" s="27" t="s">
        <v>7</v>
      </c>
      <c r="AE146" s="27" t="s">
        <v>8</v>
      </c>
      <c r="AF146" s="27" t="s">
        <v>7</v>
      </c>
      <c r="AG146" s="27" t="s">
        <v>8</v>
      </c>
    </row>
    <row r="147" spans="1:50" x14ac:dyDescent="0.25">
      <c r="A147" s="30">
        <v>8.3905452888239848E-2</v>
      </c>
      <c r="B147"/>
      <c r="C147"/>
      <c r="D147"/>
      <c r="E147"/>
      <c r="F147" s="27" t="s">
        <v>7</v>
      </c>
      <c r="AA147" s="27" t="s">
        <v>8</v>
      </c>
      <c r="AB147" s="27" t="s">
        <v>7</v>
      </c>
      <c r="AC147" s="27" t="s">
        <v>8</v>
      </c>
      <c r="AD147" s="27" t="s">
        <v>7</v>
      </c>
      <c r="AE147" s="27" t="s">
        <v>8</v>
      </c>
      <c r="AF147" s="27" t="s">
        <v>7</v>
      </c>
      <c r="AG147" s="27" t="s">
        <v>8</v>
      </c>
      <c r="AH147" s="27" t="s">
        <v>7</v>
      </c>
    </row>
    <row r="148" spans="1:50" x14ac:dyDescent="0.25">
      <c r="A148" s="30">
        <v>7.6277684443854396E-2</v>
      </c>
      <c r="B148"/>
      <c r="C148"/>
      <c r="D148"/>
      <c r="E148"/>
      <c r="F148" s="27" t="s">
        <v>7</v>
      </c>
      <c r="W148" s="27" t="s">
        <v>8</v>
      </c>
      <c r="AA148" s="27" t="s">
        <v>8</v>
      </c>
      <c r="AB148" s="27" t="s">
        <v>7</v>
      </c>
      <c r="AC148" s="27" t="s">
        <v>8</v>
      </c>
      <c r="AD148" s="27" t="s">
        <v>7</v>
      </c>
      <c r="AF148" s="27" t="s">
        <v>7</v>
      </c>
      <c r="AG148" s="27" t="s">
        <v>8</v>
      </c>
      <c r="AH148" s="27" t="s">
        <v>7</v>
      </c>
    </row>
    <row r="149" spans="1:50" x14ac:dyDescent="0.25">
      <c r="A149" s="30">
        <v>6.9343349494413078E-2</v>
      </c>
      <c r="B149"/>
      <c r="C149"/>
      <c r="D149"/>
      <c r="E149"/>
      <c r="F149" s="27" t="s">
        <v>7</v>
      </c>
      <c r="W149" s="27" t="s">
        <v>8</v>
      </c>
      <c r="X149" s="27" t="s">
        <v>7</v>
      </c>
      <c r="AA149" s="27" t="s">
        <v>8</v>
      </c>
      <c r="AB149" s="27" t="s">
        <v>7</v>
      </c>
      <c r="AF149" s="27" t="s">
        <v>7</v>
      </c>
      <c r="AH149" s="27" t="s">
        <v>7</v>
      </c>
    </row>
    <row r="150" spans="1:50" x14ac:dyDescent="0.25">
      <c r="A150" s="30">
        <v>6.3039408631284613E-2</v>
      </c>
      <c r="B150"/>
      <c r="C150"/>
      <c r="D150"/>
      <c r="E150"/>
      <c r="F150" s="27" t="s">
        <v>7</v>
      </c>
      <c r="W150" s="27" t="s">
        <v>8</v>
      </c>
      <c r="X150" s="27" t="s">
        <v>7</v>
      </c>
      <c r="Y150" s="27" t="s">
        <v>8</v>
      </c>
      <c r="AA150" s="27" t="s">
        <v>8</v>
      </c>
      <c r="AH150" s="27" t="s">
        <v>7</v>
      </c>
    </row>
    <row r="151" spans="1:50" x14ac:dyDescent="0.25">
      <c r="A151" s="30">
        <v>5.7308553301167818E-2</v>
      </c>
      <c r="B151"/>
      <c r="C151"/>
      <c r="D151"/>
      <c r="E151"/>
      <c r="F151" s="27" t="s">
        <v>7</v>
      </c>
      <c r="W151" s="27" t="s">
        <v>8</v>
      </c>
      <c r="X151" s="27" t="s">
        <v>7</v>
      </c>
      <c r="Y151" s="27" t="s">
        <v>8</v>
      </c>
      <c r="Z151" s="27" t="s">
        <v>7</v>
      </c>
      <c r="AA151" s="27" t="s">
        <v>8</v>
      </c>
      <c r="AH151" s="27" t="s">
        <v>7</v>
      </c>
      <c r="AQ151" s="27" t="s">
        <v>8</v>
      </c>
      <c r="AU151" s="27" t="s">
        <v>8</v>
      </c>
    </row>
    <row r="152" spans="1:50" x14ac:dyDescent="0.25">
      <c r="A152" s="30">
        <v>5.2098684819243464E-2</v>
      </c>
      <c r="B152"/>
      <c r="C152"/>
      <c r="D152"/>
      <c r="E152"/>
      <c r="F152" s="27" t="s">
        <v>7</v>
      </c>
      <c r="W152" s="27" t="s">
        <v>8</v>
      </c>
      <c r="X152" s="27" t="s">
        <v>7</v>
      </c>
      <c r="Y152" s="27" t="s">
        <v>8</v>
      </c>
      <c r="Z152" s="27" t="s">
        <v>7</v>
      </c>
      <c r="AA152" s="27" t="s">
        <v>8</v>
      </c>
      <c r="AH152" s="27" t="s">
        <v>7</v>
      </c>
      <c r="AQ152" s="27" t="s">
        <v>8</v>
      </c>
      <c r="AR152" s="27" t="s">
        <v>7</v>
      </c>
      <c r="AU152" s="27" t="s">
        <v>8</v>
      </c>
      <c r="AV152" s="27" t="s">
        <v>7</v>
      </c>
    </row>
    <row r="153" spans="1:50" x14ac:dyDescent="0.25">
      <c r="A153" s="30">
        <v>4.7362440744766775E-2</v>
      </c>
      <c r="B153"/>
      <c r="C153"/>
      <c r="D153"/>
      <c r="E153"/>
      <c r="F153" s="27" t="s">
        <v>7</v>
      </c>
      <c r="S153" s="27" t="s">
        <v>8</v>
      </c>
      <c r="U153" s="27" t="s">
        <v>8</v>
      </c>
      <c r="W153" s="27" t="s">
        <v>8</v>
      </c>
      <c r="X153" s="27" t="s">
        <v>7</v>
      </c>
      <c r="Z153" s="27" t="s">
        <v>7</v>
      </c>
      <c r="AA153" s="27" t="s">
        <v>8</v>
      </c>
      <c r="AH153" s="27" t="s">
        <v>7</v>
      </c>
      <c r="AI153" s="27" t="s">
        <v>8</v>
      </c>
      <c r="AQ153" s="27" t="s">
        <v>8</v>
      </c>
      <c r="AR153" s="27" t="s">
        <v>7</v>
      </c>
      <c r="AS153" s="27" t="s">
        <v>8</v>
      </c>
      <c r="AU153" s="27" t="s">
        <v>8</v>
      </c>
      <c r="AV153" s="27" t="s">
        <v>7</v>
      </c>
    </row>
    <row r="154" spans="1:50" x14ac:dyDescent="0.25">
      <c r="A154" s="30">
        <v>4.3056764313424332E-2</v>
      </c>
      <c r="B154"/>
      <c r="C154"/>
      <c r="D154"/>
      <c r="E154"/>
      <c r="F154" s="27" t="s">
        <v>7</v>
      </c>
      <c r="S154" s="27" t="s">
        <v>8</v>
      </c>
      <c r="T154" s="27" t="s">
        <v>7</v>
      </c>
      <c r="U154" s="27" t="s">
        <v>8</v>
      </c>
      <c r="V154" s="27" t="s">
        <v>7</v>
      </c>
      <c r="W154" s="27" t="s">
        <v>8</v>
      </c>
      <c r="Z154" s="27" t="s">
        <v>7</v>
      </c>
      <c r="AA154" s="27" t="s">
        <v>8</v>
      </c>
      <c r="AH154" s="27" t="s">
        <v>7</v>
      </c>
      <c r="AI154" s="27" t="s">
        <v>8</v>
      </c>
      <c r="AJ154" s="27" t="s">
        <v>7</v>
      </c>
      <c r="AK154" s="27" t="s">
        <v>8</v>
      </c>
      <c r="AQ154" s="27" t="s">
        <v>8</v>
      </c>
      <c r="AR154" s="27" t="s">
        <v>7</v>
      </c>
      <c r="AS154" s="27" t="s">
        <v>8</v>
      </c>
      <c r="AT154" s="27" t="s">
        <v>7</v>
      </c>
      <c r="AU154" s="27" t="s">
        <v>8</v>
      </c>
      <c r="AV154" s="27" t="s">
        <v>7</v>
      </c>
    </row>
    <row r="155" spans="1:50" x14ac:dyDescent="0.25">
      <c r="A155" s="30">
        <v>3.9142513012203929E-2</v>
      </c>
      <c r="B155"/>
      <c r="C155"/>
      <c r="D155"/>
      <c r="E155"/>
      <c r="F155" s="27" t="s">
        <v>7</v>
      </c>
      <c r="S155" s="27" t="s">
        <v>8</v>
      </c>
      <c r="T155" s="27" t="s">
        <v>7</v>
      </c>
      <c r="U155" s="27" t="s">
        <v>8</v>
      </c>
      <c r="V155" s="27" t="s">
        <v>7</v>
      </c>
      <c r="W155" s="27" t="s">
        <v>8</v>
      </c>
      <c r="Z155" s="27" t="s">
        <v>7</v>
      </c>
      <c r="AA155" s="27" t="s">
        <v>8</v>
      </c>
      <c r="AH155" s="27" t="s">
        <v>7</v>
      </c>
      <c r="AI155" s="27" t="s">
        <v>8</v>
      </c>
      <c r="AJ155" s="27" t="s">
        <v>7</v>
      </c>
      <c r="AK155" s="27" t="s">
        <v>8</v>
      </c>
      <c r="AL155" s="27" t="s">
        <v>7</v>
      </c>
      <c r="AM155" s="27" t="s">
        <v>8</v>
      </c>
      <c r="AQ155" s="27" t="s">
        <v>8</v>
      </c>
      <c r="AR155" s="27" t="s">
        <v>7</v>
      </c>
      <c r="AS155" s="27" t="s">
        <v>8</v>
      </c>
      <c r="AT155" s="27" t="s">
        <v>7</v>
      </c>
      <c r="AU155" s="27" t="s">
        <v>8</v>
      </c>
      <c r="AV155" s="27" t="s">
        <v>7</v>
      </c>
      <c r="AW155" s="27" t="s">
        <v>8</v>
      </c>
    </row>
    <row r="156" spans="1:50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  <c r="Q156" s="27" t="s">
        <v>8</v>
      </c>
      <c r="S156" s="27" t="s">
        <v>8</v>
      </c>
      <c r="T156" s="27" t="s">
        <v>7</v>
      </c>
      <c r="U156" s="27" t="s">
        <v>8</v>
      </c>
      <c r="V156" s="27" t="s">
        <v>7</v>
      </c>
      <c r="W156" s="27" t="s">
        <v>8</v>
      </c>
      <c r="Z156" s="27" t="s">
        <v>7</v>
      </c>
      <c r="AH156" s="27" t="s">
        <v>7</v>
      </c>
      <c r="AI156" s="27" t="s">
        <v>8</v>
      </c>
      <c r="AJ156" s="27" t="s">
        <v>7</v>
      </c>
      <c r="AK156" s="27" t="s">
        <v>8</v>
      </c>
      <c r="AL156" s="27" t="s">
        <v>7</v>
      </c>
      <c r="AM156" s="27" t="s">
        <v>8</v>
      </c>
      <c r="AN156" s="27" t="s">
        <v>7</v>
      </c>
      <c r="AQ156" s="27" t="s">
        <v>8</v>
      </c>
      <c r="AR156" s="27" t="s">
        <v>7</v>
      </c>
      <c r="AS156" s="27" t="s">
        <v>8</v>
      </c>
      <c r="AT156" s="27" t="s">
        <v>7</v>
      </c>
      <c r="AU156" s="27" t="s">
        <v>8</v>
      </c>
      <c r="AV156" s="27" t="s">
        <v>7</v>
      </c>
      <c r="AW156" s="27" t="s">
        <v>8</v>
      </c>
      <c r="AX156" s="27" t="s">
        <v>7</v>
      </c>
    </row>
    <row r="157" spans="1:50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H157" s="27" t="s">
        <v>7</v>
      </c>
      <c r="Q157" s="27" t="s">
        <v>8</v>
      </c>
      <c r="R157" s="27" t="s">
        <v>7</v>
      </c>
      <c r="S157" s="27" t="s">
        <v>8</v>
      </c>
      <c r="T157" s="27" t="s">
        <v>7</v>
      </c>
      <c r="V157" s="27" t="s">
        <v>7</v>
      </c>
      <c r="AH157" s="27" t="s">
        <v>7</v>
      </c>
      <c r="AI157" s="27" t="s">
        <v>8</v>
      </c>
      <c r="AJ157" s="27" t="s">
        <v>7</v>
      </c>
      <c r="AK157" s="27" t="s">
        <v>8</v>
      </c>
      <c r="AL157" s="27" t="s">
        <v>7</v>
      </c>
      <c r="AM157" s="27" t="s">
        <v>8</v>
      </c>
      <c r="AN157" s="27" t="s">
        <v>7</v>
      </c>
      <c r="AQ157" s="27" t="s">
        <v>8</v>
      </c>
      <c r="AR157" s="27" t="s">
        <v>7</v>
      </c>
      <c r="AS157" s="27" t="s">
        <v>8</v>
      </c>
      <c r="AT157" s="27" t="s">
        <v>7</v>
      </c>
      <c r="AV157" s="27" t="s">
        <v>7</v>
      </c>
      <c r="AW157" s="27" t="s">
        <v>8</v>
      </c>
      <c r="AX157" s="27" t="s">
        <v>7</v>
      </c>
    </row>
    <row r="158" spans="1:50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H158" s="27" t="s">
        <v>7</v>
      </c>
      <c r="Q158" s="27" t="s">
        <v>8</v>
      </c>
      <c r="R158" s="27" t="s">
        <v>7</v>
      </c>
      <c r="S158" s="27" t="s">
        <v>8</v>
      </c>
      <c r="AH158" s="27" t="s">
        <v>7</v>
      </c>
      <c r="AI158" s="27" t="s">
        <v>8</v>
      </c>
      <c r="AJ158" s="27" t="s">
        <v>7</v>
      </c>
      <c r="AK158" s="27" t="s">
        <v>8</v>
      </c>
      <c r="AL158" s="27" t="s">
        <v>7</v>
      </c>
      <c r="AN158" s="27" t="s">
        <v>7</v>
      </c>
      <c r="AQ158" s="27" t="s">
        <v>8</v>
      </c>
      <c r="AR158" s="27" t="s">
        <v>7</v>
      </c>
      <c r="AV158" s="27" t="s">
        <v>7</v>
      </c>
      <c r="AX158" s="27" t="s">
        <v>7</v>
      </c>
    </row>
    <row r="159" spans="1:50" x14ac:dyDescent="0.25">
      <c r="A159" s="30">
        <v>2.6734863064137627E-2</v>
      </c>
      <c r="B159"/>
      <c r="C159"/>
      <c r="D159"/>
      <c r="E159"/>
      <c r="F159" s="27" t="s">
        <v>7</v>
      </c>
      <c r="G159" s="27" t="s">
        <v>8</v>
      </c>
      <c r="H159" s="27" t="s">
        <v>7</v>
      </c>
      <c r="Q159" s="27" t="s">
        <v>8</v>
      </c>
      <c r="R159" s="27" t="s">
        <v>7</v>
      </c>
      <c r="AH159" s="27" t="s">
        <v>7</v>
      </c>
      <c r="AI159" s="27" t="s">
        <v>8</v>
      </c>
      <c r="AJ159" s="27" t="s">
        <v>7</v>
      </c>
      <c r="AK159" s="27" t="s">
        <v>8</v>
      </c>
      <c r="AN159" s="27" t="s">
        <v>7</v>
      </c>
      <c r="AO159" s="27" t="s">
        <v>8</v>
      </c>
      <c r="AQ159" s="27" t="s">
        <v>8</v>
      </c>
      <c r="AX159" s="27" t="s">
        <v>7</v>
      </c>
    </row>
    <row r="160" spans="1:50" x14ac:dyDescent="0.25">
      <c r="A160" s="30">
        <v>2.4304420967397839E-2</v>
      </c>
      <c r="B160"/>
      <c r="C160"/>
      <c r="D160"/>
      <c r="E160"/>
      <c r="F160" s="27" t="s">
        <v>7</v>
      </c>
      <c r="H160" s="27" t="s">
        <v>7</v>
      </c>
      <c r="M160" s="27" t="s">
        <v>8</v>
      </c>
      <c r="Q160" s="27" t="s">
        <v>8</v>
      </c>
      <c r="AH160" s="27" t="s">
        <v>7</v>
      </c>
      <c r="AI160" s="27" t="s">
        <v>8</v>
      </c>
      <c r="AJ160" s="27" t="s">
        <v>7</v>
      </c>
      <c r="AN160" s="27" t="s">
        <v>7</v>
      </c>
      <c r="AO160" s="27" t="s">
        <v>8</v>
      </c>
      <c r="AP160" s="27" t="s">
        <v>7</v>
      </c>
      <c r="AQ160" s="27" t="s">
        <v>8</v>
      </c>
      <c r="AX160" s="27" t="s">
        <v>7</v>
      </c>
    </row>
    <row r="161" spans="1:50" x14ac:dyDescent="0.25">
      <c r="A161" s="30">
        <v>2.2094928152179852E-2</v>
      </c>
      <c r="B161"/>
      <c r="C161"/>
      <c r="D161"/>
      <c r="E161"/>
      <c r="H161" s="27" t="s">
        <v>7</v>
      </c>
      <c r="M161" s="27" t="s">
        <v>8</v>
      </c>
      <c r="N161" s="27" t="s">
        <v>7</v>
      </c>
      <c r="O161" s="27" t="s">
        <v>8</v>
      </c>
      <c r="Q161" s="27" t="s">
        <v>8</v>
      </c>
      <c r="AH161" s="27" t="s">
        <v>7</v>
      </c>
      <c r="AN161" s="27" t="s">
        <v>7</v>
      </c>
      <c r="AO161" s="27" t="s">
        <v>8</v>
      </c>
      <c r="AP161" s="27" t="s">
        <v>7</v>
      </c>
      <c r="AQ161" s="27" t="s">
        <v>8</v>
      </c>
      <c r="AX161" s="27" t="s">
        <v>7</v>
      </c>
    </row>
    <row r="162" spans="1:50" x14ac:dyDescent="0.25">
      <c r="A162" s="30">
        <v>2.0086298320163499E-2</v>
      </c>
      <c r="B162"/>
      <c r="C162"/>
      <c r="D162"/>
      <c r="E162"/>
      <c r="H162" s="27" t="s">
        <v>7</v>
      </c>
      <c r="M162" s="27" t="s">
        <v>8</v>
      </c>
      <c r="N162" s="27" t="s">
        <v>7</v>
      </c>
      <c r="O162" s="27" t="s">
        <v>8</v>
      </c>
      <c r="P162" s="27" t="s">
        <v>7</v>
      </c>
      <c r="Q162" s="27" t="s">
        <v>8</v>
      </c>
      <c r="AN162" s="27" t="s">
        <v>7</v>
      </c>
      <c r="AP162" s="27" t="s">
        <v>7</v>
      </c>
      <c r="AQ162" s="27" t="s">
        <v>8</v>
      </c>
      <c r="AX162" s="27" t="s">
        <v>7</v>
      </c>
    </row>
    <row r="163" spans="1:50" x14ac:dyDescent="0.25">
      <c r="A163" s="30">
        <v>1.8260271200148632E-2</v>
      </c>
      <c r="B163"/>
      <c r="C163"/>
      <c r="D163"/>
      <c r="E163"/>
      <c r="H163" s="27" t="s">
        <v>7</v>
      </c>
      <c r="M163" s="27" t="s">
        <v>8</v>
      </c>
      <c r="N163" s="27" t="s">
        <v>7</v>
      </c>
      <c r="O163" s="27" t="s">
        <v>8</v>
      </c>
      <c r="P163" s="27" t="s">
        <v>7</v>
      </c>
      <c r="Q163" s="27" t="s">
        <v>8</v>
      </c>
      <c r="AP163" s="18" t="s">
        <v>7</v>
      </c>
      <c r="AQ163" s="27" t="s">
        <v>8</v>
      </c>
      <c r="AX163" s="27" t="s">
        <v>7</v>
      </c>
    </row>
    <row r="164" spans="1:50" x14ac:dyDescent="0.25">
      <c r="A164" s="30">
        <v>1.6600246545589663E-2</v>
      </c>
      <c r="B164"/>
      <c r="C164"/>
      <c r="D164"/>
      <c r="E164"/>
      <c r="H164" s="27" t="s">
        <v>7</v>
      </c>
      <c r="K164" s="27" t="s">
        <v>8</v>
      </c>
      <c r="M164" s="27" t="s">
        <v>8</v>
      </c>
      <c r="N164" s="27" t="s">
        <v>7</v>
      </c>
      <c r="P164" s="27" t="s">
        <v>7</v>
      </c>
      <c r="Q164" s="27" t="s">
        <v>8</v>
      </c>
      <c r="AP164" s="27" t="s">
        <v>7</v>
      </c>
      <c r="AX164" s="27" t="s">
        <v>7</v>
      </c>
    </row>
    <row r="165" spans="1:50" x14ac:dyDescent="0.25">
      <c r="A165" s="30">
        <v>1.5091133223263328E-2</v>
      </c>
      <c r="B165"/>
      <c r="C165"/>
      <c r="D165"/>
      <c r="E165"/>
      <c r="H165" s="27" t="s">
        <v>7</v>
      </c>
      <c r="K165" s="27" t="s">
        <v>8</v>
      </c>
      <c r="L165" s="27" t="s">
        <v>7</v>
      </c>
      <c r="M165" s="27" t="s">
        <v>8</v>
      </c>
      <c r="P165" s="27" t="s">
        <v>7</v>
      </c>
    </row>
    <row r="166" spans="1:50" x14ac:dyDescent="0.25">
      <c r="A166" s="30">
        <v>1.3719212021148477E-2</v>
      </c>
      <c r="B166"/>
      <c r="C166"/>
      <c r="D166"/>
      <c r="E166"/>
      <c r="H166" s="27" t="s">
        <v>7</v>
      </c>
      <c r="K166" s="27" t="s">
        <v>8</v>
      </c>
      <c r="L166" s="27" t="s">
        <v>7</v>
      </c>
      <c r="M166" s="27" t="s">
        <v>8</v>
      </c>
    </row>
    <row r="167" spans="1:50" x14ac:dyDescent="0.25">
      <c r="A167" s="30">
        <v>1.2472010928316795E-2</v>
      </c>
      <c r="B167"/>
      <c r="C167"/>
      <c r="D167"/>
      <c r="E167"/>
      <c r="H167" s="27" t="s">
        <v>7</v>
      </c>
      <c r="I167" s="27" t="s">
        <v>8</v>
      </c>
      <c r="K167" s="27" t="s">
        <v>8</v>
      </c>
      <c r="L167" s="27" t="s">
        <v>7</v>
      </c>
      <c r="M167" s="27" t="s">
        <v>8</v>
      </c>
    </row>
    <row r="168" spans="1:50" x14ac:dyDescent="0.25">
      <c r="A168" s="30">
        <v>1.1338191753015267E-2</v>
      </c>
      <c r="B168"/>
      <c r="C168"/>
      <c r="D168"/>
      <c r="E168"/>
      <c r="H168" s="27" t="s">
        <v>7</v>
      </c>
      <c r="I168" s="27" t="s">
        <v>8</v>
      </c>
      <c r="J168" s="27" t="s">
        <v>7</v>
      </c>
      <c r="K168" s="27" t="s">
        <v>8</v>
      </c>
      <c r="L168" s="27" t="s">
        <v>7</v>
      </c>
      <c r="M168" s="27" t="s">
        <v>8</v>
      </c>
    </row>
    <row r="169" spans="1:50" x14ac:dyDescent="0.25">
      <c r="A169" s="30">
        <v>1.0307447048195697E-2</v>
      </c>
      <c r="B169"/>
      <c r="C169"/>
      <c r="D169"/>
      <c r="E169"/>
      <c r="H169" s="27" t="s">
        <v>7</v>
      </c>
      <c r="I169" s="27" t="s">
        <v>8</v>
      </c>
      <c r="J169" s="27" t="s">
        <v>7</v>
      </c>
      <c r="K169" s="27" t="s">
        <v>8</v>
      </c>
      <c r="L169" s="27" t="s">
        <v>7</v>
      </c>
    </row>
    <row r="170" spans="1:50" x14ac:dyDescent="0.25">
      <c r="A170" s="30">
        <v>9.3704064074506318E-3</v>
      </c>
      <c r="B170"/>
      <c r="C170"/>
      <c r="D170"/>
      <c r="E170"/>
      <c r="H170" s="27" t="s">
        <v>7</v>
      </c>
      <c r="I170" s="27" t="s">
        <v>8</v>
      </c>
      <c r="J170" s="27" t="s">
        <v>7</v>
      </c>
    </row>
    <row r="171" spans="1:50" x14ac:dyDescent="0.25">
      <c r="A171" s="30">
        <v>8.5185512795005747E-3</v>
      </c>
      <c r="H171" s="27" t="s">
        <v>7</v>
      </c>
      <c r="I171" s="27" t="s">
        <v>8</v>
      </c>
    </row>
    <row r="172" spans="1:50" x14ac:dyDescent="0.25">
      <c r="A172" s="30">
        <v>7.744137526818704E-3</v>
      </c>
      <c r="H172" s="27" t="s">
        <v>7</v>
      </c>
    </row>
    <row r="173" spans="1:50" x14ac:dyDescent="0.25">
      <c r="A173" s="30">
        <v>7.0401250243806394E-3</v>
      </c>
    </row>
    <row r="174" spans="1:50" x14ac:dyDescent="0.25">
      <c r="A174" s="30">
        <v>6.4001136585278536E-3</v>
      </c>
    </row>
    <row r="175" spans="1:50" x14ac:dyDescent="0.25">
      <c r="A175" s="30">
        <v>5.8182851441162305E-3</v>
      </c>
    </row>
    <row r="176" spans="1:50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23" operator="equal">
      <formula>$U$1</formula>
    </cfRule>
    <cfRule type="cellIs" dxfId="30" priority="924" operator="equal">
      <formula>$S$1</formula>
    </cfRule>
  </conditionalFormatting>
  <conditionalFormatting sqref="D136">
    <cfRule type="cellIs" dxfId="29" priority="921" operator="equal">
      <formula>$S$1</formula>
    </cfRule>
    <cfRule type="cellIs" dxfId="28" priority="922" operator="equal">
      <formula>$U$1</formula>
    </cfRule>
  </conditionalFormatting>
  <conditionalFormatting sqref="C102">
    <cfRule type="cellIs" dxfId="27" priority="919" operator="equal">
      <formula>$U$1</formula>
    </cfRule>
    <cfRule type="cellIs" dxfId="26" priority="920" operator="equal">
      <formula>$S$1</formula>
    </cfRule>
  </conditionalFormatting>
  <conditionalFormatting sqref="D102">
    <cfRule type="cellIs" dxfId="25" priority="917" operator="equal">
      <formula>$S$1</formula>
    </cfRule>
    <cfRule type="cellIs" dxfId="24" priority="918" operator="equal">
      <formula>$U$1</formula>
    </cfRule>
  </conditionalFormatting>
  <conditionalFormatting sqref="C77">
    <cfRule type="cellIs" dxfId="23" priority="915" operator="equal">
      <formula>$U$1</formula>
    </cfRule>
    <cfRule type="cellIs" dxfId="22" priority="916" operator="equal">
      <formula>$S$1</formula>
    </cfRule>
  </conditionalFormatting>
  <conditionalFormatting sqref="D77">
    <cfRule type="cellIs" dxfId="21" priority="913" operator="equal">
      <formula>$S$1</formula>
    </cfRule>
    <cfRule type="cellIs" dxfId="20" priority="914" operator="equal">
      <formula>$U$1</formula>
    </cfRule>
  </conditionalFormatting>
  <conditionalFormatting sqref="C52">
    <cfRule type="cellIs" dxfId="19" priority="911" operator="equal">
      <formula>$U$1</formula>
    </cfRule>
    <cfRule type="cellIs" dxfId="18" priority="912" operator="equal">
      <formula>$S$1</formula>
    </cfRule>
  </conditionalFormatting>
  <conditionalFormatting sqref="D52">
    <cfRule type="cellIs" dxfId="17" priority="909" operator="equal">
      <formula>$S$1</formula>
    </cfRule>
    <cfRule type="cellIs" dxfId="16" priority="910" operator="equal">
      <formula>$U$1</formula>
    </cfRule>
  </conditionalFormatting>
  <conditionalFormatting sqref="C26">
    <cfRule type="cellIs" dxfId="15" priority="907" operator="equal">
      <formula>$U$1</formula>
    </cfRule>
    <cfRule type="cellIs" dxfId="14" priority="908" operator="equal">
      <formula>$S$1</formula>
    </cfRule>
  </conditionalFormatting>
  <conditionalFormatting sqref="D26">
    <cfRule type="cellIs" dxfId="13" priority="905" operator="equal">
      <formula>$S$1</formula>
    </cfRule>
    <cfRule type="cellIs" dxfId="12" priority="90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1.6599647973962125E-2</v>
      </c>
      <c r="F3" s="30">
        <v>1.7429630372660238E-2</v>
      </c>
      <c r="G3" s="30">
        <v>3.286616756321796E-2</v>
      </c>
      <c r="H3" s="25">
        <f>IF(G3="","",(3*(G3-F3))+E3)</f>
        <v>6.2909259545635296E-2</v>
      </c>
      <c r="I3" s="7"/>
      <c r="J3" s="7">
        <f>(E3+G3)/2</f>
        <v>2.4732907768590044E-2</v>
      </c>
      <c r="K3" s="7">
        <f>H3/2</f>
        <v>3.1454629772817648E-2</v>
      </c>
      <c r="M3" s="26">
        <f>IF(OR(J3="",H3=""),"",H3/J3)</f>
        <v>2.5435448243383632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2022-01-28T01:20:58Z</dcterms:modified>
</cp:coreProperties>
</file>