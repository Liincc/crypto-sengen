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E1BAA12-79D7-4E62-AE1A-BC954F6CAC2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D118" i="4"/>
  <c r="C116" i="4"/>
  <c r="R765" i="1"/>
  <c r="C116" i="3"/>
  <c r="C122" i="3"/>
  <c r="C133" i="3" s="1"/>
  <c r="C136" i="3" s="1"/>
  <c r="C136" i="5" l="1"/>
  <c r="C138" i="5" s="1"/>
  <c r="C136" i="4"/>
  <c r="C138" i="4" s="1"/>
  <c r="R764" i="1"/>
  <c r="S765" i="1"/>
  <c r="T765" i="1" s="1"/>
  <c r="D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R724" i="1" l="1"/>
  <c r="S725" i="1"/>
  <c r="T725" i="1" s="1"/>
  <c r="S724" i="1" l="1"/>
  <c r="T724" i="1" s="1"/>
  <c r="R723" i="1"/>
  <c r="R722" i="1" l="1"/>
  <c r="S723" i="1"/>
  <c r="T723" i="1" s="1"/>
  <c r="S722" i="1" l="1"/>
  <c r="T722" i="1" s="1"/>
  <c r="R721" i="1"/>
  <c r="S721" i="1" l="1"/>
  <c r="T721" i="1" s="1"/>
  <c r="R720" i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S669" i="1" l="1"/>
  <c r="T669" i="1" s="1"/>
  <c r="R668" i="1"/>
  <c r="R667" i="1" l="1"/>
  <c r="S668" i="1"/>
  <c r="T668" i="1" s="1"/>
  <c r="S667" i="1" l="1"/>
  <c r="T667" i="1" s="1"/>
  <c r="R666" i="1"/>
  <c r="R665" i="1" l="1"/>
  <c r="S666" i="1"/>
  <c r="T666" i="1" s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R649" i="1" l="1"/>
  <c r="S650" i="1"/>
  <c r="T650" i="1" s="1"/>
  <c r="S649" i="1" l="1"/>
  <c r="T649" i="1" s="1"/>
  <c r="R648" i="1"/>
  <c r="R647" i="1" l="1"/>
  <c r="S648" i="1"/>
  <c r="T648" i="1" s="1"/>
  <c r="S647" i="1" l="1"/>
  <c r="T647" i="1" s="1"/>
  <c r="R646" i="1"/>
  <c r="R645" i="1" l="1"/>
  <c r="S646" i="1"/>
  <c r="T646" i="1" s="1"/>
  <c r="S645" i="1" l="1"/>
  <c r="T645" i="1" s="1"/>
  <c r="R644" i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S633" i="1" l="1"/>
  <c r="T633" i="1" s="1"/>
  <c r="R632" i="1"/>
  <c r="R631" i="1" l="1"/>
  <c r="S632" i="1"/>
  <c r="T632" i="1" s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S609" i="1" l="1"/>
  <c r="T609" i="1" s="1"/>
  <c r="R608" i="1"/>
  <c r="R607" i="1" l="1"/>
  <c r="S608" i="1"/>
  <c r="T608" i="1" s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S600" i="1" l="1"/>
  <c r="T600" i="1" s="1"/>
  <c r="R599" i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S577" i="1" l="1"/>
  <c r="T577" i="1" s="1"/>
  <c r="R576" i="1"/>
  <c r="R575" i="1" l="1"/>
  <c r="S576" i="1"/>
  <c r="T576" i="1" s="1"/>
  <c r="S575" i="1" l="1"/>
  <c r="T575" i="1" s="1"/>
  <c r="R574" i="1"/>
  <c r="R573" i="1" l="1"/>
  <c r="S574" i="1"/>
  <c r="T574" i="1" s="1"/>
  <c r="S573" i="1" l="1"/>
  <c r="T573" i="1" s="1"/>
  <c r="R572" i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S496" i="1" l="1"/>
  <c r="T496" i="1" s="1"/>
  <c r="R495" i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S477" i="1" l="1"/>
  <c r="T477" i="1" s="1"/>
  <c r="R476" i="1"/>
  <c r="R475" i="1" l="1"/>
  <c r="S476" i="1"/>
  <c r="T476" i="1" s="1"/>
  <c r="S475" i="1" l="1"/>
  <c r="T475" i="1" s="1"/>
  <c r="R474" i="1"/>
  <c r="R473" i="1" l="1"/>
  <c r="S474" i="1"/>
  <c r="T474" i="1" s="1"/>
  <c r="S473" i="1" l="1"/>
  <c r="T473" i="1" s="1"/>
  <c r="R472" i="1"/>
  <c r="R471" i="1" l="1"/>
  <c r="S472" i="1"/>
  <c r="T472" i="1" s="1"/>
  <c r="S471" i="1" l="1"/>
  <c r="T471" i="1" s="1"/>
  <c r="R470" i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R436" i="1" l="1"/>
  <c r="S437" i="1"/>
  <c r="T437" i="1" s="1"/>
  <c r="S436" i="1" l="1"/>
  <c r="T436" i="1" s="1"/>
  <c r="R435" i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S340" i="1" l="1"/>
  <c r="T340" i="1" s="1"/>
  <c r="R339" i="1"/>
  <c r="R338" i="1" l="1"/>
  <c r="S339" i="1"/>
  <c r="T339" i="1" s="1"/>
  <c r="S338" i="1" l="1"/>
  <c r="T338" i="1" s="1"/>
  <c r="R337" i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S245" i="1" l="1"/>
  <c r="T245" i="1" s="1"/>
  <c r="R244" i="1"/>
  <c r="S244" i="1" l="1"/>
  <c r="T244" i="1" s="1"/>
  <c r="R243" i="1"/>
  <c r="R242" i="1" l="1"/>
  <c r="S243" i="1"/>
  <c r="T243" i="1" s="1"/>
  <c r="S242" i="1" l="1"/>
  <c r="T242" i="1" s="1"/>
  <c r="R241" i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S192" i="1" l="1"/>
  <c r="T192" i="1" s="1"/>
  <c r="R191" i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S169" i="1" l="1"/>
  <c r="T169" i="1" s="1"/>
  <c r="R168" i="1"/>
  <c r="S168" i="1" l="1"/>
  <c r="T168" i="1" s="1"/>
  <c r="R167" i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S141" i="1" l="1"/>
  <c r="T141" i="1" s="1"/>
  <c r="R140" i="1"/>
  <c r="S140" i="1" l="1"/>
  <c r="T140" i="1" s="1"/>
  <c r="R139" i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S135" i="1" l="1"/>
  <c r="T135" i="1" s="1"/>
  <c r="R134" i="1"/>
  <c r="R133" i="1" l="1"/>
  <c r="S134" i="1"/>
  <c r="T134" i="1" s="1"/>
  <c r="S133" i="1" l="1"/>
  <c r="T133" i="1" s="1"/>
  <c r="R132" i="1"/>
  <c r="R131" i="1" l="1"/>
  <c r="S132" i="1"/>
  <c r="T132" i="1" s="1"/>
  <c r="S131" i="1" l="1"/>
  <c r="T131" i="1" s="1"/>
  <c r="R130" i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<sst xmlns="http://schemas.openxmlformats.org/spreadsheetml/2006/main" count="5810" uniqueCount="34">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</sst>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4.2450000000000002E-2</c:v>
                </c:pt>
                <c:pt idx="1">
                  <c:v>4.2840000000000003E-2</c:v>
                </c:pt>
                <c:pt idx="2">
                  <c:v>4.1950000000000001E-2</c:v>
                </c:pt>
                <c:pt idx="3">
                  <c:v>4.1829999999999999E-2</c:v>
                </c:pt>
                <c:pt idx="4">
                  <c:v>4.3909999999999998E-2</c:v>
                </c:pt>
                <c:pt idx="5">
                  <c:v>4.1680000000000002E-2</c:v>
                </c:pt>
                <c:pt idx="6">
                  <c:v>4.8230000000000002E-2</c:v>
                </c:pt>
                <c:pt idx="7">
                  <c:v>5.5149999999999998E-2</c:v>
                </c:pt>
                <c:pt idx="8">
                  <c:v>5.6860000000000001E-2</c:v>
                </c:pt>
                <c:pt idx="9">
                  <c:v>5.8819999999999997E-2</c:v>
                </c:pt>
                <c:pt idx="10">
                  <c:v>5.9929999999999997E-2</c:v>
                </c:pt>
                <c:pt idx="11">
                  <c:v>6.2370000000000002E-2</c:v>
                </c:pt>
                <c:pt idx="12">
                  <c:v>6.2820000000000001E-2</c:v>
                </c:pt>
                <c:pt idx="13">
                  <c:v>6.2869999999999995E-2</c:v>
                </c:pt>
                <c:pt idx="14">
                  <c:v>6.0440000000000001E-2</c:v>
                </c:pt>
                <c:pt idx="15">
                  <c:v>6.1260000000000002E-2</c:v>
                </c:pt>
                <c:pt idx="16">
                  <c:v>5.9749999999999998E-2</c:v>
                </c:pt>
                <c:pt idx="17">
                  <c:v>5.79E-2</c:v>
                </c:pt>
                <c:pt idx="18">
                  <c:v>6.1109999999999998E-2</c:v>
                </c:pt>
                <c:pt idx="19">
                  <c:v>6.1990000000000003E-2</c:v>
                </c:pt>
                <c:pt idx="20">
                  <c:v>5.9490000000000001E-2</c:v>
                </c:pt>
                <c:pt idx="21">
                  <c:v>6.4130000000000006E-2</c:v>
                </c:pt>
                <c:pt idx="22">
                  <c:v>6.4939999999999998E-2</c:v>
                </c:pt>
                <c:pt idx="23">
                  <c:v>7.1010000000000004E-2</c:v>
                </c:pt>
                <c:pt idx="24">
                  <c:v>7.1190000000000003E-2</c:v>
                </c:pt>
                <c:pt idx="25">
                  <c:v>7.3150000000000007E-2</c:v>
                </c:pt>
                <c:pt idx="26">
                  <c:v>7.5969999999999996E-2</c:v>
                </c:pt>
                <c:pt idx="27">
                  <c:v>7.3730000000000004E-2</c:v>
                </c:pt>
                <c:pt idx="28">
                  <c:v>7.5240000000000001E-2</c:v>
                </c:pt>
                <c:pt idx="29">
                  <c:v>7.5980000000000006E-2</c:v>
                </c:pt>
                <c:pt idx="30">
                  <c:v>8.1079999999999999E-2</c:v>
                </c:pt>
                <c:pt idx="31">
                  <c:v>9.5030000000000003E-2</c:v>
                </c:pt>
                <c:pt idx="32">
                  <c:v>9.5070000000000002E-2</c:v>
                </c:pt>
                <c:pt idx="33">
                  <c:v>6.1699999999999998E-2</c:v>
                </c:pt>
                <c:pt idx="34">
                  <c:v>6.0940000000000001E-2</c:v>
                </c:pt>
                <c:pt idx="35">
                  <c:v>6.1760000000000002E-2</c:v>
                </c:pt>
                <c:pt idx="36">
                  <c:v>5.9909999999999998E-2</c:v>
                </c:pt>
                <c:pt idx="37">
                  <c:v>6.003E-2</c:v>
                </c:pt>
                <c:pt idx="38">
                  <c:v>5.876E-2</c:v>
                </c:pt>
                <c:pt idx="39">
                  <c:v>6.2239999999999997E-2</c:v>
                </c:pt>
                <c:pt idx="40">
                  <c:v>6.0580000000000002E-2</c:v>
                </c:pt>
                <c:pt idx="41">
                  <c:v>6.1350000000000002E-2</c:v>
                </c:pt>
                <c:pt idx="42">
                  <c:v>5.8160000000000003E-2</c:v>
                </c:pt>
                <c:pt idx="43">
                  <c:v>5.6559999999999999E-2</c:v>
                </c:pt>
                <c:pt idx="44">
                  <c:v>5.4960000000000002E-2</c:v>
                </c:pt>
                <c:pt idx="45">
                  <c:v>5.289E-2</c:v>
                </c:pt>
                <c:pt idx="46">
                  <c:v>6.2869999999999995E-2</c:v>
                </c:pt>
                <c:pt idx="47">
                  <c:v>6.3420000000000004E-2</c:v>
                </c:pt>
                <c:pt idx="48">
                  <c:v>6.2480000000000001E-2</c:v>
                </c:pt>
                <c:pt idx="49">
                  <c:v>6.4189999999999997E-2</c:v>
                </c:pt>
                <c:pt idx="50">
                  <c:v>7.0150000000000004E-2</c:v>
                </c:pt>
                <c:pt idx="51">
                  <c:v>6.9110000000000005E-2</c:v>
                </c:pt>
                <c:pt idx="52">
                  <c:v>7.17E-2</c:v>
                </c:pt>
                <c:pt idx="53">
                  <c:v>7.4490000000000001E-2</c:v>
                </c:pt>
                <c:pt idx="54">
                  <c:v>7.1489999999999998E-2</c:v>
                </c:pt>
                <c:pt idx="55">
                  <c:v>7.9259999999999997E-2</c:v>
                </c:pt>
                <c:pt idx="56">
                  <c:v>8.0070000000000002E-2</c:v>
                </c:pt>
                <c:pt idx="57">
                  <c:v>7.5579999999999994E-2</c:v>
                </c:pt>
                <c:pt idx="58">
                  <c:v>7.5620000000000007E-2</c:v>
                </c:pt>
                <c:pt idx="59">
                  <c:v>7.8689999999999996E-2</c:v>
                </c:pt>
                <c:pt idx="60">
                  <c:v>7.6200000000000004E-2</c:v>
                </c:pt>
                <c:pt idx="61">
                  <c:v>7.5770000000000004E-2</c:v>
                </c:pt>
                <c:pt idx="62">
                  <c:v>7.3289999999999994E-2</c:v>
                </c:pt>
                <c:pt idx="63">
                  <c:v>8.1449999999999995E-2</c:v>
                </c:pt>
                <c:pt idx="64">
                  <c:v>7.9500000000000001E-2</c:v>
                </c:pt>
                <c:pt idx="65">
                  <c:v>8.1140000000000004E-2</c:v>
                </c:pt>
                <c:pt idx="66">
                  <c:v>7.918E-2</c:v>
                </c:pt>
                <c:pt idx="67">
                  <c:v>8.5169999999999996E-2</c:v>
                </c:pt>
                <c:pt idx="68">
                  <c:v>8.0990000000000006E-2</c:v>
                </c:pt>
                <c:pt idx="69">
                  <c:v>7.9240000000000005E-2</c:v>
                </c:pt>
                <c:pt idx="70">
                  <c:v>7.4459999999999998E-2</c:v>
                </c:pt>
                <c:pt idx="71">
                  <c:v>8.0420000000000005E-2</c:v>
                </c:pt>
                <c:pt idx="72">
                  <c:v>8.0769999999999995E-2</c:v>
                </c:pt>
                <c:pt idx="73">
                  <c:v>8.7370000000000003E-2</c:v>
                </c:pt>
                <c:pt idx="74">
                  <c:v>8.8200000000000001E-2</c:v>
                </c:pt>
                <c:pt idx="75">
                  <c:v>8.6860000000000007E-2</c:v>
                </c:pt>
                <c:pt idx="76">
                  <c:v>8.7300000000000003E-2</c:v>
                </c:pt>
                <c:pt idx="77">
                  <c:v>9.1429999999999997E-2</c:v>
                </c:pt>
                <c:pt idx="78">
                  <c:v>8.949E-2</c:v>
                </c:pt>
                <c:pt idx="79">
                  <c:v>9.289E-2</c:v>
                </c:pt>
                <c:pt idx="80">
                  <c:v>8.6970000000000006E-2</c:v>
                </c:pt>
                <c:pt idx="81">
                  <c:v>8.8169999999999998E-2</c:v>
                </c:pt>
                <c:pt idx="82">
                  <c:v>8.5260000000000002E-2</c:v>
                </c:pt>
                <c:pt idx="83">
                  <c:v>8.5750000000000007E-2</c:v>
                </c:pt>
                <c:pt idx="84">
                  <c:v>8.9749999999999996E-2</c:v>
                </c:pt>
                <c:pt idx="85">
                  <c:v>8.7330000000000005E-2</c:v>
                </c:pt>
                <c:pt idx="86">
                  <c:v>8.4830000000000003E-2</c:v>
                </c:pt>
                <c:pt idx="87">
                  <c:v>8.3180000000000004E-2</c:v>
                </c:pt>
                <c:pt idx="88">
                  <c:v>8.0299999999999996E-2</c:v>
                </c:pt>
                <c:pt idx="89">
                  <c:v>8.2049999999999998E-2</c:v>
                </c:pt>
                <c:pt idx="90">
                  <c:v>8.5690000000000002E-2</c:v>
                </c:pt>
                <c:pt idx="91">
                  <c:v>8.5690000000000002E-2</c:v>
                </c:pt>
                <c:pt idx="92">
                  <c:v>8.133E-2</c:v>
                </c:pt>
                <c:pt idx="93">
                  <c:v>9.2719999999999997E-2</c:v>
                </c:pt>
                <c:pt idx="94">
                  <c:v>9.6070000000000003E-2</c:v>
                </c:pt>
                <c:pt idx="95">
                  <c:v>9.7809999999999994E-2</c:v>
                </c:pt>
                <c:pt idx="96">
                  <c:v>9.3869999999999995E-2</c:v>
                </c:pt>
                <c:pt idx="97">
                  <c:v>8.9569999999999997E-2</c:v>
                </c:pt>
                <c:pt idx="98">
                  <c:v>9.1689999999999994E-2</c:v>
                </c:pt>
                <c:pt idx="99">
                  <c:v>9.1840000000000005E-2</c:v>
                </c:pt>
                <c:pt idx="100">
                  <c:v>8.9039999999999994E-2</c:v>
                </c:pt>
                <c:pt idx="101">
                  <c:v>8.72E-2</c:v>
                </c:pt>
                <c:pt idx="102">
                  <c:v>9.3640000000000001E-2</c:v>
                </c:pt>
                <c:pt idx="103">
                  <c:v>9.0499999999999997E-2</c:v>
                </c:pt>
                <c:pt idx="104">
                  <c:v>8.6120000000000002E-2</c:v>
                </c:pt>
                <c:pt idx="105">
                  <c:v>8.0409999999999995E-2</c:v>
                </c:pt>
                <c:pt idx="106">
                  <c:v>8.0149999999999999E-2</c:v>
                </c:pt>
                <c:pt idx="107">
                  <c:v>7.9380000000000006E-2</c:v>
                </c:pt>
                <c:pt idx="108">
                  <c:v>7.9159999999999994E-2</c:v>
                </c:pt>
                <c:pt idx="109">
                  <c:v>7.7850000000000003E-2</c:v>
                </c:pt>
                <c:pt idx="110">
                  <c:v>8.0390000000000003E-2</c:v>
                </c:pt>
                <c:pt idx="111">
                  <c:v>7.9579999999999998E-2</c:v>
                </c:pt>
                <c:pt idx="112">
                  <c:v>7.9820000000000002E-2</c:v>
                </c:pt>
                <c:pt idx="113">
                  <c:v>7.9780000000000004E-2</c:v>
                </c:pt>
                <c:pt idx="114">
                  <c:v>8.1199999999999994E-2</c:v>
                </c:pt>
                <c:pt idx="115">
                  <c:v>8.097E-2</c:v>
                </c:pt>
                <c:pt idx="116">
                  <c:v>8.3510000000000001E-2</c:v>
                </c:pt>
                <c:pt idx="117">
                  <c:v>8.6069999999999994E-2</c:v>
                </c:pt>
                <c:pt idx="118">
                  <c:v>8.5610000000000006E-2</c:v>
                </c:pt>
                <c:pt idx="119">
                  <c:v>7.6969999999999997E-2</c:v>
                </c:pt>
                <c:pt idx="120">
                  <c:v>7.4440000000000006E-2</c:v>
                </c:pt>
                <c:pt idx="121">
                  <c:v>7.3219999999999993E-2</c:v>
                </c:pt>
                <c:pt idx="122">
                  <c:v>7.9320000000000002E-2</c:v>
                </c:pt>
                <c:pt idx="123">
                  <c:v>7.6069999999999999E-2</c:v>
                </c:pt>
                <c:pt idx="124">
                  <c:v>7.8780000000000003E-2</c:v>
                </c:pt>
                <c:pt idx="125">
                  <c:v>8.3400000000000002E-2</c:v>
                </c:pt>
                <c:pt idx="126">
                  <c:v>8.8150000000000006E-2</c:v>
                </c:pt>
                <c:pt idx="127">
                  <c:v>9.0770000000000003E-2</c:v>
                </c:pt>
                <c:pt idx="128">
                  <c:v>8.8260000000000005E-2</c:v>
                </c:pt>
                <c:pt idx="129">
                  <c:v>8.2449999999999996E-2</c:v>
                </c:pt>
                <c:pt idx="130">
                  <c:v>9.375E-2</c:v>
                </c:pt>
                <c:pt idx="131">
                  <c:v>0.10288</c:v>
                </c:pt>
                <c:pt idx="132">
                  <c:v>0.10947</c:v>
                </c:pt>
                <c:pt idx="133">
                  <c:v>9.8409999999999997E-2</c:v>
                </c:pt>
                <c:pt idx="134">
                  <c:v>8.5290000000000005E-2</c:v>
                </c:pt>
                <c:pt idx="135">
                  <c:v>6.3119999999999996E-2</c:v>
                </c:pt>
                <c:pt idx="136">
                  <c:v>5.9580000000000001E-2</c:v>
                </c:pt>
                <c:pt idx="137">
                  <c:v>6.4939999999999998E-2</c:v>
                </c:pt>
                <c:pt idx="138">
                  <c:v>6.1699999999999998E-2</c:v>
                </c:pt>
                <c:pt idx="139">
                  <c:v>6.0150000000000002E-2</c:v>
                </c:pt>
                <c:pt idx="140">
                  <c:v>6.3820000000000002E-2</c:v>
                </c:pt>
                <c:pt idx="141">
                  <c:v>6.6420000000000007E-2</c:v>
                </c:pt>
                <c:pt idx="142">
                  <c:v>5.9740000000000001E-2</c:v>
                </c:pt>
                <c:pt idx="143">
                  <c:v>7.6990000000000003E-2</c:v>
                </c:pt>
                <c:pt idx="144">
                  <c:v>7.7539999999999998E-2</c:v>
                </c:pt>
                <c:pt idx="145">
                  <c:v>7.7590000000000006E-2</c:v>
                </c:pt>
                <c:pt idx="146">
                  <c:v>7.9969999999999999E-2</c:v>
                </c:pt>
                <c:pt idx="147">
                  <c:v>8.0960000000000004E-2</c:v>
                </c:pt>
                <c:pt idx="148">
                  <c:v>7.9490000000000005E-2</c:v>
                </c:pt>
                <c:pt idx="149">
                  <c:v>7.621E-2</c:v>
                </c:pt>
                <c:pt idx="150">
                  <c:v>7.7229999999999993E-2</c:v>
                </c:pt>
                <c:pt idx="151">
                  <c:v>7.9119999999999996E-2</c:v>
                </c:pt>
                <c:pt idx="152">
                  <c:v>8.2000000000000003E-2</c:v>
                </c:pt>
                <c:pt idx="153">
                  <c:v>8.2199999999999995E-2</c:v>
                </c:pt>
                <c:pt idx="154">
                  <c:v>7.6719999999999997E-2</c:v>
                </c:pt>
                <c:pt idx="155">
                  <c:v>8.5949999999999999E-2</c:v>
                </c:pt>
                <c:pt idx="156">
                  <c:v>8.3659999999999998E-2</c:v>
                </c:pt>
                <c:pt idx="157">
                  <c:v>7.8100000000000003E-2</c:v>
                </c:pt>
                <c:pt idx="158">
                  <c:v>8.2530000000000006E-2</c:v>
                </c:pt>
                <c:pt idx="159">
                  <c:v>8.7160000000000001E-2</c:v>
                </c:pt>
                <c:pt idx="160">
                  <c:v>9.6500000000000002E-2</c:v>
                </c:pt>
                <c:pt idx="161">
                  <c:v>0.11142000000000001</c:v>
                </c:pt>
                <c:pt idx="162">
                  <c:v>5.7439999999999998E-2</c:v>
                </c:pt>
                <c:pt idx="163">
                  <c:v>4.6179999999999999E-2</c:v>
                </c:pt>
                <c:pt idx="164">
                  <c:v>4.8649999999999999E-2</c:v>
                </c:pt>
                <c:pt idx="165">
                  <c:v>5.126E-2</c:v>
                </c:pt>
                <c:pt idx="166">
                  <c:v>5.4330000000000003E-2</c:v>
                </c:pt>
                <c:pt idx="167">
                  <c:v>5.6160000000000002E-2</c:v>
                </c:pt>
                <c:pt idx="168">
                  <c:v>4.2419999999999999E-2</c:v>
                </c:pt>
                <c:pt idx="169">
                  <c:v>4.326E-2</c:v>
                </c:pt>
                <c:pt idx="170">
                  <c:v>4.052E-2</c:v>
                </c:pt>
                <c:pt idx="171">
                  <c:v>3.8490000000000003E-2</c:v>
                </c:pt>
                <c:pt idx="172">
                  <c:v>3.533E-2</c:v>
                </c:pt>
                <c:pt idx="173">
                  <c:v>3.8059999999999997E-2</c:v>
                </c:pt>
                <c:pt idx="174">
                  <c:v>3.9579999999999997E-2</c:v>
                </c:pt>
                <c:pt idx="175">
                  <c:v>3.8129999999999997E-2</c:v>
                </c:pt>
                <c:pt idx="176">
                  <c:v>3.3070000000000002E-2</c:v>
                </c:pt>
                <c:pt idx="177">
                  <c:v>2.9749999999999999E-2</c:v>
                </c:pt>
                <c:pt idx="178">
                  <c:v>2.9090000000000001E-2</c:v>
                </c:pt>
                <c:pt idx="179">
                  <c:v>2.903E-2</c:v>
                </c:pt>
                <c:pt idx="180">
                  <c:v>3.0349999999999999E-2</c:v>
                </c:pt>
                <c:pt idx="181">
                  <c:v>2.86E-2</c:v>
                </c:pt>
                <c:pt idx="182">
                  <c:v>2.7390000000000001E-2</c:v>
                </c:pt>
                <c:pt idx="183">
                  <c:v>2.751E-2</c:v>
                </c:pt>
                <c:pt idx="184">
                  <c:v>2.7709999999999999E-2</c:v>
                </c:pt>
                <c:pt idx="185">
                  <c:v>2.6929999999999999E-2</c:v>
                </c:pt>
                <c:pt idx="186">
                  <c:v>2.7810000000000001E-2</c:v>
                </c:pt>
                <c:pt idx="187">
                  <c:v>2.5360000000000001E-2</c:v>
                </c:pt>
                <c:pt idx="188">
                  <c:v>2.5600000000000001E-2</c:v>
                </c:pt>
                <c:pt idx="189">
                  <c:v>2.2960000000000001E-2</c:v>
                </c:pt>
                <c:pt idx="190">
                  <c:v>2.2259999999999999E-2</c:v>
                </c:pt>
                <c:pt idx="191">
                  <c:v>2.0449999999999999E-2</c:v>
                </c:pt>
                <c:pt idx="192">
                  <c:v>2.274E-2</c:v>
                </c:pt>
                <c:pt idx="193">
                  <c:v>2.4279999999999999E-2</c:v>
                </c:pt>
                <c:pt idx="194">
                  <c:v>2.3519999999999999E-2</c:v>
                </c:pt>
                <c:pt idx="195">
                  <c:v>2.4219999999999998E-2</c:v>
                </c:pt>
                <c:pt idx="196">
                  <c:v>2.5239999999999999E-2</c:v>
                </c:pt>
                <c:pt idx="197">
                  <c:v>2.6259999999999999E-2</c:v>
                </c:pt>
                <c:pt idx="198">
                  <c:v>2.6720000000000001E-2</c:v>
                </c:pt>
                <c:pt idx="199">
                  <c:v>2.8289999999999999E-2</c:v>
                </c:pt>
                <c:pt idx="200">
                  <c:v>3.0839999999999999E-2</c:v>
                </c:pt>
                <c:pt idx="201">
                  <c:v>2.7300000000000001E-2</c:v>
                </c:pt>
                <c:pt idx="202">
                  <c:v>2.6849999999999999E-2</c:v>
                </c:pt>
                <c:pt idx="203">
                  <c:v>2.5899999999999999E-2</c:v>
                </c:pt>
                <c:pt idx="204">
                  <c:v>2.7470000000000001E-2</c:v>
                </c:pt>
                <c:pt idx="205">
                  <c:v>2.8119999999999999E-2</c:v>
                </c:pt>
                <c:pt idx="206">
                  <c:v>2.6589999999999999E-2</c:v>
                </c:pt>
                <c:pt idx="207">
                  <c:v>2.76E-2</c:v>
                </c:pt>
                <c:pt idx="208">
                  <c:v>2.6759999999999999E-2</c:v>
                </c:pt>
                <c:pt idx="209">
                  <c:v>2.6450000000000001E-2</c:v>
                </c:pt>
                <c:pt idx="210">
                  <c:v>2.615E-2</c:v>
                </c:pt>
                <c:pt idx="211">
                  <c:v>2.579E-2</c:v>
                </c:pt>
                <c:pt idx="212">
                  <c:v>2.6280000000000001E-2</c:v>
                </c:pt>
                <c:pt idx="213">
                  <c:v>2.5260000000000001E-2</c:v>
                </c:pt>
                <c:pt idx="214">
                  <c:v>2.436E-2</c:v>
                </c:pt>
                <c:pt idx="215">
                  <c:v>2.3269999999999999E-2</c:v>
                </c:pt>
                <c:pt idx="216">
                  <c:v>2.3699999999999999E-2</c:v>
                </c:pt>
                <c:pt idx="217">
                  <c:v>2.5770000000000001E-2</c:v>
                </c:pt>
                <c:pt idx="218">
                  <c:v>2.4760000000000001E-2</c:v>
                </c:pt>
                <c:pt idx="219">
                  <c:v>2.299E-2</c:v>
                </c:pt>
                <c:pt idx="220">
                  <c:v>2.3800000000000002E-2</c:v>
                </c:pt>
                <c:pt idx="221">
                  <c:v>3.1530000000000002E-2</c:v>
                </c:pt>
                <c:pt idx="222">
                  <c:v>3.2689999999999997E-2</c:v>
                </c:pt>
                <c:pt idx="223">
                  <c:v>3.2719999999999999E-2</c:v>
                </c:pt>
                <c:pt idx="224">
                  <c:v>3.6269999999999997E-2</c:v>
                </c:pt>
                <c:pt idx="225">
                  <c:v>3.7569999999999999E-2</c:v>
                </c:pt>
                <c:pt idx="226">
                  <c:v>3.5819999999999998E-2</c:v>
                </c:pt>
                <c:pt idx="227">
                  <c:v>3.6760000000000001E-2</c:v>
                </c:pt>
                <c:pt idx="228">
                  <c:v>3.61E-2</c:v>
                </c:pt>
                <c:pt idx="229">
                  <c:v>3.4430000000000002E-2</c:v>
                </c:pt>
                <c:pt idx="230">
                  <c:v>3.6740000000000002E-2</c:v>
                </c:pt>
                <c:pt idx="231">
                  <c:v>4.1399999999999999E-2</c:v>
                </c:pt>
                <c:pt idx="232">
                  <c:v>4.1180000000000001E-2</c:v>
                </c:pt>
                <c:pt idx="233">
                  <c:v>3.313E-2</c:v>
                </c:pt>
                <c:pt idx="234">
                  <c:v>3.56E-2</c:v>
                </c:pt>
                <c:pt idx="235">
                  <c:v>3.8089999999999999E-2</c:v>
                </c:pt>
                <c:pt idx="236">
                  <c:v>3.5700000000000003E-2</c:v>
                </c:pt>
                <c:pt idx="237">
                  <c:v>3.6850000000000001E-2</c:v>
                </c:pt>
                <c:pt idx="238">
                  <c:v>4.181E-2</c:v>
                </c:pt>
                <c:pt idx="239">
                  <c:v>4.0280000000000003E-2</c:v>
                </c:pt>
                <c:pt idx="240">
                  <c:v>3.9969999999999999E-2</c:v>
                </c:pt>
                <c:pt idx="241">
                  <c:v>3.9210000000000002E-2</c:v>
                </c:pt>
                <c:pt idx="242">
                  <c:v>3.7199999999999997E-2</c:v>
                </c:pt>
                <c:pt idx="243">
                  <c:v>3.4779999999999998E-2</c:v>
                </c:pt>
                <c:pt idx="244">
                  <c:v>3.6060000000000002E-2</c:v>
                </c:pt>
                <c:pt idx="245">
                  <c:v>4.2360000000000002E-2</c:v>
                </c:pt>
                <c:pt idx="246">
                  <c:v>4.4010000000000001E-2</c:v>
                </c:pt>
                <c:pt idx="247">
                  <c:v>4.274E-2</c:v>
                </c:pt>
                <c:pt idx="248">
                  <c:v>3.823E-2</c:v>
                </c:pt>
                <c:pt idx="249">
                  <c:v>2.9860000000000001E-2</c:v>
                </c:pt>
                <c:pt idx="250">
                  <c:v>4.0570000000000002E-2</c:v>
                </c:pt>
                <c:pt idx="251">
                  <c:v>4.1169999999999998E-2</c:v>
                </c:pt>
                <c:pt idx="252">
                  <c:v>4.9959999999999997E-2</c:v>
                </c:pt>
                <c:pt idx="253">
                  <c:v>4.8500000000000001E-2</c:v>
                </c:pt>
                <c:pt idx="254">
                  <c:v>7.0730000000000001E-2</c:v>
                </c:pt>
                <c:pt idx="255">
                  <c:v>6.9989999999999997E-2</c:v>
                </c:pt>
                <c:pt idx="256">
                  <c:v>7.9490000000000005E-2</c:v>
                </c:pt>
                <c:pt idx="257">
                  <c:v>8.3589999999999998E-2</c:v>
                </c:pt>
                <c:pt idx="258">
                  <c:v>8.6269999999999999E-2</c:v>
                </c:pt>
                <c:pt idx="259">
                  <c:v>8.8200000000000001E-2</c:v>
                </c:pt>
                <c:pt idx="260">
                  <c:v>8.566E-2</c:v>
                </c:pt>
                <c:pt idx="261">
                  <c:v>9.2429999999999998E-2</c:v>
                </c:pt>
                <c:pt idx="262">
                  <c:v>8.863E-2</c:v>
                </c:pt>
                <c:pt idx="263">
                  <c:v>9.7879999999999995E-2</c:v>
                </c:pt>
                <c:pt idx="264">
                  <c:v>0.10238</c:v>
                </c:pt>
                <c:pt idx="265">
                  <c:v>0.10091</c:v>
                </c:pt>
                <c:pt idx="266">
                  <c:v>9.4119999999999995E-2</c:v>
                </c:pt>
                <c:pt idx="267">
                  <c:v>9.9500000000000005E-2</c:v>
                </c:pt>
                <c:pt idx="268">
                  <c:v>9.3560000000000004E-2</c:v>
                </c:pt>
                <c:pt idx="269">
                  <c:v>0.11108999999999999</c:v>
                </c:pt>
                <c:pt idx="270">
                  <c:v>0.12049</c:v>
                </c:pt>
                <c:pt idx="271">
                  <c:v>0.11225</c:v>
                </c:pt>
                <c:pt idx="272">
                  <c:v>0.12019000000000001</c:v>
                </c:pt>
                <c:pt idx="273">
                  <c:v>0.11098</c:v>
                </c:pt>
                <c:pt idx="274">
                  <c:v>9.7549999999999998E-2</c:v>
                </c:pt>
                <c:pt idx="275">
                  <c:v>9.9580000000000002E-2</c:v>
                </c:pt>
                <c:pt idx="276">
                  <c:v>9.7070000000000004E-2</c:v>
                </c:pt>
                <c:pt idx="277">
                  <c:v>7.4649999999999994E-2</c:v>
                </c:pt>
                <c:pt idx="278">
                  <c:v>7.6139999999999999E-2</c:v>
                </c:pt>
                <c:pt idx="279">
                  <c:v>8.158E-2</c:v>
                </c:pt>
                <c:pt idx="280">
                  <c:v>8.7540000000000007E-2</c:v>
                </c:pt>
                <c:pt idx="281">
                  <c:v>0.10662000000000001</c:v>
                </c:pt>
                <c:pt idx="282">
                  <c:v>9.7199999999999995E-2</c:v>
                </c:pt>
                <c:pt idx="283">
                  <c:v>9.604E-2</c:v>
                </c:pt>
                <c:pt idx="284">
                  <c:v>0.10909000000000001</c:v>
                </c:pt>
                <c:pt idx="285">
                  <c:v>0.11146</c:v>
                </c:pt>
                <c:pt idx="286">
                  <c:v>0.11521000000000001</c:v>
                </c:pt>
                <c:pt idx="287">
                  <c:v>0.13261999999999999</c:v>
                </c:pt>
                <c:pt idx="288">
                  <c:v>0.12969</c:v>
                </c:pt>
                <c:pt idx="289">
                  <c:v>0.14158999999999999</c:v>
                </c:pt>
                <c:pt idx="290">
                  <c:v>0.15315999999999999</c:v>
                </c:pt>
                <c:pt idx="291">
                  <c:v>0.13073000000000001</c:v>
                </c:pt>
                <c:pt idx="292">
                  <c:v>0.11612</c:v>
                </c:pt>
                <c:pt idx="293">
                  <c:v>0.13239999999999999</c:v>
                </c:pt>
                <c:pt idx="294">
                  <c:v>8.473E-2</c:v>
                </c:pt>
                <c:pt idx="295">
                  <c:v>7.5109999999999996E-2</c:v>
                </c:pt>
                <c:pt idx="296">
                  <c:v>8.1140000000000004E-2</c:v>
                </c:pt>
                <c:pt idx="297">
                  <c:v>8.405E-2</c:v>
                </c:pt>
                <c:pt idx="298">
                  <c:v>8.9179999999999995E-2</c:v>
                </c:pt>
                <c:pt idx="299">
                  <c:v>7.7619999999999995E-2</c:v>
                </c:pt>
                <c:pt idx="300">
                  <c:v>8.4080000000000002E-2</c:v>
                </c:pt>
                <c:pt idx="301">
                  <c:v>9.8979999999999999E-2</c:v>
                </c:pt>
                <c:pt idx="302">
                  <c:v>9.2880000000000004E-2</c:v>
                </c:pt>
                <c:pt idx="303">
                  <c:v>9.0149999999999994E-2</c:v>
                </c:pt>
                <c:pt idx="304">
                  <c:v>7.9100000000000004E-2</c:v>
                </c:pt>
                <c:pt idx="305">
                  <c:v>6.8190000000000001E-2</c:v>
                </c:pt>
                <c:pt idx="306">
                  <c:v>7.213E-2</c:v>
                </c:pt>
                <c:pt idx="307">
                  <c:v>6.3259999999999997E-2</c:v>
                </c:pt>
                <c:pt idx="308">
                  <c:v>5.6500000000000002E-2</c:v>
                </c:pt>
                <c:pt idx="309">
                  <c:v>5.7299999999999997E-2</c:v>
                </c:pt>
                <c:pt idx="310">
                  <c:v>6.2E-2</c:v>
                </c:pt>
                <c:pt idx="311">
                  <c:v>6.5699999999999995E-2</c:v>
                </c:pt>
                <c:pt idx="312">
                  <c:v>6.7680000000000004E-2</c:v>
                </c:pt>
                <c:pt idx="313">
                  <c:v>6.8860000000000005E-2</c:v>
                </c:pt>
                <c:pt idx="314">
                  <c:v>6.7909999999999998E-2</c:v>
                </c:pt>
                <c:pt idx="315">
                  <c:v>6.8279999999999993E-2</c:v>
                </c:pt>
                <c:pt idx="316">
                  <c:v>6.6659999999999997E-2</c:v>
                </c:pt>
                <c:pt idx="317">
                  <c:v>6.447E-2</c:v>
                </c:pt>
                <c:pt idx="318">
                  <c:v>6.6309999999999994E-2</c:v>
                </c:pt>
                <c:pt idx="319">
                  <c:v>6.6659999999999997E-2</c:v>
                </c:pt>
                <c:pt idx="320">
                  <c:v>7.0040000000000005E-2</c:v>
                </c:pt>
                <c:pt idx="321">
                  <c:v>7.0529999999999995E-2</c:v>
                </c:pt>
                <c:pt idx="322">
                  <c:v>6.0789999999999997E-2</c:v>
                </c:pt>
                <c:pt idx="323">
                  <c:v>5.4890000000000001E-2</c:v>
                </c:pt>
                <c:pt idx="324">
                  <c:v>5.7140000000000003E-2</c:v>
                </c:pt>
                <c:pt idx="325">
                  <c:v>5.0049999999999997E-2</c:v>
                </c:pt>
                <c:pt idx="326">
                  <c:v>5.194E-2</c:v>
                </c:pt>
                <c:pt idx="327">
                  <c:v>5.1040000000000002E-2</c:v>
                </c:pt>
                <c:pt idx="328">
                  <c:v>5.1139999999999998E-2</c:v>
                </c:pt>
                <c:pt idx="329">
                  <c:v>5.1459999999999999E-2</c:v>
                </c:pt>
                <c:pt idx="330">
                  <c:v>5.3179999999999998E-2</c:v>
                </c:pt>
                <c:pt idx="331">
                  <c:v>5.5140000000000002E-2</c:v>
                </c:pt>
                <c:pt idx="332">
                  <c:v>4.4179999999999997E-2</c:v>
                </c:pt>
                <c:pt idx="333">
                  <c:v>4.0059999999999998E-2</c:v>
                </c:pt>
                <c:pt idx="334">
                  <c:v>4.6149999999999997E-2</c:v>
                </c:pt>
                <c:pt idx="335">
                  <c:v>4.6640000000000001E-2</c:v>
                </c:pt>
                <c:pt idx="336">
                  <c:v>4.8590000000000001E-2</c:v>
                </c:pt>
                <c:pt idx="337">
                  <c:v>5.6259999999999998E-2</c:v>
                </c:pt>
                <c:pt idx="338">
                  <c:v>4.8309999999999999E-2</c:v>
                </c:pt>
                <c:pt idx="339">
                  <c:v>6.4670000000000005E-2</c:v>
                </c:pt>
                <c:pt idx="340">
                  <c:v>7.979E-2</c:v>
                </c:pt>
                <c:pt idx="341">
                  <c:v>6.7769999999999997E-2</c:v>
                </c:pt>
                <c:pt idx="342">
                  <c:v>6.1539999999999997E-2</c:v>
                </c:pt>
                <c:pt idx="343">
                  <c:v>4.9329999999999999E-2</c:v>
                </c:pt>
                <c:pt idx="344">
                  <c:v>5.0909999999999997E-2</c:v>
                </c:pt>
                <c:pt idx="345">
                  <c:v>4.3830000000000001E-2</c:v>
                </c:pt>
                <c:pt idx="346">
                  <c:v>4.0320000000000002E-2</c:v>
                </c:pt>
                <c:pt idx="347">
                  <c:v>4.4299999999999999E-2</c:v>
                </c:pt>
                <c:pt idx="348">
                  <c:v>5.1549999999999999E-2</c:v>
                </c:pt>
                <c:pt idx="349">
                  <c:v>4.6449999999999998E-2</c:v>
                </c:pt>
                <c:pt idx="350">
                  <c:v>4.5260000000000002E-2</c:v>
                </c:pt>
                <c:pt idx="351">
                  <c:v>4.199E-2</c:v>
                </c:pt>
                <c:pt idx="352">
                  <c:v>4.4159999999999998E-2</c:v>
                </c:pt>
                <c:pt idx="353">
                  <c:v>4.4569999999999999E-2</c:v>
                </c:pt>
                <c:pt idx="354">
                  <c:v>3.6510000000000001E-2</c:v>
                </c:pt>
                <c:pt idx="355">
                  <c:v>3.653E-2</c:v>
                </c:pt>
                <c:pt idx="356">
                  <c:v>4.3450000000000003E-2</c:v>
                </c:pt>
                <c:pt idx="357">
                  <c:v>3.041E-2</c:v>
                </c:pt>
                <c:pt idx="358">
                  <c:v>2.7830000000000001E-2</c:v>
                </c:pt>
                <c:pt idx="359">
                  <c:v>2.7480000000000001E-2</c:v>
                </c:pt>
                <c:pt idx="360">
                  <c:v>2.5180000000000001E-2</c:v>
                </c:pt>
                <c:pt idx="361">
                  <c:v>2.5499999999999998E-2</c:v>
                </c:pt>
                <c:pt idx="362">
                  <c:v>2.0650000000000002E-2</c:v>
                </c:pt>
                <c:pt idx="363">
                  <c:v>1.966E-2</c:v>
                </c:pt>
                <c:pt idx="364">
                  <c:v>2.1499999999999998E-2</c:v>
                </c:pt>
                <c:pt idx="365">
                  <c:v>1.9990000000000001E-2</c:v>
                </c:pt>
                <c:pt idx="366">
                  <c:v>2.3220000000000001E-2</c:v>
                </c:pt>
                <c:pt idx="367">
                  <c:v>2.359E-2</c:v>
                </c:pt>
                <c:pt idx="368">
                  <c:v>1.9900000000000001E-2</c:v>
                </c:pt>
                <c:pt idx="369">
                  <c:v>1.8849999999999999E-2</c:v>
                </c:pt>
                <c:pt idx="370">
                  <c:v>1.6039999999999999E-2</c:v>
                </c:pt>
                <c:pt idx="371">
                  <c:v>1.5900000000000001E-2</c:v>
                </c:pt>
                <c:pt idx="372">
                  <c:v>1.7389999999999999E-2</c:v>
                </c:pt>
                <c:pt idx="373">
                  <c:v>1.7860000000000001E-2</c:v>
                </c:pt>
                <c:pt idx="374">
                  <c:v>2.001E-2</c:v>
                </c:pt>
                <c:pt idx="375">
                  <c:v>1.804E-2</c:v>
                </c:pt>
                <c:pt idx="376">
                  <c:v>1.9050000000000001E-2</c:v>
                </c:pt>
                <c:pt idx="377">
                  <c:v>1.5429999999999999E-2</c:v>
                </c:pt>
                <c:pt idx="378">
                  <c:v>1.379E-2</c:v>
                </c:pt>
                <c:pt idx="379">
                  <c:v>1.2710000000000001E-2</c:v>
                </c:pt>
                <c:pt idx="380">
                  <c:v>1.325E-2</c:v>
                </c:pt>
                <c:pt idx="381">
                  <c:v>1.375E-2</c:v>
                </c:pt>
                <c:pt idx="382">
                  <c:v>1.5129999999999999E-2</c:v>
                </c:pt>
                <c:pt idx="383">
                  <c:v>1.601E-2</c:v>
                </c:pt>
                <c:pt idx="384">
                  <c:v>1.406E-2</c:v>
                </c:pt>
                <c:pt idx="385">
                  <c:v>1.5429999999999999E-2</c:v>
                </c:pt>
                <c:pt idx="386">
                  <c:v>1.434E-2</c:v>
                </c:pt>
                <c:pt idx="387">
                  <c:v>1.323E-2</c:v>
                </c:pt>
                <c:pt idx="388">
                  <c:v>1.3849999999999999E-2</c:v>
                </c:pt>
                <c:pt idx="389">
                  <c:v>1.5049999999999999E-2</c:v>
                </c:pt>
                <c:pt idx="390">
                  <c:v>1.566E-2</c:v>
                </c:pt>
                <c:pt idx="391">
                  <c:v>1.558E-2</c:v>
                </c:pt>
                <c:pt idx="392">
                  <c:v>1.52E-2</c:v>
                </c:pt>
                <c:pt idx="393">
                  <c:v>1.5820000000000001E-2</c:v>
                </c:pt>
                <c:pt idx="394">
                  <c:v>1.533E-2</c:v>
                </c:pt>
                <c:pt idx="395">
                  <c:v>1.5959999999999998E-2</c:v>
                </c:pt>
                <c:pt idx="396">
                  <c:v>1.6140000000000002E-2</c:v>
                </c:pt>
                <c:pt idx="397">
                  <c:v>1.6379999999999999E-2</c:v>
                </c:pt>
                <c:pt idx="398">
                  <c:v>1.6809999999999999E-2</c:v>
                </c:pt>
                <c:pt idx="399">
                  <c:v>1.7010000000000001E-2</c:v>
                </c:pt>
                <c:pt idx="400">
                  <c:v>1.6219999999999998E-2</c:v>
                </c:pt>
                <c:pt idx="401">
                  <c:v>1.848E-2</c:v>
                </c:pt>
                <c:pt idx="402">
                  <c:v>1.874E-2</c:v>
                </c:pt>
                <c:pt idx="403">
                  <c:v>1.9939999999999999E-2</c:v>
                </c:pt>
                <c:pt idx="404">
                  <c:v>1.941E-2</c:v>
                </c:pt>
                <c:pt idx="405">
                  <c:v>1.9910000000000001E-2</c:v>
                </c:pt>
                <c:pt idx="406">
                  <c:v>1.8859999999999998E-2</c:v>
                </c:pt>
                <c:pt idx="407">
                  <c:v>1.7950000000000001E-2</c:v>
                </c:pt>
                <c:pt idx="408">
                  <c:v>1.8339999999999999E-2</c:v>
                </c:pt>
                <c:pt idx="409">
                  <c:v>1.9029999999999998E-2</c:v>
                </c:pt>
                <c:pt idx="410">
                  <c:v>1.983E-2</c:v>
                </c:pt>
                <c:pt idx="411">
                  <c:v>1.9720000000000001E-2</c:v>
                </c:pt>
                <c:pt idx="412">
                  <c:v>1.804E-2</c:v>
                </c:pt>
                <c:pt idx="413">
                  <c:v>1.9990000000000001E-2</c:v>
                </c:pt>
                <c:pt idx="414">
                  <c:v>2.0250000000000001E-2</c:v>
                </c:pt>
                <c:pt idx="415">
                  <c:v>1.959E-2</c:v>
                </c:pt>
                <c:pt idx="416">
                  <c:v>2.0760000000000001E-2</c:v>
                </c:pt>
                <c:pt idx="417">
                  <c:v>2.1250000000000002E-2</c:v>
                </c:pt>
                <c:pt idx="418">
                  <c:v>2.0750000000000001E-2</c:v>
                </c:pt>
                <c:pt idx="419">
                  <c:v>2.1100000000000001E-2</c:v>
                </c:pt>
                <c:pt idx="420">
                  <c:v>2.2589999999999999E-2</c:v>
                </c:pt>
                <c:pt idx="421">
                  <c:v>2.1569999999999999E-2</c:v>
                </c:pt>
                <c:pt idx="422">
                  <c:v>2.1420000000000002E-2</c:v>
                </c:pt>
                <c:pt idx="423">
                  <c:v>2.172E-2</c:v>
                </c:pt>
                <c:pt idx="424">
                  <c:v>2.1950000000000001E-2</c:v>
                </c:pt>
                <c:pt idx="425">
                  <c:v>2.198E-2</c:v>
                </c:pt>
                <c:pt idx="426">
                  <c:v>2.1590000000000002E-2</c:v>
                </c:pt>
                <c:pt idx="427">
                  <c:v>2.2509999999999999E-2</c:v>
                </c:pt>
                <c:pt idx="428">
                  <c:v>2.3650000000000001E-2</c:v>
                </c:pt>
                <c:pt idx="429">
                  <c:v>2.3730000000000001E-2</c:v>
                </c:pt>
                <c:pt idx="430">
                  <c:v>2.409E-2</c:v>
                </c:pt>
                <c:pt idx="431">
                  <c:v>2.291E-2</c:v>
                </c:pt>
                <c:pt idx="432">
                  <c:v>2.2970000000000001E-2</c:v>
                </c:pt>
                <c:pt idx="433">
                  <c:v>2.2790000000000001E-2</c:v>
                </c:pt>
                <c:pt idx="434">
                  <c:v>2.2960000000000001E-2</c:v>
                </c:pt>
                <c:pt idx="435">
                  <c:v>2.2589999999999999E-2</c:v>
                </c:pt>
                <c:pt idx="436">
                  <c:v>2.3609999999999999E-2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0-4B38-A969-ABD24AF0013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-127.86776822812537</c:v>
                </c:pt>
                <c:pt idx="1">
                  <c:v>-127.8481573760245</c:v>
                </c:pt>
                <c:pt idx="2">
                  <c:v>-127.60305452647229</c:v>
                </c:pt>
                <c:pt idx="3">
                  <c:v>-127.5286179906505</c:v>
                </c:pt>
                <c:pt idx="4">
                  <c:v>-127.72815999637388</c:v>
                </c:pt>
                <c:pt idx="5">
                  <c:v>-127.61973348980244</c:v>
                </c:pt>
                <c:pt idx="6">
                  <c:v>-127.33255978104211</c:v>
                </c:pt>
                <c:pt idx="7">
                  <c:v>-125.72264991400299</c:v>
                </c:pt>
                <c:pt idx="8">
                  <c:v>-125.40436414134125</c:v>
                </c:pt>
                <c:pt idx="9">
                  <c:v>-125.32486798005185</c:v>
                </c:pt>
                <c:pt idx="10">
                  <c:v>-125.36662871282034</c:v>
                </c:pt>
                <c:pt idx="11">
                  <c:v>-125.28095156694404</c:v>
                </c:pt>
                <c:pt idx="12">
                  <c:v>-125.06609190130767</c:v>
                </c:pt>
                <c:pt idx="13">
                  <c:v>-124.78296071161409</c:v>
                </c:pt>
                <c:pt idx="14">
                  <c:v>-124.85209738901133</c:v>
                </c:pt>
                <c:pt idx="15">
                  <c:v>-124.08893407728472</c:v>
                </c:pt>
                <c:pt idx="16">
                  <c:v>-124.35132238126322</c:v>
                </c:pt>
                <c:pt idx="17">
                  <c:v>-124.40582984928741</c:v>
                </c:pt>
                <c:pt idx="18">
                  <c:v>-124.40227662525332</c:v>
                </c:pt>
                <c:pt idx="19">
                  <c:v>-124.10043442811047</c:v>
                </c:pt>
                <c:pt idx="20">
                  <c:v>-121.94980590223666</c:v>
                </c:pt>
                <c:pt idx="21">
                  <c:v>-121.6297756653845</c:v>
                </c:pt>
                <c:pt idx="22">
                  <c:v>-121.71023947125843</c:v>
                </c:pt>
                <c:pt idx="23">
                  <c:v>-121.34732114208377</c:v>
                </c:pt>
                <c:pt idx="24">
                  <c:v>-120.88947522157746</c:v>
                </c:pt>
                <c:pt idx="25">
                  <c:v>-120.67525788844701</c:v>
                </c:pt>
                <c:pt idx="26">
                  <c:v>-120.19125985287656</c:v>
                </c:pt>
                <c:pt idx="27">
                  <c:v>-119.80244392288911</c:v>
                </c:pt>
                <c:pt idx="28">
                  <c:v>-119.70772732251295</c:v>
                </c:pt>
                <c:pt idx="29">
                  <c:v>-118.36595632449247</c:v>
                </c:pt>
                <c:pt idx="30">
                  <c:v>-117.05261451329545</c:v>
                </c:pt>
                <c:pt idx="31">
                  <c:v>-113.00024280296104</c:v>
                </c:pt>
                <c:pt idx="32">
                  <c:v>-87.30347179716729</c:v>
                </c:pt>
                <c:pt idx="33">
                  <c:v>-94.079610051235647</c:v>
                </c:pt>
                <c:pt idx="34">
                  <c:v>-94.07898301285509</c:v>
                </c:pt>
                <c:pt idx="35">
                  <c:v>-93.91708245567861</c:v>
                </c:pt>
                <c:pt idx="36">
                  <c:v>-94.034611450128608</c:v>
                </c:pt>
                <c:pt idx="37">
                  <c:v>-93.856099403086347</c:v>
                </c:pt>
                <c:pt idx="38">
                  <c:v>-93.926188473086356</c:v>
                </c:pt>
                <c:pt idx="39">
                  <c:v>-93.851558129181896</c:v>
                </c:pt>
                <c:pt idx="40">
                  <c:v>-93.529972024615418</c:v>
                </c:pt>
                <c:pt idx="41">
                  <c:v>-93.265344445282096</c:v>
                </c:pt>
                <c:pt idx="42">
                  <c:v>-93.08334104291302</c:v>
                </c:pt>
                <c:pt idx="43">
                  <c:v>-92.775647060939761</c:v>
                </c:pt>
                <c:pt idx="44">
                  <c:v>-92.989411911468309</c:v>
                </c:pt>
                <c:pt idx="45">
                  <c:v>-93.127788710664021</c:v>
                </c:pt>
                <c:pt idx="46">
                  <c:v>-92.717894778437454</c:v>
                </c:pt>
                <c:pt idx="47">
                  <c:v>-92.472824780552401</c:v>
                </c:pt>
                <c:pt idx="48">
                  <c:v>-92.477273001406672</c:v>
                </c:pt>
                <c:pt idx="49">
                  <c:v>-92.286743243150156</c:v>
                </c:pt>
                <c:pt idx="50">
                  <c:v>-92.047011447476578</c:v>
                </c:pt>
                <c:pt idx="51">
                  <c:v>-92.239115855752445</c:v>
                </c:pt>
                <c:pt idx="52">
                  <c:v>-91.907361085654898</c:v>
                </c:pt>
                <c:pt idx="53">
                  <c:v>-91.927733039153352</c:v>
                </c:pt>
                <c:pt idx="54">
                  <c:v>-91.579566887025962</c:v>
                </c:pt>
                <c:pt idx="55">
                  <c:v>-91.151422509411717</c:v>
                </c:pt>
                <c:pt idx="56">
                  <c:v>-89.369234786975895</c:v>
                </c:pt>
                <c:pt idx="57">
                  <c:v>-87.990561551553554</c:v>
                </c:pt>
                <c:pt idx="58">
                  <c:v>-87.779266101101939</c:v>
                </c:pt>
                <c:pt idx="59">
                  <c:v>-87.631300805051936</c:v>
                </c:pt>
                <c:pt idx="60">
                  <c:v>-87.766097081167999</c:v>
                </c:pt>
                <c:pt idx="61">
                  <c:v>-88.031758148310857</c:v>
                </c:pt>
                <c:pt idx="62">
                  <c:v>-88.146227470765396</c:v>
                </c:pt>
                <c:pt idx="63">
                  <c:v>-87.689094562688098</c:v>
                </c:pt>
                <c:pt idx="64">
                  <c:v>-87.819933265646895</c:v>
                </c:pt>
                <c:pt idx="65">
                  <c:v>-87.772907685785782</c:v>
                </c:pt>
                <c:pt idx="66">
                  <c:v>-88.0588201447665</c:v>
                </c:pt>
                <c:pt idx="67">
                  <c:v>-87.33551968379227</c:v>
                </c:pt>
                <c:pt idx="68">
                  <c:v>-86.703519421073551</c:v>
                </c:pt>
                <c:pt idx="69">
                  <c:v>-86.764154896000733</c:v>
                </c:pt>
                <c:pt idx="70">
                  <c:v>-87.036546072185715</c:v>
                </c:pt>
                <c:pt idx="71">
                  <c:v>-86.690496033564671</c:v>
                </c:pt>
                <c:pt idx="72">
                  <c:v>-86.665774964326801</c:v>
                </c:pt>
                <c:pt idx="73">
                  <c:v>-85.83255740962332</c:v>
                </c:pt>
                <c:pt idx="74">
                  <c:v>-85.606785796493426</c:v>
                </c:pt>
                <c:pt idx="75">
                  <c:v>-85.729186349610828</c:v>
                </c:pt>
                <c:pt idx="76">
                  <c:v>-85.7778473902831</c:v>
                </c:pt>
                <c:pt idx="77">
                  <c:v>-85.704836108585525</c:v>
                </c:pt>
                <c:pt idx="78">
                  <c:v>-85.838204831127911</c:v>
                </c:pt>
                <c:pt idx="79">
                  <c:v>-85.177681922950256</c:v>
                </c:pt>
                <c:pt idx="80">
                  <c:v>-85.663186315915567</c:v>
                </c:pt>
                <c:pt idx="81">
                  <c:v>-85.44876712622667</c:v>
                </c:pt>
                <c:pt idx="82">
                  <c:v>-85.582369695735679</c:v>
                </c:pt>
                <c:pt idx="83">
                  <c:v>-85.596168761571974</c:v>
                </c:pt>
                <c:pt idx="84">
                  <c:v>-85.208789442704045</c:v>
                </c:pt>
                <c:pt idx="85">
                  <c:v>-84.594635474940887</c:v>
                </c:pt>
                <c:pt idx="86">
                  <c:v>-84.931612325097618</c:v>
                </c:pt>
                <c:pt idx="87">
                  <c:v>-84.824602916121719</c:v>
                </c:pt>
                <c:pt idx="88">
                  <c:v>-84.830125369943389</c:v>
                </c:pt>
                <c:pt idx="89">
                  <c:v>-84.755699287496569</c:v>
                </c:pt>
                <c:pt idx="90">
                  <c:v>-84.320483678259279</c:v>
                </c:pt>
                <c:pt idx="91">
                  <c:v>-84.263085876527001</c:v>
                </c:pt>
                <c:pt idx="92">
                  <c:v>-84.356433467331087</c:v>
                </c:pt>
                <c:pt idx="93">
                  <c:v>-83.575794492647532</c:v>
                </c:pt>
                <c:pt idx="94">
                  <c:v>-83.176851133803851</c:v>
                </c:pt>
                <c:pt idx="95">
                  <c:v>-82.968377952397873</c:v>
                </c:pt>
                <c:pt idx="96">
                  <c:v>-83.095560154133594</c:v>
                </c:pt>
                <c:pt idx="97">
                  <c:v>-83.07984866713457</c:v>
                </c:pt>
                <c:pt idx="98">
                  <c:v>-82.845679044166843</c:v>
                </c:pt>
                <c:pt idx="99">
                  <c:v>-82.815683394612179</c:v>
                </c:pt>
                <c:pt idx="100">
                  <c:v>-81.416999347388455</c:v>
                </c:pt>
                <c:pt idx="101">
                  <c:v>-81.127327005635365</c:v>
                </c:pt>
                <c:pt idx="102">
                  <c:v>-79.579942734871096</c:v>
                </c:pt>
                <c:pt idx="103">
                  <c:v>-72.573294115687432</c:v>
                </c:pt>
                <c:pt idx="104">
                  <c:v>-67.58305495775528</c:v>
                </c:pt>
                <c:pt idx="105">
                  <c:v>-64.451519706847975</c:v>
                </c:pt>
                <c:pt idx="106">
                  <c:v>-64.23796154618131</c:v>
                </c:pt>
                <c:pt idx="107">
                  <c:v>-64.28868688295816</c:v>
                </c:pt>
                <c:pt idx="108">
                  <c:v>-64.083336639400741</c:v>
                </c:pt>
                <c:pt idx="109">
                  <c:v>-63.280440451548891</c:v>
                </c:pt>
                <c:pt idx="110">
                  <c:v>-62.251313831548892</c:v>
                </c:pt>
                <c:pt idx="111">
                  <c:v>-59.649375344759903</c:v>
                </c:pt>
                <c:pt idx="112">
                  <c:v>-58.952164509196145</c:v>
                </c:pt>
                <c:pt idx="113">
                  <c:v>-58.947013901136103</c:v>
                </c:pt>
                <c:pt idx="114">
                  <c:v>-59.176307235185185</c:v>
                </c:pt>
                <c:pt idx="115">
                  <c:v>-58.243296608052312</c:v>
                </c:pt>
                <c:pt idx="116">
                  <c:v>-57.77650434865231</c:v>
                </c:pt>
                <c:pt idx="117">
                  <c:v>-56.970072956359076</c:v>
                </c:pt>
                <c:pt idx="118">
                  <c:v>-55.547314138211625</c:v>
                </c:pt>
                <c:pt idx="119">
                  <c:v>-55.217262316517214</c:v>
                </c:pt>
                <c:pt idx="120">
                  <c:v>-55.208045899517209</c:v>
                </c:pt>
                <c:pt idx="121">
                  <c:v>-54.483391120748948</c:v>
                </c:pt>
                <c:pt idx="122">
                  <c:v>-53.193480957144509</c:v>
                </c:pt>
                <c:pt idx="123">
                  <c:v>-52.020454610277042</c:v>
                </c:pt>
                <c:pt idx="124">
                  <c:v>-51.928422882373816</c:v>
                </c:pt>
                <c:pt idx="125">
                  <c:v>-51.078097123544993</c:v>
                </c:pt>
                <c:pt idx="126">
                  <c:v>-51.248634696344986</c:v>
                </c:pt>
                <c:pt idx="127">
                  <c:v>-50.529140340881725</c:v>
                </c:pt>
                <c:pt idx="128">
                  <c:v>-49.293396909472328</c:v>
                </c:pt>
                <c:pt idx="129">
                  <c:v>-48.730386632285636</c:v>
                </c:pt>
                <c:pt idx="130">
                  <c:v>-47.95015385177318</c:v>
                </c:pt>
                <c:pt idx="131">
                  <c:v>-45.916135053896568</c:v>
                </c:pt>
                <c:pt idx="132">
                  <c:v>-38.73475439355957</c:v>
                </c:pt>
                <c:pt idx="133">
                  <c:v>-30.107785495295339</c:v>
                </c:pt>
                <c:pt idx="134">
                  <c:v>-30.250511066268963</c:v>
                </c:pt>
                <c:pt idx="135">
                  <c:v>-32.391585160842027</c:v>
                </c:pt>
                <c:pt idx="136">
                  <c:v>-32.506001359508687</c:v>
                </c:pt>
                <c:pt idx="137">
                  <c:v>-32.329069422335358</c:v>
                </c:pt>
                <c:pt idx="138">
                  <c:v>-32.332876881702447</c:v>
                </c:pt>
                <c:pt idx="139">
                  <c:v>-32.161655097764623</c:v>
                </c:pt>
                <c:pt idx="140">
                  <c:v>-32.002249373988739</c:v>
                </c:pt>
                <c:pt idx="141">
                  <c:v>-31.908334854847631</c:v>
                </c:pt>
                <c:pt idx="142">
                  <c:v>-32.049630992172517</c:v>
                </c:pt>
                <c:pt idx="143">
                  <c:v>-31.198054371038744</c:v>
                </c:pt>
                <c:pt idx="144">
                  <c:v>-31.421627025513885</c:v>
                </c:pt>
                <c:pt idx="145">
                  <c:v>-31.301802132375482</c:v>
                </c:pt>
                <c:pt idx="146">
                  <c:v>-31.094119797071347</c:v>
                </c:pt>
                <c:pt idx="147">
                  <c:v>-31.132152989469539</c:v>
                </c:pt>
                <c:pt idx="148">
                  <c:v>-30.83429433829307</c:v>
                </c:pt>
                <c:pt idx="149">
                  <c:v>-31.223233566546003</c:v>
                </c:pt>
                <c:pt idx="150">
                  <c:v>-30.867631146959802</c:v>
                </c:pt>
                <c:pt idx="151">
                  <c:v>-29.97765170898797</c:v>
                </c:pt>
                <c:pt idx="152">
                  <c:v>-29.599137335304349</c:v>
                </c:pt>
                <c:pt idx="153">
                  <c:v>-29.569814268334657</c:v>
                </c:pt>
                <c:pt idx="154">
                  <c:v>-28.924020839069094</c:v>
                </c:pt>
                <c:pt idx="155">
                  <c:v>-27.899681362915249</c:v>
                </c:pt>
                <c:pt idx="156">
                  <c:v>-25.256580428955232</c:v>
                </c:pt>
                <c:pt idx="157">
                  <c:v>-22.88366865165186</c:v>
                </c:pt>
                <c:pt idx="158">
                  <c:v>-22.29728628152338</c:v>
                </c:pt>
                <c:pt idx="159">
                  <c:v>-22.165246154808266</c:v>
                </c:pt>
                <c:pt idx="160">
                  <c:v>-21.121844440773177</c:v>
                </c:pt>
                <c:pt idx="161">
                  <c:v>-20.778432974282389</c:v>
                </c:pt>
                <c:pt idx="162">
                  <c:v>-29.160026246682776</c:v>
                </c:pt>
                <c:pt idx="163">
                  <c:v>-29.59585980458785</c:v>
                </c:pt>
                <c:pt idx="164">
                  <c:v>-29.14526398534872</c:v>
                </c:pt>
                <c:pt idx="165">
                  <c:v>-28.614451572886498</c:v>
                </c:pt>
                <c:pt idx="166">
                  <c:v>-28.530897769973453</c:v>
                </c:pt>
                <c:pt idx="167">
                  <c:v>-24.605561675689582</c:v>
                </c:pt>
                <c:pt idx="168">
                  <c:v>-24.803345949473524</c:v>
                </c:pt>
                <c:pt idx="169">
                  <c:v>-24.592284942584289</c:v>
                </c:pt>
                <c:pt idx="170">
                  <c:v>-24.857980227942722</c:v>
                </c:pt>
                <c:pt idx="171">
                  <c:v>-25.105517748229257</c:v>
                </c:pt>
                <c:pt idx="172">
                  <c:v>-25.422588211279837</c:v>
                </c:pt>
                <c:pt idx="173">
                  <c:v>-25.175293826948131</c:v>
                </c:pt>
                <c:pt idx="174">
                  <c:v>-25.253750363401412</c:v>
                </c:pt>
                <c:pt idx="175">
                  <c:v>-25.120959096324487</c:v>
                </c:pt>
                <c:pt idx="176">
                  <c:v>-25.844856384070642</c:v>
                </c:pt>
                <c:pt idx="177">
                  <c:v>-26.280455118463497</c:v>
                </c:pt>
                <c:pt idx="178">
                  <c:v>-26.302597552276247</c:v>
                </c:pt>
                <c:pt idx="179">
                  <c:v>-26.310214336215637</c:v>
                </c:pt>
                <c:pt idx="180">
                  <c:v>-25.91006241879191</c:v>
                </c:pt>
                <c:pt idx="181">
                  <c:v>-26.074653797680796</c:v>
                </c:pt>
                <c:pt idx="182">
                  <c:v>-26.32000803165781</c:v>
                </c:pt>
                <c:pt idx="183">
                  <c:v>-26.311710967886381</c:v>
                </c:pt>
                <c:pt idx="184">
                  <c:v>-26.148520686678332</c:v>
                </c:pt>
                <c:pt idx="185">
                  <c:v>-26.327964916909099</c:v>
                </c:pt>
                <c:pt idx="186">
                  <c:v>-25.792890532231016</c:v>
                </c:pt>
                <c:pt idx="187">
                  <c:v>-25.13564317271549</c:v>
                </c:pt>
                <c:pt idx="188">
                  <c:v>-24.850984672472769</c:v>
                </c:pt>
                <c:pt idx="189">
                  <c:v>-23.628653174694485</c:v>
                </c:pt>
                <c:pt idx="190">
                  <c:v>-23.698904506225098</c:v>
                </c:pt>
                <c:pt idx="191">
                  <c:v>-23.963057364517958</c:v>
                </c:pt>
                <c:pt idx="192">
                  <c:v>-23.580501209184622</c:v>
                </c:pt>
                <c:pt idx="193">
                  <c:v>-23.31642441800815</c:v>
                </c:pt>
                <c:pt idx="194">
                  <c:v>-23.418444148741486</c:v>
                </c:pt>
                <c:pt idx="195">
                  <c:v>-23.086153788128037</c:v>
                </c:pt>
                <c:pt idx="196">
                  <c:v>-22.713261304318515</c:v>
                </c:pt>
                <c:pt idx="197">
                  <c:v>-19.624066301717225</c:v>
                </c:pt>
                <c:pt idx="198">
                  <c:v>-19.847840179533247</c:v>
                </c:pt>
                <c:pt idx="199">
                  <c:v>-19.721157559913781</c:v>
                </c:pt>
                <c:pt idx="200">
                  <c:v>-19.387653720981056</c:v>
                </c:pt>
                <c:pt idx="201">
                  <c:v>-19.632663440053904</c:v>
                </c:pt>
                <c:pt idx="202">
                  <c:v>-19.621010544492616</c:v>
                </c:pt>
                <c:pt idx="203">
                  <c:v>-19.745002040641186</c:v>
                </c:pt>
                <c:pt idx="204">
                  <c:v>-19.618429146166324</c:v>
                </c:pt>
                <c:pt idx="205">
                  <c:v>-19.362577002820871</c:v>
                </c:pt>
                <c:pt idx="206">
                  <c:v>-19.593404943973876</c:v>
                </c:pt>
                <c:pt idx="207">
                  <c:v>-19.530078548403409</c:v>
                </c:pt>
                <c:pt idx="208">
                  <c:v>-19.632785855998343</c:v>
                </c:pt>
                <c:pt idx="209">
                  <c:v>-19.670922405998347</c:v>
                </c:pt>
                <c:pt idx="210">
                  <c:v>-19.816889433776122</c:v>
                </c:pt>
                <c:pt idx="211">
                  <c:v>-19.599813151294839</c:v>
                </c:pt>
                <c:pt idx="212">
                  <c:v>-19.668045528566442</c:v>
                </c:pt>
                <c:pt idx="213">
                  <c:v>-19.712705266244413</c:v>
                </c:pt>
                <c:pt idx="214">
                  <c:v>-19.90052134661941</c:v>
                </c:pt>
                <c:pt idx="215">
                  <c:v>-20.147567878498606</c:v>
                </c:pt>
                <c:pt idx="216">
                  <c:v>-20.159410019345252</c:v>
                </c:pt>
                <c:pt idx="217">
                  <c:v>-19.972639283254338</c:v>
                </c:pt>
                <c:pt idx="218">
                  <c:v>-20.017807138044464</c:v>
                </c:pt>
                <c:pt idx="219">
                  <c:v>-20.199654162417723</c:v>
                </c:pt>
                <c:pt idx="220">
                  <c:v>-18.598954613332541</c:v>
                </c:pt>
                <c:pt idx="221">
                  <c:v>-18.0373361845378</c:v>
                </c:pt>
                <c:pt idx="222">
                  <c:v>-18.040605052022752</c:v>
                </c:pt>
                <c:pt idx="223">
                  <c:v>-18.021557453099181</c:v>
                </c:pt>
                <c:pt idx="224">
                  <c:v>-17.79664572730513</c:v>
                </c:pt>
                <c:pt idx="225">
                  <c:v>-17.575947237193326</c:v>
                </c:pt>
                <c:pt idx="226">
                  <c:v>-17.442084651727612</c:v>
                </c:pt>
                <c:pt idx="227">
                  <c:v>-17.363641366566316</c:v>
                </c:pt>
                <c:pt idx="228">
                  <c:v>-17.341481859808489</c:v>
                </c:pt>
                <c:pt idx="229">
                  <c:v>-17.65388647713047</c:v>
                </c:pt>
                <c:pt idx="230">
                  <c:v>-17.613656238475297</c:v>
                </c:pt>
                <c:pt idx="231">
                  <c:v>-16.782708835970844</c:v>
                </c:pt>
                <c:pt idx="232">
                  <c:v>-11.683338133781964</c:v>
                </c:pt>
                <c:pt idx="233">
                  <c:v>-12.304623361702834</c:v>
                </c:pt>
                <c:pt idx="234">
                  <c:v>-12.305153492975975</c:v>
                </c:pt>
                <c:pt idx="235">
                  <c:v>-12.134313643952446</c:v>
                </c:pt>
                <c:pt idx="236">
                  <c:v>-12.151783638952445</c:v>
                </c:pt>
                <c:pt idx="237">
                  <c:v>-12.023052363575156</c:v>
                </c:pt>
                <c:pt idx="238">
                  <c:v>-11.793435987122452</c:v>
                </c:pt>
                <c:pt idx="239">
                  <c:v>-11.874343025695621</c:v>
                </c:pt>
                <c:pt idx="240">
                  <c:v>-11.921857009494303</c:v>
                </c:pt>
                <c:pt idx="241">
                  <c:v>-11.902939194030981</c:v>
                </c:pt>
                <c:pt idx="242">
                  <c:v>-12.121319759768522</c:v>
                </c:pt>
                <c:pt idx="243">
                  <c:v>-12.170419275557995</c:v>
                </c:pt>
                <c:pt idx="244">
                  <c:v>-12.013502468262541</c:v>
                </c:pt>
                <c:pt idx="245">
                  <c:v>-11.738255200345442</c:v>
                </c:pt>
                <c:pt idx="246">
                  <c:v>-11.727591968891542</c:v>
                </c:pt>
                <c:pt idx="247">
                  <c:v>-11.885040832939159</c:v>
                </c:pt>
                <c:pt idx="248">
                  <c:v>-11.991568488184443</c:v>
                </c:pt>
                <c:pt idx="249">
                  <c:v>-12.382645265285666</c:v>
                </c:pt>
                <c:pt idx="250">
                  <c:v>-12.032896818158038</c:v>
                </c:pt>
                <c:pt idx="251">
                  <c:v>-12.135829828132879</c:v>
                </c:pt>
                <c:pt idx="252">
                  <c:v>-11.785349583551874</c:v>
                </c:pt>
                <c:pt idx="253">
                  <c:v>-11.922113035948863</c:v>
                </c:pt>
                <c:pt idx="254">
                  <c:v>-11.465642053047075</c:v>
                </c:pt>
                <c:pt idx="255">
                  <c:v>-11.2878272546363</c:v>
                </c:pt>
                <c:pt idx="256">
                  <c:v>-11.015510950016298</c:v>
                </c:pt>
                <c:pt idx="257">
                  <c:v>-10.84131683586291</c:v>
                </c:pt>
                <c:pt idx="258">
                  <c:v>-10.645390682068941</c:v>
                </c:pt>
                <c:pt idx="259">
                  <c:v>-10.784017481278669</c:v>
                </c:pt>
                <c:pt idx="260">
                  <c:v>-10.637774656596774</c:v>
                </c:pt>
                <c:pt idx="261">
                  <c:v>-10.249948846998885</c:v>
                </c:pt>
                <c:pt idx="262">
                  <c:v>-10.392730946660857</c:v>
                </c:pt>
                <c:pt idx="263">
                  <c:v>-10.166023400868317</c:v>
                </c:pt>
                <c:pt idx="264">
                  <c:v>-9.9696919836018321</c:v>
                </c:pt>
                <c:pt idx="265">
                  <c:v>-9.7498932083840515</c:v>
                </c:pt>
                <c:pt idx="266">
                  <c:v>-9.8596110636990364</c:v>
                </c:pt>
                <c:pt idx="267">
                  <c:v>-9.699411173270466</c:v>
                </c:pt>
                <c:pt idx="268">
                  <c:v>-9.9560094836695487</c:v>
                </c:pt>
                <c:pt idx="269">
                  <c:v>-9.2415420323305817</c:v>
                </c:pt>
                <c:pt idx="270">
                  <c:v>-8.3967385921607516</c:v>
                </c:pt>
                <c:pt idx="271">
                  <c:v>-8.9066440672078109</c:v>
                </c:pt>
                <c:pt idx="272">
                  <c:v>-8.6009913036799919</c:v>
                </c:pt>
                <c:pt idx="273">
                  <c:v>-8.7773033986495044</c:v>
                </c:pt>
                <c:pt idx="274">
                  <c:v>-10.003166660176877</c:v>
                </c:pt>
                <c:pt idx="275">
                  <c:v>-10.621713410254642</c:v>
                </c:pt>
                <c:pt idx="276">
                  <c:v>-10.495443850958642</c:v>
                </c:pt>
                <c:pt idx="277">
                  <c:v>-10.166407305389011</c:v>
                </c:pt>
                <c:pt idx="278">
                  <c:v>-8.1304819095825547</c:v>
                </c:pt>
                <c:pt idx="279">
                  <c:v>-5.8987332349823882</c:v>
                </c:pt>
                <c:pt idx="280">
                  <c:v>-7.178616674160323</c:v>
                </c:pt>
                <c:pt idx="281">
                  <c:v>-5.8388781241603249</c:v>
                </c:pt>
                <c:pt idx="282">
                  <c:v>-5.2417866966030866</c:v>
                </c:pt>
                <c:pt idx="283">
                  <c:v>-5.7269436162389615</c:v>
                </c:pt>
                <c:pt idx="284">
                  <c:v>-4.844673609827745</c:v>
                </c:pt>
                <c:pt idx="285">
                  <c:v>-7.0073671135504911</c:v>
                </c:pt>
                <c:pt idx="286">
                  <c:v>-6.0545882048040021</c:v>
                </c:pt>
                <c:pt idx="287">
                  <c:v>-4.8833478145962772</c:v>
                </c:pt>
                <c:pt idx="288">
                  <c:v>-5.7500616039334815</c:v>
                </c:pt>
                <c:pt idx="289">
                  <c:v>-4.6573929481385568</c:v>
                </c:pt>
                <c:pt idx="290">
                  <c:v>-3.3626748975164631</c:v>
                </c:pt>
                <c:pt idx="291">
                  <c:v>-3.8205219246384861</c:v>
                </c:pt>
                <c:pt idx="292">
                  <c:v>-4.0405311516250721</c:v>
                </c:pt>
                <c:pt idx="293">
                  <c:v>-2.8633818694026063</c:v>
                </c:pt>
                <c:pt idx="294">
                  <c:v>-4.7330804713834063</c:v>
                </c:pt>
                <c:pt idx="295">
                  <c:v>-6.4066686671746158</c:v>
                </c:pt>
                <c:pt idx="296">
                  <c:v>-6.2917976409226712</c:v>
                </c:pt>
                <c:pt idx="297">
                  <c:v>-6.1664124809854108</c:v>
                </c:pt>
                <c:pt idx="298">
                  <c:v>-5.0639512339697665</c:v>
                </c:pt>
                <c:pt idx="299">
                  <c:v>-5.5569433319801558</c:v>
                </c:pt>
                <c:pt idx="300">
                  <c:v>-4.8880168475226213</c:v>
                </c:pt>
                <c:pt idx="301">
                  <c:v>-3.2175352487539342</c:v>
                </c:pt>
                <c:pt idx="302">
                  <c:v>-3.2514634156654107</c:v>
                </c:pt>
                <c:pt idx="303">
                  <c:v>-4.4558009867115027</c:v>
                </c:pt>
                <c:pt idx="304">
                  <c:v>-6.2489042411112115</c:v>
                </c:pt>
                <c:pt idx="305">
                  <c:v>-8.2323795959915476</c:v>
                </c:pt>
                <c:pt idx="306">
                  <c:v>-6.9182793448513822</c:v>
                </c:pt>
                <c:pt idx="307">
                  <c:v>-7.1301791638448018</c:v>
                </c:pt>
                <c:pt idx="308">
                  <c:v>-7.4368982132716477</c:v>
                </c:pt>
                <c:pt idx="309">
                  <c:v>-7.3070925658714003</c:v>
                </c:pt>
                <c:pt idx="310">
                  <c:v>-6.991923518968175</c:v>
                </c:pt>
                <c:pt idx="311">
                  <c:v>-6.8022737151334631</c:v>
                </c:pt>
                <c:pt idx="312">
                  <c:v>-6.6027592860905582</c:v>
                </c:pt>
                <c:pt idx="313">
                  <c:v>-6.6701500517216266</c:v>
                </c:pt>
                <c:pt idx="314">
                  <c:v>-6.6656157674536152</c:v>
                </c:pt>
                <c:pt idx="315">
                  <c:v>-6.6319053723712091</c:v>
                </c:pt>
                <c:pt idx="316">
                  <c:v>-6.6194897891773952</c:v>
                </c:pt>
                <c:pt idx="317">
                  <c:v>-6.8116518484164192</c:v>
                </c:pt>
                <c:pt idx="318">
                  <c:v>-6.8988177311409471</c:v>
                </c:pt>
                <c:pt idx="319">
                  <c:v>-7.2595478563604585</c:v>
                </c:pt>
                <c:pt idx="320">
                  <c:v>-7.1121948222787221</c:v>
                </c:pt>
                <c:pt idx="321">
                  <c:v>-6.9064096446230447</c:v>
                </c:pt>
                <c:pt idx="322">
                  <c:v>-7.0507610801856373</c:v>
                </c:pt>
                <c:pt idx="323">
                  <c:v>-7.1305474539372824</c:v>
                </c:pt>
                <c:pt idx="324">
                  <c:v>-7.2509893442064053</c:v>
                </c:pt>
                <c:pt idx="325">
                  <c:v>-7.4903715162733899</c:v>
                </c:pt>
                <c:pt idx="326">
                  <c:v>-7.4361562019547085</c:v>
                </c:pt>
                <c:pt idx="327">
                  <c:v>-7.4206041009814454</c:v>
                </c:pt>
                <c:pt idx="328">
                  <c:v>-7.4490579027788018</c:v>
                </c:pt>
                <c:pt idx="329">
                  <c:v>-7.4944758662451232</c:v>
                </c:pt>
                <c:pt idx="330">
                  <c:v>-7.5804067710236822</c:v>
                </c:pt>
                <c:pt idx="331">
                  <c:v>-7.3979799047972667</c:v>
                </c:pt>
                <c:pt idx="332">
                  <c:v>-7.4994528718051265</c:v>
                </c:pt>
                <c:pt idx="333">
                  <c:v>-7.6367390183357049</c:v>
                </c:pt>
                <c:pt idx="334">
                  <c:v>-7.580842453111031</c:v>
                </c:pt>
                <c:pt idx="335">
                  <c:v>-7.5204442018599291</c:v>
                </c:pt>
                <c:pt idx="336">
                  <c:v>-7.5455017023375408</c:v>
                </c:pt>
                <c:pt idx="337">
                  <c:v>-7.2618604623768483</c:v>
                </c:pt>
                <c:pt idx="338">
                  <c:v>-7.3655843699112085</c:v>
                </c:pt>
                <c:pt idx="339">
                  <c:v>-7.18161634321386</c:v>
                </c:pt>
                <c:pt idx="340">
                  <c:v>-7.1530486124771633</c:v>
                </c:pt>
                <c:pt idx="341">
                  <c:v>-7.2537080527238746</c:v>
                </c:pt>
                <c:pt idx="342">
                  <c:v>-7.2170174601268062</c:v>
                </c:pt>
                <c:pt idx="343">
                  <c:v>-7.5063001674890435</c:v>
                </c:pt>
                <c:pt idx="344">
                  <c:v>-7.3979603058834664</c:v>
                </c:pt>
                <c:pt idx="345">
                  <c:v>-7.6282155969152274</c:v>
                </c:pt>
                <c:pt idx="346">
                  <c:v>-7.7028914150595575</c:v>
                </c:pt>
                <c:pt idx="347">
                  <c:v>-7.6595659741435265</c:v>
                </c:pt>
                <c:pt idx="348">
                  <c:v>-7.5642680514243059</c:v>
                </c:pt>
                <c:pt idx="349">
                  <c:v>-7.5300660040059038</c:v>
                </c:pt>
                <c:pt idx="350">
                  <c:v>-7.6615645391369203</c:v>
                </c:pt>
                <c:pt idx="351">
                  <c:v>-7.6663531691106428</c:v>
                </c:pt>
                <c:pt idx="352">
                  <c:v>-7.2134874490063696</c:v>
                </c:pt>
                <c:pt idx="353">
                  <c:v>-6.7609773397551667</c:v>
                </c:pt>
                <c:pt idx="354">
                  <c:v>-7.9679820533280106</c:v>
                </c:pt>
                <c:pt idx="355">
                  <c:v>-6.7950903223643024</c:v>
                </c:pt>
                <c:pt idx="356">
                  <c:v>-5.6448297477675293</c:v>
                </c:pt>
                <c:pt idx="357">
                  <c:v>-5.8668513157507238</c:v>
                </c:pt>
                <c:pt idx="358">
                  <c:v>-5.7630330759171979</c:v>
                </c:pt>
                <c:pt idx="359">
                  <c:v>-5.6420882651929638</c:v>
                </c:pt>
                <c:pt idx="360">
                  <c:v>-6.133700747270157</c:v>
                </c:pt>
                <c:pt idx="361">
                  <c:v>-6.2415778691989505</c:v>
                </c:pt>
                <c:pt idx="362">
                  <c:v>-6.462513688302578</c:v>
                </c:pt>
                <c:pt idx="363">
                  <c:v>-6.410955746335258</c:v>
                </c:pt>
                <c:pt idx="364">
                  <c:v>-5.9954038244042227</c:v>
                </c:pt>
                <c:pt idx="365">
                  <c:v>-6.2426910734042229</c:v>
                </c:pt>
                <c:pt idx="366">
                  <c:v>-5.7350218244042228</c:v>
                </c:pt>
                <c:pt idx="367">
                  <c:v>-5.2667187261469133</c:v>
                </c:pt>
                <c:pt idx="368">
                  <c:v>-4.8942150270459255</c:v>
                </c:pt>
                <c:pt idx="369">
                  <c:v>-5.2932817373273338</c:v>
                </c:pt>
                <c:pt idx="370">
                  <c:v>-5.4960511834867543</c:v>
                </c:pt>
                <c:pt idx="371">
                  <c:v>-5.3056741522033812</c:v>
                </c:pt>
                <c:pt idx="372">
                  <c:v>-5.0304143824414771</c:v>
                </c:pt>
                <c:pt idx="373">
                  <c:v>-5.0837418375874002</c:v>
                </c:pt>
                <c:pt idx="374">
                  <c:v>-4.120580584676631</c:v>
                </c:pt>
                <c:pt idx="375">
                  <c:v>-4.6685023952141309</c:v>
                </c:pt>
                <c:pt idx="376">
                  <c:v>-4.756197335499845</c:v>
                </c:pt>
                <c:pt idx="377">
                  <c:v>-5.0644070759373454</c:v>
                </c:pt>
                <c:pt idx="378">
                  <c:v>-5.0852901744564472</c:v>
                </c:pt>
                <c:pt idx="379">
                  <c:v>-5.1183660440564465</c:v>
                </c:pt>
                <c:pt idx="380">
                  <c:v>-5.2130078729848135</c:v>
                </c:pt>
                <c:pt idx="381">
                  <c:v>-5.2158633527667684</c:v>
                </c:pt>
                <c:pt idx="382">
                  <c:v>-5.1985041183046166</c:v>
                </c:pt>
                <c:pt idx="383">
                  <c:v>-5.1006027306557131</c:v>
                </c:pt>
                <c:pt idx="384">
                  <c:v>-5.189527633332637</c:v>
                </c:pt>
                <c:pt idx="385">
                  <c:v>-5.1815095287008681</c:v>
                </c:pt>
                <c:pt idx="386">
                  <c:v>-5.4363413400987728</c:v>
                </c:pt>
                <c:pt idx="387">
                  <c:v>-5.870921451985371</c:v>
                </c:pt>
                <c:pt idx="388">
                  <c:v>-5.8386214193402104</c:v>
                </c:pt>
                <c:pt idx="389">
                  <c:v>-5.2276296597273069</c:v>
                </c:pt>
                <c:pt idx="390">
                  <c:v>-4.8491866612273071</c:v>
                </c:pt>
                <c:pt idx="391">
                  <c:v>-4.6937135372273069</c:v>
                </c:pt>
                <c:pt idx="392">
                  <c:v>-4.5933013703773069</c:v>
                </c:pt>
                <c:pt idx="393">
                  <c:v>-4.5582609739251332</c:v>
                </c:pt>
                <c:pt idx="394">
                  <c:v>-4.6950917721927388</c:v>
                </c:pt>
                <c:pt idx="395">
                  <c:v>-4.3543155937625073</c:v>
                </c:pt>
                <c:pt idx="396">
                  <c:v>-4.0447608300030113</c:v>
                </c:pt>
                <c:pt idx="397">
                  <c:v>-3.9816224168476744</c:v>
                </c:pt>
                <c:pt idx="398">
                  <c:v>-3.893622223608868</c:v>
                </c:pt>
                <c:pt idx="399">
                  <c:v>-3.9596519724912209</c:v>
                </c:pt>
                <c:pt idx="400">
                  <c:v>-4.0755231688699194</c:v>
                </c:pt>
                <c:pt idx="401">
                  <c:v>-3.0145104917316305</c:v>
                </c:pt>
                <c:pt idx="402">
                  <c:v>-2.8945032877961463</c:v>
                </c:pt>
                <c:pt idx="403">
                  <c:v>-2.7785214769540412</c:v>
                </c:pt>
                <c:pt idx="404">
                  <c:v>-2.8803449722920687</c:v>
                </c:pt>
                <c:pt idx="405">
                  <c:v>-2.9182690593436145</c:v>
                </c:pt>
                <c:pt idx="406">
                  <c:v>-2.9935601764063207</c:v>
                </c:pt>
                <c:pt idx="407">
                  <c:v>-3.3937624639666026</c:v>
                </c:pt>
                <c:pt idx="408">
                  <c:v>-3.2382097629851208</c:v>
                </c:pt>
                <c:pt idx="409">
                  <c:v>-3.1901571719851209</c:v>
                </c:pt>
                <c:pt idx="410">
                  <c:v>-3.1427280280411209</c:v>
                </c:pt>
                <c:pt idx="411">
                  <c:v>-3.3048673044266628</c:v>
                </c:pt>
                <c:pt idx="412">
                  <c:v>-3.4071701488266637</c:v>
                </c:pt>
                <c:pt idx="413">
                  <c:v>-3.2443023381216274</c:v>
                </c:pt>
                <c:pt idx="414">
                  <c:v>-2.3833110273801332</c:v>
                </c:pt>
                <c:pt idx="415">
                  <c:v>-1.9776604811276108</c:v>
                </c:pt>
                <c:pt idx="416">
                  <c:v>-1.4349653180738482</c:v>
                </c:pt>
                <c:pt idx="417">
                  <c:v>-0.36363414230914187</c:v>
                </c:pt>
                <c:pt idx="418">
                  <c:v>-0.73837427944803347</c:v>
                </c:pt>
                <c:pt idx="419">
                  <c:v>-1.2237902787152102</c:v>
                </c:pt>
                <c:pt idx="420">
                  <c:v>-0.66467664742707511</c:v>
                </c:pt>
                <c:pt idx="421">
                  <c:v>-1.023684796085105</c:v>
                </c:pt>
                <c:pt idx="422">
                  <c:v>-1.1127898647004888</c:v>
                </c:pt>
                <c:pt idx="423">
                  <c:v>-0.6422371255400624</c:v>
                </c:pt>
                <c:pt idx="424">
                  <c:v>-0.53499033761698567</c:v>
                </c:pt>
                <c:pt idx="425">
                  <c:v>-0.63392709242779699</c:v>
                </c:pt>
                <c:pt idx="426">
                  <c:v>-0.69270013663709895</c:v>
                </c:pt>
                <c:pt idx="427">
                  <c:v>-0.63275924441363673</c:v>
                </c:pt>
                <c:pt idx="428">
                  <c:v>-0.6435852769914141</c:v>
                </c:pt>
                <c:pt idx="429">
                  <c:v>-0.27566233872825635</c:v>
                </c:pt>
                <c:pt idx="430">
                  <c:v>-0.34913477913251156</c:v>
                </c:pt>
                <c:pt idx="431">
                  <c:v>-0.62940856528635702</c:v>
                </c:pt>
                <c:pt idx="432">
                  <c:v>-0.49786760348635706</c:v>
                </c:pt>
                <c:pt idx="433">
                  <c:v>-0.85051872819224028</c:v>
                </c:pt>
                <c:pt idx="434">
                  <c:v>-0.48802582713668546</c:v>
                </c:pt>
                <c:pt idx="435">
                  <c:v>-0.51306804433668585</c:v>
                </c:pt>
                <c:pt idx="436">
                  <c:v>-0.42267387861087868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0-4B38-A969-ABD24AF00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945744"/>
        <c:axId val="516946992"/>
      </c:lineChart>
      <c:dateAx>
        <c:axId val="516945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46992"/>
        <c:crosses val="autoZero"/>
        <c:auto val="1"/>
        <c:lblOffset val="100"/>
        <c:baseTimeUnit val="days"/>
      </c:dateAx>
      <c:valAx>
        <c:axId val="51694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4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1DE43C3-BEC5-4BCD-9410-F0A18B106764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484D0-15BE-4BD0-BBFB-A7CE639AC5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0.17</v>
      </c>
      <c r="D2" s="4">
        <f>MIN(D3:D1912)</f>
        <v>1.0500000000000001E-2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4.2840000000000003E-2</v>
      </c>
      <c r="C5">
        <v>4.3580000000000001E-2</v>
      </c>
      <c r="D5">
        <v>4.2389999999999997E-2</v>
      </c>
      <c r="E5">
        <v>4.2450000000000002E-2</v>
      </c>
      <c r="F5">
        <v>2181020</v>
      </c>
      <c r="G5">
        <v>4.2450000000000002E-2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-0.89915966386553892</v>
      </c>
      <c r="Q5">
        <f t="shared" ref="Q5" si="1">F5*P5</f>
        <v>-1961085.2100840176</v>
      </c>
      <c r="R5">
        <f t="shared" ref="R5" si="2">R6+Q5</f>
        <v>-12786776822.812536</v>
      </c>
      <c r="S5">
        <f t="shared" ref="S5" si="3">R5/100000</f>
        <v>-127867.76822812537</v>
      </c>
      <c r="T5">
        <f t="shared" ref="T5" si="4">S5/1000</f>
        <v>-127.86776822812537</v>
      </c>
    </row>
    <row r="6" spans="1:20" x14ac:dyDescent="0.25">
      <c r="A6" s="5">
        <v>44587</v>
      </c>
      <c r="B6">
        <v>4.2139999999999997E-2</v>
      </c>
      <c r="C6">
        <v>4.6809999999999997E-2</v>
      </c>
      <c r="D6">
        <v>4.1450000000000001E-2</v>
      </c>
      <c r="E6">
        <v>4.2840000000000003E-2</v>
      </c>
      <c r="F6">
        <v>50920592</v>
      </c>
      <c r="G6">
        <v>4.2840000000000003E-2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-0.48134328358208833</v>
      </c>
      <c r="Q6">
        <f t="shared" ref="Q6" si="6">F6*P6</f>
        <v>-24510284.955223817</v>
      </c>
      <c r="R6">
        <f t="shared" ref="R6" si="7">R7+Q6</f>
        <v>-12784815737.602451</v>
      </c>
      <c r="S6">
        <f t="shared" ref="S6" si="8">R6/100000</f>
        <v>-127848.15737602451</v>
      </c>
      <c r="T6">
        <f t="shared" ref="T6" si="9">S6/1000</f>
        <v>-127.8481573760245</v>
      </c>
    </row>
    <row r="7" spans="1:20" x14ac:dyDescent="0.25">
      <c r="A7" s="5">
        <v>44586</v>
      </c>
      <c r="B7">
        <v>4.1590000000000002E-2</v>
      </c>
      <c r="C7">
        <v>4.4859999999999997E-2</v>
      </c>
      <c r="D7">
        <v>3.9809999999999998E-2</v>
      </c>
      <c r="E7">
        <v>4.1950000000000001E-2</v>
      </c>
      <c r="F7">
        <v>48818767</v>
      </c>
      <c r="G7">
        <v>4.1950000000000001E-2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-0.15247524752475111</v>
      </c>
      <c r="Q7">
        <f t="shared" ref="Q7" si="11">F7*P7</f>
        <v>-7443653.5821781512</v>
      </c>
      <c r="R7">
        <f t="shared" ref="R7" si="12">R8+Q7</f>
        <v>-12760305452.647228</v>
      </c>
      <c r="S7">
        <f t="shared" ref="S7" si="13">R7/100000</f>
        <v>-127603.05452647229</v>
      </c>
      <c r="T7">
        <f t="shared" ref="T7" si="14">S7/1000</f>
        <v>-127.60305452647229</v>
      </c>
    </row>
    <row r="8" spans="1:20" x14ac:dyDescent="0.25">
      <c r="A8" s="5">
        <v>44585</v>
      </c>
      <c r="B8">
        <v>4.3839999999999997E-2</v>
      </c>
      <c r="C8">
        <v>4.3999999999999997E-2</v>
      </c>
      <c r="D8">
        <v>3.771E-2</v>
      </c>
      <c r="E8">
        <v>4.1829999999999999E-2</v>
      </c>
      <c r="F8">
        <v>64365088</v>
      </c>
      <c r="G8">
        <v>4.1829999999999999E-2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0.31001589825119258</v>
      </c>
      <c r="Q8">
        <f t="shared" ref="Q8" si="16">F8*P8</f>
        <v>19954200.572337057</v>
      </c>
      <c r="R8">
        <f t="shared" ref="R8" si="17">R9+Q8</f>
        <v>-12752861799.06505</v>
      </c>
      <c r="S8">
        <f t="shared" ref="S8" si="18">R8/100000</f>
        <v>-127528.6179906505</v>
      </c>
      <c r="T8">
        <f t="shared" ref="T8" si="19">S8/1000</f>
        <v>-127.5286179906505</v>
      </c>
    </row>
    <row r="9" spans="1:20" x14ac:dyDescent="0.25">
      <c r="A9" s="5">
        <v>44584</v>
      </c>
      <c r="B9">
        <v>4.1610000000000001E-2</v>
      </c>
      <c r="C9">
        <v>4.7669999999999997E-2</v>
      </c>
      <c r="D9">
        <v>4.1369999999999997E-2</v>
      </c>
      <c r="E9">
        <v>4.3909999999999998E-2</v>
      </c>
      <c r="F9">
        <v>55990737</v>
      </c>
      <c r="G9">
        <v>4.3909999999999998E-2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-0.19365079365079346</v>
      </c>
      <c r="Q9">
        <f t="shared" ref="Q9" si="21">F9*P9</f>
        <v>-10842650.657142846</v>
      </c>
      <c r="R9">
        <f t="shared" ref="R9" si="22">R10+Q9</f>
        <v>-12772815999.637386</v>
      </c>
      <c r="S9">
        <f t="shared" ref="S9" si="23">R9/100000</f>
        <v>-127728.15999637387</v>
      </c>
      <c r="T9">
        <f t="shared" ref="T9" si="24">S9/1000</f>
        <v>-127.72815999637388</v>
      </c>
    </row>
    <row r="10" spans="1:20" x14ac:dyDescent="0.25">
      <c r="A10" s="5">
        <v>44583</v>
      </c>
      <c r="B10">
        <v>4.8250000000000001E-2</v>
      </c>
      <c r="C10">
        <v>4.913E-2</v>
      </c>
      <c r="D10">
        <v>3.703E-2</v>
      </c>
      <c r="E10">
        <v>4.1680000000000002E-2</v>
      </c>
      <c r="F10">
        <v>124100067</v>
      </c>
      <c r="G10">
        <v>4.1680000000000002E-2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-0.23140495867768571</v>
      </c>
      <c r="Q10">
        <f t="shared" ref="Q10" si="26">F10*P10</f>
        <v>-28717370.876033027</v>
      </c>
      <c r="R10">
        <f t="shared" ref="R10" si="27">R11+Q10</f>
        <v>-12761973348.980244</v>
      </c>
      <c r="S10">
        <f t="shared" ref="S10" si="28">R10/100000</f>
        <v>-127619.73348980244</v>
      </c>
      <c r="T10">
        <f t="shared" ref="T10" si="29">S10/1000</f>
        <v>-127.61973348980244</v>
      </c>
    </row>
    <row r="11" spans="1:20" x14ac:dyDescent="0.25">
      <c r="A11" s="5">
        <v>44582</v>
      </c>
      <c r="B11">
        <v>5.4980000000000001E-2</v>
      </c>
      <c r="C11">
        <v>6.1990000000000003E-2</v>
      </c>
      <c r="D11">
        <v>4.7669999999999997E-2</v>
      </c>
      <c r="E11">
        <v>4.8230000000000002E-2</v>
      </c>
      <c r="F11">
        <v>174650828</v>
      </c>
      <c r="G11">
        <v>4.8230000000000002E-2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-0.92178770949720601</v>
      </c>
      <c r="Q11">
        <f t="shared" ref="Q11" si="31">F11*P11</f>
        <v>-160990986.7039105</v>
      </c>
      <c r="R11">
        <f t="shared" ref="R11" si="32">R12+Q11</f>
        <v>-12733255978.10421</v>
      </c>
      <c r="S11">
        <f t="shared" ref="S11" si="33">R11/100000</f>
        <v>-127332.5597810421</v>
      </c>
      <c r="T11">
        <f t="shared" ref="T11" si="34">S11/1000</f>
        <v>-127.33255978104211</v>
      </c>
    </row>
    <row r="12" spans="1:20" x14ac:dyDescent="0.25">
      <c r="A12" s="5">
        <v>44581</v>
      </c>
      <c r="B12">
        <v>5.6869999999999997E-2</v>
      </c>
      <c r="C12">
        <v>6.0170000000000001E-2</v>
      </c>
      <c r="D12">
        <v>5.4760000000000003E-2</v>
      </c>
      <c r="E12">
        <v>5.5149999999999998E-2</v>
      </c>
      <c r="F12">
        <v>37190627</v>
      </c>
      <c r="G12">
        <v>5.5149999999999998E-2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-0.85582255083179493</v>
      </c>
      <c r="Q12">
        <f t="shared" ref="Q12" si="36">F12*P12</f>
        <v>-31828577.266173825</v>
      </c>
      <c r="R12">
        <f t="shared" ref="R12" si="37">R13+Q12</f>
        <v>-12572264991.400299</v>
      </c>
      <c r="S12">
        <f t="shared" ref="S12" si="38">R12/100000</f>
        <v>-125722.64991400299</v>
      </c>
      <c r="T12">
        <f t="shared" ref="T12" si="39">S12/1000</f>
        <v>-125.72264991400299</v>
      </c>
    </row>
    <row r="13" spans="1:20" x14ac:dyDescent="0.25">
      <c r="A13" s="5">
        <v>44580</v>
      </c>
      <c r="B13">
        <v>5.8819999999999997E-2</v>
      </c>
      <c r="C13">
        <v>5.9159999999999997E-2</v>
      </c>
      <c r="D13">
        <v>5.5669999999999997E-2</v>
      </c>
      <c r="E13">
        <v>5.6860000000000001E-2</v>
      </c>
      <c r="F13">
        <v>24994739</v>
      </c>
      <c r="G13">
        <v>5.6860000000000001E-2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-0.31805157593123007</v>
      </c>
      <c r="Q13">
        <f t="shared" ref="Q13" si="41">F13*P13</f>
        <v>-7949616.1289397776</v>
      </c>
      <c r="R13">
        <f t="shared" ref="R13" si="42">R14+Q13</f>
        <v>-12540436414.134125</v>
      </c>
      <c r="S13">
        <f t="shared" ref="S13" si="43">R13/100000</f>
        <v>-125404.36414134124</v>
      </c>
      <c r="T13">
        <f t="shared" ref="T13" si="44">S13/1000</f>
        <v>-125.40436414134125</v>
      </c>
    </row>
    <row r="14" spans="1:20" x14ac:dyDescent="0.25">
      <c r="A14" s="5">
        <v>44579</v>
      </c>
      <c r="B14">
        <v>5.9909999999999998E-2</v>
      </c>
      <c r="C14">
        <v>6.0679999999999998E-2</v>
      </c>
      <c r="D14">
        <v>5.6489999999999999E-2</v>
      </c>
      <c r="E14">
        <v>5.8819999999999997E-2</v>
      </c>
      <c r="F14">
        <v>37229249</v>
      </c>
      <c r="G14">
        <v>5.8819999999999997E-2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0.11217183770883014</v>
      </c>
      <c r="Q14">
        <f t="shared" ref="Q14" si="46">F14*P14</f>
        <v>4176073.276849627</v>
      </c>
      <c r="R14">
        <f t="shared" ref="R14" si="47">R15+Q14</f>
        <v>-12532486798.005184</v>
      </c>
      <c r="S14">
        <f t="shared" ref="S14" si="48">R14/100000</f>
        <v>-125324.86798005184</v>
      </c>
      <c r="T14">
        <f t="shared" ref="T14" si="49">S14/1000</f>
        <v>-125.32486798005185</v>
      </c>
    </row>
    <row r="15" spans="1:20" x14ac:dyDescent="0.25">
      <c r="A15" s="5">
        <v>44578</v>
      </c>
      <c r="B15">
        <v>6.2420000000000003E-2</v>
      </c>
      <c r="C15">
        <v>6.2570000000000001E-2</v>
      </c>
      <c r="D15">
        <v>5.8689999999999999E-2</v>
      </c>
      <c r="E15">
        <v>5.9929999999999997E-2</v>
      </c>
      <c r="F15">
        <v>23744809</v>
      </c>
      <c r="G15">
        <v>5.9929999999999997E-2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-0.36082474226804251</v>
      </c>
      <c r="Q15">
        <f t="shared" ref="Q15" si="51">F15*P15</f>
        <v>-8567714.5876288954</v>
      </c>
      <c r="R15">
        <f t="shared" ref="R15" si="52">R16+Q15</f>
        <v>-12536662871.282034</v>
      </c>
      <c r="S15">
        <f t="shared" ref="S15" si="53">R15/100000</f>
        <v>-125366.62871282034</v>
      </c>
      <c r="T15">
        <f t="shared" ref="T15" si="54">S15/1000</f>
        <v>-125.36662871282034</v>
      </c>
    </row>
    <row r="16" spans="1:20" x14ac:dyDescent="0.25">
      <c r="A16" s="5">
        <v>44577</v>
      </c>
      <c r="B16">
        <v>6.2820000000000001E-2</v>
      </c>
      <c r="C16">
        <v>6.4199999999999993E-2</v>
      </c>
      <c r="D16">
        <v>6.2E-2</v>
      </c>
      <c r="E16">
        <v>6.2370000000000002E-2</v>
      </c>
      <c r="F16">
        <v>32376114</v>
      </c>
      <c r="G16">
        <v>6.2370000000000002E-2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-0.66363636363636058</v>
      </c>
      <c r="Q16">
        <f t="shared" ref="Q16" si="56">F16*P16</f>
        <v>-21485966.563636266</v>
      </c>
      <c r="R16">
        <f t="shared" ref="R16" si="57">R17+Q16</f>
        <v>-12528095156.694405</v>
      </c>
      <c r="S16">
        <f t="shared" ref="S16" si="58">R16/100000</f>
        <v>-125280.95156694404</v>
      </c>
      <c r="T16">
        <f t="shared" ref="T16" si="59">S16/1000</f>
        <v>-125.28095156694404</v>
      </c>
    </row>
    <row r="17" spans="1:20" x14ac:dyDescent="0.25">
      <c r="A17" s="5">
        <v>44576</v>
      </c>
      <c r="B17">
        <v>6.2899999999999998E-2</v>
      </c>
      <c r="C17">
        <v>6.5589999999999996E-2</v>
      </c>
      <c r="D17">
        <v>6.2E-2</v>
      </c>
      <c r="E17">
        <v>6.2820000000000001E-2</v>
      </c>
      <c r="F17">
        <v>52125178</v>
      </c>
      <c r="G17">
        <v>6.2820000000000001E-2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-0.54317548746517985</v>
      </c>
      <c r="Q17">
        <f t="shared" ref="Q17" si="61">F17*P17</f>
        <v>-28313118.969359268</v>
      </c>
      <c r="R17">
        <f t="shared" ref="R17" si="62">R18+Q17</f>
        <v>-12506609190.130768</v>
      </c>
      <c r="S17">
        <f t="shared" ref="S17" si="63">R17/100000</f>
        <v>-125066.09190130768</v>
      </c>
      <c r="T17">
        <f t="shared" ref="T17" si="64">S17/1000</f>
        <v>-125.06609190130767</v>
      </c>
    </row>
    <row r="18" spans="1:20" x14ac:dyDescent="0.25">
      <c r="A18" s="5">
        <v>44575</v>
      </c>
      <c r="B18">
        <v>6.0440000000000001E-2</v>
      </c>
      <c r="C18">
        <v>6.5589999999999996E-2</v>
      </c>
      <c r="D18">
        <v>5.9749999999999998E-2</v>
      </c>
      <c r="E18">
        <v>6.2869999999999995E-2</v>
      </c>
      <c r="F18">
        <v>100939549</v>
      </c>
      <c r="G18">
        <v>6.2869999999999995E-2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6.8493150684931114E-2</v>
      </c>
      <c r="Q18">
        <f t="shared" ref="Q18" si="66">F18*P18</f>
        <v>6913667.7397259874</v>
      </c>
      <c r="R18">
        <f t="shared" ref="R18" si="67">R19+Q18</f>
        <v>-12478296071.161409</v>
      </c>
      <c r="S18">
        <f t="shared" ref="S18" si="68">R18/100000</f>
        <v>-124782.9607116141</v>
      </c>
      <c r="T18">
        <f t="shared" ref="T18" si="69">S18/1000</f>
        <v>-124.78296071161409</v>
      </c>
    </row>
    <row r="19" spans="1:20" x14ac:dyDescent="0.25">
      <c r="A19" s="5">
        <v>44574</v>
      </c>
      <c r="B19">
        <v>6.1219999999999997E-2</v>
      </c>
      <c r="C19">
        <v>6.6739999999999994E-2</v>
      </c>
      <c r="D19">
        <v>5.9790000000000003E-2</v>
      </c>
      <c r="E19">
        <v>6.0440000000000001E-2</v>
      </c>
      <c r="F19">
        <v>93875841</v>
      </c>
      <c r="G19">
        <v>6.0440000000000001E-2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-0.81294964028777017</v>
      </c>
      <c r="Q19">
        <f t="shared" ref="Q19" si="71">F19*P19</f>
        <v>-76316331.172661901</v>
      </c>
      <c r="R19">
        <f t="shared" ref="R19" si="72">R20+Q19</f>
        <v>-12485209738.901134</v>
      </c>
      <c r="S19">
        <f t="shared" ref="S19" si="73">R19/100000</f>
        <v>-124852.09738901134</v>
      </c>
      <c r="T19">
        <f t="shared" ref="T19" si="74">S19/1000</f>
        <v>-124.85209738901133</v>
      </c>
    </row>
    <row r="20" spans="1:20" x14ac:dyDescent="0.25">
      <c r="A20" s="5">
        <v>44573</v>
      </c>
      <c r="B20">
        <v>5.9749999999999998E-2</v>
      </c>
      <c r="C20">
        <v>6.2300000000000001E-2</v>
      </c>
      <c r="D20">
        <v>5.858E-2</v>
      </c>
      <c r="E20">
        <v>6.1260000000000002E-2</v>
      </c>
      <c r="F20">
        <v>59517347</v>
      </c>
      <c r="G20">
        <v>6.1260000000000002E-2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0.44086021505376399</v>
      </c>
      <c r="Q20">
        <f t="shared" ref="Q20" si="76">F20*P20</f>
        <v>26238830.397849496</v>
      </c>
      <c r="R20">
        <f t="shared" ref="R20" si="77">R21+Q20</f>
        <v>-12408893407.728472</v>
      </c>
      <c r="S20">
        <f t="shared" ref="S20" si="78">R20/100000</f>
        <v>-124088.93407728472</v>
      </c>
      <c r="T20">
        <f t="shared" ref="T20" si="79">S20/1000</f>
        <v>-124.08893407728472</v>
      </c>
    </row>
    <row r="21" spans="1:20" x14ac:dyDescent="0.25">
      <c r="A21" s="5">
        <v>44572</v>
      </c>
      <c r="B21">
        <v>5.79E-2</v>
      </c>
      <c r="C21">
        <v>6.1940000000000002E-2</v>
      </c>
      <c r="D21">
        <v>5.6980000000000003E-2</v>
      </c>
      <c r="E21">
        <v>5.9749999999999998E-2</v>
      </c>
      <c r="F21">
        <v>46613283</v>
      </c>
      <c r="G21">
        <v>5.9749999999999998E-2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0.11693548387096579</v>
      </c>
      <c r="Q21">
        <f t="shared" ref="Q21" si="81">F21*P21</f>
        <v>5450746.8024192639</v>
      </c>
      <c r="R21">
        <f t="shared" ref="R21" si="82">R22+Q21</f>
        <v>-12435132238.126322</v>
      </c>
      <c r="S21">
        <f t="shared" ref="S21" si="83">R21/100000</f>
        <v>-124351.32238126322</v>
      </c>
      <c r="T21">
        <f t="shared" ref="T21" si="84">S21/1000</f>
        <v>-124.35132238126322</v>
      </c>
    </row>
    <row r="22" spans="1:20" x14ac:dyDescent="0.25">
      <c r="A22" s="5">
        <v>44571</v>
      </c>
      <c r="B22">
        <v>6.1030000000000001E-2</v>
      </c>
      <c r="C22">
        <v>6.1440000000000002E-2</v>
      </c>
      <c r="D22">
        <v>5.4399999999999997E-2</v>
      </c>
      <c r="E22">
        <v>5.79E-2</v>
      </c>
      <c r="F22">
        <v>62536743</v>
      </c>
      <c r="G22">
        <v>5.79E-2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-5.6818181818179469E-3</v>
      </c>
      <c r="Q22">
        <f t="shared" ref="Q22" si="86">F22*P22</f>
        <v>-355322.40340907621</v>
      </c>
      <c r="R22">
        <f t="shared" ref="R22" si="87">R23+Q22</f>
        <v>-12440582984.928741</v>
      </c>
      <c r="S22">
        <f t="shared" ref="S22" si="88">R22/100000</f>
        <v>-124405.82984928742</v>
      </c>
      <c r="T22">
        <f t="shared" ref="T22" si="89">S22/1000</f>
        <v>-124.40582984928741</v>
      </c>
    </row>
    <row r="23" spans="1:20" x14ac:dyDescent="0.25">
      <c r="A23" s="5">
        <v>44570</v>
      </c>
      <c r="B23">
        <v>6.1990000000000003E-2</v>
      </c>
      <c r="C23">
        <v>6.5379999999999994E-2</v>
      </c>
      <c r="D23">
        <v>5.9499999999999997E-2</v>
      </c>
      <c r="E23">
        <v>6.1109999999999998E-2</v>
      </c>
      <c r="F23">
        <v>66723012</v>
      </c>
      <c r="G23">
        <v>6.1109999999999998E-2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-0.45238095238095194</v>
      </c>
      <c r="Q23">
        <f t="shared" ref="Q23" si="91">F23*P23</f>
        <v>-30184219.714285687</v>
      </c>
      <c r="R23">
        <f t="shared" ref="R23" si="92">R24+Q23</f>
        <v>-12440227662.525331</v>
      </c>
      <c r="S23">
        <f t="shared" ref="S23" si="93">R23/100000</f>
        <v>-124402.27662525332</v>
      </c>
      <c r="T23">
        <f t="shared" ref="T23" si="94">S23/1000</f>
        <v>-124.40227662525332</v>
      </c>
    </row>
    <row r="24" spans="1:20" x14ac:dyDescent="0.25">
      <c r="A24" s="5">
        <v>44569</v>
      </c>
      <c r="B24">
        <v>5.9490000000000001E-2</v>
      </c>
      <c r="C24">
        <v>7.5810000000000002E-2</v>
      </c>
      <c r="D24">
        <v>5.9330000000000001E-2</v>
      </c>
      <c r="E24">
        <v>6.1990000000000003E-2</v>
      </c>
      <c r="F24">
        <v>317583854</v>
      </c>
      <c r="G24">
        <v>6.1990000000000003E-2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-0.67718446601941717</v>
      </c>
      <c r="Q24">
        <f t="shared" ref="Q24" si="96">F24*P24</f>
        <v>-215062852.58737853</v>
      </c>
      <c r="R24">
        <f t="shared" ref="R24" si="97">R25+Q24</f>
        <v>-12410043442.811047</v>
      </c>
      <c r="S24">
        <f t="shared" ref="S24" si="98">R24/100000</f>
        <v>-124100.43442811047</v>
      </c>
      <c r="T24">
        <f t="shared" ref="T24" si="99">S24/1000</f>
        <v>-124.10043442811047</v>
      </c>
    </row>
    <row r="25" spans="1:20" x14ac:dyDescent="0.25">
      <c r="A25" s="5">
        <v>44568</v>
      </c>
      <c r="B25">
        <v>6.4159999999999995E-2</v>
      </c>
      <c r="C25">
        <v>6.4399999999999999E-2</v>
      </c>
      <c r="D25">
        <v>5.8650000000000001E-2</v>
      </c>
      <c r="E25">
        <v>5.9490000000000001E-2</v>
      </c>
      <c r="F25">
        <v>45213117</v>
      </c>
      <c r="G25">
        <v>5.9490000000000001E-2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-0.70782608695652149</v>
      </c>
      <c r="Q25">
        <f t="shared" ref="Q25" si="101">F25*P25</f>
        <v>-32003023.685217381</v>
      </c>
      <c r="R25">
        <f t="shared" ref="R25" si="102">R26+Q25</f>
        <v>-12194980590.223667</v>
      </c>
      <c r="S25">
        <f t="shared" ref="S25" si="103">R25/100000</f>
        <v>-121949.80590223667</v>
      </c>
      <c r="T25">
        <f t="shared" ref="T25" si="104">S25/1000</f>
        <v>-121.94980590223666</v>
      </c>
    </row>
    <row r="26" spans="1:20" x14ac:dyDescent="0.25">
      <c r="A26" s="5">
        <v>44567</v>
      </c>
      <c r="B26">
        <v>6.4799999999999996E-2</v>
      </c>
      <c r="C26">
        <v>6.5500000000000003E-2</v>
      </c>
      <c r="D26">
        <v>6.2010000000000003E-2</v>
      </c>
      <c r="E26">
        <v>6.4130000000000006E-2</v>
      </c>
      <c r="F26">
        <v>37442491</v>
      </c>
      <c r="G26">
        <v>6.4130000000000006E-2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0.21489971346705089</v>
      </c>
      <c r="Q26">
        <f t="shared" ref="Q26" si="106">F26*P26</f>
        <v>8046380.5873926319</v>
      </c>
      <c r="R26">
        <f t="shared" ref="R26" si="107">R27+Q26</f>
        <v>-12162977566.53845</v>
      </c>
      <c r="S26">
        <f t="shared" ref="S26" si="108">R26/100000</f>
        <v>-121629.7756653845</v>
      </c>
      <c r="T26">
        <f t="shared" ref="T26" si="109">S26/1000</f>
        <v>-121.6297756653845</v>
      </c>
    </row>
    <row r="27" spans="1:20" x14ac:dyDescent="0.25">
      <c r="A27" s="5">
        <v>44566</v>
      </c>
      <c r="B27">
        <v>7.0970000000000005E-2</v>
      </c>
      <c r="C27">
        <v>7.4639999999999998E-2</v>
      </c>
      <c r="D27">
        <v>6.1069999999999999E-2</v>
      </c>
      <c r="E27">
        <v>6.4939999999999998E-2</v>
      </c>
      <c r="F27">
        <v>84473443</v>
      </c>
      <c r="G27">
        <v>6.4939999999999998E-2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-0.42962417096536493</v>
      </c>
      <c r="Q27">
        <f t="shared" ref="Q27" si="111">F27*P27</f>
        <v>-36291832.917465009</v>
      </c>
      <c r="R27">
        <f t="shared" ref="R27" si="112">R28+Q27</f>
        <v>-12171023947.125843</v>
      </c>
      <c r="S27">
        <f t="shared" ref="S27" si="113">R27/100000</f>
        <v>-121710.23947125844</v>
      </c>
      <c r="T27">
        <f t="shared" ref="T27" si="114">S27/1000</f>
        <v>-121.71023947125843</v>
      </c>
    </row>
    <row r="28" spans="1:20" x14ac:dyDescent="0.25">
      <c r="A28" s="5">
        <v>44565</v>
      </c>
      <c r="B28">
        <v>7.1190000000000003E-2</v>
      </c>
      <c r="C28">
        <v>7.4940000000000007E-2</v>
      </c>
      <c r="D28">
        <v>7.0199999999999999E-2</v>
      </c>
      <c r="E28">
        <v>7.1010000000000004E-2</v>
      </c>
      <c r="F28">
        <v>69557361</v>
      </c>
      <c r="G28">
        <v>7.1010000000000004E-2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-0.65822784810126422</v>
      </c>
      <c r="Q28">
        <f t="shared" ref="Q28" si="116">F28*P28</f>
        <v>-45784592.050632797</v>
      </c>
      <c r="R28">
        <f t="shared" ref="R28" si="117">R29+Q28</f>
        <v>-12134732114.208378</v>
      </c>
      <c r="S28">
        <f t="shared" ref="S28" si="118">R28/100000</f>
        <v>-121347.32114208378</v>
      </c>
      <c r="T28">
        <f t="shared" ref="T28" si="119">S28/1000</f>
        <v>-121.34732114208377</v>
      </c>
    </row>
    <row r="29" spans="1:20" x14ac:dyDescent="0.25">
      <c r="A29" s="5">
        <v>44564</v>
      </c>
      <c r="B29">
        <v>7.3179999999999995E-2</v>
      </c>
      <c r="C29">
        <v>7.3469999999999994E-2</v>
      </c>
      <c r="D29">
        <v>7.0019999999999999E-2</v>
      </c>
      <c r="E29">
        <v>7.1190000000000003E-2</v>
      </c>
      <c r="F29">
        <v>66581063</v>
      </c>
      <c r="G29">
        <v>7.1190000000000003E-2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-0.32173913043477903</v>
      </c>
      <c r="Q29">
        <f t="shared" ref="Q29" si="121">F29*P29</f>
        <v>-21421733.31304324</v>
      </c>
      <c r="R29">
        <f t="shared" ref="R29" si="122">R30+Q29</f>
        <v>-12088947522.157745</v>
      </c>
      <c r="S29">
        <f t="shared" ref="S29" si="123">R29/100000</f>
        <v>-120889.47522157745</v>
      </c>
      <c r="T29">
        <f t="shared" ref="T29" si="124">S29/1000</f>
        <v>-120.88947522157746</v>
      </c>
    </row>
    <row r="30" spans="1:20" x14ac:dyDescent="0.25">
      <c r="A30" s="5">
        <v>44563</v>
      </c>
      <c r="B30">
        <v>7.5990000000000002E-2</v>
      </c>
      <c r="C30">
        <v>7.8229999999999994E-2</v>
      </c>
      <c r="D30">
        <v>7.2270000000000001E-2</v>
      </c>
      <c r="E30">
        <v>7.3150000000000007E-2</v>
      </c>
      <c r="F30">
        <v>68681626</v>
      </c>
      <c r="G30">
        <v>7.3150000000000007E-2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-0.70469798657717897</v>
      </c>
      <c r="Q30">
        <f t="shared" ref="Q30" si="126">F30*P30</f>
        <v>-48399803.557046823</v>
      </c>
      <c r="R30">
        <f t="shared" ref="R30" si="127">R31+Q30</f>
        <v>-12067525788.844702</v>
      </c>
      <c r="S30">
        <f t="shared" ref="S30" si="128">R30/100000</f>
        <v>-120675.25788844701</v>
      </c>
      <c r="T30">
        <f t="shared" ref="T30" si="129">S30/1000</f>
        <v>-120.67525788844701</v>
      </c>
    </row>
    <row r="31" spans="1:20" x14ac:dyDescent="0.25">
      <c r="A31" s="5">
        <v>44562</v>
      </c>
      <c r="B31">
        <v>7.3569999999999997E-2</v>
      </c>
      <c r="C31">
        <v>8.0960000000000004E-2</v>
      </c>
      <c r="D31">
        <v>7.3010000000000005E-2</v>
      </c>
      <c r="E31">
        <v>7.5969999999999996E-2</v>
      </c>
      <c r="F31">
        <v>152270278</v>
      </c>
      <c r="G31">
        <v>7.5969999999999996E-2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-0.25534591194968781</v>
      </c>
      <c r="Q31">
        <f t="shared" ref="Q31" si="131">F31*P31</f>
        <v>-38881592.998742484</v>
      </c>
      <c r="R31">
        <f t="shared" ref="R31" si="132">R32+Q31</f>
        <v>-12019125985.287655</v>
      </c>
      <c r="S31">
        <f t="shared" ref="S31" si="133">R31/100000</f>
        <v>-120191.25985287655</v>
      </c>
      <c r="T31">
        <f t="shared" ref="T31" si="134">S31/1000</f>
        <v>-120.19125985287656</v>
      </c>
    </row>
    <row r="32" spans="1:20" x14ac:dyDescent="0.25">
      <c r="A32" s="5">
        <v>44561</v>
      </c>
      <c r="B32">
        <v>7.5230000000000005E-2</v>
      </c>
      <c r="C32">
        <v>7.7280000000000001E-2</v>
      </c>
      <c r="D32">
        <v>7.0900000000000005E-2</v>
      </c>
      <c r="E32">
        <v>7.3730000000000004E-2</v>
      </c>
      <c r="F32">
        <v>83929432</v>
      </c>
      <c r="G32">
        <v>7.3730000000000004E-2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-0.11285266457680232</v>
      </c>
      <c r="Q32">
        <f t="shared" ref="Q32" si="136">F32*P32</f>
        <v>-9471660.03761754</v>
      </c>
      <c r="R32">
        <f t="shared" ref="R32" si="137">R33+Q32</f>
        <v>-11980244392.288912</v>
      </c>
      <c r="S32">
        <f t="shared" ref="S32" si="138">R32/100000</f>
        <v>-119802.44392288911</v>
      </c>
      <c r="T32">
        <f t="shared" ref="T32" si="139">S32/1000</f>
        <v>-119.80244392288911</v>
      </c>
    </row>
    <row r="33" spans="1:20" x14ac:dyDescent="0.25">
      <c r="A33" s="5">
        <v>44560</v>
      </c>
      <c r="B33">
        <v>7.5929999999999997E-2</v>
      </c>
      <c r="C33">
        <v>8.2549999999999998E-2</v>
      </c>
      <c r="D33">
        <v>7.3760000000000006E-2</v>
      </c>
      <c r="E33">
        <v>7.5240000000000001E-2</v>
      </c>
      <c r="F33">
        <v>202301322</v>
      </c>
      <c r="G33">
        <v>7.5240000000000001E-2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-0.66325369738339102</v>
      </c>
      <c r="Q33">
        <f t="shared" ref="Q33" si="141">F33*P33</f>
        <v>-134177099.80204794</v>
      </c>
      <c r="R33">
        <f t="shared" ref="R33" si="142">R34+Q33</f>
        <v>-11970772732.251295</v>
      </c>
      <c r="S33">
        <f t="shared" ref="S33" si="143">R33/100000</f>
        <v>-119707.72732251295</v>
      </c>
      <c r="T33">
        <f t="shared" ref="T33" si="144">S33/1000</f>
        <v>-119.70772732251295</v>
      </c>
    </row>
    <row r="34" spans="1:20" x14ac:dyDescent="0.25">
      <c r="A34" s="5">
        <v>44559</v>
      </c>
      <c r="B34">
        <v>8.1089999999999995E-2</v>
      </c>
      <c r="C34">
        <v>8.4860000000000005E-2</v>
      </c>
      <c r="D34">
        <v>7.2830000000000006E-2</v>
      </c>
      <c r="E34">
        <v>7.5980000000000006E-2</v>
      </c>
      <c r="F34">
        <v>275733019</v>
      </c>
      <c r="G34">
        <v>7.5980000000000006E-2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-0.47630922693266831</v>
      </c>
      <c r="Q34">
        <f t="shared" ref="Q34" si="146">F34*P34</f>
        <v>-131334181.11970074</v>
      </c>
      <c r="R34">
        <f t="shared" ref="R34" si="147">R35+Q34</f>
        <v>-11836595632.449247</v>
      </c>
      <c r="S34">
        <f t="shared" ref="S34" si="148">R34/100000</f>
        <v>-118365.95632449248</v>
      </c>
      <c r="T34">
        <f t="shared" ref="T34" si="149">S34/1000</f>
        <v>-118.36595632449247</v>
      </c>
    </row>
    <row r="35" spans="1:20" x14ac:dyDescent="0.25">
      <c r="A35" s="5">
        <v>44558</v>
      </c>
      <c r="B35">
        <v>9.5119999999999996E-2</v>
      </c>
      <c r="C35">
        <v>9.8309999999999995E-2</v>
      </c>
      <c r="D35">
        <v>7.9769999999999994E-2</v>
      </c>
      <c r="E35">
        <v>8.1079999999999999E-2</v>
      </c>
      <c r="F35">
        <v>471928213</v>
      </c>
      <c r="G35">
        <v>8.1079999999999999E-2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-0.85868392664509108</v>
      </c>
      <c r="Q35">
        <f t="shared" ref="Q35" si="151">F35*P35</f>
        <v>-405237171.03344089</v>
      </c>
      <c r="R35">
        <f t="shared" ref="R35" si="152">R36+Q35</f>
        <v>-11705261451.329546</v>
      </c>
      <c r="S35">
        <f t="shared" ref="S35" si="153">R35/100000</f>
        <v>-117052.61451329546</v>
      </c>
      <c r="T35">
        <f t="shared" ref="T35" si="154">S35/1000</f>
        <v>-117.05261451329545</v>
      </c>
    </row>
    <row r="36" spans="1:20" x14ac:dyDescent="0.25">
      <c r="A36" s="5">
        <v>44557</v>
      </c>
      <c r="B36">
        <v>9.4950000000000007E-2</v>
      </c>
      <c r="C36">
        <v>0.13999</v>
      </c>
      <c r="D36">
        <v>9.0730000000000005E-2</v>
      </c>
      <c r="E36">
        <v>9.5030000000000003E-2</v>
      </c>
      <c r="F36">
        <v>3113189719</v>
      </c>
      <c r="G36">
        <v>9.5030000000000003E-2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-0.82541615915550148</v>
      </c>
      <c r="Q36">
        <f t="shared" ref="Q36" si="156">F36*P36</f>
        <v>-2569677100.5793748</v>
      </c>
      <c r="R36">
        <f t="shared" ref="R36" si="157">R37+Q36</f>
        <v>-11300024280.296104</v>
      </c>
      <c r="S36">
        <f t="shared" ref="S36" si="158">R36/100000</f>
        <v>-113000.24280296105</v>
      </c>
      <c r="T36">
        <f t="shared" ref="T36" si="159">S36/1000</f>
        <v>-113.00024280296104</v>
      </c>
    </row>
    <row r="37" spans="1:20" x14ac:dyDescent="0.25">
      <c r="A37" s="5">
        <v>44556</v>
      </c>
      <c r="B37">
        <v>6.1699999999999998E-2</v>
      </c>
      <c r="C37">
        <v>9.7500000000000003E-2</v>
      </c>
      <c r="D37">
        <v>6.0630000000000003E-2</v>
      </c>
      <c r="E37">
        <v>9.5070000000000002E-2</v>
      </c>
      <c r="F37">
        <v>780494275</v>
      </c>
      <c r="G37">
        <v>9.5070000000000002E-2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0.8681855166802277</v>
      </c>
      <c r="Q37">
        <f t="shared" ref="Q37" si="161">F37*P37</f>
        <v>677613825.40683472</v>
      </c>
      <c r="R37">
        <f t="shared" ref="R37" si="162">R38+Q37</f>
        <v>-8730347179.7167301</v>
      </c>
      <c r="S37">
        <f t="shared" ref="S37" si="163">R37/100000</f>
        <v>-87303.471797167294</v>
      </c>
      <c r="T37">
        <f t="shared" ref="T37" si="164">S37/1000</f>
        <v>-87.30347179716729</v>
      </c>
    </row>
    <row r="38" spans="1:20" x14ac:dyDescent="0.25">
      <c r="A38" s="5">
        <v>44555</v>
      </c>
      <c r="B38">
        <v>6.0940000000000001E-2</v>
      </c>
      <c r="C38">
        <v>6.2939999999999996E-2</v>
      </c>
      <c r="D38">
        <v>6.0470000000000003E-2</v>
      </c>
      <c r="E38">
        <v>6.1699999999999998E-2</v>
      </c>
      <c r="F38">
        <v>15487848</v>
      </c>
      <c r="G38">
        <v>6.1699999999999998E-2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-4.0485829959526678E-3</v>
      </c>
      <c r="Q38">
        <f t="shared" ref="Q38" si="166">F38*P38</f>
        <v>-62703.838056699533</v>
      </c>
      <c r="R38">
        <f t="shared" ref="R38" si="167">R39+Q38</f>
        <v>-9407961005.1235657</v>
      </c>
      <c r="S38">
        <f t="shared" ref="S38" si="168">R38/100000</f>
        <v>-94079.61005123565</v>
      </c>
      <c r="T38">
        <f t="shared" ref="T38" si="169">S38/1000</f>
        <v>-94.079610051235647</v>
      </c>
    </row>
    <row r="39" spans="1:20" x14ac:dyDescent="0.25">
      <c r="A39" s="5">
        <v>44554</v>
      </c>
      <c r="B39">
        <v>6.1740000000000003E-2</v>
      </c>
      <c r="C39">
        <v>6.2920000000000004E-2</v>
      </c>
      <c r="D39">
        <v>6.037E-2</v>
      </c>
      <c r="E39">
        <v>6.0940000000000001E-2</v>
      </c>
      <c r="F39">
        <v>29279888</v>
      </c>
      <c r="G39">
        <v>6.0940000000000001E-2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-0.55294117647058805</v>
      </c>
      <c r="Q39">
        <f t="shared" ref="Q39" si="171">F39*P39</f>
        <v>-16190055.717647053</v>
      </c>
      <c r="R39">
        <f t="shared" ref="R39" si="172">R40+Q39</f>
        <v>-9407898301.2855091</v>
      </c>
      <c r="S39">
        <f t="shared" ref="S39" si="173">R39/100000</f>
        <v>-94078.983012855097</v>
      </c>
      <c r="T39">
        <f t="shared" ref="T39" si="174">S39/1000</f>
        <v>-94.07898301285509</v>
      </c>
    </row>
    <row r="40" spans="1:20" x14ac:dyDescent="0.25">
      <c r="A40" s="5">
        <v>44553</v>
      </c>
      <c r="B40">
        <v>5.9920000000000001E-2</v>
      </c>
      <c r="C40">
        <v>6.3049999999999995E-2</v>
      </c>
      <c r="D40">
        <v>5.9049999999999998E-2</v>
      </c>
      <c r="E40">
        <v>6.1760000000000002E-2</v>
      </c>
      <c r="F40">
        <v>33106759</v>
      </c>
      <c r="G40">
        <v>6.1760000000000002E-2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0.3550000000000032</v>
      </c>
      <c r="Q40">
        <f t="shared" ref="Q40" si="176">F40*P40</f>
        <v>11752899.445000106</v>
      </c>
      <c r="R40">
        <f t="shared" ref="R40" si="177">R41+Q40</f>
        <v>-9391708245.5678616</v>
      </c>
      <c r="S40">
        <f t="shared" ref="S40" si="178">R40/100000</f>
        <v>-93917.08245567861</v>
      </c>
      <c r="T40">
        <f t="shared" ref="T40" si="179">S40/1000</f>
        <v>-93.91708245567861</v>
      </c>
    </row>
    <row r="41" spans="1:20" x14ac:dyDescent="0.25">
      <c r="A41" s="5">
        <v>44552</v>
      </c>
      <c r="B41">
        <v>6.0010000000000001E-2</v>
      </c>
      <c r="C41">
        <v>6.2390000000000001E-2</v>
      </c>
      <c r="D41">
        <v>5.9549999999999999E-2</v>
      </c>
      <c r="E41">
        <v>5.9909999999999998E-2</v>
      </c>
      <c r="F41">
        <v>23913878</v>
      </c>
      <c r="G41">
        <v>5.9909999999999998E-2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-0.7464788732394374</v>
      </c>
      <c r="Q41">
        <f t="shared" ref="Q41" si="181">F41*P41</f>
        <v>-17851204.704225373</v>
      </c>
      <c r="R41">
        <f t="shared" ref="R41" si="182">R42+Q41</f>
        <v>-9403461145.0128613</v>
      </c>
      <c r="S41">
        <f t="shared" ref="S41" si="183">R41/100000</f>
        <v>-94034.611450128607</v>
      </c>
      <c r="T41">
        <f t="shared" ref="T41" si="184">S41/1000</f>
        <v>-94.034611450128608</v>
      </c>
    </row>
    <row r="42" spans="1:20" x14ac:dyDescent="0.25">
      <c r="A42" s="5">
        <v>44551</v>
      </c>
      <c r="B42">
        <v>5.876E-2</v>
      </c>
      <c r="C42">
        <v>6.1190000000000001E-2</v>
      </c>
      <c r="D42">
        <v>5.7709999999999997E-2</v>
      </c>
      <c r="E42">
        <v>6.003E-2</v>
      </c>
      <c r="F42">
        <v>21026721</v>
      </c>
      <c r="G42">
        <v>6.003E-2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0.33333333333333331</v>
      </c>
      <c r="Q42">
        <f t="shared" ref="Q42" si="186">F42*P42</f>
        <v>7008907</v>
      </c>
      <c r="R42">
        <f t="shared" ref="R42" si="187">R43+Q42</f>
        <v>-9385609940.3086357</v>
      </c>
      <c r="S42">
        <f t="shared" ref="S42" si="188">R42/100000</f>
        <v>-93856.099403086351</v>
      </c>
      <c r="T42">
        <f t="shared" ref="T42" si="189">S42/1000</f>
        <v>-93.856099403086347</v>
      </c>
    </row>
    <row r="43" spans="1:20" x14ac:dyDescent="0.25">
      <c r="A43" s="5">
        <v>44550</v>
      </c>
      <c r="B43">
        <v>6.2269999999999999E-2</v>
      </c>
      <c r="C43">
        <v>6.2420000000000003E-2</v>
      </c>
      <c r="D43">
        <v>5.6349999999999997E-2</v>
      </c>
      <c r="E43">
        <v>5.876E-2</v>
      </c>
      <c r="F43">
        <v>36240495</v>
      </c>
      <c r="G43">
        <v>5.876E-2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-0.20593080724876439</v>
      </c>
      <c r="Q43">
        <f t="shared" ref="Q43" si="191">F43*P43</f>
        <v>-7463034.3904448096</v>
      </c>
      <c r="R43">
        <f t="shared" ref="R43" si="192">R44+Q43</f>
        <v>-9392618847.3086357</v>
      </c>
      <c r="S43">
        <f t="shared" ref="S43" si="193">R43/100000</f>
        <v>-93926.188473086353</v>
      </c>
      <c r="T43">
        <f t="shared" ref="T43" si="194">S43/1000</f>
        <v>-93.926188473086356</v>
      </c>
    </row>
    <row r="44" spans="1:20" x14ac:dyDescent="0.25">
      <c r="A44" s="5">
        <v>44549</v>
      </c>
      <c r="B44">
        <v>6.0569999999999999E-2</v>
      </c>
      <c r="C44">
        <v>6.8000000000000005E-2</v>
      </c>
      <c r="D44">
        <v>5.935E-2</v>
      </c>
      <c r="E44">
        <v>6.2239999999999997E-2</v>
      </c>
      <c r="F44">
        <v>96924035</v>
      </c>
      <c r="G44">
        <v>6.2239999999999997E-2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-0.33179190751445198</v>
      </c>
      <c r="Q44">
        <f t="shared" ref="Q44" si="196">F44*P44</f>
        <v>-32158610.456647508</v>
      </c>
      <c r="R44">
        <f t="shared" ref="R44" si="197">R45+Q44</f>
        <v>-9385155812.91819</v>
      </c>
      <c r="S44">
        <f t="shared" ref="S44" si="198">R44/100000</f>
        <v>-93851.558129181896</v>
      </c>
      <c r="T44">
        <f t="shared" ref="T44" si="199">S44/1000</f>
        <v>-93.851558129181896</v>
      </c>
    </row>
    <row r="45" spans="1:20" x14ac:dyDescent="0.25">
      <c r="A45" s="5">
        <v>44548</v>
      </c>
      <c r="B45">
        <v>6.1339999999999999E-2</v>
      </c>
      <c r="C45">
        <v>6.6869999999999999E-2</v>
      </c>
      <c r="D45">
        <v>5.8470000000000001E-2</v>
      </c>
      <c r="E45">
        <v>6.0580000000000002E-2</v>
      </c>
      <c r="F45">
        <v>53178748</v>
      </c>
      <c r="G45">
        <v>6.0580000000000002E-2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-0.49761904761904729</v>
      </c>
      <c r="Q45">
        <f t="shared" ref="Q45" si="201">F45*P45</f>
        <v>-26462757.933333315</v>
      </c>
      <c r="R45">
        <f t="shared" ref="R45" si="202">R46+Q45</f>
        <v>-9352997202.4615421</v>
      </c>
      <c r="S45">
        <f t="shared" ref="S45" si="203">R45/100000</f>
        <v>-93529.972024615417</v>
      </c>
      <c r="T45">
        <f t="shared" ref="T45" si="204">S45/1000</f>
        <v>-93.529972024615418</v>
      </c>
    </row>
    <row r="46" spans="1:20" x14ac:dyDescent="0.25">
      <c r="A46" s="5">
        <v>44547</v>
      </c>
      <c r="B46">
        <v>5.8139999999999997E-2</v>
      </c>
      <c r="C46">
        <v>6.9000000000000006E-2</v>
      </c>
      <c r="D46">
        <v>5.697E-2</v>
      </c>
      <c r="E46">
        <v>6.1350000000000002E-2</v>
      </c>
      <c r="F46">
        <v>66957215</v>
      </c>
      <c r="G46">
        <v>6.1350000000000002E-2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-0.27182044887780554</v>
      </c>
      <c r="Q46">
        <f t="shared" ref="Q46" si="206">F46*P46</f>
        <v>-18200340.236907735</v>
      </c>
      <c r="R46">
        <f t="shared" ref="R46" si="207">R47+Q46</f>
        <v>-9326534444.5282097</v>
      </c>
      <c r="S46">
        <f t="shared" ref="S46" si="208">R46/100000</f>
        <v>-93265.344445282099</v>
      </c>
      <c r="T46">
        <f t="shared" ref="T46" si="209">S46/1000</f>
        <v>-93.265344445282096</v>
      </c>
    </row>
    <row r="47" spans="1:20" x14ac:dyDescent="0.25">
      <c r="A47" s="5">
        <v>44546</v>
      </c>
      <c r="B47">
        <v>5.654E-2</v>
      </c>
      <c r="C47">
        <v>6.2239999999999997E-2</v>
      </c>
      <c r="D47">
        <v>5.6259999999999998E-2</v>
      </c>
      <c r="E47">
        <v>5.8160000000000003E-2</v>
      </c>
      <c r="F47">
        <v>84404129</v>
      </c>
      <c r="G47">
        <v>5.8160000000000003E-2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-0.36454849498327557</v>
      </c>
      <c r="Q47">
        <f t="shared" ref="Q47" si="211">F47*P47</f>
        <v>-30769398.197324242</v>
      </c>
      <c r="R47">
        <f t="shared" ref="R47" si="212">R48+Q47</f>
        <v>-9308334104.2913017</v>
      </c>
      <c r="S47">
        <f t="shared" ref="S47" si="213">R47/100000</f>
        <v>-93083.341042913016</v>
      </c>
      <c r="T47">
        <f t="shared" ref="T47" si="214">S47/1000</f>
        <v>-93.08334104291302</v>
      </c>
    </row>
    <row r="48" spans="1:20" x14ac:dyDescent="0.25">
      <c r="A48" s="5">
        <v>44545</v>
      </c>
      <c r="B48">
        <v>5.4940000000000003E-2</v>
      </c>
      <c r="C48">
        <v>5.7099999999999998E-2</v>
      </c>
      <c r="D48">
        <v>5.237E-2</v>
      </c>
      <c r="E48">
        <v>5.6559999999999999E-2</v>
      </c>
      <c r="F48">
        <v>27701582</v>
      </c>
      <c r="G48">
        <v>5.6559999999999999E-2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0.77167019027484185</v>
      </c>
      <c r="Q48">
        <f t="shared" ref="Q48" si="216">F48*P48</f>
        <v>21376485.052854136</v>
      </c>
      <c r="R48">
        <f t="shared" ref="R48" si="217">R49+Q48</f>
        <v>-9277564706.093977</v>
      </c>
      <c r="S48">
        <f t="shared" ref="S48" si="218">R48/100000</f>
        <v>-92775.647060939766</v>
      </c>
      <c r="T48">
        <f t="shared" ref="T48" si="219">S48/1000</f>
        <v>-92.775647060939761</v>
      </c>
    </row>
    <row r="49" spans="1:20" x14ac:dyDescent="0.25">
      <c r="A49" s="5">
        <v>44544</v>
      </c>
      <c r="B49">
        <v>5.287E-2</v>
      </c>
      <c r="C49">
        <v>5.5910000000000001E-2</v>
      </c>
      <c r="D49">
        <v>5.2179999999999997E-2</v>
      </c>
      <c r="E49">
        <v>5.4960000000000002E-2</v>
      </c>
      <c r="F49">
        <v>28204670</v>
      </c>
      <c r="G49">
        <v>5.4960000000000002E-2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0.49061662198391509</v>
      </c>
      <c r="Q49">
        <f t="shared" ref="Q49" si="221">F49*P49</f>
        <v>13837679.91957107</v>
      </c>
      <c r="R49">
        <f t="shared" ref="R49" si="222">R50+Q49</f>
        <v>-9298941191.1468315</v>
      </c>
      <c r="S49">
        <f t="shared" ref="S49" si="223">R49/100000</f>
        <v>-92989.411911468313</v>
      </c>
      <c r="T49">
        <f t="shared" ref="T49" si="224">S49/1000</f>
        <v>-92.989411911468309</v>
      </c>
    </row>
    <row r="50" spans="1:20" x14ac:dyDescent="0.25">
      <c r="A50" s="5">
        <v>44543</v>
      </c>
      <c r="B50">
        <v>6.2890000000000001E-2</v>
      </c>
      <c r="C50">
        <v>6.3030000000000003E-2</v>
      </c>
      <c r="D50">
        <v>5.2789999999999997E-2</v>
      </c>
      <c r="E50">
        <v>5.289E-2</v>
      </c>
      <c r="F50">
        <v>41805915</v>
      </c>
      <c r="G50">
        <v>5.289E-2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-0.98046874999999944</v>
      </c>
      <c r="Q50">
        <f t="shared" ref="Q50" si="226">F50*P50</f>
        <v>-40989393.222656228</v>
      </c>
      <c r="R50">
        <f t="shared" ref="R50" si="227">R51+Q50</f>
        <v>-9312778871.0664024</v>
      </c>
      <c r="S50">
        <f t="shared" ref="S50" si="228">R50/100000</f>
        <v>-93127.788710664026</v>
      </c>
      <c r="T50">
        <f t="shared" ref="T50" si="229">S50/1000</f>
        <v>-93.127788710664021</v>
      </c>
    </row>
    <row r="51" spans="1:20" x14ac:dyDescent="0.25">
      <c r="A51" s="5">
        <v>44542</v>
      </c>
      <c r="B51">
        <v>6.3799999999999996E-2</v>
      </c>
      <c r="C51">
        <v>6.5860000000000002E-2</v>
      </c>
      <c r="D51">
        <v>6.1510000000000002E-2</v>
      </c>
      <c r="E51">
        <v>6.2869999999999995E-2</v>
      </c>
      <c r="F51">
        <v>65402116</v>
      </c>
      <c r="G51">
        <v>6.2869999999999995E-2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-0.37471264367816404</v>
      </c>
      <c r="Q51">
        <f t="shared" ref="Q51" si="231">F51*P51</f>
        <v>-24506999.788505953</v>
      </c>
      <c r="R51">
        <f t="shared" ref="R51" si="232">R52+Q51</f>
        <v>-9271789477.8437462</v>
      </c>
      <c r="S51">
        <f t="shared" ref="S51" si="233">R51/100000</f>
        <v>-92717.894778437461</v>
      </c>
      <c r="T51">
        <f t="shared" ref="T51" si="234">S51/1000</f>
        <v>-92.717894778437454</v>
      </c>
    </row>
    <row r="52" spans="1:20" x14ac:dyDescent="0.25">
      <c r="A52" s="5">
        <v>44541</v>
      </c>
      <c r="B52">
        <v>6.2469999999999998E-2</v>
      </c>
      <c r="C52">
        <v>6.3990000000000005E-2</v>
      </c>
      <c r="D52">
        <v>6.2E-2</v>
      </c>
      <c r="E52">
        <v>6.3420000000000004E-2</v>
      </c>
      <c r="F52">
        <v>1041407</v>
      </c>
      <c r="G52">
        <v>6.3420000000000004E-2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0.42713567839196037</v>
      </c>
      <c r="Q52">
        <f t="shared" ref="Q52" si="236">F52*P52</f>
        <v>444822.08542713628</v>
      </c>
      <c r="R52">
        <f t="shared" ref="R52" si="237">R53+Q52</f>
        <v>-9247282478.0552406</v>
      </c>
      <c r="S52">
        <f t="shared" ref="S52" si="238">R52/100000</f>
        <v>-92472.824780552401</v>
      </c>
      <c r="T52">
        <f t="shared" ref="T52" si="239">S52/1000</f>
        <v>-92.472824780552401</v>
      </c>
    </row>
    <row r="53" spans="1:20" x14ac:dyDescent="0.25">
      <c r="A53" s="5">
        <v>44540</v>
      </c>
      <c r="B53">
        <v>6.4189999999999997E-2</v>
      </c>
      <c r="C53">
        <v>6.7119999999999999E-2</v>
      </c>
      <c r="D53">
        <v>6.2129999999999998E-2</v>
      </c>
      <c r="E53">
        <v>6.2480000000000001E-2</v>
      </c>
      <c r="F53">
        <v>22161853</v>
      </c>
      <c r="G53">
        <v>6.2480000000000001E-2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-0.85971943887775426</v>
      </c>
      <c r="Q53">
        <f t="shared" ref="Q53" si="241">F53*P53</f>
        <v>-19052975.825651273</v>
      </c>
      <c r="R53">
        <f t="shared" ref="R53" si="242">R54+Q53</f>
        <v>-9247727300.140667</v>
      </c>
      <c r="S53">
        <f t="shared" ref="S53" si="243">R53/100000</f>
        <v>-92477.273001406676</v>
      </c>
      <c r="T53">
        <f t="shared" ref="T53" si="244">S53/1000</f>
        <v>-92.477273001406672</v>
      </c>
    </row>
    <row r="54" spans="1:20" x14ac:dyDescent="0.25">
      <c r="A54" s="5">
        <v>44539</v>
      </c>
      <c r="B54">
        <v>7.009E-2</v>
      </c>
      <c r="C54">
        <v>7.0819999999999994E-2</v>
      </c>
      <c r="D54">
        <v>6.3100000000000003E-2</v>
      </c>
      <c r="E54">
        <v>6.4189999999999997E-2</v>
      </c>
      <c r="F54">
        <v>33406669</v>
      </c>
      <c r="G54">
        <v>6.4189999999999997E-2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-0.71761658031088216</v>
      </c>
      <c r="Q54">
        <f t="shared" ref="Q54" si="246">F54*P54</f>
        <v>-23973179.567357559</v>
      </c>
      <c r="R54">
        <f t="shared" ref="R54" si="247">R55+Q54</f>
        <v>-9228674324.3150158</v>
      </c>
      <c r="S54">
        <f t="shared" ref="S54" si="248">R54/100000</f>
        <v>-92286.743243150151</v>
      </c>
      <c r="T54">
        <f t="shared" ref="T54" si="249">S54/1000</f>
        <v>-92.286743243150156</v>
      </c>
    </row>
    <row r="55" spans="1:20" x14ac:dyDescent="0.25">
      <c r="A55" s="5">
        <v>44538</v>
      </c>
      <c r="B55">
        <v>6.9110000000000005E-2</v>
      </c>
      <c r="C55">
        <v>7.1169999999999997E-2</v>
      </c>
      <c r="D55">
        <v>6.6239999999999993E-2</v>
      </c>
      <c r="E55">
        <v>7.0150000000000004E-2</v>
      </c>
      <c r="F55">
        <v>32770752</v>
      </c>
      <c r="G55">
        <v>7.0150000000000004E-2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0.5862068965517272</v>
      </c>
      <c r="Q55">
        <f t="shared" ref="Q55" si="251">F55*P55</f>
        <v>19210440.827586308</v>
      </c>
      <c r="R55">
        <f t="shared" ref="R55" si="252">R56+Q55</f>
        <v>-9204701144.7476578</v>
      </c>
      <c r="S55">
        <f t="shared" ref="S55" si="253">R55/100000</f>
        <v>-92047.011447476572</v>
      </c>
      <c r="T55">
        <f t="shared" ref="T55" si="254">S55/1000</f>
        <v>-92.047011447476578</v>
      </c>
    </row>
    <row r="56" spans="1:20" x14ac:dyDescent="0.25">
      <c r="A56" s="5">
        <v>44537</v>
      </c>
      <c r="B56">
        <v>7.1910000000000002E-2</v>
      </c>
      <c r="C56">
        <v>7.46E-2</v>
      </c>
      <c r="D56">
        <v>6.8449999999999997E-2</v>
      </c>
      <c r="E56">
        <v>6.9110000000000005E-2</v>
      </c>
      <c r="F56">
        <v>42242067</v>
      </c>
      <c r="G56">
        <v>6.9110000000000005E-2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-0.78536585365853417</v>
      </c>
      <c r="Q56">
        <f t="shared" ref="Q56" si="256">F56*P56</f>
        <v>-33175477.009755995</v>
      </c>
      <c r="R56">
        <f t="shared" ref="R56" si="257">R57+Q56</f>
        <v>-9223911585.5752449</v>
      </c>
      <c r="S56">
        <f t="shared" ref="S56" si="258">R56/100000</f>
        <v>-92239.115855752447</v>
      </c>
      <c r="T56">
        <f t="shared" ref="T56" si="259">S56/1000</f>
        <v>-92.239115855752445</v>
      </c>
    </row>
    <row r="57" spans="1:20" x14ac:dyDescent="0.25">
      <c r="A57" s="5">
        <v>44536</v>
      </c>
      <c r="B57">
        <v>7.4149999999999994E-2</v>
      </c>
      <c r="C57">
        <v>7.9600000000000004E-2</v>
      </c>
      <c r="D57">
        <v>6.3450000000000006E-2</v>
      </c>
      <c r="E57">
        <v>7.17E-2</v>
      </c>
      <c r="F57">
        <v>94002014</v>
      </c>
      <c r="G57">
        <v>7.17E-2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2.1671826625386331E-2</v>
      </c>
      <c r="Q57">
        <f t="shared" ref="Q57" si="261">F57*P57</f>
        <v>2037195.3498451386</v>
      </c>
      <c r="R57">
        <f t="shared" ref="R57" si="262">R58+Q57</f>
        <v>-9190736108.5654888</v>
      </c>
      <c r="S57">
        <f t="shared" ref="S57" si="263">R57/100000</f>
        <v>-91907.361085654891</v>
      </c>
      <c r="T57">
        <f t="shared" ref="T57" si="264">S57/1000</f>
        <v>-91.907361085654898</v>
      </c>
    </row>
    <row r="58" spans="1:20" x14ac:dyDescent="0.25">
      <c r="A58" s="5">
        <v>44535</v>
      </c>
      <c r="B58">
        <v>7.1360000000000007E-2</v>
      </c>
      <c r="C58">
        <v>8.4000000000000005E-2</v>
      </c>
      <c r="D58">
        <v>6.83E-2</v>
      </c>
      <c r="E58">
        <v>7.4490000000000001E-2</v>
      </c>
      <c r="F58">
        <v>164644837</v>
      </c>
      <c r="G58">
        <v>7.4490000000000001E-2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-0.21146496815286639</v>
      </c>
      <c r="Q58">
        <f t="shared" ref="Q58" si="266">F58*P58</f>
        <v>-34816615.212738879</v>
      </c>
      <c r="R58">
        <f t="shared" ref="R58" si="267">R59+Q58</f>
        <v>-9192773303.9153347</v>
      </c>
      <c r="S58">
        <f t="shared" ref="S58" si="268">R58/100000</f>
        <v>-91927.733039153347</v>
      </c>
      <c r="T58">
        <f t="shared" ref="T58" si="269">S58/1000</f>
        <v>-91.927733039153352</v>
      </c>
    </row>
    <row r="59" spans="1:20" x14ac:dyDescent="0.25">
      <c r="A59" s="5">
        <v>44534</v>
      </c>
      <c r="B59">
        <v>7.9450000000000007E-2</v>
      </c>
      <c r="C59">
        <v>8.8550000000000004E-2</v>
      </c>
      <c r="D59">
        <v>6.2729999999999994E-2</v>
      </c>
      <c r="E59">
        <v>7.1489999999999998E-2</v>
      </c>
      <c r="F59">
        <v>133189010</v>
      </c>
      <c r="G59">
        <v>7.1489999999999998E-2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-0.32145623547637486</v>
      </c>
      <c r="Q59">
        <f t="shared" ref="Q59" si="271">F59*P59</f>
        <v>-42814437.761425249</v>
      </c>
      <c r="R59">
        <f t="shared" ref="R59" si="272">R60+Q59</f>
        <v>-9157956688.7025967</v>
      </c>
      <c r="S59">
        <f t="shared" ref="S59" si="273">R59/100000</f>
        <v>-91579.566887025969</v>
      </c>
      <c r="T59">
        <f t="shared" ref="T59" si="274">S59/1000</f>
        <v>-91.579566887025962</v>
      </c>
    </row>
    <row r="60" spans="1:20" x14ac:dyDescent="0.25">
      <c r="A60" s="5">
        <v>44533</v>
      </c>
      <c r="B60">
        <v>8.0070000000000002E-2</v>
      </c>
      <c r="C60">
        <v>9.2999999999999999E-2</v>
      </c>
      <c r="D60">
        <v>7.7810000000000004E-2</v>
      </c>
      <c r="E60">
        <v>7.9259999999999997E-2</v>
      </c>
      <c r="F60">
        <v>220272022</v>
      </c>
      <c r="G60">
        <v>7.9259999999999997E-2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-0.80908492429229839</v>
      </c>
      <c r="Q60">
        <f t="shared" ref="Q60" si="276">F60*P60</f>
        <v>-178218772.24358147</v>
      </c>
      <c r="R60">
        <f t="shared" ref="R60" si="277">R61+Q60</f>
        <v>-9115142250.9411716</v>
      </c>
      <c r="S60">
        <f t="shared" ref="S60" si="278">R60/100000</f>
        <v>-91151.422509411714</v>
      </c>
      <c r="T60">
        <f t="shared" ref="T60" si="279">S60/1000</f>
        <v>-91.151422509411717</v>
      </c>
    </row>
    <row r="61" spans="1:20" x14ac:dyDescent="0.25">
      <c r="A61" s="5">
        <v>44532</v>
      </c>
      <c r="B61">
        <v>7.5560000000000002E-2</v>
      </c>
      <c r="C61">
        <v>9.5839999999999995E-2</v>
      </c>
      <c r="D61">
        <v>7.3819999999999997E-2</v>
      </c>
      <c r="E61">
        <v>8.0070000000000002E-2</v>
      </c>
      <c r="F61">
        <v>318890595</v>
      </c>
      <c r="G61">
        <v>8.0070000000000002E-2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-0.43233424159854622</v>
      </c>
      <c r="Q61">
        <f t="shared" ref="Q61" si="281">F61*P61</f>
        <v>-137867323.54223415</v>
      </c>
      <c r="R61">
        <f t="shared" ref="R61" si="282">R62+Q61</f>
        <v>-8936923478.6975899</v>
      </c>
      <c r="S61">
        <f t="shared" ref="S61" si="283">R61/100000</f>
        <v>-89369.234786975896</v>
      </c>
      <c r="T61">
        <f t="shared" ref="T61" si="284">S61/1000</f>
        <v>-89.369234786975895</v>
      </c>
    </row>
    <row r="62" spans="1:20" x14ac:dyDescent="0.25">
      <c r="A62" s="5">
        <v>44531</v>
      </c>
      <c r="B62">
        <v>7.5950000000000004E-2</v>
      </c>
      <c r="C62">
        <v>7.8100000000000003E-2</v>
      </c>
      <c r="D62">
        <v>7.4999999999999997E-2</v>
      </c>
      <c r="E62">
        <v>7.5579999999999994E-2</v>
      </c>
      <c r="F62">
        <v>33763706</v>
      </c>
      <c r="G62">
        <v>7.5579999999999994E-2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-0.62580645161290571</v>
      </c>
      <c r="Q62">
        <f t="shared" ref="Q62" si="286">F62*P62</f>
        <v>-21129545.045161374</v>
      </c>
      <c r="R62">
        <f t="shared" ref="R62" si="287">R63+Q62</f>
        <v>-8799056155.1553555</v>
      </c>
      <c r="S62">
        <f t="shared" ref="S62" si="288">R62/100000</f>
        <v>-87990.561551553561</v>
      </c>
      <c r="T62">
        <f t="shared" ref="T62" si="289">S62/1000</f>
        <v>-87.990561551553554</v>
      </c>
    </row>
    <row r="63" spans="1:20" x14ac:dyDescent="0.25">
      <c r="A63" s="5">
        <v>44530</v>
      </c>
      <c r="B63">
        <v>7.8609999999999999E-2</v>
      </c>
      <c r="C63">
        <v>7.8609999999999999E-2</v>
      </c>
      <c r="D63">
        <v>7.4609999999999996E-2</v>
      </c>
      <c r="E63">
        <v>7.5620000000000007E-2</v>
      </c>
      <c r="F63">
        <v>29891979</v>
      </c>
      <c r="G63">
        <v>7.5620000000000007E-2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-0.494999999999995</v>
      </c>
      <c r="Q63">
        <f t="shared" ref="Q63" si="291">F63*P63</f>
        <v>-14796529.604999851</v>
      </c>
      <c r="R63">
        <f t="shared" ref="R63" si="292">R64+Q63</f>
        <v>-8777926610.1101933</v>
      </c>
      <c r="S63">
        <f t="shared" ref="S63" si="293">R63/100000</f>
        <v>-87779.266101101937</v>
      </c>
      <c r="T63">
        <f t="shared" ref="T63" si="294">S63/1000</f>
        <v>-87.779266101101939</v>
      </c>
    </row>
    <row r="64" spans="1:20" x14ac:dyDescent="0.25">
      <c r="A64" s="5">
        <v>44529</v>
      </c>
      <c r="B64">
        <v>7.6179999999999998E-2</v>
      </c>
      <c r="C64">
        <v>7.9979999999999996E-2</v>
      </c>
      <c r="D64">
        <v>7.5499999999999998E-2</v>
      </c>
      <c r="E64">
        <v>7.8689999999999996E-2</v>
      </c>
      <c r="F64">
        <v>31783543</v>
      </c>
      <c r="G64">
        <v>7.8689999999999996E-2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0.42410714285714279</v>
      </c>
      <c r="Q64">
        <f t="shared" ref="Q64" si="296">F64*P64</f>
        <v>13479627.61160714</v>
      </c>
      <c r="R64">
        <f t="shared" ref="R64" si="297">R65+Q64</f>
        <v>-8763130080.5051937</v>
      </c>
      <c r="S64">
        <f t="shared" ref="S64" si="298">R64/100000</f>
        <v>-87631.300805051942</v>
      </c>
      <c r="T64">
        <f t="shared" ref="T64" si="299">S64/1000</f>
        <v>-87.631300805051936</v>
      </c>
    </row>
    <row r="65" spans="1:20" x14ac:dyDescent="0.25">
      <c r="A65" s="5">
        <v>44528</v>
      </c>
      <c r="B65">
        <v>7.578E-2</v>
      </c>
      <c r="C65">
        <v>7.6439999999999994E-2</v>
      </c>
      <c r="D65">
        <v>7.1400000000000005E-2</v>
      </c>
      <c r="E65">
        <v>7.6200000000000004E-2</v>
      </c>
      <c r="F65">
        <v>29362539</v>
      </c>
      <c r="G65">
        <v>7.6200000000000004E-2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0.90476190476190843</v>
      </c>
      <c r="Q65">
        <f t="shared" ref="Q65" si="301">F65*P65</f>
        <v>26566106.714285821</v>
      </c>
      <c r="R65">
        <f t="shared" ref="R65" si="302">R66+Q65</f>
        <v>-8776609708.1168003</v>
      </c>
      <c r="S65">
        <f t="shared" ref="S65" si="303">R65/100000</f>
        <v>-87766.097081168002</v>
      </c>
      <c r="T65">
        <f t="shared" ref="T65" si="304">S65/1000</f>
        <v>-87.766097081167999</v>
      </c>
    </row>
    <row r="66" spans="1:20" x14ac:dyDescent="0.25">
      <c r="A66" s="5">
        <v>44527</v>
      </c>
      <c r="B66">
        <v>7.3289999999999994E-2</v>
      </c>
      <c r="C66">
        <v>7.7399999999999997E-2</v>
      </c>
      <c r="D66">
        <v>7.2999999999999995E-2</v>
      </c>
      <c r="E66">
        <v>7.5770000000000004E-2</v>
      </c>
      <c r="F66">
        <v>44181142</v>
      </c>
      <c r="G66">
        <v>7.5770000000000004E-2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0.25909090909091265</v>
      </c>
      <c r="Q66">
        <f t="shared" ref="Q66" si="306">F66*P66</f>
        <v>11446932.245454703</v>
      </c>
      <c r="R66">
        <f t="shared" ref="R66" si="307">R67+Q66</f>
        <v>-8803175814.8310852</v>
      </c>
      <c r="S66">
        <f t="shared" ref="S66" si="308">R66/100000</f>
        <v>-88031.758148310852</v>
      </c>
      <c r="T66">
        <f t="shared" ref="T66" si="309">S66/1000</f>
        <v>-88.031758148310857</v>
      </c>
    </row>
    <row r="67" spans="1:20" x14ac:dyDescent="0.25">
      <c r="A67" s="5">
        <v>44526</v>
      </c>
      <c r="B67">
        <v>8.1729999999999997E-2</v>
      </c>
      <c r="C67">
        <v>8.2369999999999999E-2</v>
      </c>
      <c r="D67">
        <v>7.2279999999999997E-2</v>
      </c>
      <c r="E67">
        <v>7.3289999999999994E-2</v>
      </c>
      <c r="F67">
        <v>57155775</v>
      </c>
      <c r="G67">
        <v>7.3289999999999994E-2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-0.79980178394450008</v>
      </c>
      <c r="Q67">
        <f t="shared" ref="Q67" si="311">F67*P67</f>
        <v>-45713290.807730459</v>
      </c>
      <c r="R67">
        <f t="shared" ref="R67" si="312">R68+Q67</f>
        <v>-8814622747.07654</v>
      </c>
      <c r="S67">
        <f t="shared" ref="S67" si="313">R67/100000</f>
        <v>-88146.2274707654</v>
      </c>
      <c r="T67">
        <f t="shared" ref="T67" si="314">S67/1000</f>
        <v>-88.146227470765396</v>
      </c>
    </row>
    <row r="68" spans="1:20" x14ac:dyDescent="0.25">
      <c r="A68" s="5">
        <v>44525</v>
      </c>
      <c r="B68">
        <v>7.7729999999999994E-2</v>
      </c>
      <c r="C68">
        <v>8.4900000000000003E-2</v>
      </c>
      <c r="D68">
        <v>7.689E-2</v>
      </c>
      <c r="E68">
        <v>8.1449999999999995E-2</v>
      </c>
      <c r="F68">
        <v>94416037</v>
      </c>
      <c r="G68">
        <v>8.1449999999999995E-2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0.13857677902621543</v>
      </c>
      <c r="Q68">
        <f t="shared" ref="Q68" si="316">F68*P68</f>
        <v>13083870.295879981</v>
      </c>
      <c r="R68">
        <f t="shared" ref="R68" si="317">R69+Q68</f>
        <v>-8768909456.2688103</v>
      </c>
      <c r="S68">
        <f t="shared" ref="S68" si="318">R68/100000</f>
        <v>-87689.0945626881</v>
      </c>
      <c r="T68">
        <f t="shared" ref="T68" si="319">S68/1000</f>
        <v>-87.689094562688098</v>
      </c>
    </row>
    <row r="69" spans="1:20" x14ac:dyDescent="0.25">
      <c r="A69" s="5">
        <v>44524</v>
      </c>
      <c r="B69">
        <v>8.1009999999999999E-2</v>
      </c>
      <c r="C69">
        <v>8.1439999999999999E-2</v>
      </c>
      <c r="D69">
        <v>7.8560000000000005E-2</v>
      </c>
      <c r="E69">
        <v>7.9500000000000001E-2</v>
      </c>
      <c r="F69">
        <v>13543367</v>
      </c>
      <c r="G69">
        <v>7.9500000000000001E-2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-0.34722222222222332</v>
      </c>
      <c r="Q69">
        <f t="shared" ref="Q69" si="321">F69*P69</f>
        <v>-4702557.9861111259</v>
      </c>
      <c r="R69">
        <f t="shared" ref="R69" si="322">R70+Q69</f>
        <v>-8781993326.5646896</v>
      </c>
      <c r="S69">
        <f t="shared" ref="S69" si="323">R69/100000</f>
        <v>-87819.933265646891</v>
      </c>
      <c r="T69">
        <f t="shared" ref="T69" si="324">S69/1000</f>
        <v>-87.819933265646895</v>
      </c>
    </row>
    <row r="70" spans="1:20" x14ac:dyDescent="0.25">
      <c r="A70" s="5">
        <v>44523</v>
      </c>
      <c r="B70">
        <v>7.9119999999999996E-2</v>
      </c>
      <c r="C70">
        <v>8.1839999999999996E-2</v>
      </c>
      <c r="D70">
        <v>7.8210000000000002E-2</v>
      </c>
      <c r="E70">
        <v>8.1140000000000004E-2</v>
      </c>
      <c r="F70">
        <v>46540907</v>
      </c>
      <c r="G70">
        <v>8.1140000000000004E-2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0.61432506887052707</v>
      </c>
      <c r="Q70">
        <f t="shared" ref="Q70" si="326">F70*P70</f>
        <v>28591245.898071796</v>
      </c>
      <c r="R70">
        <f t="shared" ref="R70" si="327">R71+Q70</f>
        <v>-8777290768.5785789</v>
      </c>
      <c r="S70">
        <f t="shared" ref="S70" si="328">R70/100000</f>
        <v>-87772.907685785787</v>
      </c>
      <c r="T70">
        <f t="shared" ref="T70" si="329">S70/1000</f>
        <v>-87.772907685785782</v>
      </c>
    </row>
    <row r="71" spans="1:20" x14ac:dyDescent="0.25">
      <c r="A71" s="5">
        <v>44522</v>
      </c>
      <c r="B71">
        <v>8.5279999999999995E-2</v>
      </c>
      <c r="C71">
        <v>8.7940000000000004E-2</v>
      </c>
      <c r="D71">
        <v>7.9009999999999997E-2</v>
      </c>
      <c r="E71">
        <v>7.918E-2</v>
      </c>
      <c r="F71">
        <v>75192935</v>
      </c>
      <c r="G71">
        <v>7.918E-2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-0.96192609182530719</v>
      </c>
      <c r="Q71">
        <f t="shared" ref="Q71" si="331">F71*P71</f>
        <v>-72330046.097424358</v>
      </c>
      <c r="R71">
        <f t="shared" ref="R71" si="332">R72+Q71</f>
        <v>-8805882014.4766502</v>
      </c>
      <c r="S71">
        <f t="shared" ref="S71" si="333">R71/100000</f>
        <v>-88058.820144766505</v>
      </c>
      <c r="T71">
        <f t="shared" ref="T71" si="334">S71/1000</f>
        <v>-88.0588201447665</v>
      </c>
    </row>
    <row r="72" spans="1:20" x14ac:dyDescent="0.25">
      <c r="A72" s="5">
        <v>44521</v>
      </c>
      <c r="B72">
        <v>8.1089999999999995E-2</v>
      </c>
      <c r="C72">
        <v>9.5000000000000001E-2</v>
      </c>
      <c r="D72">
        <v>8.0140000000000003E-2</v>
      </c>
      <c r="E72">
        <v>8.5169999999999996E-2</v>
      </c>
      <c r="F72">
        <v>195656748</v>
      </c>
      <c r="G72">
        <v>8.5169999999999996E-2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-0.32301480484522294</v>
      </c>
      <c r="Q72">
        <f t="shared" ref="Q72" si="336">F72*P72</f>
        <v>-63200026.271870963</v>
      </c>
      <c r="R72">
        <f t="shared" ref="R72" si="337">R73+Q72</f>
        <v>-8733551968.3792267</v>
      </c>
      <c r="S72">
        <f t="shared" ref="S72" si="338">R72/100000</f>
        <v>-87335.51968379227</v>
      </c>
      <c r="T72">
        <f t="shared" ref="T72" si="339">S72/1000</f>
        <v>-87.33551968379227</v>
      </c>
    </row>
    <row r="73" spans="1:20" x14ac:dyDescent="0.25">
      <c r="A73" s="5">
        <v>44520</v>
      </c>
      <c r="B73">
        <v>7.9240000000000005E-2</v>
      </c>
      <c r="C73">
        <v>8.4900000000000003E-2</v>
      </c>
      <c r="D73">
        <v>7.6660000000000006E-2</v>
      </c>
      <c r="E73">
        <v>8.0990000000000006E-2</v>
      </c>
      <c r="F73">
        <v>118961027</v>
      </c>
      <c r="G73">
        <v>8.0990000000000006E-2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5.097087378640823E-2</v>
      </c>
      <c r="Q73">
        <f t="shared" ref="Q73" si="341">F73*P73</f>
        <v>6063547.4927185019</v>
      </c>
      <c r="R73">
        <f t="shared" ref="R73" si="342">R74+Q73</f>
        <v>-8670351942.1073551</v>
      </c>
      <c r="S73">
        <f t="shared" ref="S73" si="343">R73/100000</f>
        <v>-86703.51942107355</v>
      </c>
      <c r="T73">
        <f t="shared" ref="T73" si="344">S73/1000</f>
        <v>-86.703519421073551</v>
      </c>
    </row>
    <row r="74" spans="1:20" x14ac:dyDescent="0.25">
      <c r="A74" s="5">
        <v>44519</v>
      </c>
      <c r="B74">
        <v>7.4399999999999994E-2</v>
      </c>
      <c r="C74">
        <v>8.054E-2</v>
      </c>
      <c r="D74">
        <v>7.3620000000000005E-2</v>
      </c>
      <c r="E74">
        <v>7.9240000000000005E-2</v>
      </c>
      <c r="F74">
        <v>43633031</v>
      </c>
      <c r="G74">
        <v>7.9240000000000005E-2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0.62427745664739986</v>
      </c>
      <c r="Q74">
        <f t="shared" ref="Q74" si="346">F74*P74</f>
        <v>27239117.618497156</v>
      </c>
      <c r="R74">
        <f t="shared" ref="R74" si="347">R75+Q74</f>
        <v>-8676415489.6000729</v>
      </c>
      <c r="S74">
        <f t="shared" ref="S74" si="348">R74/100000</f>
        <v>-86764.154896000735</v>
      </c>
      <c r="T74">
        <f t="shared" ref="T74" si="349">S74/1000</f>
        <v>-86.764154896000733</v>
      </c>
    </row>
    <row r="75" spans="1:20" x14ac:dyDescent="0.25">
      <c r="A75" s="5">
        <v>44518</v>
      </c>
      <c r="B75">
        <v>8.0420000000000005E-2</v>
      </c>
      <c r="C75">
        <v>8.3169999999999994E-2</v>
      </c>
      <c r="D75">
        <v>7.2800000000000004E-2</v>
      </c>
      <c r="E75">
        <v>7.4459999999999998E-2</v>
      </c>
      <c r="F75">
        <v>50901261</v>
      </c>
      <c r="G75">
        <v>7.4459999999999998E-2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-0.67984570877531414</v>
      </c>
      <c r="Q75">
        <f t="shared" ref="Q75" si="351">F75*P75</f>
        <v>-34605003.862102255</v>
      </c>
      <c r="R75">
        <f t="shared" ref="R75" si="352">R76+Q75</f>
        <v>-8703654607.2185707</v>
      </c>
      <c r="S75">
        <f t="shared" ref="S75" si="353">R75/100000</f>
        <v>-87036.546072185709</v>
      </c>
      <c r="T75">
        <f t="shared" ref="T75" si="354">S75/1000</f>
        <v>-87.036546072185715</v>
      </c>
    </row>
    <row r="76" spans="1:20" x14ac:dyDescent="0.25">
      <c r="A76" s="5">
        <v>44517</v>
      </c>
      <c r="B76">
        <v>8.0759999999999998E-2</v>
      </c>
      <c r="C76">
        <v>8.4970000000000004E-2</v>
      </c>
      <c r="D76">
        <v>7.6310000000000003E-2</v>
      </c>
      <c r="E76">
        <v>8.0420000000000005E-2</v>
      </c>
      <c r="F76">
        <v>48655559</v>
      </c>
      <c r="G76">
        <v>8.0420000000000005E-2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-5.0808314087759342E-2</v>
      </c>
      <c r="Q76">
        <f t="shared" ref="Q76" si="356">F76*P76</f>
        <v>-2472106.9237875058</v>
      </c>
      <c r="R76">
        <f t="shared" ref="R76" si="357">R77+Q76</f>
        <v>-8669049603.3564682</v>
      </c>
      <c r="S76">
        <f t="shared" ref="S76" si="358">R76/100000</f>
        <v>-86690.496033564676</v>
      </c>
      <c r="T76">
        <f t="shared" ref="T76" si="359">S76/1000</f>
        <v>-86.690496033564671</v>
      </c>
    </row>
    <row r="77" spans="1:20" x14ac:dyDescent="0.25">
      <c r="A77" s="5">
        <v>44516</v>
      </c>
      <c r="B77">
        <v>8.7349999999999997E-2</v>
      </c>
      <c r="C77">
        <v>9.8599999999999993E-2</v>
      </c>
      <c r="D77">
        <v>7.9039999999999999E-2</v>
      </c>
      <c r="E77">
        <v>8.0769999999999995E-2</v>
      </c>
      <c r="F77">
        <v>101228170</v>
      </c>
      <c r="G77">
        <v>8.0769999999999995E-2</v>
      </c>
      <c r="L77" t="s">
        <v>8</v>
      </c>
      <c r="M77" t="s">
        <v>7</v>
      </c>
      <c r="N77" t="s">
        <v>7</v>
      </c>
      <c r="P77">
        <f t="shared" ref="P77" si="360">IF(C77=D77,0,((E77-D77)-(C77-E77))/(C77-D77))</f>
        <v>-0.8231083844580781</v>
      </c>
      <c r="Q77">
        <f t="shared" ref="Q77" si="361">F77*P77</f>
        <v>-83321755.470347688</v>
      </c>
      <c r="R77">
        <f t="shared" ref="R77" si="362">R78+Q77</f>
        <v>-8666577496.4326801</v>
      </c>
      <c r="S77">
        <f t="shared" ref="S77" si="363">R77/100000</f>
        <v>-86665.774964326803</v>
      </c>
      <c r="T77">
        <f t="shared" ref="T77" si="364">S77/1000</f>
        <v>-86.665774964326801</v>
      </c>
    </row>
    <row r="78" spans="1:20" x14ac:dyDescent="0.25">
      <c r="A78" s="5">
        <v>44515</v>
      </c>
      <c r="B78">
        <v>8.8319999999999996E-2</v>
      </c>
      <c r="C78">
        <v>9.1999999999999998E-2</v>
      </c>
      <c r="D78">
        <v>8.5610000000000006E-2</v>
      </c>
      <c r="E78">
        <v>8.7370000000000003E-2</v>
      </c>
      <c r="F78">
        <v>50267617</v>
      </c>
      <c r="G78">
        <v>8.7370000000000003E-2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-0.44913928012519572</v>
      </c>
      <c r="Q78">
        <f t="shared" ref="Q78" si="366">F78*P78</f>
        <v>-22577161.312989049</v>
      </c>
      <c r="R78">
        <f t="shared" ref="R78" si="367">R79+Q78</f>
        <v>-8583255740.9623318</v>
      </c>
      <c r="S78">
        <f t="shared" ref="S78" si="368">R78/100000</f>
        <v>-85832.557409623318</v>
      </c>
      <c r="T78">
        <f t="shared" ref="T78" si="369">S78/1000</f>
        <v>-85.83255740962332</v>
      </c>
    </row>
    <row r="79" spans="1:20" x14ac:dyDescent="0.25">
      <c r="A79" s="5">
        <v>44514</v>
      </c>
      <c r="B79">
        <v>8.6910000000000001E-2</v>
      </c>
      <c r="C79">
        <v>0.09</v>
      </c>
      <c r="D79">
        <v>8.5059999999999997E-2</v>
      </c>
      <c r="E79">
        <v>8.8200000000000001E-2</v>
      </c>
      <c r="F79">
        <v>45123786</v>
      </c>
      <c r="G79">
        <v>8.8200000000000001E-2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0.27125506072874656</v>
      </c>
      <c r="Q79">
        <f t="shared" ref="Q79" si="371">F79*P79</f>
        <v>12240055.311740963</v>
      </c>
      <c r="R79">
        <f t="shared" ref="R79" si="372">R80+Q79</f>
        <v>-8560678579.6493425</v>
      </c>
      <c r="S79">
        <f t="shared" ref="S79" si="373">R79/100000</f>
        <v>-85606.785796493423</v>
      </c>
      <c r="T79">
        <f t="shared" ref="T79" si="374">S79/1000</f>
        <v>-85.606785796493426</v>
      </c>
    </row>
    <row r="80" spans="1:20" x14ac:dyDescent="0.25">
      <c r="A80" s="5">
        <v>44513</v>
      </c>
      <c r="B80">
        <v>8.7300000000000003E-2</v>
      </c>
      <c r="C80">
        <v>8.7790000000000007E-2</v>
      </c>
      <c r="D80">
        <v>8.541E-2</v>
      </c>
      <c r="E80">
        <v>8.6860000000000007E-2</v>
      </c>
      <c r="F80">
        <v>22271784</v>
      </c>
      <c r="G80">
        <v>8.6860000000000007E-2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0.2184873949579853</v>
      </c>
      <c r="Q80">
        <f t="shared" ref="Q80" si="376">F80*P80</f>
        <v>4866104.067226938</v>
      </c>
      <c r="R80">
        <f t="shared" ref="R80" si="377">R81+Q80</f>
        <v>-8572918634.9610834</v>
      </c>
      <c r="S80">
        <f t="shared" ref="S80" si="378">R80/100000</f>
        <v>-85729.186349610827</v>
      </c>
      <c r="T80">
        <f t="shared" ref="T80" si="379">S80/1000</f>
        <v>-85.729186349610828</v>
      </c>
    </row>
    <row r="81" spans="1:20" x14ac:dyDescent="0.25">
      <c r="A81" s="5">
        <v>44512</v>
      </c>
      <c r="B81">
        <v>9.1429999999999997E-2</v>
      </c>
      <c r="C81">
        <v>9.1550000000000006E-2</v>
      </c>
      <c r="D81">
        <v>8.4540000000000004E-2</v>
      </c>
      <c r="E81">
        <v>8.7300000000000003E-2</v>
      </c>
      <c r="F81">
        <v>34349603</v>
      </c>
      <c r="G81">
        <v>8.7300000000000003E-2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-0.21255349500713333</v>
      </c>
      <c r="Q81">
        <f t="shared" ref="Q81" si="381">F81*P81</f>
        <v>-7301128.1697575124</v>
      </c>
      <c r="R81">
        <f t="shared" ref="R81" si="382">R82+Q81</f>
        <v>-8577784739.0283108</v>
      </c>
      <c r="S81">
        <f t="shared" ref="S81" si="383">R81/100000</f>
        <v>-85777.847390283103</v>
      </c>
      <c r="T81">
        <f t="shared" ref="T81" si="384">S81/1000</f>
        <v>-85.7778473902831</v>
      </c>
    </row>
    <row r="82" spans="1:20" x14ac:dyDescent="0.25">
      <c r="A82" s="5">
        <v>44511</v>
      </c>
      <c r="B82">
        <v>8.949E-2</v>
      </c>
      <c r="C82">
        <v>9.3609999999999999E-2</v>
      </c>
      <c r="D82">
        <v>8.7120000000000003E-2</v>
      </c>
      <c r="E82">
        <v>9.1429999999999997E-2</v>
      </c>
      <c r="F82">
        <v>40636761</v>
      </c>
      <c r="G82">
        <v>9.1429999999999997E-2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0.32819722650231037</v>
      </c>
      <c r="Q82">
        <f t="shared" ref="Q82" si="386">F82*P82</f>
        <v>13336872.254237253</v>
      </c>
      <c r="R82">
        <f t="shared" ref="R82" si="387">R83+Q82</f>
        <v>-8570483610.8585529</v>
      </c>
      <c r="S82">
        <f t="shared" ref="S82" si="388">R82/100000</f>
        <v>-85704.836108585529</v>
      </c>
      <c r="T82">
        <f t="shared" ref="T82" si="389">S82/1000</f>
        <v>-85.704836108585525</v>
      </c>
    </row>
    <row r="83" spans="1:20" x14ac:dyDescent="0.25">
      <c r="A83" s="5">
        <v>44510</v>
      </c>
      <c r="B83">
        <v>9.2950000000000005E-2</v>
      </c>
      <c r="C83">
        <v>9.9500000000000005E-2</v>
      </c>
      <c r="D83">
        <v>8.6440000000000003E-2</v>
      </c>
      <c r="E83">
        <v>8.949E-2</v>
      </c>
      <c r="F83">
        <v>123942948</v>
      </c>
      <c r="G83">
        <v>8.949E-2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-0.53292496171516135</v>
      </c>
      <c r="Q83">
        <f t="shared" ref="Q83" si="391">F83*P83</f>
        <v>-66052290.817764238</v>
      </c>
      <c r="R83">
        <f t="shared" ref="R83" si="392">R84+Q83</f>
        <v>-8583820483.1127901</v>
      </c>
      <c r="S83">
        <f t="shared" ref="S83" si="393">R83/100000</f>
        <v>-85838.204831127907</v>
      </c>
      <c r="T83">
        <f t="shared" ref="T83" si="394">S83/1000</f>
        <v>-85.838204831127911</v>
      </c>
    </row>
    <row r="84" spans="1:20" x14ac:dyDescent="0.25">
      <c r="A84" s="5">
        <v>44509</v>
      </c>
      <c r="B84">
        <v>8.6970000000000006E-2</v>
      </c>
      <c r="C84">
        <v>9.5500000000000002E-2</v>
      </c>
      <c r="D84">
        <v>8.5989999999999997E-2</v>
      </c>
      <c r="E84">
        <v>9.289E-2</v>
      </c>
      <c r="F84">
        <v>107625799</v>
      </c>
      <c r="G84">
        <v>9.289E-2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0.45110410094637227</v>
      </c>
      <c r="Q84">
        <f t="shared" ref="Q84" si="396">F84*P84</f>
        <v>48550439.296529971</v>
      </c>
      <c r="R84">
        <f t="shared" ref="R84" si="397">R85+Q84</f>
        <v>-8517768192.2950258</v>
      </c>
      <c r="S84">
        <f t="shared" ref="S84" si="398">R84/100000</f>
        <v>-85177.681922950258</v>
      </c>
      <c r="T84">
        <f t="shared" ref="T84" si="399">S84/1000</f>
        <v>-85.177681922950256</v>
      </c>
    </row>
    <row r="85" spans="1:20" x14ac:dyDescent="0.25">
      <c r="A85" s="5">
        <v>44508</v>
      </c>
      <c r="B85">
        <v>8.8209999999999997E-2</v>
      </c>
      <c r="C85">
        <v>8.9899999999999994E-2</v>
      </c>
      <c r="D85">
        <v>8.5400000000000004E-2</v>
      </c>
      <c r="E85">
        <v>8.6970000000000006E-2</v>
      </c>
      <c r="F85">
        <v>70947526</v>
      </c>
      <c r="G85">
        <v>8.6970000000000006E-2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-0.30222222222221984</v>
      </c>
      <c r="Q85">
        <f t="shared" ref="Q85" si="401">F85*P85</f>
        <v>-21441918.968888719</v>
      </c>
      <c r="R85">
        <f t="shared" ref="R85" si="402">R86+Q85</f>
        <v>-8566318631.5915556</v>
      </c>
      <c r="S85">
        <f t="shared" ref="S85" si="403">R85/100000</f>
        <v>-85663.186315915562</v>
      </c>
      <c r="T85">
        <f t="shared" ref="T85" si="404">S85/1000</f>
        <v>-85.663186315915567</v>
      </c>
    </row>
    <row r="86" spans="1:20" x14ac:dyDescent="0.25">
      <c r="A86" s="5">
        <v>44507</v>
      </c>
      <c r="B86">
        <v>8.5199999999999998E-2</v>
      </c>
      <c r="C86">
        <v>9.0789999999999996E-2</v>
      </c>
      <c r="D86">
        <v>8.4680000000000005E-2</v>
      </c>
      <c r="E86">
        <v>8.8169999999999998E-2</v>
      </c>
      <c r="F86">
        <v>93828931</v>
      </c>
      <c r="G86">
        <v>8.8169999999999998E-2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0.14238952536824831</v>
      </c>
      <c r="Q86">
        <f t="shared" ref="Q86" si="406">F86*P86</f>
        <v>13360256.950900121</v>
      </c>
      <c r="R86">
        <f t="shared" ref="R86" si="407">R87+Q86</f>
        <v>-8544876712.6226673</v>
      </c>
      <c r="S86">
        <f t="shared" ref="S86" si="408">R86/100000</f>
        <v>-85448.767126226667</v>
      </c>
      <c r="T86">
        <f t="shared" ref="T86" si="409">S86/1000</f>
        <v>-85.44876712622667</v>
      </c>
    </row>
    <row r="87" spans="1:20" x14ac:dyDescent="0.25">
      <c r="A87" s="5">
        <v>44506</v>
      </c>
      <c r="B87">
        <v>8.5750000000000007E-2</v>
      </c>
      <c r="C87">
        <v>8.7919999999999998E-2</v>
      </c>
      <c r="D87">
        <v>8.2299999999999998E-2</v>
      </c>
      <c r="E87">
        <v>8.5260000000000002E-2</v>
      </c>
      <c r="F87">
        <v>25850250</v>
      </c>
      <c r="G87">
        <v>8.5260000000000002E-2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5.3380782918150994E-2</v>
      </c>
      <c r="Q87">
        <f t="shared" ref="Q87" si="411">F87*P87</f>
        <v>1379906.5836299327</v>
      </c>
      <c r="R87">
        <f t="shared" ref="R87" si="412">R88+Q87</f>
        <v>-8558236969.5735674</v>
      </c>
      <c r="S87">
        <f t="shared" ref="S87" si="413">R87/100000</f>
        <v>-85582.369695735673</v>
      </c>
      <c r="T87">
        <f t="shared" ref="T87" si="414">S87/1000</f>
        <v>-85.582369695735679</v>
      </c>
    </row>
    <row r="88" spans="1:20" x14ac:dyDescent="0.25">
      <c r="A88" s="5">
        <v>44505</v>
      </c>
      <c r="B88">
        <v>8.9859999999999995E-2</v>
      </c>
      <c r="C88">
        <v>9.0840000000000004E-2</v>
      </c>
      <c r="D88">
        <v>8.5010000000000002E-2</v>
      </c>
      <c r="E88">
        <v>8.5750000000000007E-2</v>
      </c>
      <c r="F88">
        <v>51917734</v>
      </c>
      <c r="G88">
        <v>8.5750000000000007E-2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-0.74614065180102773</v>
      </c>
      <c r="Q88">
        <f t="shared" ref="Q88" si="416">F88*P88</f>
        <v>-38737931.886792377</v>
      </c>
      <c r="R88">
        <f t="shared" ref="R88" si="417">R89+Q88</f>
        <v>-8559616876.157197</v>
      </c>
      <c r="S88">
        <f t="shared" ref="S88" si="418">R88/100000</f>
        <v>-85596.168761571971</v>
      </c>
      <c r="T88">
        <f t="shared" ref="T88" si="419">S88/1000</f>
        <v>-85.596168761571974</v>
      </c>
    </row>
    <row r="89" spans="1:20" x14ac:dyDescent="0.25">
      <c r="A89" s="5">
        <v>44504</v>
      </c>
      <c r="B89">
        <v>8.7400000000000005E-2</v>
      </c>
      <c r="C89">
        <v>9.5000000000000001E-2</v>
      </c>
      <c r="D89">
        <v>8.7400000000000005E-2</v>
      </c>
      <c r="E89">
        <v>8.9749999999999996E-2</v>
      </c>
      <c r="F89">
        <v>160950695</v>
      </c>
      <c r="G89">
        <v>8.9749999999999996E-2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-0.38157894736842307</v>
      </c>
      <c r="Q89">
        <f t="shared" ref="Q89" si="421">F89*P89</f>
        <v>-61415396.776316114</v>
      </c>
      <c r="R89">
        <f t="shared" ref="R89" si="422">R90+Q89</f>
        <v>-8520878944.2704048</v>
      </c>
      <c r="S89">
        <f t="shared" ref="S89" si="423">R89/100000</f>
        <v>-85208.789442704045</v>
      </c>
      <c r="T89">
        <f t="shared" ref="T89" si="424">S89/1000</f>
        <v>-85.208789442704045</v>
      </c>
    </row>
    <row r="90" spans="1:20" x14ac:dyDescent="0.25">
      <c r="A90" s="5">
        <v>44503</v>
      </c>
      <c r="B90">
        <v>8.48E-2</v>
      </c>
      <c r="C90">
        <v>8.9370000000000005E-2</v>
      </c>
      <c r="D90">
        <v>8.2989999999999994E-2</v>
      </c>
      <c r="E90">
        <v>8.7330000000000005E-2</v>
      </c>
      <c r="F90">
        <v>93474448</v>
      </c>
      <c r="G90">
        <v>8.7330000000000005E-2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0.36050156739812017</v>
      </c>
      <c r="Q90">
        <f t="shared" ref="Q90" si="426">F90*P90</f>
        <v>33697685.015674077</v>
      </c>
      <c r="R90">
        <f t="shared" ref="R90" si="427">R91+Q90</f>
        <v>-8459463547.4940891</v>
      </c>
      <c r="S90">
        <f t="shared" ref="S90" si="428">R90/100000</f>
        <v>-84594.635474940893</v>
      </c>
      <c r="T90">
        <f t="shared" ref="T90" si="429">S90/1000</f>
        <v>-84.594635474940887</v>
      </c>
    </row>
    <row r="91" spans="1:20" x14ac:dyDescent="0.25">
      <c r="A91" s="5">
        <v>44502</v>
      </c>
      <c r="B91">
        <v>8.319E-2</v>
      </c>
      <c r="C91">
        <v>8.8529999999999998E-2</v>
      </c>
      <c r="D91">
        <v>8.1890000000000004E-2</v>
      </c>
      <c r="E91">
        <v>8.4830000000000003E-2</v>
      </c>
      <c r="F91">
        <v>93492431</v>
      </c>
      <c r="G91">
        <v>8.4830000000000003E-2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-0.11445783132530084</v>
      </c>
      <c r="Q91">
        <f t="shared" ref="Q91" si="431">F91*P91</f>
        <v>-10700940.897590328</v>
      </c>
      <c r="R91">
        <f t="shared" ref="R91" si="432">R92+Q91</f>
        <v>-8493161232.5097628</v>
      </c>
      <c r="S91">
        <f t="shared" ref="S91" si="433">R91/100000</f>
        <v>-84931.612325097623</v>
      </c>
      <c r="T91">
        <f t="shared" ref="T91" si="434">S91/1000</f>
        <v>-84.931612325097618</v>
      </c>
    </row>
    <row r="92" spans="1:20" x14ac:dyDescent="0.25">
      <c r="A92" s="5">
        <v>44501</v>
      </c>
      <c r="B92">
        <v>8.029E-2</v>
      </c>
      <c r="C92">
        <v>8.6300000000000002E-2</v>
      </c>
      <c r="D92">
        <v>8.0019999999999994E-2</v>
      </c>
      <c r="E92">
        <v>8.3180000000000004E-2</v>
      </c>
      <c r="F92">
        <v>86702525</v>
      </c>
      <c r="G92">
        <v>8.3180000000000004E-2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6.369426751594299E-3</v>
      </c>
      <c r="Q92">
        <f t="shared" ref="Q92" si="436">F92*P92</f>
        <v>552245.38216577354</v>
      </c>
      <c r="R92">
        <f t="shared" ref="R92" si="437">R93+Q92</f>
        <v>-8482460291.6121721</v>
      </c>
      <c r="S92">
        <f t="shared" ref="S92" si="438">R92/100000</f>
        <v>-84824.602916121716</v>
      </c>
      <c r="T92">
        <f t="shared" ref="T92" si="439">S92/1000</f>
        <v>-84.824602916121719</v>
      </c>
    </row>
    <row r="93" spans="1:20" x14ac:dyDescent="0.25">
      <c r="A93" s="5">
        <v>44500</v>
      </c>
      <c r="B93">
        <v>8.2110000000000002E-2</v>
      </c>
      <c r="C93">
        <v>8.2369999999999999E-2</v>
      </c>
      <c r="D93">
        <v>7.8609999999999999E-2</v>
      </c>
      <c r="E93">
        <v>8.0299999999999996E-2</v>
      </c>
      <c r="F93">
        <v>73642650</v>
      </c>
      <c r="G93">
        <v>8.0299999999999996E-2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-0.10106382978723548</v>
      </c>
      <c r="Q93">
        <f t="shared" ref="Q93" si="441">F93*P93</f>
        <v>-7442608.2446809569</v>
      </c>
      <c r="R93">
        <f t="shared" ref="R93" si="442">R94+Q93</f>
        <v>-8483012536.994338</v>
      </c>
      <c r="S93">
        <f t="shared" ref="S93" si="443">R93/100000</f>
        <v>-84830.125369943387</v>
      </c>
      <c r="T93">
        <f t="shared" ref="T93" si="444">S93/1000</f>
        <v>-84.830125369943389</v>
      </c>
    </row>
    <row r="94" spans="1:20" x14ac:dyDescent="0.25">
      <c r="A94" s="5">
        <v>44499</v>
      </c>
      <c r="B94">
        <v>8.5650000000000004E-2</v>
      </c>
      <c r="C94">
        <v>8.6199999999999999E-2</v>
      </c>
      <c r="D94">
        <v>8.1479999999999997E-2</v>
      </c>
      <c r="E94">
        <v>8.2049999999999998E-2</v>
      </c>
      <c r="F94">
        <v>57380382</v>
      </c>
      <c r="G94">
        <v>8.2049999999999998E-2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-0.75847457627118609</v>
      </c>
      <c r="Q94">
        <f t="shared" ref="Q94" si="446">F94*P94</f>
        <v>-43521560.923728794</v>
      </c>
      <c r="R94">
        <f t="shared" ref="R94" si="447">R95+Q94</f>
        <v>-8475569928.7496567</v>
      </c>
      <c r="S94">
        <f t="shared" ref="S94" si="448">R94/100000</f>
        <v>-84755.699287496565</v>
      </c>
      <c r="T94">
        <f t="shared" ref="T94" si="449">S94/1000</f>
        <v>-84.755699287496569</v>
      </c>
    </row>
    <row r="95" spans="1:20" x14ac:dyDescent="0.25">
      <c r="A95" s="5">
        <v>44498</v>
      </c>
      <c r="B95">
        <v>8.5730000000000001E-2</v>
      </c>
      <c r="C95">
        <v>8.7809999999999999E-2</v>
      </c>
      <c r="D95">
        <v>8.4000000000000005E-2</v>
      </c>
      <c r="E95">
        <v>8.5690000000000002E-2</v>
      </c>
      <c r="F95">
        <v>50857122</v>
      </c>
      <c r="G95">
        <v>8.5690000000000002E-2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-0.11286089238845158</v>
      </c>
      <c r="Q95">
        <f t="shared" ref="Q95" si="451">F95*P95</f>
        <v>-5739780.1732283533</v>
      </c>
      <c r="R95">
        <f t="shared" ref="R95" si="452">R96+Q95</f>
        <v>-8432048367.8259277</v>
      </c>
      <c r="S95">
        <f t="shared" ref="S95" si="453">R95/100000</f>
        <v>-84320.483678259276</v>
      </c>
      <c r="T95">
        <f t="shared" ref="T95" si="454">S95/1000</f>
        <v>-84.320483678259279</v>
      </c>
    </row>
    <row r="96" spans="1:20" x14ac:dyDescent="0.25">
      <c r="A96" s="5">
        <v>44497</v>
      </c>
      <c r="B96">
        <v>8.1299999999999997E-2</v>
      </c>
      <c r="C96">
        <v>8.9550000000000005E-2</v>
      </c>
      <c r="D96">
        <v>8.072E-2</v>
      </c>
      <c r="E96">
        <v>8.5690000000000002E-2</v>
      </c>
      <c r="F96">
        <v>74257588</v>
      </c>
      <c r="G96">
        <v>8.5690000000000002E-2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0.12570781426953559</v>
      </c>
      <c r="Q96">
        <f t="shared" ref="Q96" si="456">F96*P96</f>
        <v>9334759.080407694</v>
      </c>
      <c r="R96">
        <f t="shared" ref="R96" si="457">R97+Q96</f>
        <v>-8426308587.6526995</v>
      </c>
      <c r="S96">
        <f t="shared" ref="S96" si="458">R96/100000</f>
        <v>-84263.085876526995</v>
      </c>
      <c r="T96">
        <f t="shared" ref="T96" si="459">S96/1000</f>
        <v>-84.263085876527001</v>
      </c>
    </row>
    <row r="97" spans="1:20" x14ac:dyDescent="0.25">
      <c r="A97" s="5">
        <v>44496</v>
      </c>
      <c r="B97">
        <v>9.2869999999999994E-2</v>
      </c>
      <c r="C97">
        <v>9.5009999999999997E-2</v>
      </c>
      <c r="D97">
        <v>0.08</v>
      </c>
      <c r="E97">
        <v>8.133E-2</v>
      </c>
      <c r="F97">
        <v>94877660</v>
      </c>
      <c r="G97">
        <v>8.133E-2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-0.82278481012658256</v>
      </c>
      <c r="Q97">
        <f t="shared" ref="Q97" si="461">F97*P97</f>
        <v>-78063897.468354464</v>
      </c>
      <c r="R97">
        <f t="shared" ref="R97" si="462">R98+Q97</f>
        <v>-8435643346.7331076</v>
      </c>
      <c r="S97">
        <f t="shared" ref="S97" si="463">R97/100000</f>
        <v>-84356.43346733108</v>
      </c>
      <c r="T97">
        <f t="shared" ref="T97" si="464">S97/1000</f>
        <v>-84.356433467331087</v>
      </c>
    </row>
    <row r="98" spans="1:20" x14ac:dyDescent="0.25">
      <c r="A98" s="5">
        <v>44495</v>
      </c>
      <c r="B98">
        <v>9.6070000000000003E-2</v>
      </c>
      <c r="C98">
        <v>9.6670000000000006E-2</v>
      </c>
      <c r="D98">
        <v>9.1999999999999998E-2</v>
      </c>
      <c r="E98">
        <v>9.2719999999999997E-2</v>
      </c>
      <c r="F98">
        <v>57680046</v>
      </c>
      <c r="G98">
        <v>9.2719999999999997E-2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-0.69164882226980851</v>
      </c>
      <c r="Q98">
        <f t="shared" ref="Q98" si="466">F98*P98</f>
        <v>-39894335.884368382</v>
      </c>
      <c r="R98">
        <f t="shared" ref="R98" si="467">R99+Q98</f>
        <v>-8357579449.2647533</v>
      </c>
      <c r="S98">
        <f t="shared" ref="S98" si="468">R98/100000</f>
        <v>-83575.794492647532</v>
      </c>
      <c r="T98">
        <f t="shared" ref="T98" si="469">S98/1000</f>
        <v>-83.575794492647532</v>
      </c>
    </row>
    <row r="99" spans="1:20" x14ac:dyDescent="0.25">
      <c r="A99" s="5">
        <v>44494</v>
      </c>
      <c r="B99">
        <v>9.7860000000000003E-2</v>
      </c>
      <c r="C99">
        <v>0.1</v>
      </c>
      <c r="D99">
        <v>9.4310000000000005E-2</v>
      </c>
      <c r="E99">
        <v>9.6070000000000003E-2</v>
      </c>
      <c r="F99">
        <v>54664166</v>
      </c>
      <c r="G99">
        <v>9.6070000000000003E-2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-0.38137082601054567</v>
      </c>
      <c r="Q99">
        <f t="shared" ref="Q99" si="471">F99*P99</f>
        <v>-20847318.140597586</v>
      </c>
      <c r="R99">
        <f t="shared" ref="R99" si="472">R100+Q99</f>
        <v>-8317685113.3803854</v>
      </c>
      <c r="S99">
        <f t="shared" ref="S99" si="473">R99/100000</f>
        <v>-83176.851133803852</v>
      </c>
      <c r="T99">
        <f t="shared" ref="T99" si="474">S99/1000</f>
        <v>-83.176851133803851</v>
      </c>
    </row>
    <row r="100" spans="1:20" x14ac:dyDescent="0.25">
      <c r="A100" s="5">
        <v>44493</v>
      </c>
      <c r="B100">
        <v>9.3850000000000003E-2</v>
      </c>
      <c r="C100">
        <v>0.10188</v>
      </c>
      <c r="D100">
        <v>9.2950000000000005E-2</v>
      </c>
      <c r="E100">
        <v>9.7809999999999994E-2</v>
      </c>
      <c r="F100">
        <v>143764185</v>
      </c>
      <c r="G100">
        <v>9.7809999999999994E-2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8.8465845464724052E-2</v>
      </c>
      <c r="Q100">
        <f t="shared" ref="Q100" si="476">F100*P100</f>
        <v>12718220.173572</v>
      </c>
      <c r="R100">
        <f t="shared" ref="R100" si="477">R101+Q100</f>
        <v>-8296837795.2397881</v>
      </c>
      <c r="S100">
        <f t="shared" ref="S100" si="478">R100/100000</f>
        <v>-82968.377952397874</v>
      </c>
      <c r="T100">
        <f t="shared" ref="T100" si="479">S100/1000</f>
        <v>-82.968377952397873</v>
      </c>
    </row>
    <row r="101" spans="1:20" x14ac:dyDescent="0.25">
      <c r="A101" s="5">
        <v>44492</v>
      </c>
      <c r="B101">
        <v>8.9590000000000003E-2</v>
      </c>
      <c r="C101">
        <v>9.9000000000000005E-2</v>
      </c>
      <c r="D101">
        <v>8.8870000000000005E-2</v>
      </c>
      <c r="E101">
        <v>9.3869999999999995E-2</v>
      </c>
      <c r="F101">
        <v>122428741</v>
      </c>
      <c r="G101">
        <v>9.3869999999999995E-2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-1.2833168805530008E-2</v>
      </c>
      <c r="Q101">
        <f t="shared" ref="Q101" si="481">F101*P101</f>
        <v>-1571148.6999015128</v>
      </c>
      <c r="R101">
        <f t="shared" ref="R101" si="482">R102+Q101</f>
        <v>-8309556015.4133596</v>
      </c>
      <c r="S101">
        <f t="shared" ref="S101" si="483">R101/100000</f>
        <v>-83095.560154133593</v>
      </c>
      <c r="T101">
        <f t="shared" ref="T101" si="484">S101/1000</f>
        <v>-83.095560154133594</v>
      </c>
    </row>
    <row r="102" spans="1:20" x14ac:dyDescent="0.25">
      <c r="A102" s="5">
        <v>44491</v>
      </c>
      <c r="B102">
        <v>9.1609999999999997E-2</v>
      </c>
      <c r="C102">
        <v>9.3799999999999994E-2</v>
      </c>
      <c r="D102">
        <v>8.7599999999999997E-2</v>
      </c>
      <c r="E102">
        <v>8.9569999999999997E-2</v>
      </c>
      <c r="F102">
        <v>64241224</v>
      </c>
      <c r="G102">
        <v>8.9569999999999997E-2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-0.36451612903225794</v>
      </c>
      <c r="Q102">
        <f t="shared" ref="Q102" si="486">F102*P102</f>
        <v>-23416962.296774186</v>
      </c>
      <c r="R102">
        <f t="shared" ref="R102" si="487">R103+Q102</f>
        <v>-8307984866.7134581</v>
      </c>
      <c r="S102">
        <f t="shared" ref="S102" si="488">R102/100000</f>
        <v>-83079.848667134574</v>
      </c>
      <c r="T102">
        <f t="shared" ref="T102" si="489">S102/1000</f>
        <v>-83.07984866713457</v>
      </c>
    </row>
    <row r="103" spans="1:20" x14ac:dyDescent="0.25">
      <c r="A103" s="5">
        <v>44490</v>
      </c>
      <c r="B103">
        <v>9.1929999999999998E-2</v>
      </c>
      <c r="C103">
        <v>9.5500000000000002E-2</v>
      </c>
      <c r="D103">
        <v>8.8090000000000002E-2</v>
      </c>
      <c r="E103">
        <v>9.1689999999999994E-2</v>
      </c>
      <c r="F103">
        <v>105841792</v>
      </c>
      <c r="G103">
        <v>9.1689999999999994E-2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-2.8340080971662043E-2</v>
      </c>
      <c r="Q103">
        <f t="shared" ref="Q103" si="491">F103*P103</f>
        <v>-2999564.9554658118</v>
      </c>
      <c r="R103">
        <f t="shared" ref="R103" si="492">R104+Q103</f>
        <v>-8284567904.4166842</v>
      </c>
      <c r="S103">
        <f t="shared" ref="S103" si="493">R103/100000</f>
        <v>-82845.679044166842</v>
      </c>
      <c r="T103">
        <f t="shared" ref="T103" si="494">S103/1000</f>
        <v>-82.845679044166843</v>
      </c>
    </row>
    <row r="104" spans="1:20" x14ac:dyDescent="0.25">
      <c r="A104" s="5">
        <v>44489</v>
      </c>
      <c r="B104">
        <v>8.9120000000000005E-2</v>
      </c>
      <c r="C104">
        <v>0.10288</v>
      </c>
      <c r="D104">
        <v>8.8039999999999993E-2</v>
      </c>
      <c r="E104">
        <v>9.1840000000000005E-2</v>
      </c>
      <c r="F104">
        <v>286691592</v>
      </c>
      <c r="G104">
        <v>9.1840000000000005E-2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-0.48787061994609027</v>
      </c>
      <c r="Q104">
        <f t="shared" ref="Q104" si="496">F104*P104</f>
        <v>-139868404.72237158</v>
      </c>
      <c r="R104">
        <f t="shared" ref="R104" si="497">R105+Q104</f>
        <v>-8281568339.4612179</v>
      </c>
      <c r="S104">
        <f t="shared" ref="S104" si="498">R104/100000</f>
        <v>-82815.683394612177</v>
      </c>
      <c r="T104">
        <f t="shared" ref="T104" si="499">S104/1000</f>
        <v>-82.815683394612179</v>
      </c>
    </row>
    <row r="105" spans="1:20" x14ac:dyDescent="0.25">
      <c r="A105" s="5">
        <v>44488</v>
      </c>
      <c r="B105">
        <v>8.7139999999999995E-2</v>
      </c>
      <c r="C105">
        <v>9.4100000000000003E-2</v>
      </c>
      <c r="D105">
        <v>8.5999999999999993E-2</v>
      </c>
      <c r="E105">
        <v>8.9039999999999994E-2</v>
      </c>
      <c r="F105">
        <v>116155741</v>
      </c>
      <c r="G105">
        <v>8.9039999999999994E-2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-0.24938271604938339</v>
      </c>
      <c r="Q105">
        <f t="shared" ref="Q105" si="501">F105*P105</f>
        <v>-28967234.175308719</v>
      </c>
      <c r="R105">
        <f t="shared" ref="R105" si="502">R106+Q105</f>
        <v>-8141699934.7388458</v>
      </c>
      <c r="S105">
        <f t="shared" ref="S105" si="503">R105/100000</f>
        <v>-81416.999347388453</v>
      </c>
      <c r="T105">
        <f t="shared" ref="T105" si="504">S105/1000</f>
        <v>-81.416999347388455</v>
      </c>
    </row>
    <row r="106" spans="1:20" x14ac:dyDescent="0.25">
      <c r="A106" s="5">
        <v>44487</v>
      </c>
      <c r="B106">
        <v>9.3640000000000001E-2</v>
      </c>
      <c r="C106">
        <v>9.6290000000000001E-2</v>
      </c>
      <c r="D106">
        <v>8.6999999999999994E-2</v>
      </c>
      <c r="E106">
        <v>8.72E-2</v>
      </c>
      <c r="F106">
        <v>161700786</v>
      </c>
      <c r="G106">
        <v>8.72E-2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-0.95694294940796432</v>
      </c>
      <c r="Q106">
        <f t="shared" ref="Q106" si="506">F106*P106</f>
        <v>-154738427.07642606</v>
      </c>
      <c r="R106">
        <f t="shared" ref="R106" si="507">R107+Q106</f>
        <v>-8112732700.5635366</v>
      </c>
      <c r="S106">
        <f t="shared" ref="S106" si="508">R106/100000</f>
        <v>-81127.327005635365</v>
      </c>
      <c r="T106">
        <f t="shared" ref="T106" si="509">S106/1000</f>
        <v>-81.127327005635365</v>
      </c>
    </row>
    <row r="107" spans="1:20" x14ac:dyDescent="0.25">
      <c r="A107" s="5">
        <v>44486</v>
      </c>
      <c r="B107">
        <v>9.06E-2</v>
      </c>
      <c r="C107">
        <v>0.115</v>
      </c>
      <c r="D107">
        <v>9.0499999999999997E-2</v>
      </c>
      <c r="E107">
        <v>9.3640000000000001E-2</v>
      </c>
      <c r="F107">
        <v>942167350</v>
      </c>
      <c r="G107">
        <v>9.3640000000000001E-2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-0.74367346938775492</v>
      </c>
      <c r="Q107">
        <f t="shared" ref="Q107" si="511">F107*P107</f>
        <v>-700664861.91836715</v>
      </c>
      <c r="R107">
        <f t="shared" ref="R107" si="512">R108+Q107</f>
        <v>-7957994273.4871101</v>
      </c>
      <c r="S107">
        <f t="shared" ref="S107" si="513">R107/100000</f>
        <v>-79579.942734871103</v>
      </c>
      <c r="T107">
        <f t="shared" ref="T107" si="514">S107/1000</f>
        <v>-79.579942734871096</v>
      </c>
    </row>
    <row r="108" spans="1:20" x14ac:dyDescent="0.25">
      <c r="A108" s="5">
        <v>44485</v>
      </c>
      <c r="B108">
        <v>8.6099999999999996E-2</v>
      </c>
      <c r="C108">
        <v>0.11864</v>
      </c>
      <c r="D108">
        <v>8.1500000000000003E-2</v>
      </c>
      <c r="E108">
        <v>9.0499999999999997E-2</v>
      </c>
      <c r="F108">
        <v>968325404</v>
      </c>
      <c r="G108">
        <v>9.0499999999999997E-2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-0.51534733441033953</v>
      </c>
      <c r="Q108">
        <f t="shared" ref="Q108" si="516">F108*P108</f>
        <v>-499023915.79321516</v>
      </c>
      <c r="R108">
        <f t="shared" ref="R108" si="517">R109+Q108</f>
        <v>-7257329411.5687428</v>
      </c>
      <c r="S108">
        <f t="shared" ref="S108" si="518">R108/100000</f>
        <v>-72573.294115687429</v>
      </c>
      <c r="T108">
        <f t="shared" ref="T108" si="519">S108/1000</f>
        <v>-72.573294115687432</v>
      </c>
    </row>
    <row r="109" spans="1:20" x14ac:dyDescent="0.25">
      <c r="A109" s="5">
        <v>44484</v>
      </c>
      <c r="B109">
        <v>8.0460000000000004E-2</v>
      </c>
      <c r="C109">
        <v>0.10755000000000001</v>
      </c>
      <c r="D109">
        <v>7.7020000000000005E-2</v>
      </c>
      <c r="E109">
        <v>8.6120000000000002E-2</v>
      </c>
      <c r="F109">
        <v>775391494</v>
      </c>
      <c r="G109">
        <v>8.6120000000000002E-2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-0.40386505076973489</v>
      </c>
      <c r="Q109">
        <f t="shared" ref="Q109" si="521">F109*P109</f>
        <v>-313153525.09073061</v>
      </c>
      <c r="R109">
        <f t="shared" ref="R109" si="522">R110+Q109</f>
        <v>-6758305495.775528</v>
      </c>
      <c r="S109">
        <f t="shared" ref="S109" si="523">R109/100000</f>
        <v>-67583.054957755274</v>
      </c>
      <c r="T109">
        <f t="shared" ref="T109" si="524">S109/1000</f>
        <v>-67.58305495775528</v>
      </c>
    </row>
    <row r="110" spans="1:20" x14ac:dyDescent="0.25">
      <c r="A110" s="5">
        <v>44483</v>
      </c>
      <c r="B110">
        <v>8.0170000000000005E-2</v>
      </c>
      <c r="C110">
        <v>8.3000000000000004E-2</v>
      </c>
      <c r="D110">
        <v>7.8799999999999995E-2</v>
      </c>
      <c r="E110">
        <v>8.0409999999999995E-2</v>
      </c>
      <c r="F110">
        <v>91524926</v>
      </c>
      <c r="G110">
        <v>8.0409999999999995E-2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-0.23333333333333486</v>
      </c>
      <c r="Q110">
        <f t="shared" ref="Q110" si="526">F110*P110</f>
        <v>-21355816.066666808</v>
      </c>
      <c r="R110">
        <f t="shared" ref="R110" si="527">R111+Q110</f>
        <v>-6445151970.6847973</v>
      </c>
      <c r="S110">
        <f t="shared" ref="S110" si="528">R110/100000</f>
        <v>-64451.519706847976</v>
      </c>
      <c r="T110">
        <f t="shared" ref="T110" si="529">S110/1000</f>
        <v>-64.451519706847975</v>
      </c>
    </row>
    <row r="111" spans="1:20" x14ac:dyDescent="0.25">
      <c r="A111" s="5">
        <v>44482</v>
      </c>
      <c r="B111">
        <v>7.9289999999999999E-2</v>
      </c>
      <c r="C111">
        <v>8.3049999999999999E-2</v>
      </c>
      <c r="D111">
        <v>7.6999999999999999E-2</v>
      </c>
      <c r="E111">
        <v>8.0149999999999999E-2</v>
      </c>
      <c r="F111">
        <v>122755315</v>
      </c>
      <c r="G111">
        <v>8.0149999999999999E-2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4.1322314049586813E-2</v>
      </c>
      <c r="Q111">
        <f t="shared" ref="Q111" si="531">F111*P111</f>
        <v>5072533.6776859546</v>
      </c>
      <c r="R111">
        <f t="shared" ref="R111" si="532">R112+Q111</f>
        <v>-6423796154.6181307</v>
      </c>
      <c r="S111">
        <f t="shared" ref="S111" si="533">R111/100000</f>
        <v>-64237.961546181308</v>
      </c>
      <c r="T111">
        <f t="shared" ref="T111" si="534">S111/1000</f>
        <v>-64.23796154618131</v>
      </c>
    </row>
    <row r="112" spans="1:20" x14ac:dyDescent="0.25">
      <c r="A112" s="5">
        <v>44481</v>
      </c>
      <c r="B112">
        <v>7.9159999999999994E-2</v>
      </c>
      <c r="C112">
        <v>8.3960000000000007E-2</v>
      </c>
      <c r="D112">
        <v>7.6819999999999999E-2</v>
      </c>
      <c r="E112">
        <v>7.9380000000000006E-2</v>
      </c>
      <c r="F112">
        <v>72584195</v>
      </c>
      <c r="G112">
        <v>7.9380000000000006E-2</v>
      </c>
      <c r="L112" t="s">
        <v>8</v>
      </c>
      <c r="M112" t="s">
        <v>7</v>
      </c>
      <c r="N112" t="s">
        <v>7</v>
      </c>
      <c r="P112">
        <f t="shared" ref="P112" si="535">IF(C112=D112,0,((E112-D112)-(C112-E112))/(C112-D112))</f>
        <v>-0.28291316526610533</v>
      </c>
      <c r="Q112">
        <f t="shared" ref="Q112" si="536">F112*P112</f>
        <v>-20535024.355742216</v>
      </c>
      <c r="R112">
        <f t="shared" ref="R112" si="537">R113+Q112</f>
        <v>-6428868688.2958164</v>
      </c>
      <c r="S112">
        <f t="shared" ref="S112" si="538">R112/100000</f>
        <v>-64288.686882958165</v>
      </c>
      <c r="T112">
        <f t="shared" ref="T112" si="539">S112/1000</f>
        <v>-64.28868688295816</v>
      </c>
    </row>
    <row r="113" spans="1:20" x14ac:dyDescent="0.25">
      <c r="A113" s="5">
        <v>44480</v>
      </c>
      <c r="B113">
        <v>7.7899999999999997E-2</v>
      </c>
      <c r="C113">
        <v>8.6999999999999994E-2</v>
      </c>
      <c r="D113">
        <v>7.7549999999999994E-2</v>
      </c>
      <c r="E113">
        <v>7.9159999999999994E-2</v>
      </c>
      <c r="F113">
        <v>121787624</v>
      </c>
      <c r="G113">
        <v>7.9159999999999994E-2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-0.65925925925925921</v>
      </c>
      <c r="Q113">
        <f t="shared" ref="Q113" si="541">F113*P113</f>
        <v>-80289618.785185173</v>
      </c>
      <c r="R113">
        <f t="shared" ref="R113" si="542">R114+Q113</f>
        <v>-6408333663.940074</v>
      </c>
      <c r="S113">
        <f t="shared" ref="S113" si="543">R113/100000</f>
        <v>-64083.336639400739</v>
      </c>
      <c r="T113">
        <f t="shared" ref="T113" si="544">S113/1000</f>
        <v>-64.083336639400741</v>
      </c>
    </row>
    <row r="114" spans="1:20" x14ac:dyDescent="0.25">
      <c r="A114" s="5">
        <v>44479</v>
      </c>
      <c r="B114">
        <v>8.0390000000000003E-2</v>
      </c>
      <c r="C114">
        <v>8.4430000000000005E-2</v>
      </c>
      <c r="D114">
        <v>7.7850000000000003E-2</v>
      </c>
      <c r="E114">
        <v>7.7850000000000003E-2</v>
      </c>
      <c r="F114">
        <v>102912662</v>
      </c>
      <c r="G114">
        <v>7.7850000000000003E-2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-1</v>
      </c>
      <c r="Q114">
        <f t="shared" ref="Q114" si="546">F114*P114</f>
        <v>-102912662</v>
      </c>
      <c r="R114">
        <f t="shared" ref="R114" si="547">R115+Q114</f>
        <v>-6328044045.1548891</v>
      </c>
      <c r="S114">
        <f t="shared" ref="S114" si="548">R114/100000</f>
        <v>-63280.440451548893</v>
      </c>
      <c r="T114">
        <f t="shared" ref="T114" si="549">S114/1000</f>
        <v>-63.280440451548891</v>
      </c>
    </row>
    <row r="115" spans="1:20" x14ac:dyDescent="0.25">
      <c r="A115" s="5">
        <v>44478</v>
      </c>
      <c r="B115">
        <v>7.9570000000000002E-2</v>
      </c>
      <c r="C115">
        <v>9.3759999999999996E-2</v>
      </c>
      <c r="D115">
        <v>7.85E-2</v>
      </c>
      <c r="E115">
        <v>8.0390000000000003E-2</v>
      </c>
      <c r="F115">
        <v>345867433</v>
      </c>
      <c r="G115">
        <v>8.0390000000000003E-2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-0.75229357798165097</v>
      </c>
      <c r="Q115">
        <f t="shared" ref="Q115" si="551">F115*P115</f>
        <v>-260193848.67889893</v>
      </c>
      <c r="R115">
        <f t="shared" ref="R115" si="552">R116+Q115</f>
        <v>-6225131383.1548891</v>
      </c>
      <c r="S115">
        <f t="shared" ref="S115" si="553">R115/100000</f>
        <v>-62251.31383154889</v>
      </c>
      <c r="T115">
        <f t="shared" ref="T115" si="554">S115/1000</f>
        <v>-62.251313831548892</v>
      </c>
    </row>
    <row r="116" spans="1:20" x14ac:dyDescent="0.25">
      <c r="A116" s="5">
        <v>44477</v>
      </c>
      <c r="B116">
        <v>7.9829999999999998E-2</v>
      </c>
      <c r="C116">
        <v>8.6499999999999994E-2</v>
      </c>
      <c r="D116">
        <v>7.7009999999999995E-2</v>
      </c>
      <c r="E116">
        <v>7.9579999999999998E-2</v>
      </c>
      <c r="F116">
        <v>152104157</v>
      </c>
      <c r="G116">
        <v>7.9579999999999998E-2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-0.45837723919915629</v>
      </c>
      <c r="Q116">
        <f t="shared" ref="Q116" si="556">F116*P116</f>
        <v>-69721083.556375027</v>
      </c>
      <c r="R116">
        <f t="shared" ref="R116" si="557">R117+Q116</f>
        <v>-5964937534.4759903</v>
      </c>
      <c r="S116">
        <f t="shared" ref="S116" si="558">R116/100000</f>
        <v>-59649.375344759901</v>
      </c>
      <c r="T116">
        <f t="shared" ref="T116" si="559">S116/1000</f>
        <v>-59.649375344759903</v>
      </c>
    </row>
    <row r="117" spans="1:20" x14ac:dyDescent="0.25">
      <c r="A117" s="5">
        <v>44476</v>
      </c>
      <c r="B117">
        <v>7.9719999999999999E-2</v>
      </c>
      <c r="C117">
        <v>8.2000000000000003E-2</v>
      </c>
      <c r="D117">
        <v>7.7670000000000003E-2</v>
      </c>
      <c r="E117">
        <v>7.9820000000000002E-2</v>
      </c>
      <c r="F117">
        <v>74340443</v>
      </c>
      <c r="G117">
        <v>7.9820000000000002E-2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-6.9284064665132202E-3</v>
      </c>
      <c r="Q117">
        <f t="shared" ref="Q117" si="561">F117*P117</f>
        <v>-515060.80600465747</v>
      </c>
      <c r="R117">
        <f t="shared" ref="R117" si="562">R118+Q117</f>
        <v>-5895216450.9196148</v>
      </c>
      <c r="S117">
        <f t="shared" ref="S117" si="563">R117/100000</f>
        <v>-58952.164509196147</v>
      </c>
      <c r="T117">
        <f t="shared" ref="T117" si="564">S117/1000</f>
        <v>-58.952164509196145</v>
      </c>
    </row>
    <row r="118" spans="1:20" x14ac:dyDescent="0.25">
      <c r="A118" s="5">
        <v>44475</v>
      </c>
      <c r="B118">
        <v>8.1170000000000006E-2</v>
      </c>
      <c r="C118">
        <v>8.1640000000000004E-2</v>
      </c>
      <c r="D118">
        <v>7.6749999999999999E-2</v>
      </c>
      <c r="E118">
        <v>7.9780000000000004E-2</v>
      </c>
      <c r="F118">
        <v>95832855</v>
      </c>
      <c r="G118">
        <v>7.9780000000000004E-2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0.23926380368098221</v>
      </c>
      <c r="Q118">
        <f t="shared" ref="Q118" si="566">F118*P118</f>
        <v>22929333.404908035</v>
      </c>
      <c r="R118">
        <f t="shared" ref="R118" si="567">R119+Q118</f>
        <v>-5894701390.1136103</v>
      </c>
      <c r="S118">
        <f t="shared" ref="S118" si="568">R118/100000</f>
        <v>-58947.013901136103</v>
      </c>
      <c r="T118">
        <f t="shared" ref="T118" si="569">S118/1000</f>
        <v>-58.947013901136103</v>
      </c>
    </row>
    <row r="119" spans="1:20" x14ac:dyDescent="0.25">
      <c r="A119" s="5">
        <v>44474</v>
      </c>
      <c r="B119">
        <v>8.1199999999999994E-2</v>
      </c>
      <c r="C119">
        <v>8.8709999999999997E-2</v>
      </c>
      <c r="D119">
        <v>8.0130000000000007E-2</v>
      </c>
      <c r="E119">
        <v>8.1199999999999994E-2</v>
      </c>
      <c r="F119">
        <v>124304832</v>
      </c>
      <c r="G119">
        <v>8.1199999999999994E-2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-0.75058275058275314</v>
      </c>
      <c r="Q119">
        <f t="shared" ref="Q119" si="571">F119*P119</f>
        <v>-93301062.713287026</v>
      </c>
      <c r="R119">
        <f t="shared" ref="R119" si="572">R120+Q119</f>
        <v>-5917630723.5185184</v>
      </c>
      <c r="S119">
        <f t="shared" ref="S119" si="573">R119/100000</f>
        <v>-59176.307235185188</v>
      </c>
      <c r="T119">
        <f t="shared" ref="T119" si="574">S119/1000</f>
        <v>-59.176307235185185</v>
      </c>
    </row>
    <row r="120" spans="1:20" x14ac:dyDescent="0.25">
      <c r="A120" s="5">
        <v>44473</v>
      </c>
      <c r="B120">
        <v>8.4040000000000004E-2</v>
      </c>
      <c r="C120">
        <v>8.5000000000000006E-2</v>
      </c>
      <c r="D120">
        <v>0.08</v>
      </c>
      <c r="E120">
        <v>8.097E-2</v>
      </c>
      <c r="F120">
        <v>76273245</v>
      </c>
      <c r="G120">
        <v>8.097E-2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-0.61200000000000088</v>
      </c>
      <c r="Q120">
        <f t="shared" ref="Q120" si="576">F120*P120</f>
        <v>-46679225.940000065</v>
      </c>
      <c r="R120">
        <f t="shared" ref="R120" si="577">R121+Q120</f>
        <v>-5824329660.8052311</v>
      </c>
      <c r="S120">
        <f t="shared" ref="S120" si="578">R120/100000</f>
        <v>-58243.296608052311</v>
      </c>
      <c r="T120">
        <f t="shared" ref="T120" si="579">S120/1000</f>
        <v>-58.243296608052312</v>
      </c>
    </row>
    <row r="121" spans="1:20" x14ac:dyDescent="0.25">
      <c r="A121" s="5">
        <v>44472</v>
      </c>
      <c r="B121">
        <v>8.6099999999999996E-2</v>
      </c>
      <c r="C121">
        <v>8.8120000000000004E-2</v>
      </c>
      <c r="D121">
        <v>8.2799999999999999E-2</v>
      </c>
      <c r="E121">
        <v>8.3510000000000001E-2</v>
      </c>
      <c r="F121">
        <v>110005513</v>
      </c>
      <c r="G121">
        <v>8.3510000000000001E-2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-0.73308270676691667</v>
      </c>
      <c r="Q121">
        <f t="shared" ref="Q121" si="581">F121*P121</f>
        <v>-80643139.229323238</v>
      </c>
      <c r="R121">
        <f t="shared" ref="R121" si="582">R122+Q121</f>
        <v>-5777650434.8652306</v>
      </c>
      <c r="S121">
        <f t="shared" ref="S121" si="583">R121/100000</f>
        <v>-57776.504348652306</v>
      </c>
      <c r="T121">
        <f t="shared" ref="T121" si="584">S121/1000</f>
        <v>-57.77650434865231</v>
      </c>
    </row>
    <row r="122" spans="1:20" x14ac:dyDescent="0.25">
      <c r="A122" s="5">
        <v>44471</v>
      </c>
      <c r="B122">
        <v>8.566E-2</v>
      </c>
      <c r="C122">
        <v>9.5000000000000001E-2</v>
      </c>
      <c r="D122">
        <v>8.4419999999999995E-2</v>
      </c>
      <c r="E122">
        <v>8.6069999999999994E-2</v>
      </c>
      <c r="F122">
        <v>206769070</v>
      </c>
      <c r="G122">
        <v>8.6069999999999994E-2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-0.68809073724007608</v>
      </c>
      <c r="Q122">
        <f t="shared" ref="Q122" si="586">F122*P122</f>
        <v>-142275881.81474489</v>
      </c>
      <c r="R122">
        <f t="shared" ref="R122" si="587">R123+Q122</f>
        <v>-5697007295.6359072</v>
      </c>
      <c r="S122">
        <f t="shared" ref="S122" si="588">R122/100000</f>
        <v>-56970.072956359072</v>
      </c>
      <c r="T122">
        <f t="shared" ref="T122" si="589">S122/1000</f>
        <v>-56.970072956359076</v>
      </c>
    </row>
    <row r="123" spans="1:20" x14ac:dyDescent="0.25">
      <c r="A123" s="5">
        <v>44470</v>
      </c>
      <c r="B123">
        <v>7.6939999999999995E-2</v>
      </c>
      <c r="C123">
        <v>9.6750000000000003E-2</v>
      </c>
      <c r="D123">
        <v>7.6329999999999995E-2</v>
      </c>
      <c r="E123">
        <v>8.5610000000000006E-2</v>
      </c>
      <c r="F123">
        <v>362347215</v>
      </c>
      <c r="G123">
        <v>8.5610000000000006E-2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-9.1087169441723112E-2</v>
      </c>
      <c r="Q123">
        <f t="shared" ref="Q123" si="591">F123*P123</f>
        <v>-33005182.169441473</v>
      </c>
      <c r="R123">
        <f t="shared" ref="R123" si="592">R124+Q123</f>
        <v>-5554731413.8211622</v>
      </c>
      <c r="S123">
        <f t="shared" ref="S123" si="593">R123/100000</f>
        <v>-55547.314138211623</v>
      </c>
      <c r="T123">
        <f t="shared" ref="T123" si="594">S123/1000</f>
        <v>-55.547314138211625</v>
      </c>
    </row>
    <row r="124" spans="1:20" x14ac:dyDescent="0.25">
      <c r="A124" s="5">
        <v>44469</v>
      </c>
      <c r="B124">
        <v>7.4569999999999997E-2</v>
      </c>
      <c r="C124">
        <v>0.08</v>
      </c>
      <c r="D124">
        <v>7.3999999999999996E-2</v>
      </c>
      <c r="E124">
        <v>7.6969999999999997E-2</v>
      </c>
      <c r="F124">
        <v>92164170</v>
      </c>
      <c r="G124">
        <v>7.6969999999999997E-2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-1.0000000000000741E-2</v>
      </c>
      <c r="Q124">
        <f t="shared" ref="Q124" si="596">F124*P124</f>
        <v>-921641.70000006829</v>
      </c>
      <c r="R124">
        <f t="shared" ref="R124" si="597">R125+Q124</f>
        <v>-5521726231.651721</v>
      </c>
      <c r="S124">
        <f t="shared" ref="S124" si="598">R124/100000</f>
        <v>-55217.262316517212</v>
      </c>
      <c r="T124">
        <f t="shared" ref="T124" si="599">S124/1000</f>
        <v>-55.217262316517214</v>
      </c>
    </row>
    <row r="125" spans="1:20" x14ac:dyDescent="0.25">
      <c r="A125" s="5">
        <v>44468</v>
      </c>
      <c r="B125">
        <v>7.3219999999999993E-2</v>
      </c>
      <c r="C125">
        <v>8.2000000000000003E-2</v>
      </c>
      <c r="D125">
        <v>7.2419999999999998E-2</v>
      </c>
      <c r="E125">
        <v>7.4440000000000006E-2</v>
      </c>
      <c r="F125">
        <v>125310339</v>
      </c>
      <c r="G125">
        <v>7.4440000000000006E-2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-0.57828810020876686</v>
      </c>
      <c r="Q125">
        <f t="shared" ref="Q125" si="601">F125*P125</f>
        <v>-72465477.87682654</v>
      </c>
      <c r="R125">
        <f t="shared" ref="R125" si="602">R126+Q125</f>
        <v>-5520804589.9517212</v>
      </c>
      <c r="S125">
        <f t="shared" ref="S125" si="603">R125/100000</f>
        <v>-55208.045899517208</v>
      </c>
      <c r="T125">
        <f t="shared" ref="T125" si="604">S125/1000</f>
        <v>-55.208045899517209</v>
      </c>
    </row>
    <row r="126" spans="1:20" x14ac:dyDescent="0.25">
      <c r="A126" s="5">
        <v>44467</v>
      </c>
      <c r="B126">
        <v>7.9320000000000002E-2</v>
      </c>
      <c r="C126">
        <v>8.8900000000000007E-2</v>
      </c>
      <c r="D126">
        <v>7.2669999999999998E-2</v>
      </c>
      <c r="E126">
        <v>7.3219999999999993E-2</v>
      </c>
      <c r="F126">
        <v>138369081</v>
      </c>
      <c r="G126">
        <v>7.3219999999999993E-2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-0.93222427603204006</v>
      </c>
      <c r="Q126">
        <f t="shared" ref="Q126" si="606">F126*P126</f>
        <v>-128991016.36044371</v>
      </c>
      <c r="R126">
        <f t="shared" ref="R126" si="607">R127+Q126</f>
        <v>-5448339112.0748949</v>
      </c>
      <c r="S126">
        <f t="shared" ref="S126" si="608">R126/100000</f>
        <v>-54483.391120748951</v>
      </c>
      <c r="T126">
        <f t="shared" ref="T126" si="609">S126/1000</f>
        <v>-54.483391120748948</v>
      </c>
    </row>
    <row r="127" spans="1:20" x14ac:dyDescent="0.25">
      <c r="A127" s="5">
        <v>44466</v>
      </c>
      <c r="B127">
        <v>7.6020000000000004E-2</v>
      </c>
      <c r="C127">
        <v>9.0870000000000006E-2</v>
      </c>
      <c r="D127">
        <v>7.51E-2</v>
      </c>
      <c r="E127">
        <v>7.9320000000000002E-2</v>
      </c>
      <c r="F127">
        <v>252368697</v>
      </c>
      <c r="G127">
        <v>7.9320000000000002E-2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-0.46480659480025366</v>
      </c>
      <c r="Q127">
        <f t="shared" ref="Q127" si="611">F127*P127</f>
        <v>-117302634.68674698</v>
      </c>
      <c r="R127">
        <f t="shared" ref="R127" si="612">R128+Q127</f>
        <v>-5319348095.7144508</v>
      </c>
      <c r="S127">
        <f t="shared" ref="S127" si="613">R127/100000</f>
        <v>-53193.480957144508</v>
      </c>
      <c r="T127">
        <f t="shared" ref="T127" si="614">S127/1000</f>
        <v>-53.193480957144509</v>
      </c>
    </row>
    <row r="128" spans="1:20" x14ac:dyDescent="0.25">
      <c r="A128" s="5">
        <v>44465</v>
      </c>
      <c r="B128">
        <v>7.8950000000000006E-2</v>
      </c>
      <c r="C128">
        <v>8.3299999999999999E-2</v>
      </c>
      <c r="D128">
        <v>6.966E-2</v>
      </c>
      <c r="E128">
        <v>7.6069999999999999E-2</v>
      </c>
      <c r="F128">
        <v>153086923</v>
      </c>
      <c r="G128">
        <v>7.6069999999999999E-2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-6.0117302052786023E-2</v>
      </c>
      <c r="Q128">
        <f t="shared" ref="Q128" si="616">F128*P128</f>
        <v>-9203172.7903225962</v>
      </c>
      <c r="R128">
        <f t="shared" ref="R128" si="617">R129+Q128</f>
        <v>-5202045461.0277042</v>
      </c>
      <c r="S128">
        <f t="shared" ref="S128" si="618">R128/100000</f>
        <v>-52020.45461027704</v>
      </c>
      <c r="T128">
        <f t="shared" ref="T128" si="619">S128/1000</f>
        <v>-52.020454610277042</v>
      </c>
    </row>
    <row r="129" spans="1:20" x14ac:dyDescent="0.25">
      <c r="A129" s="5">
        <v>44464</v>
      </c>
      <c r="B129">
        <v>8.3309999999999995E-2</v>
      </c>
      <c r="C129">
        <v>8.5000000000000006E-2</v>
      </c>
      <c r="D129">
        <v>7.7229999999999993E-2</v>
      </c>
      <c r="E129">
        <v>7.8780000000000003E-2</v>
      </c>
      <c r="F129">
        <v>141478183</v>
      </c>
      <c r="G129">
        <v>7.8780000000000003E-2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-0.60102960102959924</v>
      </c>
      <c r="Q129">
        <f t="shared" ref="Q129" si="621">F129*P129</f>
        <v>-85032575.882882625</v>
      </c>
      <c r="R129">
        <f t="shared" ref="R129" si="622">R130+Q129</f>
        <v>-5192842288.2373819</v>
      </c>
      <c r="S129">
        <f t="shared" ref="S129" si="623">R129/100000</f>
        <v>-51928.422882373816</v>
      </c>
      <c r="T129">
        <f t="shared" ref="T129" si="624">S129/1000</f>
        <v>-51.928422882373816</v>
      </c>
    </row>
    <row r="130" spans="1:20" x14ac:dyDescent="0.25">
      <c r="A130" s="5">
        <v>44463</v>
      </c>
      <c r="B130">
        <v>8.8200000000000001E-2</v>
      </c>
      <c r="C130">
        <v>0.09</v>
      </c>
      <c r="D130">
        <v>7.4999999999999997E-2</v>
      </c>
      <c r="E130">
        <v>8.3400000000000002E-2</v>
      </c>
      <c r="F130">
        <v>142114644</v>
      </c>
      <c r="G130">
        <v>8.3400000000000002E-2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0.12000000000000066</v>
      </c>
      <c r="Q130">
        <f t="shared" ref="Q130" si="626">F130*P130</f>
        <v>17053757.280000094</v>
      </c>
      <c r="R130">
        <f t="shared" ref="R130" si="627">R131+Q130</f>
        <v>-5107809712.3544989</v>
      </c>
      <c r="S130">
        <f t="shared" ref="S130" si="628">R130/100000</f>
        <v>-51078.097123544991</v>
      </c>
      <c r="T130">
        <f t="shared" ref="T130" si="629">S130/1000</f>
        <v>-51.078097123544993</v>
      </c>
    </row>
    <row r="131" spans="1:20" x14ac:dyDescent="0.25">
      <c r="A131" s="5">
        <v>44462</v>
      </c>
      <c r="B131">
        <v>9.0749999999999997E-2</v>
      </c>
      <c r="C131">
        <v>9.2469999999999997E-2</v>
      </c>
      <c r="D131">
        <v>8.6209999999999995E-2</v>
      </c>
      <c r="E131">
        <v>8.8150000000000006E-2</v>
      </c>
      <c r="F131">
        <v>189245154</v>
      </c>
      <c r="G131">
        <v>8.8150000000000006E-2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-0.38019169329073144</v>
      </c>
      <c r="Q131">
        <f t="shared" ref="Q131" si="631">F131*P131</f>
        <v>-71949435.546325237</v>
      </c>
      <c r="R131">
        <f t="shared" ref="R131" si="632">R132+Q131</f>
        <v>-5124863469.6344986</v>
      </c>
      <c r="S131">
        <f t="shared" ref="S131" si="633">R131/100000</f>
        <v>-51248.634696344983</v>
      </c>
      <c r="T131">
        <f t="shared" ref="T131" si="634">S131/1000</f>
        <v>-51.248634696344986</v>
      </c>
    </row>
    <row r="132" spans="1:20" x14ac:dyDescent="0.25">
      <c r="A132" s="5">
        <v>44461</v>
      </c>
      <c r="B132">
        <v>8.8249999999999995E-2</v>
      </c>
      <c r="C132">
        <v>0.10042</v>
      </c>
      <c r="D132">
        <v>8.5519999999999999E-2</v>
      </c>
      <c r="E132">
        <v>9.0770000000000003E-2</v>
      </c>
      <c r="F132">
        <v>418467662</v>
      </c>
      <c r="G132">
        <v>9.0770000000000003E-2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-0.29530201342281798</v>
      </c>
      <c r="Q132">
        <f t="shared" ref="Q132" si="636">F132*P132</f>
        <v>-123574343.14093925</v>
      </c>
      <c r="R132">
        <f t="shared" ref="R132" si="637">R133+Q132</f>
        <v>-5052914034.0881729</v>
      </c>
      <c r="S132">
        <f t="shared" ref="S132" si="638">R132/100000</f>
        <v>-50529.140340881728</v>
      </c>
      <c r="T132">
        <f t="shared" ref="T132" si="639">S132/1000</f>
        <v>-50.529140340881725</v>
      </c>
    </row>
    <row r="133" spans="1:20" x14ac:dyDescent="0.25">
      <c r="A133" s="5">
        <v>44460</v>
      </c>
      <c r="B133">
        <v>7.7450000000000005E-2</v>
      </c>
      <c r="C133">
        <v>0.10686</v>
      </c>
      <c r="D133">
        <v>7.1669999999999998E-2</v>
      </c>
      <c r="E133">
        <v>8.8260000000000005E-2</v>
      </c>
      <c r="F133">
        <v>985688142</v>
      </c>
      <c r="G133">
        <v>8.8260000000000005E-2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-5.7118499573742085E-2</v>
      </c>
      <c r="Q133">
        <f t="shared" ref="Q133" si="641">F133*P133</f>
        <v>-56301027.718669631</v>
      </c>
      <c r="R133">
        <f t="shared" ref="R133" si="642">R134+Q133</f>
        <v>-4929339690.9472332</v>
      </c>
      <c r="S133">
        <f t="shared" ref="S133" si="643">R133/100000</f>
        <v>-49293.396909472329</v>
      </c>
      <c r="T133">
        <f t="shared" ref="T133" si="644">S133/1000</f>
        <v>-49.293396909472328</v>
      </c>
    </row>
    <row r="134" spans="1:20" x14ac:dyDescent="0.25">
      <c r="A134" s="5">
        <v>44459</v>
      </c>
      <c r="B134">
        <v>9.3810000000000004E-2</v>
      </c>
      <c r="C134">
        <v>9.4189999999999996E-2</v>
      </c>
      <c r="D134">
        <v>8.0530000000000004E-2</v>
      </c>
      <c r="E134">
        <v>8.2449999999999996E-2</v>
      </c>
      <c r="F134">
        <v>108533399</v>
      </c>
      <c r="G134">
        <v>8.2449999999999996E-2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-0.71888726207906406</v>
      </c>
      <c r="Q134">
        <f t="shared" ref="Q134" si="646">F134*P134</f>
        <v>-78023278.051244631</v>
      </c>
      <c r="R134">
        <f t="shared" ref="R134" si="647">R135+Q134</f>
        <v>-4873038663.2285633</v>
      </c>
      <c r="S134">
        <f t="shared" ref="S134" si="648">R134/100000</f>
        <v>-48730.386632285634</v>
      </c>
      <c r="T134">
        <f t="shared" ref="T134" si="649">S134/1000</f>
        <v>-48.730386632285636</v>
      </c>
    </row>
    <row r="135" spans="1:20" x14ac:dyDescent="0.25">
      <c r="A135" s="5">
        <v>44458</v>
      </c>
      <c r="B135">
        <v>0.10279000000000001</v>
      </c>
      <c r="C135">
        <v>0.10563</v>
      </c>
      <c r="D135">
        <v>9.1689999999999994E-2</v>
      </c>
      <c r="E135">
        <v>9.375E-2</v>
      </c>
      <c r="F135">
        <v>288739532</v>
      </c>
      <c r="G135">
        <v>9.375E-2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-0.70444763271162048</v>
      </c>
      <c r="Q135">
        <f t="shared" ref="Q135" si="651">F135*P135</f>
        <v>-203401879.78766119</v>
      </c>
      <c r="R135">
        <f t="shared" ref="R135" si="652">R136+Q135</f>
        <v>-4795015385.1773186</v>
      </c>
      <c r="S135">
        <f t="shared" ref="S135" si="653">R135/100000</f>
        <v>-47950.153851773182</v>
      </c>
      <c r="T135">
        <f t="shared" ref="T135" si="654">S135/1000</f>
        <v>-47.95015385177318</v>
      </c>
    </row>
    <row r="136" spans="1:20" x14ac:dyDescent="0.25">
      <c r="A136" s="5">
        <v>44457</v>
      </c>
      <c r="B136">
        <v>0.10947</v>
      </c>
      <c r="C136">
        <v>0.12870000000000001</v>
      </c>
      <c r="D136">
        <v>0.1014</v>
      </c>
      <c r="E136">
        <v>0.10288</v>
      </c>
      <c r="F136">
        <v>805471208</v>
      </c>
      <c r="G136">
        <v>0.10288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-0.89157509157509196</v>
      </c>
      <c r="Q136">
        <f t="shared" ref="Q136" si="656">F136*P136</f>
        <v>-718138066.03369999</v>
      </c>
      <c r="R136">
        <f t="shared" ref="R136" si="657">R137+Q136</f>
        <v>-4591613505.389657</v>
      </c>
      <c r="S136">
        <f t="shared" ref="S136" si="658">R136/100000</f>
        <v>-45916.135053896571</v>
      </c>
      <c r="T136">
        <f t="shared" ref="T136" si="659">S136/1000</f>
        <v>-45.916135053896568</v>
      </c>
    </row>
    <row r="137" spans="1:20" x14ac:dyDescent="0.25">
      <c r="A137" s="5">
        <v>44456</v>
      </c>
      <c r="B137">
        <v>9.8419999999999994E-2</v>
      </c>
      <c r="C137">
        <v>0.14477000000000001</v>
      </c>
      <c r="D137">
        <v>9.2920000000000003E-2</v>
      </c>
      <c r="E137">
        <v>0.10947</v>
      </c>
      <c r="F137">
        <v>2385644466</v>
      </c>
      <c r="G137">
        <v>0.10947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-0.36162005785920953</v>
      </c>
      <c r="Q137">
        <f t="shared" ref="Q137" si="661">F137*P137</f>
        <v>-862696889.82642305</v>
      </c>
      <c r="R137">
        <f t="shared" ref="R137" si="662">R138+Q137</f>
        <v>-3873475439.355957</v>
      </c>
      <c r="S137">
        <f t="shared" ref="S137" si="663">R137/100000</f>
        <v>-38734.754393559568</v>
      </c>
      <c r="T137">
        <f t="shared" ref="T137" si="664">S137/1000</f>
        <v>-38.73475439355957</v>
      </c>
    </row>
    <row r="138" spans="1:20" x14ac:dyDescent="0.25">
      <c r="A138" s="5">
        <v>44455</v>
      </c>
      <c r="B138">
        <v>8.523E-2</v>
      </c>
      <c r="C138">
        <v>0.12285</v>
      </c>
      <c r="D138">
        <v>7.3550000000000004E-2</v>
      </c>
      <c r="E138">
        <v>9.8409999999999997E-2</v>
      </c>
      <c r="F138">
        <v>1675326345</v>
      </c>
      <c r="G138">
        <v>9.8409999999999997E-2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8.5192697768760612E-3</v>
      </c>
      <c r="Q138">
        <f t="shared" ref="Q138" si="666">F138*P138</f>
        <v>14272557.097362736</v>
      </c>
      <c r="R138">
        <f t="shared" ref="R138" si="667">R139+Q138</f>
        <v>-3010778549.5295339</v>
      </c>
      <c r="S138">
        <f t="shared" ref="S138" si="668">R138/100000</f>
        <v>-30107.785495295338</v>
      </c>
      <c r="T138">
        <f t="shared" ref="T138" si="669">S138/1000</f>
        <v>-30.107785495295339</v>
      </c>
    </row>
    <row r="139" spans="1:20" x14ac:dyDescent="0.25">
      <c r="A139" s="5">
        <v>44454</v>
      </c>
      <c r="B139">
        <v>6.318E-2</v>
      </c>
      <c r="C139">
        <v>9.8799999999999999E-2</v>
      </c>
      <c r="D139">
        <v>6.191E-2</v>
      </c>
      <c r="E139">
        <v>8.5290000000000005E-2</v>
      </c>
      <c r="F139">
        <v>800245424</v>
      </c>
      <c r="G139">
        <v>8.5290000000000005E-2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0.26755218216318816</v>
      </c>
      <c r="Q139">
        <f t="shared" ref="Q139" si="671">F139*P139</f>
        <v>214107409.45730573</v>
      </c>
      <c r="R139">
        <f t="shared" ref="R139" si="672">R140+Q139</f>
        <v>-3025051106.6268964</v>
      </c>
      <c r="S139">
        <f t="shared" ref="S139" si="673">R139/100000</f>
        <v>-30250.511066268962</v>
      </c>
      <c r="T139">
        <f t="shared" ref="T139" si="674">S139/1000</f>
        <v>-30.250511066268963</v>
      </c>
    </row>
    <row r="140" spans="1:20" x14ac:dyDescent="0.25">
      <c r="A140" s="5">
        <v>44453</v>
      </c>
      <c r="B140">
        <v>5.9580000000000001E-2</v>
      </c>
      <c r="C140">
        <v>6.5500000000000003E-2</v>
      </c>
      <c r="D140">
        <v>5.8900000000000001E-2</v>
      </c>
      <c r="E140">
        <v>6.3119999999999996E-2</v>
      </c>
      <c r="F140">
        <v>41040593</v>
      </c>
      <c r="G140">
        <v>6.3119999999999996E-2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0.27878787878787681</v>
      </c>
      <c r="Q140">
        <f t="shared" ref="Q140" si="676">F140*P140</f>
        <v>11441619.866666585</v>
      </c>
      <c r="R140">
        <f t="shared" ref="R140" si="677">R141+Q140</f>
        <v>-3239158516.0842023</v>
      </c>
      <c r="S140">
        <f t="shared" ref="S140" si="678">R140/100000</f>
        <v>-32391.585160842023</v>
      </c>
      <c r="T140">
        <f t="shared" ref="T140" si="679">S140/1000</f>
        <v>-32.391585160842027</v>
      </c>
    </row>
    <row r="141" spans="1:20" x14ac:dyDescent="0.25">
      <c r="A141" s="5">
        <v>44452</v>
      </c>
      <c r="B141">
        <v>6.4769999999999994E-2</v>
      </c>
      <c r="C141">
        <v>6.5049999999999997E-2</v>
      </c>
      <c r="D141">
        <v>5.7549999999999997E-2</v>
      </c>
      <c r="E141">
        <v>5.9580000000000001E-2</v>
      </c>
      <c r="F141">
        <v>38575277</v>
      </c>
      <c r="G141">
        <v>5.9580000000000001E-2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-0.45866666666666556</v>
      </c>
      <c r="Q141">
        <f t="shared" ref="Q141" si="681">F141*P141</f>
        <v>-17693193.717333291</v>
      </c>
      <c r="R141">
        <f t="shared" ref="R141" si="682">R142+Q141</f>
        <v>-3250600135.9508691</v>
      </c>
      <c r="S141">
        <f t="shared" ref="S141" si="683">R141/100000</f>
        <v>-32506.001359508689</v>
      </c>
      <c r="T141">
        <f t="shared" ref="T141" si="684">S141/1000</f>
        <v>-32.506001359508687</v>
      </c>
    </row>
    <row r="142" spans="1:20" x14ac:dyDescent="0.25">
      <c r="A142" s="5">
        <v>44451</v>
      </c>
      <c r="B142">
        <v>6.1859999999999998E-2</v>
      </c>
      <c r="C142">
        <v>6.8080000000000002E-2</v>
      </c>
      <c r="D142">
        <v>6.1760000000000002E-2</v>
      </c>
      <c r="E142">
        <v>6.4939999999999998E-2</v>
      </c>
      <c r="F142">
        <v>60157858</v>
      </c>
      <c r="G142">
        <v>6.4939999999999998E-2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6.329113924049278E-3</v>
      </c>
      <c r="Q142">
        <f t="shared" ref="Q142" si="686">F142*P142</f>
        <v>380745.93670877925</v>
      </c>
      <c r="R142">
        <f t="shared" ref="R142" si="687">R143+Q142</f>
        <v>-3232906942.2335358</v>
      </c>
      <c r="S142">
        <f t="shared" ref="S142" si="688">R142/100000</f>
        <v>-32329.069422335357</v>
      </c>
      <c r="T142">
        <f t="shared" ref="T142" si="689">S142/1000</f>
        <v>-32.329069422335358</v>
      </c>
    </row>
    <row r="143" spans="1:20" x14ac:dyDescent="0.25">
      <c r="A143" s="5">
        <v>44450</v>
      </c>
      <c r="B143">
        <v>6.0220000000000003E-2</v>
      </c>
      <c r="C143">
        <v>6.694E-2</v>
      </c>
      <c r="D143">
        <v>5.9220000000000002E-2</v>
      </c>
      <c r="E143">
        <v>6.1699999999999998E-2</v>
      </c>
      <c r="F143">
        <v>47892470</v>
      </c>
      <c r="G143">
        <v>6.1699999999999998E-2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-0.35751295336787647</v>
      </c>
      <c r="Q143">
        <f t="shared" ref="Q143" si="691">F143*P143</f>
        <v>-17122178.393782422</v>
      </c>
      <c r="R143">
        <f t="shared" ref="R143" si="692">R144+Q143</f>
        <v>-3233287688.1702447</v>
      </c>
      <c r="S143">
        <f t="shared" ref="S143" si="693">R143/100000</f>
        <v>-32332.876881702447</v>
      </c>
      <c r="T143">
        <f t="shared" ref="T143" si="694">S143/1000</f>
        <v>-32.332876881702447</v>
      </c>
    </row>
    <row r="144" spans="1:20" x14ac:dyDescent="0.25">
      <c r="A144" s="5">
        <v>44449</v>
      </c>
      <c r="B144">
        <v>6.3570000000000002E-2</v>
      </c>
      <c r="C144">
        <v>6.5600000000000006E-2</v>
      </c>
      <c r="D144">
        <v>5.7389999999999997E-2</v>
      </c>
      <c r="E144">
        <v>6.0150000000000002E-2</v>
      </c>
      <c r="F144">
        <v>48651338</v>
      </c>
      <c r="G144">
        <v>6.0150000000000002E-2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-0.32764920828258159</v>
      </c>
      <c r="Q144">
        <f t="shared" ref="Q144" si="696">F144*P144</f>
        <v>-15940572.377588276</v>
      </c>
      <c r="R144">
        <f t="shared" ref="R144" si="697">R145+Q144</f>
        <v>-3216165509.7764621</v>
      </c>
      <c r="S144">
        <f t="shared" ref="S144" si="698">R144/100000</f>
        <v>-32161.655097764622</v>
      </c>
      <c r="T144">
        <f t="shared" ref="T144" si="699">S144/1000</f>
        <v>-32.161655097764623</v>
      </c>
    </row>
    <row r="145" spans="1:20" x14ac:dyDescent="0.25">
      <c r="A145" s="5">
        <v>44448</v>
      </c>
      <c r="B145">
        <v>6.6650000000000001E-2</v>
      </c>
      <c r="C145">
        <v>6.6650000000000001E-2</v>
      </c>
      <c r="D145">
        <v>6.1760000000000002E-2</v>
      </c>
      <c r="E145">
        <v>6.3820000000000002E-2</v>
      </c>
      <c r="F145">
        <v>59641818</v>
      </c>
      <c r="G145">
        <v>6.3820000000000002E-2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-0.15746421267893662</v>
      </c>
      <c r="Q145">
        <f t="shared" ref="Q145" si="701">F145*P145</f>
        <v>-9391451.9141104296</v>
      </c>
      <c r="R145">
        <f t="shared" ref="R145" si="702">R146+Q145</f>
        <v>-3200224937.3988738</v>
      </c>
      <c r="S145">
        <f t="shared" ref="S145" si="703">R145/100000</f>
        <v>-32002.24937398874</v>
      </c>
      <c r="T145">
        <f t="shared" ref="T145" si="704">S145/1000</f>
        <v>-32.002249373988739</v>
      </c>
    </row>
    <row r="146" spans="1:20" x14ac:dyDescent="0.25">
      <c r="A146" s="5">
        <v>44447</v>
      </c>
      <c r="B146">
        <v>5.9740000000000001E-2</v>
      </c>
      <c r="C146">
        <v>7.2999999999999995E-2</v>
      </c>
      <c r="D146">
        <v>5.8009999999999999E-2</v>
      </c>
      <c r="E146">
        <v>6.6420000000000007E-2</v>
      </c>
      <c r="F146">
        <v>115739295</v>
      </c>
      <c r="G146">
        <v>6.6420000000000007E-2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0.12208138759172912</v>
      </c>
      <c r="Q146">
        <f t="shared" ref="Q146" si="706">F146*P146</f>
        <v>14129613.732488476</v>
      </c>
      <c r="R146">
        <f t="shared" ref="R146" si="707">R147+Q146</f>
        <v>-3190833485.4847631</v>
      </c>
      <c r="S146">
        <f t="shared" ref="S146" si="708">R146/100000</f>
        <v>-31908.334854847632</v>
      </c>
      <c r="T146">
        <f t="shared" ref="T146" si="709">S146/1000</f>
        <v>-31.908334854847631</v>
      </c>
    </row>
    <row r="147" spans="1:20" x14ac:dyDescent="0.25">
      <c r="A147" s="5">
        <v>44446</v>
      </c>
      <c r="B147">
        <v>7.6990000000000003E-2</v>
      </c>
      <c r="C147">
        <v>0.08</v>
      </c>
      <c r="D147">
        <v>5.4510000000000003E-2</v>
      </c>
      <c r="E147">
        <v>5.9740000000000001E-2</v>
      </c>
      <c r="F147">
        <v>144422409</v>
      </c>
      <c r="G147">
        <v>5.9740000000000001E-2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-0.58964299725382507</v>
      </c>
      <c r="Q147">
        <f t="shared" ref="Q147" si="711">F147*P147</f>
        <v>-85157662.113377795</v>
      </c>
      <c r="R147">
        <f t="shared" ref="R147" si="712">R148+Q147</f>
        <v>-3204963099.2172518</v>
      </c>
      <c r="S147">
        <f t="shared" ref="S147" si="713">R147/100000</f>
        <v>-32049.630992172519</v>
      </c>
      <c r="T147">
        <f t="shared" ref="T147" si="714">S147/1000</f>
        <v>-32.049630992172517</v>
      </c>
    </row>
    <row r="148" spans="1:20" x14ac:dyDescent="0.25">
      <c r="A148" s="5">
        <v>44445</v>
      </c>
      <c r="B148">
        <v>7.7579999999999996E-2</v>
      </c>
      <c r="C148">
        <v>7.8219999999999998E-2</v>
      </c>
      <c r="D148">
        <v>7.46E-2</v>
      </c>
      <c r="E148">
        <v>7.6990000000000003E-2</v>
      </c>
      <c r="F148">
        <v>69770087</v>
      </c>
      <c r="G148">
        <v>7.6990000000000003E-2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0.3204419889502787</v>
      </c>
      <c r="Q148">
        <f t="shared" ref="Q148" si="716">F148*P148</f>
        <v>22357265.447513983</v>
      </c>
      <c r="R148">
        <f t="shared" ref="R148" si="717">R149+Q148</f>
        <v>-3119805437.1038742</v>
      </c>
      <c r="S148">
        <f t="shared" ref="S148" si="718">R148/100000</f>
        <v>-31198.054371038743</v>
      </c>
      <c r="T148">
        <f t="shared" ref="T148" si="719">S148/1000</f>
        <v>-31.198054371038744</v>
      </c>
    </row>
    <row r="149" spans="1:20" x14ac:dyDescent="0.25">
      <c r="A149" s="5">
        <v>44444</v>
      </c>
      <c r="B149">
        <v>7.7649999999999997E-2</v>
      </c>
      <c r="C149">
        <v>8.0500000000000002E-2</v>
      </c>
      <c r="D149">
        <v>7.5370000000000006E-2</v>
      </c>
      <c r="E149">
        <v>7.7539999999999998E-2</v>
      </c>
      <c r="F149">
        <v>77810342</v>
      </c>
      <c r="G149">
        <v>7.7539999999999998E-2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-0.15399610136452507</v>
      </c>
      <c r="Q149">
        <f t="shared" ref="Q149" si="721">F149*P149</f>
        <v>-11982489.313840363</v>
      </c>
      <c r="R149">
        <f t="shared" ref="R149" si="722">R150+Q149</f>
        <v>-3142162702.5513883</v>
      </c>
      <c r="S149">
        <f t="shared" ref="S149" si="723">R149/100000</f>
        <v>-31421.627025513884</v>
      </c>
      <c r="T149">
        <f t="shared" ref="T149" si="724">S149/1000</f>
        <v>-31.421627025513885</v>
      </c>
    </row>
    <row r="150" spans="1:20" x14ac:dyDescent="0.25">
      <c r="A150" s="5">
        <v>44443</v>
      </c>
      <c r="B150">
        <v>7.9799999999999996E-2</v>
      </c>
      <c r="C150">
        <v>8.0299999999999996E-2</v>
      </c>
      <c r="D150">
        <v>7.6189999999999994E-2</v>
      </c>
      <c r="E150">
        <v>7.7590000000000006E-2</v>
      </c>
      <c r="F150">
        <v>65158351</v>
      </c>
      <c r="G150">
        <v>7.7590000000000006E-2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-0.31873479318734232</v>
      </c>
      <c r="Q150">
        <f t="shared" ref="Q150" si="726">F150*P150</f>
        <v>-20768233.530413259</v>
      </c>
      <c r="R150">
        <f t="shared" ref="R150" si="727">R151+Q150</f>
        <v>-3130180213.2375479</v>
      </c>
      <c r="S150">
        <f t="shared" ref="S150" si="728">R150/100000</f>
        <v>-31301.80213237548</v>
      </c>
      <c r="T150">
        <f t="shared" ref="T150" si="729">S150/1000</f>
        <v>-31.301802132375482</v>
      </c>
    </row>
    <row r="151" spans="1:20" x14ac:dyDescent="0.25">
      <c r="A151" s="5">
        <v>44442</v>
      </c>
      <c r="B151">
        <v>8.09E-2</v>
      </c>
      <c r="C151">
        <v>8.0979999999999996E-2</v>
      </c>
      <c r="D151">
        <v>7.8770000000000007E-2</v>
      </c>
      <c r="E151">
        <v>7.9969999999999999E-2</v>
      </c>
      <c r="F151">
        <v>44238608</v>
      </c>
      <c r="G151">
        <v>7.9969999999999999E-2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8.5972850678731491E-2</v>
      </c>
      <c r="Q151">
        <f t="shared" ref="Q151" si="731">F151*P151</f>
        <v>3803319.2398189362</v>
      </c>
      <c r="R151">
        <f t="shared" ref="R151" si="732">R152+Q151</f>
        <v>-3109411979.7071347</v>
      </c>
      <c r="S151">
        <f t="shared" ref="S151" si="733">R151/100000</f>
        <v>-31094.119797071347</v>
      </c>
      <c r="T151">
        <f t="shared" ref="T151" si="734">S151/1000</f>
        <v>-31.094119797071347</v>
      </c>
    </row>
    <row r="152" spans="1:20" x14ac:dyDescent="0.25">
      <c r="A152" s="5">
        <v>44441</v>
      </c>
      <c r="B152">
        <v>7.9500000000000001E-2</v>
      </c>
      <c r="C152">
        <v>8.5999999999999993E-2</v>
      </c>
      <c r="D152">
        <v>7.886E-2</v>
      </c>
      <c r="E152">
        <v>8.0960000000000004E-2</v>
      </c>
      <c r="F152">
        <v>72337101</v>
      </c>
      <c r="G152">
        <v>8.0960000000000004E-2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-0.41176470588235109</v>
      </c>
      <c r="Q152">
        <f t="shared" ref="Q152" si="736">F152*P152</f>
        <v>-29785865.117646925</v>
      </c>
      <c r="R152">
        <f t="shared" ref="R152" si="737">R153+Q152</f>
        <v>-3113215298.9469538</v>
      </c>
      <c r="S152">
        <f t="shared" ref="S152" si="738">R152/100000</f>
        <v>-31132.152989469538</v>
      </c>
      <c r="T152">
        <f t="shared" ref="T152" si="739">S152/1000</f>
        <v>-31.132152989469539</v>
      </c>
    </row>
    <row r="153" spans="1:20" x14ac:dyDescent="0.25">
      <c r="A153" s="5">
        <v>44440</v>
      </c>
      <c r="B153">
        <v>7.6249999999999998E-2</v>
      </c>
      <c r="C153">
        <v>8.1670000000000006E-2</v>
      </c>
      <c r="D153">
        <v>7.3999999999999996E-2</v>
      </c>
      <c r="E153">
        <v>7.9490000000000005E-2</v>
      </c>
      <c r="F153">
        <v>90125797</v>
      </c>
      <c r="G153">
        <v>7.9490000000000005E-2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0.43155149934810993</v>
      </c>
      <c r="Q153">
        <f t="shared" ref="Q153" si="741">F153*P153</f>
        <v>38893922.825293392</v>
      </c>
      <c r="R153">
        <f t="shared" ref="R153" si="742">R154+Q153</f>
        <v>-3083429433.8293071</v>
      </c>
      <c r="S153">
        <f t="shared" ref="S153" si="743">R153/100000</f>
        <v>-30834.294338293072</v>
      </c>
      <c r="T153">
        <f t="shared" ref="T153" si="744">S153/1000</f>
        <v>-30.83429433829307</v>
      </c>
    </row>
    <row r="154" spans="1:20" x14ac:dyDescent="0.25">
      <c r="A154" s="5">
        <v>44439</v>
      </c>
      <c r="B154">
        <v>7.7229999999999993E-2</v>
      </c>
      <c r="C154">
        <v>8.0649999999999999E-2</v>
      </c>
      <c r="D154">
        <v>7.485E-2</v>
      </c>
      <c r="E154">
        <v>7.621E-2</v>
      </c>
      <c r="F154">
        <v>66964092</v>
      </c>
      <c r="G154">
        <v>7.621E-2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-0.53103448275862064</v>
      </c>
      <c r="Q154">
        <f t="shared" ref="Q154" si="746">F154*P154</f>
        <v>-35560241.95862069</v>
      </c>
      <c r="R154">
        <f t="shared" ref="R154" si="747">R155+Q154</f>
        <v>-3122323356.6546006</v>
      </c>
      <c r="S154">
        <f t="shared" ref="S154" si="748">R154/100000</f>
        <v>-31223.233566546005</v>
      </c>
      <c r="T154">
        <f t="shared" ref="T154" si="749">S154/1000</f>
        <v>-31.223233566546003</v>
      </c>
    </row>
    <row r="155" spans="1:20" x14ac:dyDescent="0.25">
      <c r="A155" s="5">
        <v>44438</v>
      </c>
      <c r="B155">
        <v>7.9130000000000006E-2</v>
      </c>
      <c r="C155">
        <v>8.4099999999999994E-2</v>
      </c>
      <c r="D155">
        <v>7.6999999999999999E-2</v>
      </c>
      <c r="E155">
        <v>7.7229999999999993E-2</v>
      </c>
      <c r="F155">
        <v>95163464</v>
      </c>
      <c r="G155">
        <v>7.7229999999999993E-2</v>
      </c>
      <c r="L155" t="s">
        <v>8</v>
      </c>
      <c r="M155" t="s">
        <v>7</v>
      </c>
      <c r="N155" t="s">
        <v>7</v>
      </c>
      <c r="P155">
        <f t="shared" ref="P155" si="750">IF(C155=D155,0,((E155-D155)-(C155-E155))/(C155-D155))</f>
        <v>-0.93521126760563544</v>
      </c>
      <c r="Q155">
        <f t="shared" ref="Q155" si="751">F155*P155</f>
        <v>-88997943.79718326</v>
      </c>
      <c r="R155">
        <f t="shared" ref="R155" si="752">R156+Q155</f>
        <v>-3086763114.6959801</v>
      </c>
      <c r="S155">
        <f t="shared" ref="S155" si="753">R155/100000</f>
        <v>-30867.6311469598</v>
      </c>
      <c r="T155">
        <f t="shared" ref="T155" si="754">S155/1000</f>
        <v>-30.867631146959802</v>
      </c>
    </row>
    <row r="156" spans="1:20" x14ac:dyDescent="0.25">
      <c r="A156" s="5">
        <v>44437</v>
      </c>
      <c r="B156">
        <v>8.201E-2</v>
      </c>
      <c r="C156">
        <v>8.5050000000000001E-2</v>
      </c>
      <c r="D156">
        <v>7.6200000000000004E-2</v>
      </c>
      <c r="E156">
        <v>7.9119999999999996E-2</v>
      </c>
      <c r="F156">
        <v>111290771</v>
      </c>
      <c r="G156">
        <v>7.9119999999999996E-2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-0.34011299435028403</v>
      </c>
      <c r="Q156">
        <f t="shared" ref="Q156" si="756">F156*P156</f>
        <v>-37851437.368361756</v>
      </c>
      <c r="R156">
        <f t="shared" ref="R156" si="757">R157+Q156</f>
        <v>-2997765170.898797</v>
      </c>
      <c r="S156">
        <f t="shared" ref="S156" si="758">R156/100000</f>
        <v>-29977.651708987971</v>
      </c>
      <c r="T156">
        <f t="shared" ref="T156" si="759">S156/1000</f>
        <v>-29.97765170898797</v>
      </c>
    </row>
    <row r="157" spans="1:20" x14ac:dyDescent="0.25">
      <c r="A157" s="5">
        <v>44436</v>
      </c>
      <c r="B157">
        <v>8.2199999999999995E-2</v>
      </c>
      <c r="C157">
        <v>8.5400000000000004E-2</v>
      </c>
      <c r="D157">
        <v>7.8799999999999995E-2</v>
      </c>
      <c r="E157">
        <v>8.2000000000000003E-2</v>
      </c>
      <c r="F157">
        <v>96766121</v>
      </c>
      <c r="G157">
        <v>8.2000000000000003E-2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-3.0303030303029027E-2</v>
      </c>
      <c r="Q157">
        <f t="shared" ref="Q157" si="761">F157*P157</f>
        <v>-2932306.6969695734</v>
      </c>
      <c r="R157">
        <f t="shared" ref="R157" si="762">R158+Q157</f>
        <v>-2959913733.5304351</v>
      </c>
      <c r="S157">
        <f t="shared" ref="S157" si="763">R157/100000</f>
        <v>-29599.137335304349</v>
      </c>
      <c r="T157">
        <f t="shared" ref="T157" si="764">S157/1000</f>
        <v>-29.599137335304349</v>
      </c>
    </row>
    <row r="158" spans="1:20" x14ac:dyDescent="0.25">
      <c r="A158" s="5">
        <v>44435</v>
      </c>
      <c r="B158">
        <v>7.6719999999999997E-2</v>
      </c>
      <c r="C158">
        <v>9.6140000000000003E-2</v>
      </c>
      <c r="D158">
        <v>7.3810000000000001E-2</v>
      </c>
      <c r="E158">
        <v>8.2199999999999995E-2</v>
      </c>
      <c r="F158">
        <v>259830041</v>
      </c>
      <c r="G158">
        <v>8.2199999999999995E-2</v>
      </c>
      <c r="L158" t="s">
        <v>7</v>
      </c>
      <c r="M158" t="s">
        <v>8</v>
      </c>
      <c r="N158" t="s">
        <v>7</v>
      </c>
      <c r="P158">
        <f t="shared" ref="P158" si="765">IF(C158=D158,0,((E158-D158)-(C158-E158))/(C158-D158))</f>
        <v>-0.24854455888938704</v>
      </c>
      <c r="Q158">
        <f t="shared" ref="Q158" si="766">F158*P158</f>
        <v>-64579342.926556349</v>
      </c>
      <c r="R158">
        <f t="shared" ref="R158" si="767">R159+Q158</f>
        <v>-2956981426.8334656</v>
      </c>
      <c r="S158">
        <f t="shared" ref="S158" si="768">R158/100000</f>
        <v>-29569.814268334656</v>
      </c>
      <c r="T158">
        <f t="shared" ref="T158" si="769">S158/1000</f>
        <v>-29.569814268334657</v>
      </c>
    </row>
    <row r="159" spans="1:20" x14ac:dyDescent="0.25">
      <c r="A159" s="5">
        <v>44434</v>
      </c>
      <c r="B159">
        <v>8.5889999999999994E-2</v>
      </c>
      <c r="C159">
        <v>8.7999999999999995E-2</v>
      </c>
      <c r="D159">
        <v>7.4999999999999997E-2</v>
      </c>
      <c r="E159">
        <v>7.6719999999999997E-2</v>
      </c>
      <c r="F159">
        <v>139293025</v>
      </c>
      <c r="G159">
        <v>7.6719999999999997E-2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-0.73538461538461541</v>
      </c>
      <c r="Q159">
        <f t="shared" ref="Q159" si="771">F159*P159</f>
        <v>-102433947.61538462</v>
      </c>
      <c r="R159">
        <f t="shared" ref="R159" si="772">R160+Q159</f>
        <v>-2892402083.9069095</v>
      </c>
      <c r="S159">
        <f t="shared" ref="S159" si="773">R159/100000</f>
        <v>-28924.020839069093</v>
      </c>
      <c r="T159">
        <f t="shared" ref="T159" si="774">S159/1000</f>
        <v>-28.924020839069094</v>
      </c>
    </row>
    <row r="160" spans="1:20" x14ac:dyDescent="0.25">
      <c r="A160" s="5">
        <v>44433</v>
      </c>
      <c r="B160">
        <v>8.3659999999999998E-2</v>
      </c>
      <c r="C160">
        <v>0.104</v>
      </c>
      <c r="D160">
        <v>8.0490000000000006E-2</v>
      </c>
      <c r="E160">
        <v>8.5949999999999999E-2</v>
      </c>
      <c r="F160">
        <v>493560786</v>
      </c>
      <c r="G160">
        <v>8.5949999999999999E-2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-0.53551680136112334</v>
      </c>
      <c r="Q160">
        <f t="shared" ref="Q160" si="776">F160*P160</f>
        <v>-264310093.39600191</v>
      </c>
      <c r="R160">
        <f t="shared" ref="R160" si="777">R161+Q160</f>
        <v>-2789968136.2915249</v>
      </c>
      <c r="S160">
        <f t="shared" ref="S160" si="778">R160/100000</f>
        <v>-27899.681362915249</v>
      </c>
      <c r="T160">
        <f t="shared" ref="T160" si="779">S160/1000</f>
        <v>-27.899681362915249</v>
      </c>
    </row>
    <row r="161" spans="1:20" x14ac:dyDescent="0.25">
      <c r="A161" s="5">
        <v>44432</v>
      </c>
      <c r="B161">
        <v>7.8079999999999997E-2</v>
      </c>
      <c r="C161">
        <v>0.10254000000000001</v>
      </c>
      <c r="D161">
        <v>7.4060000000000001E-2</v>
      </c>
      <c r="E161">
        <v>8.3659999999999998E-2</v>
      </c>
      <c r="F161">
        <v>728238442</v>
      </c>
      <c r="G161">
        <v>8.3659999999999998E-2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-0.32584269662921378</v>
      </c>
      <c r="Q161">
        <f t="shared" ref="Q161" si="781">F161*P161</f>
        <v>-237291177.73033729</v>
      </c>
      <c r="R161">
        <f t="shared" ref="R161" si="782">R162+Q161</f>
        <v>-2525658042.8955231</v>
      </c>
      <c r="S161">
        <f t="shared" ref="S161" si="783">R161/100000</f>
        <v>-25256.580428955232</v>
      </c>
      <c r="T161">
        <f t="shared" ref="T161" si="784">S161/1000</f>
        <v>-25.256580428955232</v>
      </c>
    </row>
    <row r="162" spans="1:20" x14ac:dyDescent="0.25">
      <c r="A162" s="5">
        <v>44431</v>
      </c>
      <c r="B162">
        <v>7.9780000000000004E-2</v>
      </c>
      <c r="C162">
        <v>8.4500000000000006E-2</v>
      </c>
      <c r="D162">
        <v>7.5160000000000005E-2</v>
      </c>
      <c r="E162">
        <v>7.8100000000000003E-2</v>
      </c>
      <c r="F162">
        <v>158289345</v>
      </c>
      <c r="G162">
        <v>7.8100000000000003E-2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-0.370449678800857</v>
      </c>
      <c r="Q162">
        <f t="shared" ref="Q162" si="786">F162*P162</f>
        <v>-58638237.012848042</v>
      </c>
      <c r="R162">
        <f t="shared" ref="R162" si="787">R163+Q162</f>
        <v>-2288366865.1651859</v>
      </c>
      <c r="S162">
        <f t="shared" ref="S162" si="788">R162/100000</f>
        <v>-22883.66865165186</v>
      </c>
      <c r="T162">
        <f t="shared" ref="T162" si="789">S162/1000</f>
        <v>-22.88366865165186</v>
      </c>
    </row>
    <row r="163" spans="1:20" x14ac:dyDescent="0.25">
      <c r="A163" s="5">
        <v>44430</v>
      </c>
      <c r="B163">
        <v>8.7389999999999995E-2</v>
      </c>
      <c r="C163">
        <v>8.788E-2</v>
      </c>
      <c r="D163">
        <v>8.1000000000000003E-2</v>
      </c>
      <c r="E163">
        <v>8.2530000000000006E-2</v>
      </c>
      <c r="F163">
        <v>23781049</v>
      </c>
      <c r="G163">
        <v>8.2530000000000006E-2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-0.55523255813953365</v>
      </c>
      <c r="Q163">
        <f t="shared" ref="Q163" si="791">F163*P163</f>
        <v>-13204012.671511598</v>
      </c>
      <c r="R163">
        <f t="shared" ref="R163" si="792">R164+Q163</f>
        <v>-2229728628.152338</v>
      </c>
      <c r="S163">
        <f t="shared" ref="S163" si="793">R163/100000</f>
        <v>-22297.286281523382</v>
      </c>
      <c r="T163">
        <f t="shared" ref="T163" si="794">S163/1000</f>
        <v>-22.29728628152338</v>
      </c>
    </row>
    <row r="164" spans="1:20" x14ac:dyDescent="0.25">
      <c r="A164" s="5">
        <v>44429</v>
      </c>
      <c r="B164">
        <v>9.6509999999999999E-2</v>
      </c>
      <c r="C164">
        <v>9.6799999999999997E-2</v>
      </c>
      <c r="D164">
        <v>8.3119999999999999E-2</v>
      </c>
      <c r="E164">
        <v>8.7160000000000001E-2</v>
      </c>
      <c r="F164">
        <v>254888133</v>
      </c>
      <c r="G164">
        <v>8.7160000000000001E-2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-0.40935672514619847</v>
      </c>
      <c r="Q164">
        <f t="shared" ref="Q164" si="796">F164*P164</f>
        <v>-104340171.40350868</v>
      </c>
      <c r="R164">
        <f t="shared" ref="R164" si="797">R165+Q164</f>
        <v>-2216524615.4808264</v>
      </c>
      <c r="S164">
        <f t="shared" ref="S164" si="798">R164/100000</f>
        <v>-22165.246154808265</v>
      </c>
      <c r="T164">
        <f t="shared" ref="T164" si="799">S164/1000</f>
        <v>-22.165246154808266</v>
      </c>
    </row>
    <row r="165" spans="1:20" x14ac:dyDescent="0.25">
      <c r="A165" s="5">
        <v>44428</v>
      </c>
      <c r="B165">
        <v>5.9810000000000002E-2</v>
      </c>
      <c r="C165">
        <v>0.1396</v>
      </c>
      <c r="D165">
        <v>5.9810000000000002E-2</v>
      </c>
      <c r="E165">
        <v>9.6500000000000002E-2</v>
      </c>
      <c r="F165">
        <v>427469593</v>
      </c>
      <c r="G165">
        <v>9.6500000000000002E-2</v>
      </c>
      <c r="L165" t="s">
        <v>7</v>
      </c>
      <c r="M165" t="s">
        <v>7</v>
      </c>
      <c r="N165" t="s">
        <v>7</v>
      </c>
      <c r="P165">
        <f t="shared" ref="P165" si="800">IF(C165=D165,0,((E165-D165)-(C165-E165))/(C165-D165))</f>
        <v>-8.0335881689434757E-2</v>
      </c>
      <c r="Q165">
        <f t="shared" ref="Q165" si="801">F165*P165</f>
        <v>-34341146.649078831</v>
      </c>
      <c r="R165">
        <f t="shared" ref="R165" si="802">R166+Q165</f>
        <v>-2112184444.0773177</v>
      </c>
      <c r="S165">
        <f t="shared" ref="S165" si="803">R165/100000</f>
        <v>-21121.844440773177</v>
      </c>
      <c r="T165">
        <f t="shared" ref="T165" si="804">S165/1000</f>
        <v>-21.121844440773177</v>
      </c>
    </row>
    <row r="166" spans="1:20" x14ac:dyDescent="0.25">
      <c r="A166" s="5">
        <v>44427</v>
      </c>
      <c r="B166">
        <v>5.7419999999999999E-2</v>
      </c>
      <c r="C166">
        <v>0.13933000000000001</v>
      </c>
      <c r="D166">
        <v>5.7009999999999998E-2</v>
      </c>
      <c r="E166">
        <v>0.11142000000000001</v>
      </c>
      <c r="F166">
        <v>2603670785.5999999</v>
      </c>
      <c r="G166">
        <v>0.11142000000000001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0.32191448007774542</v>
      </c>
      <c r="Q166">
        <f t="shared" ref="Q166" si="806">F166*P166</f>
        <v>838159327.24003899</v>
      </c>
      <c r="R166">
        <f t="shared" ref="R166" si="807">R167+Q166</f>
        <v>-2077843297.4282389</v>
      </c>
      <c r="S166">
        <f t="shared" ref="S166" si="808">R166/100000</f>
        <v>-20778.43297428239</v>
      </c>
      <c r="T166">
        <f t="shared" ref="T166" si="809">S166/1000</f>
        <v>-20.778432974282389</v>
      </c>
    </row>
    <row r="167" spans="1:20" x14ac:dyDescent="0.25">
      <c r="A167" s="5">
        <v>44426</v>
      </c>
      <c r="B167">
        <v>4.6190000000000002E-2</v>
      </c>
      <c r="C167">
        <v>6.8779999999999994E-2</v>
      </c>
      <c r="D167">
        <v>4.4339999999999997E-2</v>
      </c>
      <c r="E167">
        <v>5.7439999999999998E-2</v>
      </c>
      <c r="F167">
        <v>605214327</v>
      </c>
      <c r="G167">
        <v>5.7439999999999998E-2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7.2013093289689231E-2</v>
      </c>
      <c r="Q167">
        <f t="shared" ref="Q167" si="811">F167*P167</f>
        <v>43583355.790507481</v>
      </c>
      <c r="R167">
        <f t="shared" ref="R167" si="812">R168+Q167</f>
        <v>-2916002624.6682777</v>
      </c>
      <c r="S167">
        <f t="shared" ref="S167" si="813">R167/100000</f>
        <v>-29160.026246682777</v>
      </c>
      <c r="T167">
        <f t="shared" ref="T167" si="814">S167/1000</f>
        <v>-29.160026246682776</v>
      </c>
    </row>
    <row r="168" spans="1:20" x14ac:dyDescent="0.25">
      <c r="A168" s="5">
        <v>44425</v>
      </c>
      <c r="B168">
        <v>4.87E-2</v>
      </c>
      <c r="C168">
        <v>4.9590000000000002E-2</v>
      </c>
      <c r="D168">
        <v>4.5909999999999999E-2</v>
      </c>
      <c r="E168">
        <v>4.6179999999999999E-2</v>
      </c>
      <c r="F168">
        <v>52808682</v>
      </c>
      <c r="G168">
        <v>4.6179999999999999E-2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-0.85326086956521785</v>
      </c>
      <c r="Q168">
        <f t="shared" ref="Q168" si="816">F168*P168</f>
        <v>-45059581.923913069</v>
      </c>
      <c r="R168">
        <f t="shared" ref="R168" si="817">R169+Q168</f>
        <v>-2959585980.4587851</v>
      </c>
      <c r="S168">
        <f t="shared" ref="S168" si="818">R168/100000</f>
        <v>-29595.85980458785</v>
      </c>
      <c r="T168">
        <f t="shared" ref="T168" si="819">S168/1000</f>
        <v>-29.59585980458785</v>
      </c>
    </row>
    <row r="169" spans="1:20" x14ac:dyDescent="0.25">
      <c r="A169" s="5">
        <v>44424</v>
      </c>
      <c r="B169">
        <v>5.1119999999999999E-2</v>
      </c>
      <c r="C169">
        <v>5.2589999999999998E-2</v>
      </c>
      <c r="D169">
        <v>4.8090000000000001E-2</v>
      </c>
      <c r="E169">
        <v>4.8649999999999999E-2</v>
      </c>
      <c r="F169">
        <v>70670291.599999994</v>
      </c>
      <c r="G169">
        <v>4.8649999999999999E-2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-0.75111111111111184</v>
      </c>
      <c r="Q169">
        <f t="shared" ref="Q169" si="821">F169*P169</f>
        <v>-53081241.246222273</v>
      </c>
      <c r="R169">
        <f t="shared" ref="R169" si="822">R170+Q169</f>
        <v>-2914526398.5348721</v>
      </c>
      <c r="S169">
        <f t="shared" ref="S169" si="823">R169/100000</f>
        <v>-29145.26398534872</v>
      </c>
      <c r="T169">
        <f t="shared" ref="T169" si="824">S169/1000</f>
        <v>-29.14526398534872</v>
      </c>
    </row>
    <row r="170" spans="1:20" x14ac:dyDescent="0.25">
      <c r="A170" s="5">
        <v>44423</v>
      </c>
      <c r="B170">
        <v>5.4339999999999999E-2</v>
      </c>
      <c r="C170">
        <v>5.4350000000000002E-2</v>
      </c>
      <c r="D170">
        <v>4.8599999999999997E-2</v>
      </c>
      <c r="E170">
        <v>5.126E-2</v>
      </c>
      <c r="F170">
        <v>111728922.5</v>
      </c>
      <c r="G170">
        <v>5.126E-2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-7.4782608695652078E-2</v>
      </c>
      <c r="Q170">
        <f t="shared" ref="Q170" si="826">F170*P170</f>
        <v>-8355380.2913043369</v>
      </c>
      <c r="R170">
        <f t="shared" ref="R170" si="827">R171+Q170</f>
        <v>-2861445157.2886496</v>
      </c>
      <c r="S170">
        <f t="shared" ref="S170" si="828">R170/100000</f>
        <v>-28614.451572886497</v>
      </c>
      <c r="T170">
        <f t="shared" ref="T170" si="829">S170/1000</f>
        <v>-28.614451572886498</v>
      </c>
    </row>
    <row r="171" spans="1:20" x14ac:dyDescent="0.25">
      <c r="A171" s="5">
        <v>44422</v>
      </c>
      <c r="B171">
        <v>5.6259999999999998E-2</v>
      </c>
      <c r="C171">
        <v>6.6500000000000004E-2</v>
      </c>
      <c r="D171">
        <v>5.4100000000000002E-2</v>
      </c>
      <c r="E171">
        <v>5.4330000000000003E-2</v>
      </c>
      <c r="F171">
        <v>407656344.80000001</v>
      </c>
      <c r="G171">
        <v>5.4330000000000003E-2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-0.96290322580645149</v>
      </c>
      <c r="Q171">
        <f t="shared" ref="Q171" si="831">F171*P171</f>
        <v>-392533609.42838705</v>
      </c>
      <c r="R171">
        <f t="shared" ref="R171" si="832">R172+Q171</f>
        <v>-2853089776.9973454</v>
      </c>
      <c r="S171">
        <f t="shared" ref="S171" si="833">R171/100000</f>
        <v>-28530.897769973453</v>
      </c>
      <c r="T171">
        <f t="shared" ref="T171" si="834">S171/1000</f>
        <v>-28.530897769973453</v>
      </c>
    </row>
    <row r="172" spans="1:20" x14ac:dyDescent="0.25">
      <c r="A172" s="5">
        <v>44421</v>
      </c>
      <c r="B172">
        <v>4.2410000000000003E-2</v>
      </c>
      <c r="C172">
        <v>6.9500000000000006E-2</v>
      </c>
      <c r="D172">
        <v>4.2099999999999999E-2</v>
      </c>
      <c r="E172">
        <v>5.6160000000000002E-2</v>
      </c>
      <c r="F172">
        <v>752679041.89999998</v>
      </c>
      <c r="G172">
        <v>5.6160000000000002E-2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2.6277372262773657E-2</v>
      </c>
      <c r="Q172">
        <f t="shared" ref="Q172" si="836">F172*P172</f>
        <v>19778427.378394112</v>
      </c>
      <c r="R172">
        <f t="shared" ref="R172" si="837">R173+Q172</f>
        <v>-2460556167.5689583</v>
      </c>
      <c r="S172">
        <f t="shared" ref="S172" si="838">R172/100000</f>
        <v>-24605.561675689583</v>
      </c>
      <c r="T172">
        <f t="shared" ref="T172" si="839">S172/1000</f>
        <v>-24.605561675689582</v>
      </c>
    </row>
    <row r="173" spans="1:20" x14ac:dyDescent="0.25">
      <c r="A173" s="5">
        <v>44420</v>
      </c>
      <c r="B173">
        <v>4.3240000000000001E-2</v>
      </c>
      <c r="C173">
        <v>4.648E-2</v>
      </c>
      <c r="D173">
        <v>3.9980000000000002E-2</v>
      </c>
      <c r="E173">
        <v>4.2419999999999999E-2</v>
      </c>
      <c r="F173">
        <v>84684971.900000006</v>
      </c>
      <c r="G173">
        <v>4.2419999999999999E-2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-0.24923076923076978</v>
      </c>
      <c r="Q173">
        <f t="shared" ref="Q173" si="841">F173*P173</f>
        <v>-21106100.688923124</v>
      </c>
      <c r="R173">
        <f t="shared" ref="R173" si="842">R174+Q173</f>
        <v>-2480334594.9473524</v>
      </c>
      <c r="S173">
        <f t="shared" ref="S173" si="843">R173/100000</f>
        <v>-24803.345949473525</v>
      </c>
      <c r="T173">
        <f t="shared" ref="T173" si="844">S173/1000</f>
        <v>-24.803345949473524</v>
      </c>
    </row>
    <row r="174" spans="1:20" x14ac:dyDescent="0.25">
      <c r="A174" s="5">
        <v>44419</v>
      </c>
      <c r="B174">
        <v>4.0529999999999997E-2</v>
      </c>
      <c r="C174">
        <v>4.5400000000000003E-2</v>
      </c>
      <c r="D174">
        <v>3.9289999999999999E-2</v>
      </c>
      <c r="E174">
        <v>4.326E-2</v>
      </c>
      <c r="F174">
        <v>88710283.799999997</v>
      </c>
      <c r="G174">
        <v>4.326E-2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0.29950900163666072</v>
      </c>
      <c r="Q174">
        <f t="shared" ref="Q174" si="846">F174*P174</f>
        <v>26569528.535842836</v>
      </c>
      <c r="R174">
        <f t="shared" ref="R174" si="847">R175+Q174</f>
        <v>-2459228494.2584291</v>
      </c>
      <c r="S174">
        <f t="shared" ref="S174" si="848">R174/100000</f>
        <v>-24592.284942584291</v>
      </c>
      <c r="T174">
        <f t="shared" ref="T174" si="849">S174/1000</f>
        <v>-24.592284942584289</v>
      </c>
    </row>
    <row r="175" spans="1:20" x14ac:dyDescent="0.25">
      <c r="A175" s="5">
        <v>44418</v>
      </c>
      <c r="B175">
        <v>3.8429999999999999E-2</v>
      </c>
      <c r="C175">
        <v>4.1369999999999997E-2</v>
      </c>
      <c r="D175">
        <v>3.7879999999999997E-2</v>
      </c>
      <c r="E175">
        <v>4.052E-2</v>
      </c>
      <c r="F175">
        <v>48262902</v>
      </c>
      <c r="G175">
        <v>4.052E-2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0.5128939828080249</v>
      </c>
      <c r="Q175">
        <f t="shared" ref="Q175" si="851">F175*P175</f>
        <v>24753752.028653391</v>
      </c>
      <c r="R175">
        <f t="shared" ref="R175" si="852">R176+Q175</f>
        <v>-2485798022.7942719</v>
      </c>
      <c r="S175">
        <f t="shared" ref="S175" si="853">R175/100000</f>
        <v>-24857.98022794272</v>
      </c>
      <c r="T175">
        <f t="shared" ref="T175" si="854">S175/1000</f>
        <v>-24.857980227942722</v>
      </c>
    </row>
    <row r="176" spans="1:20" x14ac:dyDescent="0.25">
      <c r="A176" s="5">
        <v>44417</v>
      </c>
      <c r="B176">
        <v>3.5369999999999999E-2</v>
      </c>
      <c r="C176">
        <v>3.9489999999999997E-2</v>
      </c>
      <c r="D176">
        <v>3.4349999999999999E-2</v>
      </c>
      <c r="E176">
        <v>3.8490000000000003E-2</v>
      </c>
      <c r="F176">
        <v>51902617.200000003</v>
      </c>
      <c r="G176">
        <v>3.8490000000000003E-2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0.61089494163424352</v>
      </c>
      <c r="Q176">
        <f t="shared" ref="Q176" si="856">F176*P176</f>
        <v>31707046.305058487</v>
      </c>
      <c r="R176">
        <f t="shared" ref="R176" si="857">R177+Q176</f>
        <v>-2510551774.8229256</v>
      </c>
      <c r="S176">
        <f t="shared" ref="S176" si="858">R176/100000</f>
        <v>-25105.517748229257</v>
      </c>
      <c r="T176">
        <f t="shared" ref="T176" si="859">S176/1000</f>
        <v>-25.105517748229257</v>
      </c>
    </row>
    <row r="177" spans="1:20" x14ac:dyDescent="0.25">
      <c r="A177" s="5">
        <v>44416</v>
      </c>
      <c r="B177">
        <v>3.8080000000000003E-2</v>
      </c>
      <c r="C177">
        <v>3.8710000000000001E-2</v>
      </c>
      <c r="D177">
        <v>3.4610000000000002E-2</v>
      </c>
      <c r="E177">
        <v>3.533E-2</v>
      </c>
      <c r="F177">
        <v>38116803.600000001</v>
      </c>
      <c r="G177">
        <v>3.533E-2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-0.64878048780487874</v>
      </c>
      <c r="Q177">
        <f t="shared" ref="Q177" si="861">F177*P177</f>
        <v>-24729438.433170758</v>
      </c>
      <c r="R177">
        <f t="shared" ref="R177" si="862">R178+Q177</f>
        <v>-2542258821.127984</v>
      </c>
      <c r="S177">
        <f t="shared" ref="S177" si="863">R177/100000</f>
        <v>-25422.588211279839</v>
      </c>
      <c r="T177">
        <f t="shared" ref="T177" si="864">S177/1000</f>
        <v>-25.422588211279837</v>
      </c>
    </row>
    <row r="178" spans="1:20" x14ac:dyDescent="0.25">
      <c r="A178" s="5">
        <v>44415</v>
      </c>
      <c r="B178">
        <v>3.9609999999999999E-2</v>
      </c>
      <c r="C178">
        <v>4.0329999999999998E-2</v>
      </c>
      <c r="D178">
        <v>3.5299999999999998E-2</v>
      </c>
      <c r="E178">
        <v>3.8059999999999997E-2</v>
      </c>
      <c r="F178">
        <v>80538036.400000006</v>
      </c>
      <c r="G178">
        <v>3.8059999999999997E-2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9.7415506958249978E-2</v>
      </c>
      <c r="Q178">
        <f t="shared" ref="Q178" si="866">F178*P178</f>
        <v>7845653.6453279909</v>
      </c>
      <c r="R178">
        <f t="shared" ref="R178" si="867">R179+Q178</f>
        <v>-2517529382.6948133</v>
      </c>
      <c r="S178">
        <f t="shared" ref="S178" si="868">R178/100000</f>
        <v>-25175.293826948131</v>
      </c>
      <c r="T178">
        <f t="shared" ref="T178" si="869">S178/1000</f>
        <v>-25.175293826948131</v>
      </c>
    </row>
    <row r="179" spans="1:20" x14ac:dyDescent="0.25">
      <c r="A179" s="5">
        <v>44414</v>
      </c>
      <c r="B179">
        <v>3.8129999999999997E-2</v>
      </c>
      <c r="C179">
        <v>4.2590000000000003E-2</v>
      </c>
      <c r="D179">
        <v>3.6999999999999998E-2</v>
      </c>
      <c r="E179">
        <v>3.9579999999999997E-2</v>
      </c>
      <c r="F179">
        <v>172628647.19999999</v>
      </c>
      <c r="G179">
        <v>3.9579999999999997E-2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-7.6923076923078065E-2</v>
      </c>
      <c r="Q179">
        <f t="shared" ref="Q179" si="871">F179*P179</f>
        <v>-13279126.707692504</v>
      </c>
      <c r="R179">
        <f t="shared" ref="R179" si="872">R180+Q179</f>
        <v>-2525375036.3401413</v>
      </c>
      <c r="S179">
        <f t="shared" ref="S179" si="873">R179/100000</f>
        <v>-25253.750363401414</v>
      </c>
      <c r="T179">
        <f t="shared" ref="T179" si="874">S179/1000</f>
        <v>-25.253750363401412</v>
      </c>
    </row>
    <row r="180" spans="1:20" x14ac:dyDescent="0.25">
      <c r="A180" s="5">
        <v>44413</v>
      </c>
      <c r="B180">
        <v>3.3009999999999998E-2</v>
      </c>
      <c r="C180">
        <v>4.2500000000000003E-2</v>
      </c>
      <c r="D180">
        <v>3.2099999999999997E-2</v>
      </c>
      <c r="E180">
        <v>3.8129999999999997E-2</v>
      </c>
      <c r="F180">
        <v>453526011.60000002</v>
      </c>
      <c r="G180">
        <v>3.8129999999999997E-2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0.15961538461538402</v>
      </c>
      <c r="Q180">
        <f t="shared" ref="Q180" si="876">F180*P180</f>
        <v>72389728.774615124</v>
      </c>
      <c r="R180">
        <f t="shared" ref="R180" si="877">R181+Q180</f>
        <v>-2512095909.6324487</v>
      </c>
      <c r="S180">
        <f t="shared" ref="S180" si="878">R180/100000</f>
        <v>-25120.959096324488</v>
      </c>
      <c r="T180">
        <f t="shared" ref="T180" si="879">S180/1000</f>
        <v>-25.120959096324487</v>
      </c>
    </row>
    <row r="181" spans="1:20" x14ac:dyDescent="0.25">
      <c r="A181" s="5">
        <v>44412</v>
      </c>
      <c r="B181">
        <v>2.9760000000000002E-2</v>
      </c>
      <c r="C181">
        <v>3.3950000000000001E-2</v>
      </c>
      <c r="D181">
        <v>2.947E-2</v>
      </c>
      <c r="E181">
        <v>3.3070000000000002E-2</v>
      </c>
      <c r="F181">
        <v>71745673.900000006</v>
      </c>
      <c r="G181">
        <v>3.3070000000000002E-2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0.60714285714285776</v>
      </c>
      <c r="Q181">
        <f t="shared" ref="Q181" si="881">F181*P181</f>
        <v>43559873.439285763</v>
      </c>
      <c r="R181">
        <f t="shared" ref="R181" si="882">R182+Q181</f>
        <v>-2584485638.407064</v>
      </c>
      <c r="S181">
        <f t="shared" ref="S181" si="883">R181/100000</f>
        <v>-25844.856384070641</v>
      </c>
      <c r="T181">
        <f t="shared" ref="T181" si="884">S181/1000</f>
        <v>-25.844856384070642</v>
      </c>
    </row>
    <row r="182" spans="1:20" x14ac:dyDescent="0.25">
      <c r="A182" s="5">
        <v>44411</v>
      </c>
      <c r="B182">
        <v>2.9100000000000001E-2</v>
      </c>
      <c r="C182">
        <v>3.0939999999999999E-2</v>
      </c>
      <c r="D182">
        <v>2.843E-2</v>
      </c>
      <c r="E182">
        <v>2.9749999999999999E-2</v>
      </c>
      <c r="F182">
        <v>42751929.899999999</v>
      </c>
      <c r="G182">
        <v>2.9749999999999999E-2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5.1792828685258273E-2</v>
      </c>
      <c r="Q182">
        <f t="shared" ref="Q182" si="886">F182*P182</f>
        <v>2214243.3812748706</v>
      </c>
      <c r="R182">
        <f t="shared" ref="R182" si="887">R183+Q182</f>
        <v>-2628045511.8463497</v>
      </c>
      <c r="S182">
        <f t="shared" ref="S182" si="888">R182/100000</f>
        <v>-26280.455118463498</v>
      </c>
      <c r="T182">
        <f t="shared" ref="T182" si="889">S182/1000</f>
        <v>-26.280455118463497</v>
      </c>
    </row>
    <row r="183" spans="1:20" x14ac:dyDescent="0.25">
      <c r="A183" s="5">
        <v>44410</v>
      </c>
      <c r="B183">
        <v>2.904E-2</v>
      </c>
      <c r="C183">
        <v>2.9729999999999999E-2</v>
      </c>
      <c r="D183">
        <v>2.8410000000000001E-2</v>
      </c>
      <c r="E183">
        <v>2.9090000000000001E-2</v>
      </c>
      <c r="F183">
        <v>25135387</v>
      </c>
      <c r="G183">
        <v>2.9090000000000001E-2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3.0303030303031737E-2</v>
      </c>
      <c r="Q183">
        <f t="shared" ref="Q183" si="891">F183*P183</f>
        <v>761678.39393943001</v>
      </c>
      <c r="R183">
        <f t="shared" ref="R183" si="892">R184+Q183</f>
        <v>-2630259755.2276244</v>
      </c>
      <c r="S183">
        <f t="shared" ref="S183" si="893">R183/100000</f>
        <v>-26302.597552276246</v>
      </c>
      <c r="T183">
        <f t="shared" ref="T183" si="894">S183/1000</f>
        <v>-26.302597552276247</v>
      </c>
    </row>
    <row r="184" spans="1:20" x14ac:dyDescent="0.25">
      <c r="A184" s="5">
        <v>44409</v>
      </c>
      <c r="B184">
        <v>3.039E-2</v>
      </c>
      <c r="C184">
        <v>3.2140000000000002E-2</v>
      </c>
      <c r="D184">
        <v>2.86E-2</v>
      </c>
      <c r="E184">
        <v>2.903E-2</v>
      </c>
      <c r="F184">
        <v>52855887.600000001</v>
      </c>
      <c r="G184">
        <v>2.903E-2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-0.75706214689265561</v>
      </c>
      <c r="Q184">
        <f t="shared" ref="Q184" si="896">F184*P184</f>
        <v>-40015191.742372893</v>
      </c>
      <c r="R184">
        <f t="shared" ref="R184" si="897">R185+Q184</f>
        <v>-2631021433.6215639</v>
      </c>
      <c r="S184">
        <f t="shared" ref="S184" si="898">R184/100000</f>
        <v>-26310.214336215638</v>
      </c>
      <c r="T184">
        <f t="shared" ref="T184" si="899">S184/1000</f>
        <v>-26.310214336215637</v>
      </c>
    </row>
    <row r="185" spans="1:20" x14ac:dyDescent="0.25">
      <c r="A185" s="5">
        <v>44408</v>
      </c>
      <c r="B185">
        <v>2.8590000000000001E-2</v>
      </c>
      <c r="C185">
        <v>3.2000000000000001E-2</v>
      </c>
      <c r="D185">
        <v>2.7949999999999999E-2</v>
      </c>
      <c r="E185">
        <v>3.0349999999999999E-2</v>
      </c>
      <c r="F185">
        <v>88879344.599999994</v>
      </c>
      <c r="G185">
        <v>3.0349999999999999E-2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0.18518518518518443</v>
      </c>
      <c r="Q185">
        <f t="shared" ref="Q185" si="901">F185*P185</f>
        <v>16459137.888888821</v>
      </c>
      <c r="R185">
        <f t="shared" ref="R185" si="902">R186+Q185</f>
        <v>-2591006241.8791909</v>
      </c>
      <c r="S185">
        <f t="shared" ref="S185" si="903">R185/100000</f>
        <v>-25910.062418791909</v>
      </c>
      <c r="T185">
        <f t="shared" ref="T185" si="904">S185/1000</f>
        <v>-25.91006241879191</v>
      </c>
    </row>
    <row r="186" spans="1:20" x14ac:dyDescent="0.25">
      <c r="A186" s="5">
        <v>44407</v>
      </c>
      <c r="B186">
        <v>2.7400000000000001E-2</v>
      </c>
      <c r="C186">
        <v>2.8649999999999998E-2</v>
      </c>
      <c r="D186">
        <v>2.691E-2</v>
      </c>
      <c r="E186">
        <v>2.86E-2</v>
      </c>
      <c r="F186">
        <v>26031485.800000001</v>
      </c>
      <c r="G186">
        <v>2.86E-2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0.9425287356321862</v>
      </c>
      <c r="Q186">
        <f t="shared" ref="Q186" si="906">F186*P186</f>
        <v>24535423.397701211</v>
      </c>
      <c r="R186">
        <f t="shared" ref="R186" si="907">R187+Q186</f>
        <v>-2607465379.7680798</v>
      </c>
      <c r="S186">
        <f t="shared" ref="S186" si="908">R186/100000</f>
        <v>-26074.653797680796</v>
      </c>
      <c r="T186">
        <f t="shared" ref="T186" si="909">S186/1000</f>
        <v>-26.074653797680796</v>
      </c>
    </row>
    <row r="187" spans="1:20" x14ac:dyDescent="0.25">
      <c r="A187" s="5">
        <v>44406</v>
      </c>
      <c r="B187">
        <v>2.7519999999999999E-2</v>
      </c>
      <c r="C187">
        <v>2.793E-2</v>
      </c>
      <c r="D187">
        <v>2.6880000000000001E-2</v>
      </c>
      <c r="E187">
        <v>2.7390000000000001E-2</v>
      </c>
      <c r="F187">
        <v>29039723.199999999</v>
      </c>
      <c r="G187">
        <v>2.7390000000000001E-2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-2.8571428571427439E-2</v>
      </c>
      <c r="Q187">
        <f t="shared" ref="Q187" si="911">F187*P187</f>
        <v>-829706.37714282423</v>
      </c>
      <c r="R187">
        <f t="shared" ref="R187" si="912">R188+Q187</f>
        <v>-2632000803.165781</v>
      </c>
      <c r="S187">
        <f t="shared" ref="S187" si="913">R187/100000</f>
        <v>-26320.00803165781</v>
      </c>
      <c r="T187">
        <f t="shared" ref="T187" si="914">S187/1000</f>
        <v>-26.32000803165781</v>
      </c>
    </row>
    <row r="188" spans="1:20" x14ac:dyDescent="0.25">
      <c r="A188" s="5">
        <v>44405</v>
      </c>
      <c r="B188">
        <v>2.7720000000000002E-2</v>
      </c>
      <c r="C188">
        <v>2.878E-2</v>
      </c>
      <c r="D188">
        <v>2.7289999999999998E-2</v>
      </c>
      <c r="E188">
        <v>2.751E-2</v>
      </c>
      <c r="F188">
        <v>23157478</v>
      </c>
      <c r="G188">
        <v>2.751E-2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-0.70469798657717964</v>
      </c>
      <c r="Q188">
        <f t="shared" ref="Q188" si="916">F188*P188</f>
        <v>-16319028.120805332</v>
      </c>
      <c r="R188">
        <f t="shared" ref="R188" si="917">R189+Q188</f>
        <v>-2631171096.7886381</v>
      </c>
      <c r="S188">
        <f t="shared" ref="S188" si="918">R188/100000</f>
        <v>-26311.710967886382</v>
      </c>
      <c r="T188">
        <f t="shared" ref="T188" si="919">S188/1000</f>
        <v>-26.311710967886381</v>
      </c>
    </row>
    <row r="189" spans="1:20" x14ac:dyDescent="0.25">
      <c r="A189" s="5">
        <v>44404</v>
      </c>
      <c r="B189">
        <v>2.6919999999999999E-2</v>
      </c>
      <c r="C189">
        <v>2.7910000000000001E-2</v>
      </c>
      <c r="D189">
        <v>2.6349999999999998E-2</v>
      </c>
      <c r="E189">
        <v>2.7709999999999999E-2</v>
      </c>
      <c r="F189">
        <v>24132155.100000001</v>
      </c>
      <c r="G189">
        <v>2.7709999999999999E-2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0.74358974358974106</v>
      </c>
      <c r="Q189">
        <f t="shared" ref="Q189" si="921">F189*P189</f>
        <v>17944423.023076862</v>
      </c>
      <c r="R189">
        <f t="shared" ref="R189" si="922">R190+Q189</f>
        <v>-2614852068.6678329</v>
      </c>
      <c r="S189">
        <f t="shared" ref="S189" si="923">R189/100000</f>
        <v>-26148.52068667833</v>
      </c>
      <c r="T189">
        <f t="shared" ref="T189" si="924">S189/1000</f>
        <v>-26.148520686678332</v>
      </c>
    </row>
    <row r="190" spans="1:20" x14ac:dyDescent="0.25">
      <c r="A190" s="5">
        <v>44403</v>
      </c>
      <c r="B190">
        <v>2.7820000000000001E-2</v>
      </c>
      <c r="C190">
        <v>2.9499999999999998E-2</v>
      </c>
      <c r="D190">
        <v>2.6579999999999999E-2</v>
      </c>
      <c r="E190">
        <v>2.6929999999999999E-2</v>
      </c>
      <c r="F190">
        <v>70379153.299999997</v>
      </c>
      <c r="G190">
        <v>2.6929999999999999E-2</v>
      </c>
      <c r="L190" t="s">
        <v>7</v>
      </c>
      <c r="M190" t="s">
        <v>7</v>
      </c>
      <c r="N190" t="s">
        <v>8</v>
      </c>
      <c r="P190">
        <f t="shared" ref="P190" si="925">IF(C190=D190,0,((E190-D190)-(C190-E190))/(C190-D190))</f>
        <v>-0.76027397260273988</v>
      </c>
      <c r="Q190">
        <f t="shared" ref="Q190" si="926">F190*P190</f>
        <v>-53507438.467808224</v>
      </c>
      <c r="R190">
        <f t="shared" ref="R190" si="927">R191+Q190</f>
        <v>-2632796491.6909099</v>
      </c>
      <c r="S190">
        <f t="shared" ref="S190" si="928">R190/100000</f>
        <v>-26327.964916909099</v>
      </c>
      <c r="T190">
        <f t="shared" ref="T190" si="929">S190/1000</f>
        <v>-26.327964916909099</v>
      </c>
    </row>
    <row r="191" spans="1:20" x14ac:dyDescent="0.25">
      <c r="A191" s="5">
        <v>44402</v>
      </c>
      <c r="B191">
        <v>2.537E-2</v>
      </c>
      <c r="C191">
        <v>3.3009999999999998E-2</v>
      </c>
      <c r="D191">
        <v>2.496E-2</v>
      </c>
      <c r="E191">
        <v>2.7810000000000001E-2</v>
      </c>
      <c r="F191">
        <v>225142180.59999999</v>
      </c>
      <c r="G191">
        <v>2.7810000000000001E-2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-0.2919254658385087</v>
      </c>
      <c r="Q191">
        <f t="shared" ref="Q191" si="931">F191*P191</f>
        <v>-65724735.951552652</v>
      </c>
      <c r="R191">
        <f t="shared" ref="R191" si="932">R192+Q191</f>
        <v>-2579289053.2231016</v>
      </c>
      <c r="S191">
        <f t="shared" ref="S191" si="933">R191/100000</f>
        <v>-25792.890532231017</v>
      </c>
      <c r="T191">
        <f t="shared" ref="T191:T197" si="934">S191/1000</f>
        <v>-25.792890532231016</v>
      </c>
    </row>
    <row r="192" spans="1:20" x14ac:dyDescent="0.25">
      <c r="A192" s="5">
        <v>44401</v>
      </c>
      <c r="B192">
        <v>2.563E-2</v>
      </c>
      <c r="C192">
        <v>2.6859999999999998E-2</v>
      </c>
      <c r="D192">
        <v>2.4799999999999999E-2</v>
      </c>
      <c r="E192">
        <v>2.5360000000000001E-2</v>
      </c>
      <c r="F192">
        <v>62382607.5</v>
      </c>
      <c r="G192">
        <v>2.5360000000000001E-2</v>
      </c>
      <c r="L192" t="s">
        <v>7</v>
      </c>
      <c r="M192" t="s">
        <v>7</v>
      </c>
      <c r="N192" t="s">
        <v>8</v>
      </c>
      <c r="P192">
        <f t="shared" ref="P192" si="935">IF(C192=D192,0,((E192-D192)-(C192-E192))/(C192-D192))</f>
        <v>-0.4563106796116489</v>
      </c>
      <c r="Q192">
        <f t="shared" ref="Q192" si="936">F192*P192</f>
        <v>-28465850.024271745</v>
      </c>
      <c r="R192">
        <f t="shared" ref="R192" si="937">R193+Q192</f>
        <v>-2513564317.2715487</v>
      </c>
      <c r="S192">
        <f t="shared" ref="S192" si="938">R192/100000</f>
        <v>-25135.643172715489</v>
      </c>
      <c r="T192">
        <f t="shared" si="934"/>
        <v>-25.13564317271549</v>
      </c>
    </row>
    <row r="193" spans="1:20" x14ac:dyDescent="0.25">
      <c r="A193" s="5">
        <v>44400</v>
      </c>
      <c r="B193">
        <v>2.2939999999999999E-2</v>
      </c>
      <c r="C193">
        <v>3.168E-2</v>
      </c>
      <c r="D193">
        <v>2.2929999999999999E-2</v>
      </c>
      <c r="E193">
        <v>2.5600000000000001E-2</v>
      </c>
      <c r="F193">
        <v>313648111.60000002</v>
      </c>
      <c r="G193">
        <v>2.5600000000000001E-2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-0.38971428571428524</v>
      </c>
      <c r="Q193">
        <f t="shared" ref="Q193" si="940">F193*P193</f>
        <v>-122233149.77782843</v>
      </c>
      <c r="R193">
        <f t="shared" ref="R193" si="941">R194+Q193</f>
        <v>-2485098467.2472768</v>
      </c>
      <c r="S193">
        <f t="shared" ref="S193" si="942">R193/100000</f>
        <v>-24850.984672472769</v>
      </c>
      <c r="T193">
        <f t="shared" si="934"/>
        <v>-24.850984672472769</v>
      </c>
    </row>
    <row r="194" spans="1:20" x14ac:dyDescent="0.25">
      <c r="A194" s="5">
        <v>44399</v>
      </c>
      <c r="B194">
        <v>2.2329999999999999E-2</v>
      </c>
      <c r="C194">
        <v>2.3470000000000001E-2</v>
      </c>
      <c r="D194">
        <v>2.1999999999999999E-2</v>
      </c>
      <c r="E194">
        <v>2.2960000000000001E-2</v>
      </c>
      <c r="F194">
        <v>22948768.300000001</v>
      </c>
      <c r="G194">
        <v>2.2960000000000001E-2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0.30612244897959301</v>
      </c>
      <c r="Q194">
        <f t="shared" ref="Q194" si="944">F194*P194</f>
        <v>7025133.1530612521</v>
      </c>
      <c r="R194">
        <f t="shared" ref="R194" si="945">R195+Q194</f>
        <v>-2362865317.4694486</v>
      </c>
      <c r="S194">
        <f t="shared" ref="S194" si="946">R194/100000</f>
        <v>-23628.653174694486</v>
      </c>
      <c r="T194">
        <f t="shared" si="934"/>
        <v>-23.628653174694485</v>
      </c>
    </row>
    <row r="195" spans="1:20" x14ac:dyDescent="0.25">
      <c r="A195" s="5">
        <v>44398</v>
      </c>
      <c r="B195">
        <v>2.043E-2</v>
      </c>
      <c r="C195">
        <v>2.2950000000000002E-2</v>
      </c>
      <c r="D195">
        <v>2.0150000000000001E-2</v>
      </c>
      <c r="E195">
        <v>2.2259999999999999E-2</v>
      </c>
      <c r="F195">
        <v>52086479.100000001</v>
      </c>
      <c r="G195">
        <v>2.2259999999999999E-2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0.50714285714285501</v>
      </c>
      <c r="Q195">
        <f t="shared" ref="Q195" si="948">F195*P195</f>
        <v>26415285.829285603</v>
      </c>
      <c r="R195">
        <f t="shared" ref="R195" si="949">R196+Q195</f>
        <v>-2369890450.62251</v>
      </c>
      <c r="S195">
        <f t="shared" ref="S195" si="950">R195/100000</f>
        <v>-23698.904506225099</v>
      </c>
      <c r="T195">
        <f t="shared" si="934"/>
        <v>-23.698904506225098</v>
      </c>
    </row>
    <row r="196" spans="1:20" x14ac:dyDescent="0.25">
      <c r="A196" s="5">
        <v>44397</v>
      </c>
      <c r="B196">
        <v>2.2759999999999999E-2</v>
      </c>
      <c r="C196">
        <v>2.2769999999999999E-2</v>
      </c>
      <c r="D196">
        <v>2.001E-2</v>
      </c>
      <c r="E196">
        <v>2.0449999999999999E-2</v>
      </c>
      <c r="F196">
        <v>56162499.399999999</v>
      </c>
      <c r="G196">
        <v>2.0449999999999999E-2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-0.68115942028985532</v>
      </c>
      <c r="Q196">
        <f t="shared" ref="Q196" si="952">F196*P196</f>
        <v>-38255615.533333346</v>
      </c>
      <c r="R196">
        <f t="shared" ref="R196" si="953">R197+Q196</f>
        <v>-2396305736.4517956</v>
      </c>
      <c r="S196">
        <f t="shared" ref="S196" si="954">R196/100000</f>
        <v>-23963.057364517957</v>
      </c>
      <c r="T196">
        <f t="shared" si="934"/>
        <v>-23.963057364517958</v>
      </c>
    </row>
    <row r="197" spans="1:20" x14ac:dyDescent="0.25">
      <c r="A197" s="5">
        <v>44396</v>
      </c>
      <c r="B197">
        <v>2.4279999999999999E-2</v>
      </c>
      <c r="C197">
        <v>2.4389999999999998E-2</v>
      </c>
      <c r="D197">
        <v>2.2349999999999998E-2</v>
      </c>
      <c r="E197">
        <v>2.274E-2</v>
      </c>
      <c r="F197">
        <v>42755290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-0.61764705882352799</v>
      </c>
      <c r="Q197">
        <f t="shared" ref="Q197" si="956">F197*P197</f>
        <v>-26407679.117647</v>
      </c>
      <c r="R197">
        <f t="shared" ref="R197" si="957">R198+Q197</f>
        <v>-2358050120.9184623</v>
      </c>
      <c r="S197">
        <f t="shared" ref="S197" si="958">R197/100000</f>
        <v>-23580.501209184622</v>
      </c>
      <c r="T197">
        <f t="shared" si="934"/>
        <v>-23.580501209184622</v>
      </c>
    </row>
    <row r="198" spans="1:20" x14ac:dyDescent="0.25">
      <c r="A198" s="5">
        <v>44395</v>
      </c>
      <c r="B198">
        <v>2.351E-2</v>
      </c>
      <c r="C198">
        <v>2.4840000000000001E-2</v>
      </c>
      <c r="D198">
        <v>2.349E-2</v>
      </c>
      <c r="E198">
        <v>2.4279999999999999E-2</v>
      </c>
      <c r="F198">
        <v>59881146.299999997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0.17037037037036851</v>
      </c>
      <c r="Q198">
        <f t="shared" ref="Q198:Q261" si="960">F198*P198</f>
        <v>10201973.073333221</v>
      </c>
      <c r="R198">
        <f t="shared" ref="R198:R261" si="961">R199+Q198</f>
        <v>-2331642441.8008151</v>
      </c>
      <c r="S198">
        <f t="shared" ref="S198:S261" si="962">R198/100000</f>
        <v>-23316.424418008151</v>
      </c>
      <c r="T198">
        <f t="shared" ref="T198:T261" si="963">S198/1000</f>
        <v>-23.31642441800815</v>
      </c>
    </row>
    <row r="199" spans="1:20" x14ac:dyDescent="0.25">
      <c r="A199" s="5">
        <v>44394</v>
      </c>
      <c r="B199">
        <v>2.4230000000000002E-2</v>
      </c>
      <c r="C199">
        <v>2.4459999999999999E-2</v>
      </c>
      <c r="D199">
        <v>2.3269999999999999E-2</v>
      </c>
      <c r="E199">
        <v>2.3519999999999999E-2</v>
      </c>
      <c r="F199">
        <v>57308047.700000003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-0.57983193277310885</v>
      </c>
      <c r="Q199">
        <f t="shared" si="960"/>
        <v>-33229036.061344516</v>
      </c>
      <c r="R199">
        <f t="shared" si="961"/>
        <v>-2341844414.8741484</v>
      </c>
      <c r="S199">
        <f t="shared" si="962"/>
        <v>-23418.444148741484</v>
      </c>
      <c r="T199">
        <f t="shared" si="963"/>
        <v>-23.418444148741486</v>
      </c>
    </row>
    <row r="200" spans="1:20" x14ac:dyDescent="0.25">
      <c r="A200" s="5">
        <v>44393</v>
      </c>
      <c r="B200">
        <v>2.5229999999999999E-2</v>
      </c>
      <c r="C200">
        <v>2.545E-2</v>
      </c>
      <c r="D200">
        <v>2.419E-2</v>
      </c>
      <c r="E200">
        <v>2.4219999999999998E-2</v>
      </c>
      <c r="F200">
        <v>39153710.799999997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-0.95238095238095433</v>
      </c>
      <c r="Q200">
        <f t="shared" si="960"/>
        <v>-37289248.380952455</v>
      </c>
      <c r="R200">
        <f t="shared" si="961"/>
        <v>-2308615378.8128037</v>
      </c>
      <c r="S200">
        <f t="shared" si="962"/>
        <v>-23086.153788128038</v>
      </c>
      <c r="T200">
        <f t="shared" si="963"/>
        <v>-23.086153788128037</v>
      </c>
    </row>
    <row r="201" spans="1:20" x14ac:dyDescent="0.25">
      <c r="A201" s="5">
        <v>44392</v>
      </c>
      <c r="B201">
        <v>2.6259999999999999E-2</v>
      </c>
      <c r="C201">
        <v>2.8129999999999999E-2</v>
      </c>
      <c r="D201">
        <v>2.5020000000000001E-2</v>
      </c>
      <c r="E201">
        <v>2.5239999999999999E-2</v>
      </c>
      <c r="F201">
        <v>359827582.69999999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-0.8585209003215446</v>
      </c>
      <c r="Q201">
        <f t="shared" si="960"/>
        <v>-308919500.26012903</v>
      </c>
      <c r="R201">
        <f t="shared" si="961"/>
        <v>-2271326130.4318514</v>
      </c>
      <c r="S201">
        <f t="shared" si="962"/>
        <v>-22713.261304318516</v>
      </c>
      <c r="T201">
        <f t="shared" si="963"/>
        <v>-22.713261304318515</v>
      </c>
    </row>
    <row r="202" spans="1:20" x14ac:dyDescent="0.25">
      <c r="A202" s="5">
        <v>44391</v>
      </c>
      <c r="B202">
        <v>2.6710000000000001E-2</v>
      </c>
      <c r="C202">
        <v>2.7359999999999999E-2</v>
      </c>
      <c r="D202">
        <v>2.3990000000000001E-2</v>
      </c>
      <c r="E202">
        <v>2.6259999999999999E-2</v>
      </c>
      <c r="F202">
        <v>64454527.200000003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0.34718100890207659</v>
      </c>
      <c r="Q202">
        <f t="shared" si="960"/>
        <v>22377387.781602338</v>
      </c>
      <c r="R202">
        <f t="shared" si="961"/>
        <v>-1962406630.1717224</v>
      </c>
      <c r="S202">
        <f t="shared" si="962"/>
        <v>-19624.066301717223</v>
      </c>
      <c r="T202">
        <f t="shared" si="963"/>
        <v>-19.624066301717225</v>
      </c>
    </row>
    <row r="203" spans="1:20" x14ac:dyDescent="0.25">
      <c r="A203" s="5">
        <v>44390</v>
      </c>
      <c r="B203">
        <v>2.8299999999999999E-2</v>
      </c>
      <c r="C203">
        <v>2.8340000000000001E-2</v>
      </c>
      <c r="D203">
        <v>2.6079999999999999E-2</v>
      </c>
      <c r="E203">
        <v>2.6720000000000001E-2</v>
      </c>
      <c r="F203">
        <v>29214563.300000001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-0.43362831858406969</v>
      </c>
      <c r="Q203">
        <f t="shared" si="960"/>
        <v>-12668261.961946871</v>
      </c>
      <c r="R203">
        <f t="shared" si="961"/>
        <v>-1984784017.9533248</v>
      </c>
      <c r="S203">
        <f t="shared" si="962"/>
        <v>-19847.840179533247</v>
      </c>
      <c r="T203">
        <f t="shared" si="963"/>
        <v>-19.847840179533247</v>
      </c>
    </row>
    <row r="204" spans="1:20" x14ac:dyDescent="0.25">
      <c r="A204" s="5">
        <v>44389</v>
      </c>
      <c r="B204">
        <v>3.0839999999999999E-2</v>
      </c>
      <c r="C204">
        <v>3.1179999999999999E-2</v>
      </c>
      <c r="D204">
        <v>2.7910000000000001E-2</v>
      </c>
      <c r="E204">
        <v>2.8289999999999999E-2</v>
      </c>
      <c r="F204">
        <v>43448508.100000001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-0.76758409785932813</v>
      </c>
      <c r="Q204">
        <f t="shared" si="960"/>
        <v>-33350383.893272214</v>
      </c>
      <c r="R204">
        <f t="shared" si="961"/>
        <v>-1972115755.9913778</v>
      </c>
      <c r="S204">
        <f t="shared" si="962"/>
        <v>-19721.15755991378</v>
      </c>
      <c r="T204">
        <f t="shared" si="963"/>
        <v>-19.721157559913781</v>
      </c>
    </row>
    <row r="205" spans="1:20" x14ac:dyDescent="0.25">
      <c r="A205" s="5">
        <v>44388</v>
      </c>
      <c r="B205">
        <v>2.7279999999999999E-2</v>
      </c>
      <c r="C205">
        <v>3.3320000000000002E-2</v>
      </c>
      <c r="D205">
        <v>2.7279999999999999E-2</v>
      </c>
      <c r="E205">
        <v>3.0839999999999999E-2</v>
      </c>
      <c r="F205">
        <v>137023954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0.17880794701986705</v>
      </c>
      <c r="Q205">
        <f t="shared" si="960"/>
        <v>24500971.907284699</v>
      </c>
      <c r="R205">
        <f t="shared" si="961"/>
        <v>-1938765372.0981057</v>
      </c>
      <c r="S205">
        <f t="shared" si="962"/>
        <v>-19387.653720981056</v>
      </c>
      <c r="T205">
        <f t="shared" si="963"/>
        <v>-19.387653720981056</v>
      </c>
    </row>
    <row r="206" spans="1:20" x14ac:dyDescent="0.25">
      <c r="A206" s="5">
        <v>44387</v>
      </c>
      <c r="B206">
        <v>2.6880000000000001E-2</v>
      </c>
      <c r="C206">
        <v>2.8129999999999999E-2</v>
      </c>
      <c r="D206">
        <v>2.6579999999999999E-2</v>
      </c>
      <c r="E206">
        <v>2.7300000000000001E-2</v>
      </c>
      <c r="F206">
        <v>16419989.199999999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-7.0967741935481013E-2</v>
      </c>
      <c r="Q206">
        <f t="shared" si="960"/>
        <v>-1165289.5561289852</v>
      </c>
      <c r="R206">
        <f t="shared" si="961"/>
        <v>-1963266344.0053904</v>
      </c>
      <c r="S206">
        <f t="shared" si="962"/>
        <v>-19632.663440053904</v>
      </c>
      <c r="T206">
        <f t="shared" si="963"/>
        <v>-19.632663440053904</v>
      </c>
    </row>
    <row r="207" spans="1:20" x14ac:dyDescent="0.25">
      <c r="A207" s="5">
        <v>44386</v>
      </c>
      <c r="B207">
        <v>2.5909999999999999E-2</v>
      </c>
      <c r="C207">
        <v>2.7040000000000002E-2</v>
      </c>
      <c r="D207">
        <v>2.529E-2</v>
      </c>
      <c r="E207">
        <v>2.6849999999999999E-2</v>
      </c>
      <c r="F207">
        <v>15838329.800000001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0.78285714285714003</v>
      </c>
      <c r="Q207">
        <f t="shared" si="960"/>
        <v>12399149.614857098</v>
      </c>
      <c r="R207">
        <f t="shared" si="961"/>
        <v>-1962101054.4492614</v>
      </c>
      <c r="S207">
        <f t="shared" si="962"/>
        <v>-19621.010544492616</v>
      </c>
      <c r="T207">
        <f t="shared" si="963"/>
        <v>-19.621010544492616</v>
      </c>
    </row>
    <row r="208" spans="1:20" x14ac:dyDescent="0.25">
      <c r="A208" s="5">
        <v>44385</v>
      </c>
      <c r="B208">
        <v>2.7480000000000001E-2</v>
      </c>
      <c r="C208">
        <v>2.7490000000000001E-2</v>
      </c>
      <c r="D208">
        <v>2.5700000000000001E-2</v>
      </c>
      <c r="E208">
        <v>2.5899999999999999E-2</v>
      </c>
      <c r="F208">
        <v>16299674.9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-0.77653631284916336</v>
      </c>
      <c r="Q208">
        <f t="shared" si="960"/>
        <v>-12657289.447486056</v>
      </c>
      <c r="R208">
        <f t="shared" si="961"/>
        <v>-1974500204.0641186</v>
      </c>
      <c r="S208">
        <f t="shared" si="962"/>
        <v>-19745.002040641186</v>
      </c>
      <c r="T208">
        <f t="shared" si="963"/>
        <v>-19.745002040641186</v>
      </c>
    </row>
    <row r="209" spans="1:20" x14ac:dyDescent="0.25">
      <c r="A209" s="5">
        <v>44384</v>
      </c>
      <c r="B209">
        <v>2.8129999999999999E-2</v>
      </c>
      <c r="C209">
        <v>2.8559999999999999E-2</v>
      </c>
      <c r="D209">
        <v>2.7459999999999998E-2</v>
      </c>
      <c r="E209">
        <v>2.7470000000000001E-2</v>
      </c>
      <c r="F209">
        <v>26059014.600000001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-0.98181818181817626</v>
      </c>
      <c r="Q209">
        <f t="shared" si="960"/>
        <v>-25585214.334545311</v>
      </c>
      <c r="R209">
        <f t="shared" si="961"/>
        <v>-1961842914.6166325</v>
      </c>
      <c r="S209">
        <f t="shared" si="962"/>
        <v>-19618.429146166323</v>
      </c>
      <c r="T209">
        <f t="shared" si="963"/>
        <v>-19.618429146166324</v>
      </c>
    </row>
    <row r="210" spans="1:20" x14ac:dyDescent="0.25">
      <c r="A210" s="5">
        <v>44383</v>
      </c>
      <c r="B210">
        <v>2.6579999999999999E-2</v>
      </c>
      <c r="C210">
        <v>2.8199999999999999E-2</v>
      </c>
      <c r="D210">
        <v>2.6370000000000001E-2</v>
      </c>
      <c r="E210">
        <v>2.8119999999999999E-2</v>
      </c>
      <c r="F210">
        <v>25294319.300000001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0.91256830601092864</v>
      </c>
      <c r="Q210">
        <f t="shared" si="960"/>
        <v>23082794.11530054</v>
      </c>
      <c r="R210">
        <f t="shared" si="961"/>
        <v>-1936257700.2820871</v>
      </c>
      <c r="S210">
        <f t="shared" si="962"/>
        <v>-19362.577002820872</v>
      </c>
      <c r="T210">
        <f t="shared" si="963"/>
        <v>-19.362577002820871</v>
      </c>
    </row>
    <row r="211" spans="1:20" x14ac:dyDescent="0.25">
      <c r="A211" s="5">
        <v>44382</v>
      </c>
      <c r="B211">
        <v>2.7560000000000001E-2</v>
      </c>
      <c r="C211">
        <v>2.7619999999999999E-2</v>
      </c>
      <c r="D211">
        <v>2.613E-2</v>
      </c>
      <c r="E211">
        <v>2.6589999999999999E-2</v>
      </c>
      <c r="F211">
        <v>16553742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-0.38255033557047097</v>
      </c>
      <c r="Q211">
        <f t="shared" si="960"/>
        <v>-6332639.5570469992</v>
      </c>
      <c r="R211">
        <f t="shared" si="961"/>
        <v>-1959340494.3973877</v>
      </c>
      <c r="S211">
        <f t="shared" si="962"/>
        <v>-19593.404943973877</v>
      </c>
      <c r="T211">
        <f t="shared" si="963"/>
        <v>-19.593404943973876</v>
      </c>
    </row>
    <row r="212" spans="1:20" x14ac:dyDescent="0.25">
      <c r="A212" s="5">
        <v>44381</v>
      </c>
      <c r="B212">
        <v>2.6769999999999999E-2</v>
      </c>
      <c r="C212">
        <v>2.7890000000000002E-2</v>
      </c>
      <c r="D212">
        <v>2.631E-2</v>
      </c>
      <c r="E212">
        <v>2.76E-2</v>
      </c>
      <c r="F212">
        <v>16227754.6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0.632911392405061</v>
      </c>
      <c r="Q212">
        <f t="shared" si="960"/>
        <v>10270730.759493634</v>
      </c>
      <c r="R212">
        <f t="shared" si="961"/>
        <v>-1953007854.8403409</v>
      </c>
      <c r="S212">
        <f t="shared" si="962"/>
        <v>-19530.07854840341</v>
      </c>
      <c r="T212">
        <f t="shared" si="963"/>
        <v>-19.530078548403409</v>
      </c>
    </row>
    <row r="213" spans="1:20" x14ac:dyDescent="0.25">
      <c r="A213" s="5">
        <v>44380</v>
      </c>
      <c r="B213">
        <v>2.6440000000000002E-2</v>
      </c>
      <c r="C213">
        <v>2.7279999999999999E-2</v>
      </c>
      <c r="D213">
        <v>2.5839999999999998E-2</v>
      </c>
      <c r="E213">
        <v>2.6759999999999999E-2</v>
      </c>
      <c r="F213">
        <v>13729158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0.27777777777777846</v>
      </c>
      <c r="Q213">
        <f t="shared" si="960"/>
        <v>3813655.0000000093</v>
      </c>
      <c r="R213">
        <f t="shared" si="961"/>
        <v>-1963278585.5998344</v>
      </c>
      <c r="S213">
        <f t="shared" si="962"/>
        <v>-19632.785855998343</v>
      </c>
      <c r="T213">
        <f t="shared" si="963"/>
        <v>-19.632785855998343</v>
      </c>
    </row>
    <row r="214" spans="1:20" x14ac:dyDescent="0.25">
      <c r="A214" s="5">
        <v>44379</v>
      </c>
      <c r="B214">
        <v>2.614E-2</v>
      </c>
      <c r="C214">
        <v>2.6759999999999999E-2</v>
      </c>
      <c r="D214">
        <v>2.5139999999999999E-2</v>
      </c>
      <c r="E214">
        <v>2.6450000000000001E-2</v>
      </c>
      <c r="F214">
        <v>23646658.5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0.61728395061728669</v>
      </c>
      <c r="Q214">
        <f t="shared" si="960"/>
        <v>14596702.777777843</v>
      </c>
      <c r="R214">
        <f t="shared" si="961"/>
        <v>-1967092240.5998344</v>
      </c>
      <c r="S214">
        <f t="shared" si="962"/>
        <v>-19670.922405998346</v>
      </c>
      <c r="T214">
        <f t="shared" si="963"/>
        <v>-19.670922405998347</v>
      </c>
    </row>
    <row r="215" spans="1:20" x14ac:dyDescent="0.25">
      <c r="A215" s="5">
        <v>44378</v>
      </c>
      <c r="B215">
        <v>2.579E-2</v>
      </c>
      <c r="C215">
        <v>2.9000000000000001E-2</v>
      </c>
      <c r="D215">
        <v>2.5260000000000001E-2</v>
      </c>
      <c r="E215">
        <v>2.615E-2</v>
      </c>
      <c r="F215">
        <v>41421698.799999997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-0.52406417112299553</v>
      </c>
      <c r="Q215">
        <f t="shared" si="960"/>
        <v>-21707628.248128377</v>
      </c>
      <c r="R215">
        <f t="shared" si="961"/>
        <v>-1981688943.3776124</v>
      </c>
      <c r="S215">
        <f t="shared" si="962"/>
        <v>-19816.889433776123</v>
      </c>
      <c r="T215">
        <f t="shared" si="963"/>
        <v>-19.816889433776122</v>
      </c>
    </row>
    <row r="216" spans="1:20" x14ac:dyDescent="0.25">
      <c r="A216" s="5">
        <v>44377</v>
      </c>
      <c r="B216">
        <v>2.6270000000000002E-2</v>
      </c>
      <c r="C216">
        <v>2.6370000000000001E-2</v>
      </c>
      <c r="D216">
        <v>2.4750000000000001E-2</v>
      </c>
      <c r="E216">
        <v>2.579E-2</v>
      </c>
      <c r="F216">
        <v>24029663.300000001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0.28395061728394977</v>
      </c>
      <c r="Q216">
        <f t="shared" si="960"/>
        <v>6823237.7271604734</v>
      </c>
      <c r="R216">
        <f t="shared" si="961"/>
        <v>-1959981315.1294839</v>
      </c>
      <c r="S216">
        <f t="shared" si="962"/>
        <v>-19599.813151294838</v>
      </c>
      <c r="T216">
        <f t="shared" si="963"/>
        <v>-19.599813151294839</v>
      </c>
    </row>
    <row r="217" spans="1:20" x14ac:dyDescent="0.25">
      <c r="A217" s="5">
        <v>44376</v>
      </c>
      <c r="B217">
        <v>2.5250000000000002E-2</v>
      </c>
      <c r="C217">
        <v>2.7E-2</v>
      </c>
      <c r="D217">
        <v>2.5229999999999999E-2</v>
      </c>
      <c r="E217">
        <v>2.6280000000000001E-2</v>
      </c>
      <c r="F217">
        <v>23953859.300000001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0.18644067796610383</v>
      </c>
      <c r="Q217">
        <f t="shared" si="960"/>
        <v>4465973.7677966617</v>
      </c>
      <c r="R217">
        <f t="shared" si="961"/>
        <v>-1966804552.8566444</v>
      </c>
      <c r="S217">
        <f t="shared" si="962"/>
        <v>-19668.045528566443</v>
      </c>
      <c r="T217">
        <f t="shared" si="963"/>
        <v>-19.668045528566442</v>
      </c>
    </row>
    <row r="218" spans="1:20" x14ac:dyDescent="0.25">
      <c r="A218" s="5">
        <v>44375</v>
      </c>
      <c r="B218">
        <v>2.4369999999999999E-2</v>
      </c>
      <c r="C218">
        <v>2.5520000000000001E-2</v>
      </c>
      <c r="D218">
        <v>2.392E-2</v>
      </c>
      <c r="E218">
        <v>2.5260000000000001E-2</v>
      </c>
      <c r="F218">
        <v>27824604.5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0.67500000000000038</v>
      </c>
      <c r="Q218">
        <f t="shared" si="960"/>
        <v>18781608.037500009</v>
      </c>
      <c r="R218">
        <f t="shared" si="961"/>
        <v>-1971270526.6244411</v>
      </c>
      <c r="S218">
        <f t="shared" si="962"/>
        <v>-19712.705266244411</v>
      </c>
      <c r="T218">
        <f t="shared" si="963"/>
        <v>-19.712705266244413</v>
      </c>
    </row>
    <row r="219" spans="1:20" x14ac:dyDescent="0.25">
      <c r="A219" s="5">
        <v>44374</v>
      </c>
      <c r="B219">
        <v>2.3279999999999999E-2</v>
      </c>
      <c r="C219">
        <v>2.4490000000000001E-2</v>
      </c>
      <c r="D219">
        <v>2.3E-2</v>
      </c>
      <c r="E219">
        <v>2.436E-2</v>
      </c>
      <c r="F219">
        <v>29926775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0.82550335570469602</v>
      </c>
      <c r="Q219">
        <f t="shared" si="960"/>
        <v>24704653.187919404</v>
      </c>
      <c r="R219">
        <f t="shared" si="961"/>
        <v>-1990052134.6619411</v>
      </c>
      <c r="S219">
        <f t="shared" si="962"/>
        <v>-19900.521346619411</v>
      </c>
      <c r="T219">
        <f t="shared" si="963"/>
        <v>-19.90052134661941</v>
      </c>
    </row>
    <row r="220" spans="1:20" x14ac:dyDescent="0.25">
      <c r="A220" s="5">
        <v>44373</v>
      </c>
      <c r="B220">
        <v>2.368E-2</v>
      </c>
      <c r="C220">
        <v>2.478E-2</v>
      </c>
      <c r="D220">
        <v>2.1649999999999999E-2</v>
      </c>
      <c r="E220">
        <v>2.3269999999999999E-2</v>
      </c>
      <c r="F220">
        <v>33696273.5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3.5143769968050784E-2</v>
      </c>
      <c r="Q220">
        <f t="shared" si="960"/>
        <v>1184214.0846645255</v>
      </c>
      <c r="R220">
        <f t="shared" si="961"/>
        <v>-2014756787.8498604</v>
      </c>
      <c r="S220">
        <f t="shared" si="962"/>
        <v>-20147.567878498605</v>
      </c>
      <c r="T220">
        <f t="shared" si="963"/>
        <v>-20.147567878498606</v>
      </c>
    </row>
    <row r="221" spans="1:20" x14ac:dyDescent="0.25">
      <c r="A221" s="5">
        <v>44372</v>
      </c>
      <c r="B221">
        <v>2.5760000000000002E-2</v>
      </c>
      <c r="C221">
        <v>2.649E-2</v>
      </c>
      <c r="D221">
        <v>2.308E-2</v>
      </c>
      <c r="E221">
        <v>2.3699999999999999E-2</v>
      </c>
      <c r="F221">
        <v>29349687.100000001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-0.63636363636363691</v>
      </c>
      <c r="Q221">
        <f t="shared" si="960"/>
        <v>-18677073.609090924</v>
      </c>
      <c r="R221">
        <f t="shared" si="961"/>
        <v>-2015941001.934525</v>
      </c>
      <c r="S221">
        <f t="shared" si="962"/>
        <v>-20159.41001934525</v>
      </c>
      <c r="T221">
        <f t="shared" si="963"/>
        <v>-20.159410019345252</v>
      </c>
    </row>
    <row r="222" spans="1:20" x14ac:dyDescent="0.25">
      <c r="A222" s="5">
        <v>44371</v>
      </c>
      <c r="B222">
        <v>2.4819999999999998E-2</v>
      </c>
      <c r="C222">
        <v>2.7519999999999999E-2</v>
      </c>
      <c r="D222">
        <v>2.3470000000000001E-2</v>
      </c>
      <c r="E222">
        <v>2.5770000000000001E-2</v>
      </c>
      <c r="F222">
        <v>33259965.800000001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0.13580246913580299</v>
      </c>
      <c r="Q222">
        <f t="shared" si="960"/>
        <v>4516785.4790123627</v>
      </c>
      <c r="R222">
        <f t="shared" si="961"/>
        <v>-1997263928.325434</v>
      </c>
      <c r="S222">
        <f t="shared" si="962"/>
        <v>-19972.639283254339</v>
      </c>
      <c r="T222">
        <f t="shared" si="963"/>
        <v>-19.972639283254338</v>
      </c>
    </row>
    <row r="223" spans="1:20" x14ac:dyDescent="0.25">
      <c r="A223" s="5">
        <v>44370</v>
      </c>
      <c r="B223">
        <v>2.2939999999999999E-2</v>
      </c>
      <c r="C223">
        <v>2.5930000000000002E-2</v>
      </c>
      <c r="D223">
        <v>2.2339999999999999E-2</v>
      </c>
      <c r="E223">
        <v>2.4760000000000001E-2</v>
      </c>
      <c r="F223">
        <v>52226465.399999999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0.34818941504178275</v>
      </c>
      <c r="Q223">
        <f t="shared" si="960"/>
        <v>18184702.437325906</v>
      </c>
      <c r="R223">
        <f t="shared" si="961"/>
        <v>-2001780713.8044462</v>
      </c>
      <c r="S223">
        <f t="shared" si="962"/>
        <v>-20017.807138044463</v>
      </c>
      <c r="T223">
        <f t="shared" si="963"/>
        <v>-20.017807138044464</v>
      </c>
    </row>
    <row r="224" spans="1:20" x14ac:dyDescent="0.25">
      <c r="A224" s="5">
        <v>44369</v>
      </c>
      <c r="B224">
        <v>2.375E-2</v>
      </c>
      <c r="C224">
        <v>3.755E-2</v>
      </c>
      <c r="D224">
        <v>1.9939999999999999E-2</v>
      </c>
      <c r="E224">
        <v>2.299E-2</v>
      </c>
      <c r="F224">
        <v>244902858.90000001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-0.65360590573537758</v>
      </c>
      <c r="Q224">
        <f t="shared" si="960"/>
        <v>-160069954.90851787</v>
      </c>
      <c r="R224">
        <f t="shared" si="961"/>
        <v>-2019965416.2417722</v>
      </c>
      <c r="S224">
        <f t="shared" si="962"/>
        <v>-20199.654162417723</v>
      </c>
      <c r="T224">
        <f t="shared" si="963"/>
        <v>-20.199654162417723</v>
      </c>
    </row>
    <row r="225" spans="1:20" x14ac:dyDescent="0.25">
      <c r="A225" s="5">
        <v>44368</v>
      </c>
      <c r="B225">
        <v>3.1550000000000002E-2</v>
      </c>
      <c r="C225">
        <v>3.1730000000000001E-2</v>
      </c>
      <c r="D225">
        <v>2.3740000000000001E-2</v>
      </c>
      <c r="E225">
        <v>2.3800000000000002E-2</v>
      </c>
      <c r="F225">
        <v>57018186.100000001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-0.98498122653316622</v>
      </c>
      <c r="Q225">
        <f t="shared" si="960"/>
        <v>-56161842.879474334</v>
      </c>
      <c r="R225">
        <f t="shared" si="961"/>
        <v>-1859895461.3332543</v>
      </c>
      <c r="S225">
        <f t="shared" si="962"/>
        <v>-18598.954613332542</v>
      </c>
      <c r="T225">
        <f t="shared" si="963"/>
        <v>-18.598954613332541</v>
      </c>
    </row>
    <row r="226" spans="1:20" x14ac:dyDescent="0.25">
      <c r="A226" s="5">
        <v>44367</v>
      </c>
      <c r="B226">
        <v>3.2680000000000001E-2</v>
      </c>
      <c r="C226">
        <v>3.3009999999999998E-2</v>
      </c>
      <c r="D226">
        <v>3.0020000000000002E-2</v>
      </c>
      <c r="E226">
        <v>3.1530000000000002E-2</v>
      </c>
      <c r="F226">
        <v>32579712.600000001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1.0033444816055436E-2</v>
      </c>
      <c r="Q226">
        <f t="shared" si="960"/>
        <v>326886.74849504599</v>
      </c>
      <c r="R226">
        <f t="shared" si="961"/>
        <v>-1803733618.4537799</v>
      </c>
      <c r="S226">
        <f t="shared" si="962"/>
        <v>-18037.336184537799</v>
      </c>
      <c r="T226">
        <f t="shared" si="963"/>
        <v>-18.0373361845378</v>
      </c>
    </row>
    <row r="227" spans="1:20" x14ac:dyDescent="0.25">
      <c r="A227" s="5">
        <v>44366</v>
      </c>
      <c r="B227">
        <v>3.2710000000000003E-2</v>
      </c>
      <c r="C227">
        <v>3.354E-2</v>
      </c>
      <c r="D227">
        <v>3.1969999999999998E-2</v>
      </c>
      <c r="E227">
        <v>3.2689999999999997E-2</v>
      </c>
      <c r="F227">
        <v>23003638.699999999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-8.2802547770703797E-2</v>
      </c>
      <c r="Q227">
        <f t="shared" si="960"/>
        <v>-1904759.8923567606</v>
      </c>
      <c r="R227">
        <f t="shared" si="961"/>
        <v>-1804060505.202275</v>
      </c>
      <c r="S227">
        <f t="shared" si="962"/>
        <v>-18040.605052022751</v>
      </c>
      <c r="T227">
        <f t="shared" si="963"/>
        <v>-18.040605052022752</v>
      </c>
    </row>
    <row r="228" spans="1:20" x14ac:dyDescent="0.25">
      <c r="A228" s="5">
        <v>44365</v>
      </c>
      <c r="B228">
        <v>3.6290000000000003E-2</v>
      </c>
      <c r="C228">
        <v>3.6290000000000003E-2</v>
      </c>
      <c r="D228">
        <v>3.1919999999999997E-2</v>
      </c>
      <c r="E228">
        <v>3.2719999999999999E-2</v>
      </c>
      <c r="F228">
        <v>35482463.600000001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-0.63386727688787137</v>
      </c>
      <c r="Q228">
        <f t="shared" si="960"/>
        <v>-22491172.579405017</v>
      </c>
      <c r="R228">
        <f t="shared" si="961"/>
        <v>-1802155745.3099182</v>
      </c>
      <c r="S228">
        <f t="shared" si="962"/>
        <v>-18021.55745309918</v>
      </c>
      <c r="T228">
        <f t="shared" si="963"/>
        <v>-18.021557453099181</v>
      </c>
    </row>
    <row r="229" spans="1:20" x14ac:dyDescent="0.25">
      <c r="A229" s="5">
        <v>44364</v>
      </c>
      <c r="B229">
        <v>3.5880000000000002E-2</v>
      </c>
      <c r="C229">
        <v>3.8559999999999997E-2</v>
      </c>
      <c r="D229">
        <v>3.5340000000000003E-2</v>
      </c>
      <c r="E229">
        <v>3.6269999999999997E-2</v>
      </c>
      <c r="F229">
        <v>52253613.100000001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-0.42236024844720799</v>
      </c>
      <c r="Q229">
        <f t="shared" si="960"/>
        <v>-22069849.011180282</v>
      </c>
      <c r="R229">
        <f t="shared" si="961"/>
        <v>-1779664572.7305131</v>
      </c>
      <c r="S229">
        <f t="shared" si="962"/>
        <v>-17796.645727305131</v>
      </c>
      <c r="T229">
        <f t="shared" si="963"/>
        <v>-17.79664572730513</v>
      </c>
    </row>
    <row r="230" spans="1:20" x14ac:dyDescent="0.25">
      <c r="A230" s="5">
        <v>44363</v>
      </c>
      <c r="B230">
        <v>3.5770000000000003E-2</v>
      </c>
      <c r="C230">
        <v>4.2509999999999999E-2</v>
      </c>
      <c r="D230">
        <v>3.4779999999999998E-2</v>
      </c>
      <c r="E230">
        <v>3.7569999999999999E-2</v>
      </c>
      <c r="F230">
        <v>48128269.100000001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-0.27813712807244489</v>
      </c>
      <c r="Q230">
        <f t="shared" si="960"/>
        <v>-13386258.546571793</v>
      </c>
      <c r="R230">
        <f t="shared" si="961"/>
        <v>-1757594723.7193327</v>
      </c>
      <c r="S230">
        <f t="shared" si="962"/>
        <v>-17575.947237193326</v>
      </c>
      <c r="T230">
        <f t="shared" si="963"/>
        <v>-17.575947237193326</v>
      </c>
    </row>
    <row r="231" spans="1:20" x14ac:dyDescent="0.25">
      <c r="A231" s="5">
        <v>44362</v>
      </c>
      <c r="B231">
        <v>3.6760000000000001E-2</v>
      </c>
      <c r="C231">
        <v>3.6970000000000003E-2</v>
      </c>
      <c r="D231">
        <v>3.5110000000000002E-2</v>
      </c>
      <c r="E231">
        <v>3.5819999999999998E-2</v>
      </c>
      <c r="F231">
        <v>33160116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-0.23655913978495144</v>
      </c>
      <c r="Q231">
        <f t="shared" si="960"/>
        <v>-7844328.516129205</v>
      </c>
      <c r="R231">
        <f t="shared" si="961"/>
        <v>-1744208465.172761</v>
      </c>
      <c r="S231">
        <f t="shared" si="962"/>
        <v>-17442.084651727611</v>
      </c>
      <c r="T231">
        <f t="shared" si="963"/>
        <v>-17.442084651727612</v>
      </c>
    </row>
    <row r="232" spans="1:20" x14ac:dyDescent="0.25">
      <c r="A232" s="5">
        <v>44361</v>
      </c>
      <c r="B232">
        <v>3.5990000000000001E-2</v>
      </c>
      <c r="C232">
        <v>3.9260000000000003E-2</v>
      </c>
      <c r="D232">
        <v>3.4470000000000001E-2</v>
      </c>
      <c r="E232">
        <v>3.6760000000000001E-2</v>
      </c>
      <c r="F232">
        <v>50544779.700000003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-4.3841336116910594E-2</v>
      </c>
      <c r="Q232">
        <f t="shared" si="960"/>
        <v>-2215950.6757828994</v>
      </c>
      <c r="R232">
        <f t="shared" si="961"/>
        <v>-1736364136.6566317</v>
      </c>
      <c r="S232">
        <f t="shared" si="962"/>
        <v>-17363.641366566317</v>
      </c>
      <c r="T232">
        <f t="shared" si="963"/>
        <v>-17.363641366566316</v>
      </c>
    </row>
    <row r="233" spans="1:20" x14ac:dyDescent="0.25">
      <c r="A233" s="5">
        <v>44360</v>
      </c>
      <c r="B233">
        <v>3.4430000000000002E-2</v>
      </c>
      <c r="C233">
        <v>3.6240000000000001E-2</v>
      </c>
      <c r="D233">
        <v>3.3009999999999998E-2</v>
      </c>
      <c r="E233">
        <v>3.61E-2</v>
      </c>
      <c r="F233">
        <v>34205658.100000001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0.91331269349845134</v>
      </c>
      <c r="Q233">
        <f t="shared" si="960"/>
        <v>31240461.732198119</v>
      </c>
      <c r="R233">
        <f t="shared" si="961"/>
        <v>-1734148185.9808488</v>
      </c>
      <c r="S233">
        <f t="shared" si="962"/>
        <v>-17341.481859808489</v>
      </c>
      <c r="T233">
        <f t="shared" si="963"/>
        <v>-17.341481859808489</v>
      </c>
    </row>
    <row r="234" spans="1:20" x14ac:dyDescent="0.25">
      <c r="A234" s="5">
        <v>44359</v>
      </c>
      <c r="B234">
        <v>3.6729999999999999E-2</v>
      </c>
      <c r="C234">
        <v>3.6929999999999998E-2</v>
      </c>
      <c r="D234">
        <v>3.2289999999999999E-2</v>
      </c>
      <c r="E234">
        <v>3.4430000000000002E-2</v>
      </c>
      <c r="F234">
        <v>51852307.600000001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-7.7586206896550089E-2</v>
      </c>
      <c r="Q234">
        <f t="shared" si="960"/>
        <v>-4023023.8655171567</v>
      </c>
      <c r="R234">
        <f t="shared" si="961"/>
        <v>-1765388647.713047</v>
      </c>
      <c r="S234">
        <f t="shared" si="962"/>
        <v>-17653.886477130469</v>
      </c>
      <c r="T234">
        <f t="shared" si="963"/>
        <v>-17.65388647713047</v>
      </c>
    </row>
    <row r="235" spans="1:20" x14ac:dyDescent="0.25">
      <c r="A235" s="5">
        <v>44358</v>
      </c>
      <c r="B235">
        <v>4.1399999999999999E-2</v>
      </c>
      <c r="C235">
        <v>4.1459999999999997E-2</v>
      </c>
      <c r="D235">
        <v>3.585E-2</v>
      </c>
      <c r="E235">
        <v>3.6740000000000002E-2</v>
      </c>
      <c r="F235">
        <v>121713183.5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-0.68270944741532891</v>
      </c>
      <c r="Q235">
        <f t="shared" si="960"/>
        <v>-83094740.25044553</v>
      </c>
      <c r="R235">
        <f t="shared" si="961"/>
        <v>-1761365623.8475299</v>
      </c>
      <c r="S235">
        <f t="shared" si="962"/>
        <v>-17613.656238475298</v>
      </c>
      <c r="T235">
        <f t="shared" si="963"/>
        <v>-17.613656238475297</v>
      </c>
    </row>
    <row r="236" spans="1:20" x14ac:dyDescent="0.25">
      <c r="A236" s="5">
        <v>44357</v>
      </c>
      <c r="B236">
        <v>4.1169999999999998E-2</v>
      </c>
      <c r="C236">
        <v>6.0760000000000002E-2</v>
      </c>
      <c r="D236">
        <v>3.9899999999999998E-2</v>
      </c>
      <c r="E236">
        <v>4.1399999999999999E-2</v>
      </c>
      <c r="F236">
        <v>595592793.10000002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-0.85618408437200377</v>
      </c>
      <c r="Q236">
        <f t="shared" si="960"/>
        <v>-509937070.21888781</v>
      </c>
      <c r="R236">
        <f t="shared" si="961"/>
        <v>-1678270883.5970843</v>
      </c>
      <c r="S236">
        <f t="shared" si="962"/>
        <v>-16782.708835970843</v>
      </c>
      <c r="T236">
        <f t="shared" si="963"/>
        <v>-16.782708835970844</v>
      </c>
    </row>
    <row r="237" spans="1:20" x14ac:dyDescent="0.25">
      <c r="A237" s="5">
        <v>44356</v>
      </c>
      <c r="B237">
        <v>3.3119999999999997E-2</v>
      </c>
      <c r="C237">
        <v>4.4900000000000002E-2</v>
      </c>
      <c r="D237">
        <v>3.2009999999999997E-2</v>
      </c>
      <c r="E237">
        <v>4.1180000000000001E-2</v>
      </c>
      <c r="F237">
        <v>146942506.19999999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0.42280837858805281</v>
      </c>
      <c r="Q237">
        <f t="shared" si="960"/>
        <v>62128522.792086892</v>
      </c>
      <c r="R237">
        <f t="shared" si="961"/>
        <v>-1168333813.3781965</v>
      </c>
      <c r="S237">
        <f t="shared" si="962"/>
        <v>-11683.338133781965</v>
      </c>
      <c r="T237">
        <f t="shared" si="963"/>
        <v>-11.683338133781964</v>
      </c>
    </row>
    <row r="238" spans="1:20" x14ac:dyDescent="0.25">
      <c r="A238" s="5">
        <v>44355</v>
      </c>
      <c r="B238">
        <v>3.5630000000000002E-2</v>
      </c>
      <c r="C238">
        <v>3.6420000000000001E-2</v>
      </c>
      <c r="D238">
        <v>2.9829999999999999E-2</v>
      </c>
      <c r="E238">
        <v>3.313E-2</v>
      </c>
      <c r="F238">
        <v>34935650.899999999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1.5174506828527449E-3</v>
      </c>
      <c r="Q238">
        <f t="shared" si="960"/>
        <v>53013.127314110112</v>
      </c>
      <c r="R238">
        <f t="shared" si="961"/>
        <v>-1230462336.1702833</v>
      </c>
      <c r="S238">
        <f t="shared" si="962"/>
        <v>-12304.623361702834</v>
      </c>
      <c r="T238">
        <f t="shared" si="963"/>
        <v>-12.304623361702834</v>
      </c>
    </row>
    <row r="239" spans="1:20" x14ac:dyDescent="0.25">
      <c r="A239" s="5">
        <v>44354</v>
      </c>
      <c r="B239">
        <v>3.8089999999999999E-2</v>
      </c>
      <c r="C239">
        <v>3.9640000000000002E-2</v>
      </c>
      <c r="D239">
        <v>3.5389999999999998E-2</v>
      </c>
      <c r="E239">
        <v>3.56E-2</v>
      </c>
      <c r="F239">
        <v>18957424.5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-0.90117647058823447</v>
      </c>
      <c r="Q239">
        <f t="shared" si="960"/>
        <v>-17083984.902352925</v>
      </c>
      <c r="R239">
        <f t="shared" si="961"/>
        <v>-1230515349.2975974</v>
      </c>
      <c r="S239">
        <f t="shared" si="962"/>
        <v>-12305.153492975975</v>
      </c>
      <c r="T239">
        <f t="shared" si="963"/>
        <v>-12.305153492975975</v>
      </c>
    </row>
    <row r="240" spans="1:20" x14ac:dyDescent="0.25">
      <c r="A240" s="5">
        <v>44353</v>
      </c>
      <c r="B240">
        <v>3.5700000000000003E-2</v>
      </c>
      <c r="C240">
        <v>4.0169999999999997E-2</v>
      </c>
      <c r="D240">
        <v>3.569E-2</v>
      </c>
      <c r="E240">
        <v>3.8089999999999999E-2</v>
      </c>
      <c r="F240">
        <v>24457993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7.1428571428571647E-2</v>
      </c>
      <c r="Q240">
        <f t="shared" si="960"/>
        <v>1746999.5000000054</v>
      </c>
      <c r="R240">
        <f t="shared" si="961"/>
        <v>-1213431364.3952446</v>
      </c>
      <c r="S240">
        <f t="shared" si="962"/>
        <v>-12134.313643952446</v>
      </c>
      <c r="T240">
        <f t="shared" si="963"/>
        <v>-12.134313643952446</v>
      </c>
    </row>
    <row r="241" spans="1:20" x14ac:dyDescent="0.25">
      <c r="A241" s="5">
        <v>44352</v>
      </c>
      <c r="B241">
        <v>3.6900000000000002E-2</v>
      </c>
      <c r="C241">
        <v>3.7999999999999999E-2</v>
      </c>
      <c r="D241">
        <v>3.5270000000000003E-2</v>
      </c>
      <c r="E241">
        <v>3.5700000000000003E-2</v>
      </c>
      <c r="F241">
        <v>18793389.399999999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-0.68498168498168466</v>
      </c>
      <c r="Q241">
        <f t="shared" si="960"/>
        <v>-12873127.53772893</v>
      </c>
      <c r="R241">
        <f t="shared" si="961"/>
        <v>-1215178363.8952446</v>
      </c>
      <c r="S241">
        <f t="shared" si="962"/>
        <v>-12151.783638952445</v>
      </c>
      <c r="T241">
        <f t="shared" si="963"/>
        <v>-12.151783638952445</v>
      </c>
    </row>
    <row r="242" spans="1:20" x14ac:dyDescent="0.25">
      <c r="A242" s="5">
        <v>44351</v>
      </c>
      <c r="B242">
        <v>4.181E-2</v>
      </c>
      <c r="C242">
        <v>4.1860000000000001E-2</v>
      </c>
      <c r="D242">
        <v>3.594E-2</v>
      </c>
      <c r="E242">
        <v>3.6850000000000001E-2</v>
      </c>
      <c r="F242">
        <v>33154364.600000001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-0.69256756756756732</v>
      </c>
      <c r="Q242">
        <f t="shared" si="960"/>
        <v>-22961637.645270262</v>
      </c>
      <c r="R242">
        <f t="shared" si="961"/>
        <v>-1202305236.3575156</v>
      </c>
      <c r="S242">
        <f t="shared" si="962"/>
        <v>-12023.052363575156</v>
      </c>
      <c r="T242">
        <f t="shared" si="963"/>
        <v>-12.023052363575156</v>
      </c>
    </row>
    <row r="243" spans="1:20" x14ac:dyDescent="0.25">
      <c r="A243" s="5">
        <v>44350</v>
      </c>
      <c r="B243">
        <v>4.0280000000000003E-2</v>
      </c>
      <c r="C243">
        <v>4.299E-2</v>
      </c>
      <c r="D243">
        <v>3.9710000000000002E-2</v>
      </c>
      <c r="E243">
        <v>4.181E-2</v>
      </c>
      <c r="F243">
        <v>28845118.100000001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0.28048780487804809</v>
      </c>
      <c r="Q243">
        <f t="shared" si="960"/>
        <v>8090703.8573170537</v>
      </c>
      <c r="R243">
        <f t="shared" si="961"/>
        <v>-1179343598.7122452</v>
      </c>
      <c r="S243">
        <f t="shared" si="962"/>
        <v>-11793.435987122451</v>
      </c>
      <c r="T243">
        <f t="shared" si="963"/>
        <v>-11.793435987122452</v>
      </c>
    </row>
    <row r="244" spans="1:20" x14ac:dyDescent="0.25">
      <c r="A244" s="5">
        <v>44349</v>
      </c>
      <c r="B244">
        <v>3.9969999999999999E-2</v>
      </c>
      <c r="C244">
        <v>4.1459999999999997E-2</v>
      </c>
      <c r="D244">
        <v>3.8429999999999999E-2</v>
      </c>
      <c r="E244">
        <v>4.0280000000000003E-2</v>
      </c>
      <c r="F244">
        <v>21487667.300000001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0.22112211221122485</v>
      </c>
      <c r="Q244">
        <f t="shared" si="960"/>
        <v>4751398.3798680669</v>
      </c>
      <c r="R244">
        <f t="shared" si="961"/>
        <v>-1187434302.5695622</v>
      </c>
      <c r="S244">
        <f t="shared" si="962"/>
        <v>-11874.343025695622</v>
      </c>
      <c r="T244">
        <f t="shared" si="963"/>
        <v>-11.874343025695621</v>
      </c>
    </row>
    <row r="245" spans="1:20" x14ac:dyDescent="0.25">
      <c r="A245" s="5">
        <v>44348</v>
      </c>
      <c r="B245">
        <v>3.9199999999999999E-2</v>
      </c>
      <c r="C245">
        <v>4.1360000000000001E-2</v>
      </c>
      <c r="D245">
        <v>3.8769999999999999E-2</v>
      </c>
      <c r="E245">
        <v>3.9969999999999999E-2</v>
      </c>
      <c r="F245">
        <v>25787969.5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-7.3359073359074337E-2</v>
      </c>
      <c r="Q245">
        <f t="shared" si="960"/>
        <v>-1891781.5463320715</v>
      </c>
      <c r="R245">
        <f t="shared" si="961"/>
        <v>-1192185700.9494302</v>
      </c>
      <c r="S245">
        <f t="shared" si="962"/>
        <v>-11921.857009494302</v>
      </c>
      <c r="T245">
        <f t="shared" si="963"/>
        <v>-11.921857009494303</v>
      </c>
    </row>
    <row r="246" spans="1:20" x14ac:dyDescent="0.25">
      <c r="A246" s="5">
        <v>44347</v>
      </c>
      <c r="B246">
        <v>3.7159999999999999E-2</v>
      </c>
      <c r="C246">
        <v>3.9370000000000002E-2</v>
      </c>
      <c r="D246">
        <v>3.6360000000000003E-2</v>
      </c>
      <c r="E246">
        <v>3.9210000000000002E-2</v>
      </c>
      <c r="F246">
        <v>24435892.300000001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0.89368770764119565</v>
      </c>
      <c r="Q246">
        <f t="shared" si="960"/>
        <v>21838056.573754143</v>
      </c>
      <c r="R246">
        <f t="shared" si="961"/>
        <v>-1190293919.4030981</v>
      </c>
      <c r="S246">
        <f t="shared" si="962"/>
        <v>-11902.939194030982</v>
      </c>
      <c r="T246">
        <f t="shared" si="963"/>
        <v>-11.902939194030981</v>
      </c>
    </row>
    <row r="247" spans="1:20" x14ac:dyDescent="0.25">
      <c r="A247" s="5">
        <v>44346</v>
      </c>
      <c r="B247">
        <v>3.4790000000000001E-2</v>
      </c>
      <c r="C247">
        <v>0.04</v>
      </c>
      <c r="D247">
        <v>3.3349999999999998E-2</v>
      </c>
      <c r="E247">
        <v>3.7199999999999997E-2</v>
      </c>
      <c r="F247">
        <v>31096360</v>
      </c>
      <c r="G247">
        <v>0</v>
      </c>
      <c r="L247" t="s">
        <v>7</v>
      </c>
      <c r="M247" t="s">
        <v>8</v>
      </c>
      <c r="N247" t="s">
        <v>8</v>
      </c>
      <c r="P247">
        <f t="shared" si="959"/>
        <v>0.1578947368421045</v>
      </c>
      <c r="Q247">
        <f t="shared" si="960"/>
        <v>4909951.5789473448</v>
      </c>
      <c r="R247">
        <f t="shared" si="961"/>
        <v>-1212131975.9768522</v>
      </c>
      <c r="S247">
        <f t="shared" si="962"/>
        <v>-12121.319759768521</v>
      </c>
      <c r="T247">
        <f t="shared" si="963"/>
        <v>-12.121319759768522</v>
      </c>
    </row>
    <row r="248" spans="1:20" x14ac:dyDescent="0.25">
      <c r="A248" s="5">
        <v>44345</v>
      </c>
      <c r="B248">
        <v>3.6060000000000002E-2</v>
      </c>
      <c r="C248">
        <v>3.9149999999999997E-2</v>
      </c>
      <c r="D248">
        <v>3.3869999999999997E-2</v>
      </c>
      <c r="E248">
        <v>3.4779999999999998E-2</v>
      </c>
      <c r="F248">
        <v>23945686.199999999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-0.65530303030302994</v>
      </c>
      <c r="Q248">
        <f t="shared" si="960"/>
        <v>-15691680.729545446</v>
      </c>
      <c r="R248">
        <f t="shared" si="961"/>
        <v>-1217041927.5557995</v>
      </c>
      <c r="S248">
        <f t="shared" si="962"/>
        <v>-12170.419275557995</v>
      </c>
      <c r="T248">
        <f t="shared" si="963"/>
        <v>-12.170419275557995</v>
      </c>
    </row>
    <row r="249" spans="1:20" x14ac:dyDescent="0.25">
      <c r="A249" s="5">
        <v>44344</v>
      </c>
      <c r="B249">
        <v>4.2360000000000002E-2</v>
      </c>
      <c r="C249">
        <v>4.2680000000000003E-2</v>
      </c>
      <c r="D249">
        <v>3.4959999999999998E-2</v>
      </c>
      <c r="E249">
        <v>3.6060000000000002E-2</v>
      </c>
      <c r="F249">
        <v>38494726.600000001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-0.7150259067357505</v>
      </c>
      <c r="Q249">
        <f t="shared" si="960"/>
        <v>-27524726.791709814</v>
      </c>
      <c r="R249">
        <f t="shared" si="961"/>
        <v>-1201350246.8262541</v>
      </c>
      <c r="S249">
        <f t="shared" si="962"/>
        <v>-12013.502468262541</v>
      </c>
      <c r="T249">
        <f t="shared" si="963"/>
        <v>-12.013502468262541</v>
      </c>
    </row>
    <row r="250" spans="1:20" x14ac:dyDescent="0.25">
      <c r="A250" s="5">
        <v>44343</v>
      </c>
      <c r="B250">
        <v>4.3999999999999997E-2</v>
      </c>
      <c r="C250">
        <v>4.5999999999999999E-2</v>
      </c>
      <c r="D250">
        <v>3.8949999999999999E-2</v>
      </c>
      <c r="E250">
        <v>4.2360000000000002E-2</v>
      </c>
      <c r="F250">
        <v>32685122.5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-3.2624113475176464E-2</v>
      </c>
      <c r="Q250">
        <f t="shared" si="960"/>
        <v>-1066323.1453900435</v>
      </c>
      <c r="R250">
        <f t="shared" si="961"/>
        <v>-1173825520.0345442</v>
      </c>
      <c r="S250">
        <f t="shared" si="962"/>
        <v>-11738.255200345442</v>
      </c>
      <c r="T250">
        <f t="shared" si="963"/>
        <v>-11.738255200345442</v>
      </c>
    </row>
    <row r="251" spans="1:20" x14ac:dyDescent="0.25">
      <c r="A251" s="5">
        <v>44342</v>
      </c>
      <c r="B251">
        <v>4.3139999999999998E-2</v>
      </c>
      <c r="C251">
        <v>4.5260000000000002E-2</v>
      </c>
      <c r="D251">
        <v>4.0009999999999997E-2</v>
      </c>
      <c r="E251">
        <v>4.4010000000000001E-2</v>
      </c>
      <c r="F251">
        <v>30058419.5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0.52380952380952384</v>
      </c>
      <c r="Q251">
        <f t="shared" si="960"/>
        <v>15744886.404761905</v>
      </c>
      <c r="R251">
        <f t="shared" si="961"/>
        <v>-1172759196.8891542</v>
      </c>
      <c r="S251">
        <f t="shared" si="962"/>
        <v>-11727.591968891542</v>
      </c>
      <c r="T251">
        <f t="shared" si="963"/>
        <v>-11.727591968891542</v>
      </c>
    </row>
    <row r="252" spans="1:20" x14ac:dyDescent="0.25">
      <c r="A252" s="5">
        <v>44341</v>
      </c>
      <c r="B252">
        <v>3.8309999999999997E-2</v>
      </c>
      <c r="C252">
        <v>4.7E-2</v>
      </c>
      <c r="D252">
        <v>3.6400000000000002E-2</v>
      </c>
      <c r="E252">
        <v>4.274E-2</v>
      </c>
      <c r="F252">
        <v>54288132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0.19622641509433952</v>
      </c>
      <c r="Q252">
        <f t="shared" si="960"/>
        <v>10652765.524528297</v>
      </c>
      <c r="R252">
        <f t="shared" si="961"/>
        <v>-1188504083.293916</v>
      </c>
      <c r="S252">
        <f t="shared" si="962"/>
        <v>-11885.040832939159</v>
      </c>
      <c r="T252">
        <f t="shared" si="963"/>
        <v>-11.885040832939159</v>
      </c>
    </row>
    <row r="253" spans="1:20" x14ac:dyDescent="0.25">
      <c r="A253" s="5">
        <v>44340</v>
      </c>
      <c r="B253">
        <v>2.9860000000000001E-2</v>
      </c>
      <c r="C253">
        <v>3.8789999999999998E-2</v>
      </c>
      <c r="D253">
        <v>2.98E-2</v>
      </c>
      <c r="E253">
        <v>3.823E-2</v>
      </c>
      <c r="F253">
        <v>44673192.200000003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0.87541713014460554</v>
      </c>
      <c r="Q253">
        <f t="shared" si="960"/>
        <v>39107677.710122377</v>
      </c>
      <c r="R253">
        <f t="shared" si="961"/>
        <v>-1199156848.8184443</v>
      </c>
      <c r="S253">
        <f t="shared" si="962"/>
        <v>-11991.568488184443</v>
      </c>
      <c r="T253">
        <f t="shared" si="963"/>
        <v>-11.991568488184443</v>
      </c>
    </row>
    <row r="254" spans="1:20" x14ac:dyDescent="0.25">
      <c r="A254" s="5">
        <v>44339</v>
      </c>
      <c r="B254">
        <v>4.0379999999999999E-2</v>
      </c>
      <c r="C254">
        <v>4.0910000000000002E-2</v>
      </c>
      <c r="D254">
        <v>2.7119999999999998E-2</v>
      </c>
      <c r="E254">
        <v>2.9860000000000001E-2</v>
      </c>
      <c r="F254">
        <v>58038881.899999999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-0.60261058738216067</v>
      </c>
      <c r="Q254">
        <f t="shared" si="960"/>
        <v>-34974844.712762855</v>
      </c>
      <c r="R254">
        <f t="shared" si="961"/>
        <v>-1238264526.5285666</v>
      </c>
      <c r="S254">
        <f t="shared" si="962"/>
        <v>-12382.645265285666</v>
      </c>
      <c r="T254">
        <f t="shared" si="963"/>
        <v>-12.382645265285666</v>
      </c>
    </row>
    <row r="255" spans="1:20" x14ac:dyDescent="0.25">
      <c r="A255" s="5">
        <v>44338</v>
      </c>
      <c r="B255">
        <v>4.1110000000000001E-2</v>
      </c>
      <c r="C255">
        <v>4.2220000000000001E-2</v>
      </c>
      <c r="D255">
        <v>3.7449999999999997E-2</v>
      </c>
      <c r="E255">
        <v>4.0570000000000002E-2</v>
      </c>
      <c r="F255">
        <v>33400711.399999999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0.30817610062893186</v>
      </c>
      <c r="Q255">
        <f t="shared" si="960"/>
        <v>10293300.997484311</v>
      </c>
      <c r="R255">
        <f t="shared" si="961"/>
        <v>-1203289681.8158038</v>
      </c>
      <c r="S255">
        <f t="shared" si="962"/>
        <v>-12032.896818158039</v>
      </c>
      <c r="T255">
        <f t="shared" si="963"/>
        <v>-12.032896818158038</v>
      </c>
    </row>
    <row r="256" spans="1:20" x14ac:dyDescent="0.25">
      <c r="A256" s="5">
        <v>44337</v>
      </c>
      <c r="B256">
        <v>0.05</v>
      </c>
      <c r="C256">
        <v>5.246E-2</v>
      </c>
      <c r="D256">
        <v>3.814E-2</v>
      </c>
      <c r="E256">
        <v>4.1169999999999998E-2</v>
      </c>
      <c r="F256">
        <v>60761224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-0.5768156424581008</v>
      </c>
      <c r="Q256">
        <f t="shared" si="960"/>
        <v>-35048024.458100572</v>
      </c>
      <c r="R256">
        <f t="shared" si="961"/>
        <v>-1213582982.813288</v>
      </c>
      <c r="S256">
        <f t="shared" si="962"/>
        <v>-12135.829828132879</v>
      </c>
      <c r="T256">
        <f t="shared" si="963"/>
        <v>-12.135829828132879</v>
      </c>
    </row>
    <row r="257" spans="1:20" x14ac:dyDescent="0.25">
      <c r="A257" s="5">
        <v>44336</v>
      </c>
      <c r="B257">
        <v>4.8689999999999997E-2</v>
      </c>
      <c r="C257">
        <v>5.3789999999999998E-2</v>
      </c>
      <c r="D257">
        <v>4.3159999999999997E-2</v>
      </c>
      <c r="E257">
        <v>4.9959999999999997E-2</v>
      </c>
      <c r="F257">
        <v>48949343.399999999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0.27939793038570088</v>
      </c>
      <c r="Q257">
        <f t="shared" si="960"/>
        <v>13676345.239698967</v>
      </c>
      <c r="R257">
        <f t="shared" si="961"/>
        <v>-1178534958.3551874</v>
      </c>
      <c r="S257">
        <f t="shared" si="962"/>
        <v>-11785.349583551873</v>
      </c>
      <c r="T257">
        <f t="shared" si="963"/>
        <v>-11.785349583551874</v>
      </c>
    </row>
    <row r="258" spans="1:20" x14ac:dyDescent="0.25">
      <c r="A258" s="5">
        <v>44335</v>
      </c>
      <c r="B258">
        <v>7.0730000000000001E-2</v>
      </c>
      <c r="C258">
        <v>7.5999999999999998E-2</v>
      </c>
      <c r="D258">
        <v>4.301E-2</v>
      </c>
      <c r="E258">
        <v>4.8500000000000001E-2</v>
      </c>
      <c r="F258">
        <v>68418799.299999997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-0.66717187026371616</v>
      </c>
      <c r="Q258">
        <f t="shared" si="960"/>
        <v>-45647098.290178835</v>
      </c>
      <c r="R258">
        <f t="shared" si="961"/>
        <v>-1192211303.5948863</v>
      </c>
      <c r="S258">
        <f t="shared" si="962"/>
        <v>-11922.113035948863</v>
      </c>
      <c r="T258">
        <f t="shared" si="963"/>
        <v>-11.922113035948863</v>
      </c>
    </row>
    <row r="259" spans="1:20" x14ac:dyDescent="0.25">
      <c r="A259" s="5">
        <v>44334</v>
      </c>
      <c r="B259">
        <v>7.0129999999999998E-2</v>
      </c>
      <c r="C259">
        <v>7.4940000000000007E-2</v>
      </c>
      <c r="D259">
        <v>6.9000000000000006E-2</v>
      </c>
      <c r="E259">
        <v>7.0730000000000001E-2</v>
      </c>
      <c r="F259">
        <v>42589512.200000003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-0.41750841750841911</v>
      </c>
      <c r="Q259">
        <f t="shared" si="960"/>
        <v>-17781479.84107751</v>
      </c>
      <c r="R259">
        <f t="shared" si="961"/>
        <v>-1146564205.3047075</v>
      </c>
      <c r="S259">
        <f t="shared" si="962"/>
        <v>-11465.642053047075</v>
      </c>
      <c r="T259">
        <f t="shared" si="963"/>
        <v>-11.465642053047075</v>
      </c>
    </row>
    <row r="260" spans="1:20" x14ac:dyDescent="0.25">
      <c r="A260" s="5">
        <v>44333</v>
      </c>
      <c r="B260">
        <v>7.9490000000000005E-2</v>
      </c>
      <c r="C260">
        <v>0.08</v>
      </c>
      <c r="D260">
        <v>6.7000000000000004E-2</v>
      </c>
      <c r="E260">
        <v>6.9989999999999997E-2</v>
      </c>
      <c r="F260">
        <v>50428945.299999997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-0.54000000000000103</v>
      </c>
      <c r="Q260">
        <f t="shared" si="960"/>
        <v>-27231630.46200005</v>
      </c>
      <c r="R260">
        <f t="shared" si="961"/>
        <v>-1128782725.46363</v>
      </c>
      <c r="S260">
        <f t="shared" si="962"/>
        <v>-11287.8272546363</v>
      </c>
      <c r="T260">
        <f t="shared" si="963"/>
        <v>-11.2878272546363</v>
      </c>
    </row>
    <row r="261" spans="1:20" x14ac:dyDescent="0.25">
      <c r="A261" s="5">
        <v>44332</v>
      </c>
      <c r="B261">
        <v>8.3559999999999995E-2</v>
      </c>
      <c r="C261">
        <v>8.9599999999999999E-2</v>
      </c>
      <c r="D261">
        <v>7.6170000000000002E-2</v>
      </c>
      <c r="E261">
        <v>7.9490000000000005E-2</v>
      </c>
      <c r="F261">
        <v>34454005.200000003</v>
      </c>
      <c r="G261">
        <v>0</v>
      </c>
      <c r="L261" t="s">
        <v>8</v>
      </c>
      <c r="M261" t="s">
        <v>7</v>
      </c>
      <c r="N261" t="s">
        <v>7</v>
      </c>
      <c r="P261">
        <f t="shared" si="959"/>
        <v>-0.50558451228592638</v>
      </c>
      <c r="Q261">
        <f t="shared" si="960"/>
        <v>-17419411.415338773</v>
      </c>
      <c r="R261">
        <f t="shared" si="961"/>
        <v>-1101551095.0016298</v>
      </c>
      <c r="S261">
        <f t="shared" si="962"/>
        <v>-11015.510950016298</v>
      </c>
      <c r="T261">
        <f t="shared" si="963"/>
        <v>-11.015510950016298</v>
      </c>
    </row>
    <row r="262" spans="1:20" x14ac:dyDescent="0.25">
      <c r="A262" s="5">
        <v>44331</v>
      </c>
      <c r="B262">
        <v>8.6269999999999999E-2</v>
      </c>
      <c r="C262">
        <v>8.8859999999999995E-2</v>
      </c>
      <c r="D262">
        <v>8.2890000000000005E-2</v>
      </c>
      <c r="E262">
        <v>8.3589999999999998E-2</v>
      </c>
      <c r="F262">
        <v>25594729.5</v>
      </c>
      <c r="G262">
        <v>0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-0.76549413735343597</v>
      </c>
      <c r="Q262">
        <f t="shared" ref="Q262:Q325" si="965">F262*P262</f>
        <v>-19592615.379397038</v>
      </c>
      <c r="R262">
        <f t="shared" ref="R262:R325" si="966">R263+Q262</f>
        <v>-1084131683.5862911</v>
      </c>
      <c r="S262">
        <f t="shared" ref="S262:S325" si="967">R262/100000</f>
        <v>-10841.31683586291</v>
      </c>
      <c r="T262">
        <f t="shared" ref="T262:T325" si="968">S262/1000</f>
        <v>-10.84131683586291</v>
      </c>
    </row>
    <row r="263" spans="1:20" x14ac:dyDescent="0.25">
      <c r="A263" s="5">
        <v>44330</v>
      </c>
      <c r="B263">
        <v>8.8150000000000006E-2</v>
      </c>
      <c r="C263">
        <v>8.8239999999999999E-2</v>
      </c>
      <c r="D263">
        <v>8.1659999999999996E-2</v>
      </c>
      <c r="E263">
        <v>8.6269999999999999E-2</v>
      </c>
      <c r="F263">
        <v>34551679.5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0.40121580547112501</v>
      </c>
      <c r="Q263">
        <f t="shared" si="965"/>
        <v>13862679.920972658</v>
      </c>
      <c r="R263">
        <f t="shared" si="966"/>
        <v>-1064539068.206894</v>
      </c>
      <c r="S263">
        <f t="shared" si="967"/>
        <v>-10645.390682068941</v>
      </c>
      <c r="T263">
        <f t="shared" si="968"/>
        <v>-10.645390682068941</v>
      </c>
    </row>
    <row r="264" spans="1:20" x14ac:dyDescent="0.25">
      <c r="A264" s="5">
        <v>44329</v>
      </c>
      <c r="B264">
        <v>8.548E-2</v>
      </c>
      <c r="C264">
        <v>9.9979999999999999E-2</v>
      </c>
      <c r="D264">
        <v>8.1809999999999994E-2</v>
      </c>
      <c r="E264">
        <v>8.8200000000000001E-2</v>
      </c>
      <c r="F264">
        <v>49299297.299999997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-0.29664281783159002</v>
      </c>
      <c r="Q264">
        <f t="shared" si="965"/>
        <v>-14624282.468189297</v>
      </c>
      <c r="R264">
        <f t="shared" si="966"/>
        <v>-1078401748.1278667</v>
      </c>
      <c r="S264">
        <f t="shared" si="967"/>
        <v>-10784.017481278668</v>
      </c>
      <c r="T264">
        <f t="shared" si="968"/>
        <v>-10.784017481278669</v>
      </c>
    </row>
    <row r="265" spans="1:20" x14ac:dyDescent="0.25">
      <c r="A265" s="5">
        <v>44328</v>
      </c>
      <c r="B265">
        <v>9.2270000000000005E-2</v>
      </c>
      <c r="C265">
        <v>0.10349</v>
      </c>
      <c r="D265">
        <v>8.4540000000000004E-2</v>
      </c>
      <c r="E265">
        <v>8.566E-2</v>
      </c>
      <c r="F265">
        <v>43981442.799999997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-0.88179419525066005</v>
      </c>
      <c r="Q265">
        <f t="shared" si="965"/>
        <v>-38782580.959788933</v>
      </c>
      <c r="R265">
        <f t="shared" si="966"/>
        <v>-1063777465.6596774</v>
      </c>
      <c r="S265">
        <f t="shared" si="967"/>
        <v>-10637.774656596774</v>
      </c>
      <c r="T265">
        <f t="shared" si="968"/>
        <v>-10.637774656596774</v>
      </c>
    </row>
    <row r="266" spans="1:20" x14ac:dyDescent="0.25">
      <c r="A266" s="5">
        <v>44327</v>
      </c>
      <c r="B266">
        <v>8.8609999999999994E-2</v>
      </c>
      <c r="C266">
        <v>9.4100000000000003E-2</v>
      </c>
      <c r="D266">
        <v>8.6999999999999994E-2</v>
      </c>
      <c r="E266">
        <v>9.2429999999999998E-2</v>
      </c>
      <c r="F266">
        <v>26961513.5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0.52957746478873169</v>
      </c>
      <c r="Q266">
        <f t="shared" si="965"/>
        <v>14278209.966197165</v>
      </c>
      <c r="R266">
        <f t="shared" si="966"/>
        <v>-1024994884.6998885</v>
      </c>
      <c r="S266">
        <f t="shared" si="967"/>
        <v>-10249.948846998885</v>
      </c>
      <c r="T266">
        <f t="shared" si="968"/>
        <v>-10.249948846998885</v>
      </c>
    </row>
    <row r="267" spans="1:20" x14ac:dyDescent="0.25">
      <c r="A267" s="5">
        <v>44326</v>
      </c>
      <c r="B267">
        <v>9.7979999999999998E-2</v>
      </c>
      <c r="C267">
        <v>0.10143000000000001</v>
      </c>
      <c r="D267">
        <v>8.4269999999999998E-2</v>
      </c>
      <c r="E267">
        <v>8.863E-2</v>
      </c>
      <c r="F267">
        <v>46093619.5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-0.49184149184149178</v>
      </c>
      <c r="Q267">
        <f t="shared" si="965"/>
        <v>-22670754.579254076</v>
      </c>
      <c r="R267">
        <f t="shared" si="966"/>
        <v>-1039273094.6660856</v>
      </c>
      <c r="S267">
        <f t="shared" si="967"/>
        <v>-10392.730946660857</v>
      </c>
      <c r="T267">
        <f t="shared" si="968"/>
        <v>-10.392730946660857</v>
      </c>
    </row>
    <row r="268" spans="1:20" x14ac:dyDescent="0.25">
      <c r="A268" s="5">
        <v>44325</v>
      </c>
      <c r="B268">
        <v>0.10238</v>
      </c>
      <c r="C268">
        <v>0.10329000000000001</v>
      </c>
      <c r="D268">
        <v>9.6009999999999998E-2</v>
      </c>
      <c r="E268">
        <v>9.7879999999999995E-2</v>
      </c>
      <c r="F268">
        <v>40375500.5</v>
      </c>
      <c r="G268">
        <v>0</v>
      </c>
      <c r="L268" t="s">
        <v>7</v>
      </c>
      <c r="M268" t="s">
        <v>8</v>
      </c>
      <c r="N268" t="s">
        <v>7</v>
      </c>
      <c r="P268">
        <f t="shared" si="964"/>
        <v>-0.48626373626373781</v>
      </c>
      <c r="Q268">
        <f t="shared" si="965"/>
        <v>-19633141.726648413</v>
      </c>
      <c r="R268">
        <f t="shared" si="966"/>
        <v>-1016602340.0868316</v>
      </c>
      <c r="S268">
        <f t="shared" si="967"/>
        <v>-10166.023400868316</v>
      </c>
      <c r="T268">
        <f t="shared" si="968"/>
        <v>-10.166023400868317</v>
      </c>
    </row>
    <row r="269" spans="1:20" x14ac:dyDescent="0.25">
      <c r="A269" s="5">
        <v>44324</v>
      </c>
      <c r="B269">
        <v>0.10091</v>
      </c>
      <c r="C269">
        <v>0.109</v>
      </c>
      <c r="D269">
        <v>0.1</v>
      </c>
      <c r="E269">
        <v>0.10238</v>
      </c>
      <c r="F269">
        <v>46655400.399999999</v>
      </c>
      <c r="G269">
        <v>0</v>
      </c>
      <c r="L269" t="s">
        <v>7</v>
      </c>
      <c r="M269" t="s">
        <v>8</v>
      </c>
      <c r="N269" t="s">
        <v>7</v>
      </c>
      <c r="P269">
        <f t="shared" si="964"/>
        <v>-0.47111111111111226</v>
      </c>
      <c r="Q269">
        <f t="shared" si="965"/>
        <v>-21979877.521777831</v>
      </c>
      <c r="R269">
        <f t="shared" si="966"/>
        <v>-996969198.36018312</v>
      </c>
      <c r="S269">
        <f t="shared" si="967"/>
        <v>-9969.6919836018315</v>
      </c>
      <c r="T269">
        <f t="shared" si="968"/>
        <v>-9.9696919836018321</v>
      </c>
    </row>
    <row r="270" spans="1:20" x14ac:dyDescent="0.25">
      <c r="A270" s="5">
        <v>44323</v>
      </c>
      <c r="B270">
        <v>9.4159999999999994E-2</v>
      </c>
      <c r="C270">
        <v>0.109</v>
      </c>
      <c r="D270">
        <v>8.9380000000000001E-2</v>
      </c>
      <c r="E270">
        <v>0.10091</v>
      </c>
      <c r="F270">
        <v>62577451.200000003</v>
      </c>
      <c r="G270">
        <v>0</v>
      </c>
      <c r="L270" t="s">
        <v>8</v>
      </c>
      <c r="M270" t="s">
        <v>8</v>
      </c>
      <c r="N270" t="s">
        <v>7</v>
      </c>
      <c r="P270">
        <f t="shared" si="964"/>
        <v>0.17533129459734959</v>
      </c>
      <c r="Q270">
        <f t="shared" si="965"/>
        <v>10971785.531498468</v>
      </c>
      <c r="R270">
        <f t="shared" si="966"/>
        <v>-974989320.83840525</v>
      </c>
      <c r="S270">
        <f t="shared" si="967"/>
        <v>-9749.8932083840518</v>
      </c>
      <c r="T270">
        <f t="shared" si="968"/>
        <v>-9.7498932083840515</v>
      </c>
    </row>
    <row r="271" spans="1:20" x14ac:dyDescent="0.25">
      <c r="A271" s="5">
        <v>44322</v>
      </c>
      <c r="B271">
        <v>9.9339999999999998E-2</v>
      </c>
      <c r="C271">
        <v>9.9900000000000003E-2</v>
      </c>
      <c r="D271">
        <v>9.1499999999999998E-2</v>
      </c>
      <c r="E271">
        <v>9.4119999999999995E-2</v>
      </c>
      <c r="F271">
        <v>42584781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-0.37619047619047719</v>
      </c>
      <c r="Q271">
        <f t="shared" si="965"/>
        <v>-16019989.042857185</v>
      </c>
      <c r="R271">
        <f t="shared" si="966"/>
        <v>-985961106.36990368</v>
      </c>
      <c r="S271">
        <f t="shared" si="967"/>
        <v>-9859.6110636990361</v>
      </c>
      <c r="T271">
        <f t="shared" si="968"/>
        <v>-9.8596110636990364</v>
      </c>
    </row>
    <row r="272" spans="1:20" x14ac:dyDescent="0.25">
      <c r="A272" s="5">
        <v>44321</v>
      </c>
      <c r="B272">
        <v>9.3410000000000007E-2</v>
      </c>
      <c r="C272">
        <v>0.10065</v>
      </c>
      <c r="D272">
        <v>9.1929999999999998E-2</v>
      </c>
      <c r="E272">
        <v>9.9500000000000005E-2</v>
      </c>
      <c r="F272">
        <v>34852605.399999999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0.73623853211009227</v>
      </c>
      <c r="Q272">
        <f t="shared" si="965"/>
        <v>25659831.039908275</v>
      </c>
      <c r="R272">
        <f t="shared" si="966"/>
        <v>-969941117.32704651</v>
      </c>
      <c r="S272">
        <f t="shared" si="967"/>
        <v>-9699.411173270466</v>
      </c>
      <c r="T272">
        <f t="shared" si="968"/>
        <v>-9.699411173270466</v>
      </c>
    </row>
    <row r="273" spans="1:20" x14ac:dyDescent="0.25">
      <c r="A273" s="5">
        <v>44320</v>
      </c>
      <c r="B273">
        <v>0.11101999999999999</v>
      </c>
      <c r="C273">
        <v>0.11135</v>
      </c>
      <c r="D273">
        <v>9.2999999999999999E-2</v>
      </c>
      <c r="E273">
        <v>9.3560000000000004E-2</v>
      </c>
      <c r="F273">
        <v>76090990.900000006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-0.93896457765667518</v>
      </c>
      <c r="Q273">
        <f t="shared" si="965"/>
        <v>-71446745.133896425</v>
      </c>
      <c r="R273">
        <f t="shared" si="966"/>
        <v>-995600948.3669548</v>
      </c>
      <c r="S273">
        <f t="shared" si="967"/>
        <v>-9956.009483669548</v>
      </c>
      <c r="T273">
        <f t="shared" si="968"/>
        <v>-9.9560094836695487</v>
      </c>
    </row>
    <row r="274" spans="1:20" x14ac:dyDescent="0.25">
      <c r="A274" s="5">
        <v>44319</v>
      </c>
      <c r="B274">
        <v>0.12033000000000001</v>
      </c>
      <c r="C274">
        <v>0.12043</v>
      </c>
      <c r="D274">
        <v>0.11042</v>
      </c>
      <c r="E274">
        <v>0.11108999999999999</v>
      </c>
      <c r="F274">
        <v>97537283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-0.866133866133868</v>
      </c>
      <c r="Q274">
        <f t="shared" si="965"/>
        <v>-84480344.016983196</v>
      </c>
      <c r="R274">
        <f t="shared" si="966"/>
        <v>-924154203.23305833</v>
      </c>
      <c r="S274">
        <f t="shared" si="967"/>
        <v>-9241.5420323305825</v>
      </c>
      <c r="T274">
        <f t="shared" si="968"/>
        <v>-9.2415420323305817</v>
      </c>
    </row>
    <row r="275" spans="1:20" x14ac:dyDescent="0.25">
      <c r="A275" s="5">
        <v>44318</v>
      </c>
      <c r="B275">
        <v>0.11219</v>
      </c>
      <c r="C275">
        <v>0.12472</v>
      </c>
      <c r="D275">
        <v>0.10432</v>
      </c>
      <c r="E275">
        <v>0.12049</v>
      </c>
      <c r="F275">
        <v>87119528.400000006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0.58529411764705908</v>
      </c>
      <c r="Q275">
        <f t="shared" si="965"/>
        <v>50990547.504705906</v>
      </c>
      <c r="R275">
        <f t="shared" si="966"/>
        <v>-839673859.21607518</v>
      </c>
      <c r="S275">
        <f t="shared" si="967"/>
        <v>-8396.7385921607511</v>
      </c>
      <c r="T275">
        <f t="shared" si="968"/>
        <v>-8.3967385921607516</v>
      </c>
    </row>
    <row r="276" spans="1:20" x14ac:dyDescent="0.25">
      <c r="A276" s="5">
        <v>44317</v>
      </c>
      <c r="B276">
        <v>0.12017</v>
      </c>
      <c r="C276">
        <v>0.12175999999999999</v>
      </c>
      <c r="D276">
        <v>0.10846</v>
      </c>
      <c r="E276">
        <v>0.11225</v>
      </c>
      <c r="F276">
        <v>71069611.099999994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-0.43007518796992422</v>
      </c>
      <c r="Q276">
        <f t="shared" si="965"/>
        <v>-30565276.35278191</v>
      </c>
      <c r="R276">
        <f t="shared" si="966"/>
        <v>-890664406.72078109</v>
      </c>
      <c r="S276">
        <f t="shared" si="967"/>
        <v>-8906.6440672078115</v>
      </c>
      <c r="T276">
        <f t="shared" si="968"/>
        <v>-8.9066440672078109</v>
      </c>
    </row>
    <row r="277" spans="1:20" x14ac:dyDescent="0.25">
      <c r="A277" s="5">
        <v>44316</v>
      </c>
      <c r="B277">
        <v>0.11089</v>
      </c>
      <c r="C277">
        <v>0.12978000000000001</v>
      </c>
      <c r="D277">
        <v>0.10682</v>
      </c>
      <c r="E277">
        <v>0.12019000000000001</v>
      </c>
      <c r="F277">
        <v>107093272.5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0.16463414634146359</v>
      </c>
      <c r="Q277">
        <f t="shared" si="965"/>
        <v>17631209.496951237</v>
      </c>
      <c r="R277">
        <f t="shared" si="966"/>
        <v>-860099130.3679992</v>
      </c>
      <c r="S277">
        <f t="shared" si="967"/>
        <v>-8600.9913036799917</v>
      </c>
      <c r="T277">
        <f t="shared" si="968"/>
        <v>-8.6009913036799919</v>
      </c>
    </row>
    <row r="278" spans="1:20" x14ac:dyDescent="0.25">
      <c r="A278" s="5">
        <v>44315</v>
      </c>
      <c r="B278">
        <v>9.7509999999999999E-2</v>
      </c>
      <c r="C278">
        <v>0.114</v>
      </c>
      <c r="D278">
        <v>9.6100000000000005E-2</v>
      </c>
      <c r="E278">
        <v>0.11098</v>
      </c>
      <c r="F278">
        <v>185016461.90000001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0.66256983240223366</v>
      </c>
      <c r="Q278">
        <f t="shared" si="965"/>
        <v>122586326.15273726</v>
      </c>
      <c r="R278">
        <f t="shared" si="966"/>
        <v>-877730339.86495042</v>
      </c>
      <c r="S278">
        <f t="shared" si="967"/>
        <v>-8777.3033986495047</v>
      </c>
      <c r="T278">
        <f t="shared" si="968"/>
        <v>-8.7773033986495044</v>
      </c>
    </row>
    <row r="279" spans="1:20" x14ac:dyDescent="0.25">
      <c r="A279" s="5">
        <v>44314</v>
      </c>
      <c r="B279">
        <v>9.9580000000000002E-2</v>
      </c>
      <c r="C279">
        <v>0.10058</v>
      </c>
      <c r="D279">
        <v>9.0550000000000005E-2</v>
      </c>
      <c r="E279">
        <v>9.7549999999999998E-2</v>
      </c>
      <c r="F279">
        <v>156272642.40000001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0.39581256231305967</v>
      </c>
      <c r="Q279">
        <f t="shared" si="965"/>
        <v>61854675.007776491</v>
      </c>
      <c r="R279">
        <f t="shared" si="966"/>
        <v>-1000316666.0176877</v>
      </c>
      <c r="S279">
        <f t="shared" si="967"/>
        <v>-10003.166660176877</v>
      </c>
      <c r="T279">
        <f t="shared" si="968"/>
        <v>-10.003166660176877</v>
      </c>
    </row>
    <row r="280" spans="1:20" x14ac:dyDescent="0.25">
      <c r="A280" s="5">
        <v>44313</v>
      </c>
      <c r="B280">
        <v>9.7229999999999997E-2</v>
      </c>
      <c r="C280">
        <v>0.1065</v>
      </c>
      <c r="D280">
        <v>9.4E-2</v>
      </c>
      <c r="E280">
        <v>9.9580000000000002E-2</v>
      </c>
      <c r="F280">
        <v>117788768</v>
      </c>
      <c r="G280">
        <v>0</v>
      </c>
      <c r="L280" t="s">
        <v>7</v>
      </c>
      <c r="M280" t="s">
        <v>7</v>
      </c>
      <c r="N280" t="s">
        <v>8</v>
      </c>
      <c r="P280">
        <f t="shared" si="964"/>
        <v>-0.10719999999999955</v>
      </c>
      <c r="Q280">
        <f t="shared" si="965"/>
        <v>-12626955.929599946</v>
      </c>
      <c r="R280">
        <f t="shared" si="966"/>
        <v>-1062171341.0254642</v>
      </c>
      <c r="S280">
        <f t="shared" si="967"/>
        <v>-10621.713410254642</v>
      </c>
      <c r="T280">
        <f t="shared" si="968"/>
        <v>-10.621713410254642</v>
      </c>
    </row>
    <row r="281" spans="1:20" x14ac:dyDescent="0.25">
      <c r="A281" s="5">
        <v>44312</v>
      </c>
      <c r="B281">
        <v>7.4510000000000007E-2</v>
      </c>
      <c r="C281">
        <v>0.125</v>
      </c>
      <c r="D281">
        <v>7.4160000000000004E-2</v>
      </c>
      <c r="E281">
        <v>9.7070000000000004E-2</v>
      </c>
      <c r="F281">
        <v>333231433.80000001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-9.8741148701809542E-2</v>
      </c>
      <c r="Q281">
        <f t="shared" si="965"/>
        <v>-32903654.556963004</v>
      </c>
      <c r="R281">
        <f t="shared" si="966"/>
        <v>-1049544385.0958642</v>
      </c>
      <c r="S281">
        <f t="shared" si="967"/>
        <v>-10495.443850958642</v>
      </c>
      <c r="T281">
        <f t="shared" si="968"/>
        <v>-10.495443850958642</v>
      </c>
    </row>
    <row r="282" spans="1:20" x14ac:dyDescent="0.25">
      <c r="A282" s="5">
        <v>44311</v>
      </c>
      <c r="B282">
        <v>7.6160000000000005E-2</v>
      </c>
      <c r="C282">
        <v>8.0250000000000002E-2</v>
      </c>
      <c r="D282">
        <v>7.281E-2</v>
      </c>
      <c r="E282">
        <v>7.4649999999999994E-2</v>
      </c>
      <c r="F282">
        <v>402853323</v>
      </c>
      <c r="G282">
        <v>0</v>
      </c>
      <c r="L282" t="s">
        <v>7</v>
      </c>
      <c r="M282" t="s">
        <v>8</v>
      </c>
      <c r="N282" t="s">
        <v>8</v>
      </c>
      <c r="P282">
        <f t="shared" si="964"/>
        <v>-0.50537634408602317</v>
      </c>
      <c r="Q282">
        <f t="shared" si="965"/>
        <v>-203592539.58064583</v>
      </c>
      <c r="R282">
        <f t="shared" si="966"/>
        <v>-1016640730.5389012</v>
      </c>
      <c r="S282">
        <f t="shared" si="967"/>
        <v>-10166.407305389012</v>
      </c>
      <c r="T282">
        <f t="shared" si="968"/>
        <v>-10.166407305389011</v>
      </c>
    </row>
    <row r="283" spans="1:20" x14ac:dyDescent="0.25">
      <c r="A283" s="5">
        <v>44310</v>
      </c>
      <c r="B283">
        <v>8.158E-2</v>
      </c>
      <c r="C283">
        <v>8.5209999999999994E-2</v>
      </c>
      <c r="D283">
        <v>7.3279999999999998E-2</v>
      </c>
      <c r="E283">
        <v>7.6139999999999999E-2</v>
      </c>
      <c r="F283">
        <v>428740123.80000001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-0.52053646269907761</v>
      </c>
      <c r="Q283">
        <f t="shared" si="965"/>
        <v>-223174867.46001661</v>
      </c>
      <c r="R283">
        <f t="shared" si="966"/>
        <v>-813048190.95825541</v>
      </c>
      <c r="S283">
        <f t="shared" si="967"/>
        <v>-8130.4819095825542</v>
      </c>
      <c r="T283">
        <f t="shared" si="968"/>
        <v>-8.1304819095825547</v>
      </c>
    </row>
    <row r="284" spans="1:20" x14ac:dyDescent="0.25">
      <c r="A284" s="5">
        <v>44309</v>
      </c>
      <c r="B284">
        <v>8.7279999999999996E-2</v>
      </c>
      <c r="C284">
        <v>8.906E-2</v>
      </c>
      <c r="D284">
        <v>5.9330000000000001E-2</v>
      </c>
      <c r="E284">
        <v>8.158E-2</v>
      </c>
      <c r="F284">
        <v>257623118.80000001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0.49680457450386811</v>
      </c>
      <c r="Q284">
        <f t="shared" si="965"/>
        <v>127988343.91779347</v>
      </c>
      <c r="R284">
        <f t="shared" si="966"/>
        <v>-589873323.4982388</v>
      </c>
      <c r="S284">
        <f t="shared" si="967"/>
        <v>-5898.7332349823882</v>
      </c>
      <c r="T284">
        <f t="shared" si="968"/>
        <v>-5.8987332349823882</v>
      </c>
    </row>
    <row r="285" spans="1:20" x14ac:dyDescent="0.25">
      <c r="A285" s="5">
        <v>44308</v>
      </c>
      <c r="B285">
        <v>0.10643</v>
      </c>
      <c r="C285">
        <v>0.10836</v>
      </c>
      <c r="D285">
        <v>8.7120000000000003E-2</v>
      </c>
      <c r="E285">
        <v>8.7540000000000007E-2</v>
      </c>
      <c r="F285">
        <v>139490425.5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-0.96045197740112953</v>
      </c>
      <c r="Q285">
        <f t="shared" si="965"/>
        <v>-133973854.99999994</v>
      </c>
      <c r="R285">
        <f t="shared" si="966"/>
        <v>-717861667.41603231</v>
      </c>
      <c r="S285">
        <f t="shared" si="967"/>
        <v>-7178.6166741603229</v>
      </c>
      <c r="T285">
        <f t="shared" si="968"/>
        <v>-7.178616674160323</v>
      </c>
    </row>
    <row r="286" spans="1:20" x14ac:dyDescent="0.25">
      <c r="A286" s="5">
        <v>44307</v>
      </c>
      <c r="B286">
        <v>9.7549999999999998E-2</v>
      </c>
      <c r="C286">
        <v>0.12956000000000001</v>
      </c>
      <c r="D286">
        <v>9.6540000000000001E-2</v>
      </c>
      <c r="E286">
        <v>0.10662000000000001</v>
      </c>
      <c r="F286">
        <v>153312277.90000001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-0.38946093276801919</v>
      </c>
      <c r="Q286">
        <f t="shared" si="965"/>
        <v>-59709142.755723774</v>
      </c>
      <c r="R286">
        <f t="shared" si="966"/>
        <v>-583887812.41603243</v>
      </c>
      <c r="S286">
        <f t="shared" si="967"/>
        <v>-5838.8781241603247</v>
      </c>
      <c r="T286">
        <f t="shared" si="968"/>
        <v>-5.8388781241603249</v>
      </c>
    </row>
    <row r="287" spans="1:20" x14ac:dyDescent="0.25">
      <c r="A287" s="5">
        <v>44306</v>
      </c>
      <c r="B287">
        <v>9.6070000000000003E-2</v>
      </c>
      <c r="C287">
        <v>9.819E-2</v>
      </c>
      <c r="D287">
        <v>8.8880000000000001E-2</v>
      </c>
      <c r="E287">
        <v>9.7199999999999995E-2</v>
      </c>
      <c r="F287">
        <v>61620885.700000003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0.78732545649838781</v>
      </c>
      <c r="Q287">
        <f t="shared" si="965"/>
        <v>48515691.963587478</v>
      </c>
      <c r="R287">
        <f t="shared" si="966"/>
        <v>-524178669.66030866</v>
      </c>
      <c r="S287">
        <f t="shared" si="967"/>
        <v>-5241.786696603087</v>
      </c>
      <c r="T287">
        <f t="shared" si="968"/>
        <v>-5.2417866966030866</v>
      </c>
    </row>
    <row r="288" spans="1:20" x14ac:dyDescent="0.25">
      <c r="A288" s="5">
        <v>44305</v>
      </c>
      <c r="B288">
        <v>0.10899</v>
      </c>
      <c r="C288">
        <v>0.10954</v>
      </c>
      <c r="D288">
        <v>9.2420000000000002E-2</v>
      </c>
      <c r="E288">
        <v>9.604E-2</v>
      </c>
      <c r="F288">
        <v>152879175.19999999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-0.5771028037383179</v>
      </c>
      <c r="Q288">
        <f t="shared" si="965"/>
        <v>-88227000.641121507</v>
      </c>
      <c r="R288">
        <f t="shared" si="966"/>
        <v>-572694361.62389612</v>
      </c>
      <c r="S288">
        <f t="shared" si="967"/>
        <v>-5726.9436162389611</v>
      </c>
      <c r="T288">
        <f t="shared" si="968"/>
        <v>-5.7269436162389615</v>
      </c>
    </row>
    <row r="289" spans="1:20" x14ac:dyDescent="0.25">
      <c r="A289" s="5">
        <v>44304</v>
      </c>
      <c r="B289">
        <v>0.11189</v>
      </c>
      <c r="C289">
        <v>0.11269999999999999</v>
      </c>
      <c r="D289">
        <v>8.5000000000000006E-2</v>
      </c>
      <c r="E289">
        <v>0.10909000000000001</v>
      </c>
      <c r="F289">
        <v>292512744.39999998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0.7393501805054159</v>
      </c>
      <c r="Q289">
        <f t="shared" si="965"/>
        <v>216269350.37227458</v>
      </c>
      <c r="R289">
        <f t="shared" si="966"/>
        <v>-484467360.98277456</v>
      </c>
      <c r="S289">
        <f t="shared" si="967"/>
        <v>-4844.6736098277452</v>
      </c>
      <c r="T289">
        <f t="shared" si="968"/>
        <v>-4.844673609827745</v>
      </c>
    </row>
    <row r="290" spans="1:20" x14ac:dyDescent="0.25">
      <c r="A290" s="5">
        <v>44303</v>
      </c>
      <c r="B290">
        <v>0.11554</v>
      </c>
      <c r="C290">
        <v>0.122</v>
      </c>
      <c r="D290">
        <v>0.10989</v>
      </c>
      <c r="E290">
        <v>0.11146</v>
      </c>
      <c r="F290">
        <v>128630463.59999999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-0.74071015689512754</v>
      </c>
      <c r="Q290">
        <f t="shared" si="965"/>
        <v>-95277890.874648988</v>
      </c>
      <c r="R290">
        <f t="shared" si="966"/>
        <v>-700736711.35504913</v>
      </c>
      <c r="S290">
        <f t="shared" si="967"/>
        <v>-7007.367113550491</v>
      </c>
      <c r="T290">
        <f t="shared" si="968"/>
        <v>-7.0073671135504911</v>
      </c>
    </row>
    <row r="291" spans="1:20" x14ac:dyDescent="0.25">
      <c r="A291" s="5">
        <v>44302</v>
      </c>
      <c r="B291">
        <v>0.13261999999999999</v>
      </c>
      <c r="C291">
        <v>0.13502</v>
      </c>
      <c r="D291">
        <v>0.11172</v>
      </c>
      <c r="E291">
        <v>0.11521000000000001</v>
      </c>
      <c r="F291">
        <v>167217531.19999999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-0.70042918454935565</v>
      </c>
      <c r="Q291">
        <f t="shared" si="965"/>
        <v>-117124039.02077243</v>
      </c>
      <c r="R291">
        <f t="shared" si="966"/>
        <v>-605458820.4804002</v>
      </c>
      <c r="S291">
        <f t="shared" si="967"/>
        <v>-6054.5882048040021</v>
      </c>
      <c r="T291">
        <f t="shared" si="968"/>
        <v>-6.0545882048040021</v>
      </c>
    </row>
    <row r="292" spans="1:20" x14ac:dyDescent="0.25">
      <c r="A292" s="5">
        <v>44301</v>
      </c>
      <c r="B292">
        <v>0.12998000000000001</v>
      </c>
      <c r="C292">
        <v>0.13700000000000001</v>
      </c>
      <c r="D292">
        <v>0.1198</v>
      </c>
      <c r="E292">
        <v>0.13261999999999999</v>
      </c>
      <c r="F292">
        <v>176628876.5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0.49069767441860224</v>
      </c>
      <c r="Q292">
        <f t="shared" si="965"/>
        <v>86671378.933720499</v>
      </c>
      <c r="R292">
        <f t="shared" si="966"/>
        <v>-488334781.45962775</v>
      </c>
      <c r="S292">
        <f t="shared" si="967"/>
        <v>-4883.3478145962772</v>
      </c>
      <c r="T292">
        <f t="shared" si="968"/>
        <v>-4.8833478145962772</v>
      </c>
    </row>
    <row r="293" spans="1:20" x14ac:dyDescent="0.25">
      <c r="A293" s="5">
        <v>44300</v>
      </c>
      <c r="B293">
        <v>0.14177999999999999</v>
      </c>
      <c r="C293">
        <v>0.14232</v>
      </c>
      <c r="D293">
        <v>0.1234</v>
      </c>
      <c r="E293">
        <v>0.12969</v>
      </c>
      <c r="F293">
        <v>326077144.60000002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-0.33509513742071861</v>
      </c>
      <c r="Q293">
        <f t="shared" si="965"/>
        <v>-109266865.57949254</v>
      </c>
      <c r="R293">
        <f t="shared" si="966"/>
        <v>-575006160.39334822</v>
      </c>
      <c r="S293">
        <f t="shared" si="967"/>
        <v>-5750.0616039334818</v>
      </c>
      <c r="T293">
        <f t="shared" si="968"/>
        <v>-5.7500616039334815</v>
      </c>
    </row>
    <row r="294" spans="1:20" x14ac:dyDescent="0.25">
      <c r="A294" s="5">
        <v>44299</v>
      </c>
      <c r="B294">
        <v>0.15301000000000001</v>
      </c>
      <c r="C294">
        <v>0.16744000000000001</v>
      </c>
      <c r="D294">
        <v>0.12959999999999999</v>
      </c>
      <c r="E294">
        <v>0.14158999999999999</v>
      </c>
      <c r="F294">
        <v>353478578.89999998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-0.36627906976744201</v>
      </c>
      <c r="Q294">
        <f t="shared" si="965"/>
        <v>-129471805.06220935</v>
      </c>
      <c r="R294">
        <f t="shared" si="966"/>
        <v>-465739294.81385571</v>
      </c>
      <c r="S294">
        <f t="shared" si="967"/>
        <v>-4657.3929481385567</v>
      </c>
      <c r="T294">
        <f t="shared" si="968"/>
        <v>-4.6573929481385568</v>
      </c>
    </row>
    <row r="295" spans="1:20" x14ac:dyDescent="0.25">
      <c r="A295" s="5">
        <v>44298</v>
      </c>
      <c r="B295">
        <v>0.13073000000000001</v>
      </c>
      <c r="C295">
        <v>0.17</v>
      </c>
      <c r="D295">
        <v>0.1305</v>
      </c>
      <c r="E295">
        <v>0.15315999999999999</v>
      </c>
      <c r="F295">
        <v>310738102.60000002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0.14734177215189781</v>
      </c>
      <c r="Q295">
        <f t="shared" si="965"/>
        <v>45784702.712202251</v>
      </c>
      <c r="R295">
        <f t="shared" si="966"/>
        <v>-336267489.75164634</v>
      </c>
      <c r="S295">
        <f t="shared" si="967"/>
        <v>-3362.6748975164633</v>
      </c>
      <c r="T295">
        <f t="shared" si="968"/>
        <v>-3.3626748975164631</v>
      </c>
    </row>
    <row r="296" spans="1:20" x14ac:dyDescent="0.25">
      <c r="A296" s="5">
        <v>44297</v>
      </c>
      <c r="B296">
        <v>0.11627999999999999</v>
      </c>
      <c r="C296">
        <v>0.14391000000000001</v>
      </c>
      <c r="D296">
        <v>0.11111</v>
      </c>
      <c r="E296">
        <v>0.13073000000000001</v>
      </c>
      <c r="F296">
        <v>112054388.90000001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0.19634146341463454</v>
      </c>
      <c r="Q296">
        <f t="shared" si="965"/>
        <v>22000922.698658582</v>
      </c>
      <c r="R296">
        <f t="shared" si="966"/>
        <v>-382052192.46384859</v>
      </c>
      <c r="S296">
        <f t="shared" si="967"/>
        <v>-3820.5219246384859</v>
      </c>
      <c r="T296">
        <f t="shared" si="968"/>
        <v>-3.8205219246384861</v>
      </c>
    </row>
    <row r="297" spans="1:20" x14ac:dyDescent="0.25">
      <c r="A297" s="5">
        <v>44296</v>
      </c>
      <c r="B297">
        <v>0.13267999999999999</v>
      </c>
      <c r="C297">
        <v>0.14568999999999999</v>
      </c>
      <c r="D297">
        <v>0.10919</v>
      </c>
      <c r="E297">
        <v>0.11612</v>
      </c>
      <c r="F297">
        <v>189778925.80000001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-0.62027397260273931</v>
      </c>
      <c r="Q297">
        <f t="shared" si="965"/>
        <v>-117714928.2222465</v>
      </c>
      <c r="R297">
        <f t="shared" si="966"/>
        <v>-404053115.16250718</v>
      </c>
      <c r="S297">
        <f t="shared" si="967"/>
        <v>-4040.5311516250717</v>
      </c>
      <c r="T297">
        <f t="shared" si="968"/>
        <v>-4.0405311516250721</v>
      </c>
    </row>
    <row r="298" spans="1:20" x14ac:dyDescent="0.25">
      <c r="A298" s="5">
        <v>44295</v>
      </c>
      <c r="B298">
        <v>8.473E-2</v>
      </c>
      <c r="C298">
        <v>0.14194999999999999</v>
      </c>
      <c r="D298">
        <v>8.4659999999999999E-2</v>
      </c>
      <c r="E298">
        <v>0.13239999999999999</v>
      </c>
      <c r="F298">
        <v>280479269.19999999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0.66660848315587351</v>
      </c>
      <c r="Q298">
        <f t="shared" si="965"/>
        <v>186969860.19807991</v>
      </c>
      <c r="R298">
        <f t="shared" si="966"/>
        <v>-286338186.94026065</v>
      </c>
      <c r="S298">
        <f t="shared" si="967"/>
        <v>-2863.3818694026063</v>
      </c>
      <c r="T298">
        <f t="shared" si="968"/>
        <v>-2.8633818694026063</v>
      </c>
    </row>
    <row r="299" spans="1:20" x14ac:dyDescent="0.25">
      <c r="A299" s="5">
        <v>44294</v>
      </c>
      <c r="B299">
        <v>7.5109999999999996E-2</v>
      </c>
      <c r="C299">
        <v>8.5169999999999996E-2</v>
      </c>
      <c r="D299">
        <v>7.4249999999999997E-2</v>
      </c>
      <c r="E299">
        <v>8.473E-2</v>
      </c>
      <c r="F299">
        <v>182027720.09999999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0.91941391941392014</v>
      </c>
      <c r="Q299">
        <f t="shared" si="965"/>
        <v>167358819.57912099</v>
      </c>
      <c r="R299">
        <f t="shared" si="966"/>
        <v>-473308047.13834059</v>
      </c>
      <c r="S299">
        <f t="shared" si="967"/>
        <v>-4733.0804713834059</v>
      </c>
      <c r="T299">
        <f t="shared" si="968"/>
        <v>-4.7330804713834063</v>
      </c>
    </row>
    <row r="300" spans="1:20" x14ac:dyDescent="0.25">
      <c r="A300" s="5">
        <v>44293</v>
      </c>
      <c r="B300">
        <v>8.115E-2</v>
      </c>
      <c r="C300">
        <v>8.2559999999999995E-2</v>
      </c>
      <c r="D300">
        <v>6.9699999999999998E-2</v>
      </c>
      <c r="E300">
        <v>7.5109999999999996E-2</v>
      </c>
      <c r="F300">
        <v>72413794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-0.15863141524105759</v>
      </c>
      <c r="Q300">
        <f t="shared" si="965"/>
        <v>-11487102.625194404</v>
      </c>
      <c r="R300">
        <f t="shared" si="966"/>
        <v>-640666866.71746159</v>
      </c>
      <c r="S300">
        <f t="shared" si="967"/>
        <v>-6406.6686671746156</v>
      </c>
      <c r="T300">
        <f t="shared" si="968"/>
        <v>-6.4066686671746158</v>
      </c>
    </row>
    <row r="301" spans="1:20" x14ac:dyDescent="0.25">
      <c r="A301" s="5">
        <v>44292</v>
      </c>
      <c r="B301">
        <v>8.4290000000000004E-2</v>
      </c>
      <c r="C301">
        <v>8.6379999999999998E-2</v>
      </c>
      <c r="D301">
        <v>7.8570000000000001E-2</v>
      </c>
      <c r="E301">
        <v>8.1140000000000004E-2</v>
      </c>
      <c r="F301">
        <v>36676333.299999997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-0.34186939820742546</v>
      </c>
      <c r="Q301">
        <f t="shared" si="965"/>
        <v>-12538515.993725957</v>
      </c>
      <c r="R301">
        <f t="shared" si="966"/>
        <v>-629179764.09226716</v>
      </c>
      <c r="S301">
        <f t="shared" si="967"/>
        <v>-6291.7976409226712</v>
      </c>
      <c r="T301">
        <f t="shared" si="968"/>
        <v>-6.2917976409226712</v>
      </c>
    </row>
    <row r="302" spans="1:20" x14ac:dyDescent="0.25">
      <c r="A302" s="5">
        <v>44291</v>
      </c>
      <c r="B302">
        <v>8.8959999999999997E-2</v>
      </c>
      <c r="C302">
        <v>9.2280000000000001E-2</v>
      </c>
      <c r="D302">
        <v>8.3970000000000003E-2</v>
      </c>
      <c r="E302">
        <v>8.405E-2</v>
      </c>
      <c r="F302">
        <v>112410465.8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-0.98074608904933891</v>
      </c>
      <c r="Q302">
        <f t="shared" si="965"/>
        <v>-110246124.70156446</v>
      </c>
      <c r="R302">
        <f t="shared" si="966"/>
        <v>-616641248.09854114</v>
      </c>
      <c r="S302">
        <f t="shared" si="967"/>
        <v>-6166.4124809854111</v>
      </c>
      <c r="T302">
        <f t="shared" si="968"/>
        <v>-6.1664124809854108</v>
      </c>
    </row>
    <row r="303" spans="1:20" x14ac:dyDescent="0.25">
      <c r="A303" s="5">
        <v>44290</v>
      </c>
      <c r="B303">
        <v>7.7469999999999997E-2</v>
      </c>
      <c r="C303">
        <v>9.1499999999999998E-2</v>
      </c>
      <c r="D303">
        <v>7.6100000000000001E-2</v>
      </c>
      <c r="E303">
        <v>8.9179999999999995E-2</v>
      </c>
      <c r="F303">
        <v>70558348.599999994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0.69870129870129827</v>
      </c>
      <c r="Q303">
        <f t="shared" si="965"/>
        <v>49299209.801038928</v>
      </c>
      <c r="R303">
        <f t="shared" si="966"/>
        <v>-506395123.39697665</v>
      </c>
      <c r="S303">
        <f t="shared" si="967"/>
        <v>-5063.9512339697667</v>
      </c>
      <c r="T303">
        <f t="shared" si="968"/>
        <v>-5.0639512339697665</v>
      </c>
    </row>
    <row r="304" spans="1:20" x14ac:dyDescent="0.25">
      <c r="A304" s="5">
        <v>44289</v>
      </c>
      <c r="B304">
        <v>8.4239999999999995E-2</v>
      </c>
      <c r="C304">
        <v>8.4739999999999996E-2</v>
      </c>
      <c r="D304">
        <v>7.7439999999999995E-2</v>
      </c>
      <c r="E304">
        <v>7.7619999999999995E-2</v>
      </c>
      <c r="F304">
        <v>70362584.099999994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-0.95068493150684941</v>
      </c>
      <c r="Q304">
        <f t="shared" si="965"/>
        <v>-66892648.445753425</v>
      </c>
      <c r="R304">
        <f t="shared" si="966"/>
        <v>-555694333.19801557</v>
      </c>
      <c r="S304">
        <f t="shared" si="967"/>
        <v>-5556.9433319801556</v>
      </c>
      <c r="T304">
        <f t="shared" si="968"/>
        <v>-5.5569433319801558</v>
      </c>
    </row>
    <row r="305" spans="1:20" x14ac:dyDescent="0.25">
      <c r="A305" s="5">
        <v>44288</v>
      </c>
      <c r="B305">
        <v>9.8989999999999995E-2</v>
      </c>
      <c r="C305">
        <v>0.10011</v>
      </c>
      <c r="D305">
        <v>8.3119999999999999E-2</v>
      </c>
      <c r="E305">
        <v>8.4080000000000002E-2</v>
      </c>
      <c r="F305">
        <v>188331004.40000001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-0.88699234844025876</v>
      </c>
      <c r="Q305">
        <f t="shared" si="965"/>
        <v>-167048159.87686872</v>
      </c>
      <c r="R305">
        <f t="shared" si="966"/>
        <v>-488801684.75226212</v>
      </c>
      <c r="S305">
        <f t="shared" si="967"/>
        <v>-4888.016847522621</v>
      </c>
      <c r="T305">
        <f t="shared" si="968"/>
        <v>-4.8880168475226213</v>
      </c>
    </row>
    <row r="306" spans="1:20" x14ac:dyDescent="0.25">
      <c r="A306" s="5">
        <v>44287</v>
      </c>
      <c r="B306">
        <v>9.289E-2</v>
      </c>
      <c r="C306">
        <v>0.105</v>
      </c>
      <c r="D306">
        <v>9.2799999999999994E-2</v>
      </c>
      <c r="E306">
        <v>9.8979999999999999E-2</v>
      </c>
      <c r="F306">
        <v>258702272.69999999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1.3114754098361256E-2</v>
      </c>
      <c r="Q306">
        <f t="shared" si="965"/>
        <v>3392816.6911476962</v>
      </c>
      <c r="R306">
        <f t="shared" si="966"/>
        <v>-321753524.87539339</v>
      </c>
      <c r="S306">
        <f t="shared" si="967"/>
        <v>-3217.535248753934</v>
      </c>
      <c r="T306">
        <f t="shared" si="968"/>
        <v>-3.2175352487539342</v>
      </c>
    </row>
    <row r="307" spans="1:20" x14ac:dyDescent="0.25">
      <c r="A307" s="5">
        <v>44286</v>
      </c>
      <c r="B307">
        <v>9.017E-2</v>
      </c>
      <c r="C307">
        <v>9.5990000000000006E-2</v>
      </c>
      <c r="D307">
        <v>8.6010000000000003E-2</v>
      </c>
      <c r="E307">
        <v>9.2880000000000004E-2</v>
      </c>
      <c r="F307">
        <v>319661940.39999998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0.37675350701402788</v>
      </c>
      <c r="Q307">
        <f t="shared" si="965"/>
        <v>120433757.10460915</v>
      </c>
      <c r="R307">
        <f t="shared" si="966"/>
        <v>-325146341.56654108</v>
      </c>
      <c r="S307">
        <f t="shared" si="967"/>
        <v>-3251.4634156654106</v>
      </c>
      <c r="T307">
        <f t="shared" si="968"/>
        <v>-3.2514634156654107</v>
      </c>
    </row>
    <row r="308" spans="1:20" x14ac:dyDescent="0.25">
      <c r="A308" s="5">
        <v>44285</v>
      </c>
      <c r="B308">
        <v>7.9100000000000004E-2</v>
      </c>
      <c r="C308">
        <v>9.3060000000000004E-2</v>
      </c>
      <c r="D308">
        <v>7.9100000000000004E-2</v>
      </c>
      <c r="E308">
        <v>9.0149999999999994E-2</v>
      </c>
      <c r="F308">
        <v>307515005.30000001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0.58309455587392411</v>
      </c>
      <c r="Q308">
        <f t="shared" si="965"/>
        <v>179310325.43997094</v>
      </c>
      <c r="R308">
        <f t="shared" si="966"/>
        <v>-445580098.67115021</v>
      </c>
      <c r="S308">
        <f t="shared" si="967"/>
        <v>-4455.8009867115024</v>
      </c>
      <c r="T308">
        <f t="shared" si="968"/>
        <v>-4.4558009867115027</v>
      </c>
    </row>
    <row r="309" spans="1:20" x14ac:dyDescent="0.25">
      <c r="A309" s="5">
        <v>44284</v>
      </c>
      <c r="B309">
        <v>6.8190000000000001E-2</v>
      </c>
      <c r="C309">
        <v>7.9890000000000003E-2</v>
      </c>
      <c r="D309">
        <v>6.794E-2</v>
      </c>
      <c r="E309">
        <v>7.9100000000000004E-2</v>
      </c>
      <c r="F309">
        <v>228568278.59999999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0.86778242677824291</v>
      </c>
      <c r="Q309">
        <f t="shared" si="965"/>
        <v>198347535.48803353</v>
      </c>
      <c r="R309">
        <f t="shared" si="966"/>
        <v>-624890424.11112118</v>
      </c>
      <c r="S309">
        <f t="shared" si="967"/>
        <v>-6248.9042411112114</v>
      </c>
      <c r="T309">
        <f t="shared" si="968"/>
        <v>-6.2489042411112115</v>
      </c>
    </row>
    <row r="310" spans="1:20" x14ac:dyDescent="0.25">
      <c r="A310" s="5">
        <v>44283</v>
      </c>
      <c r="B310">
        <v>7.1790000000000007E-2</v>
      </c>
      <c r="C310">
        <v>7.6100000000000001E-2</v>
      </c>
      <c r="D310">
        <v>6.7610000000000003E-2</v>
      </c>
      <c r="E310">
        <v>6.8190000000000001E-2</v>
      </c>
      <c r="F310">
        <v>152206154.59999999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-0.86336866902237985</v>
      </c>
      <c r="Q310">
        <f t="shared" si="965"/>
        <v>-131410025.11401658</v>
      </c>
      <c r="R310">
        <f t="shared" si="966"/>
        <v>-823237959.59915471</v>
      </c>
      <c r="S310">
        <f t="shared" si="967"/>
        <v>-8232.3795959915478</v>
      </c>
      <c r="T310">
        <f t="shared" si="968"/>
        <v>-8.2323795959915476</v>
      </c>
    </row>
    <row r="311" spans="1:20" x14ac:dyDescent="0.25">
      <c r="A311" s="5">
        <v>44282</v>
      </c>
      <c r="B311">
        <v>6.3640000000000002E-2</v>
      </c>
      <c r="C311">
        <v>7.8700000000000006E-2</v>
      </c>
      <c r="D311">
        <v>6.3500000000000001E-2</v>
      </c>
      <c r="E311">
        <v>7.213E-2</v>
      </c>
      <c r="F311">
        <v>156353264.5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0.13552631578947313</v>
      </c>
      <c r="Q311">
        <f t="shared" si="965"/>
        <v>21189981.899342019</v>
      </c>
      <c r="R311">
        <f t="shared" si="966"/>
        <v>-691827934.48513818</v>
      </c>
      <c r="S311">
        <f t="shared" si="967"/>
        <v>-6918.2793448513821</v>
      </c>
      <c r="T311">
        <f t="shared" si="968"/>
        <v>-6.9182793448513822</v>
      </c>
    </row>
    <row r="312" spans="1:20" x14ac:dyDescent="0.25">
      <c r="A312" s="5">
        <v>44281</v>
      </c>
      <c r="B312">
        <v>5.6529999999999997E-2</v>
      </c>
      <c r="C312">
        <v>6.3640000000000002E-2</v>
      </c>
      <c r="D312">
        <v>5.6189999999999997E-2</v>
      </c>
      <c r="E312">
        <v>6.3259999999999997E-2</v>
      </c>
      <c r="F312">
        <v>34156306.700000003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0.89798657718120667</v>
      </c>
      <c r="Q312">
        <f t="shared" si="965"/>
        <v>30671904.94268452</v>
      </c>
      <c r="R312">
        <f t="shared" si="966"/>
        <v>-713017916.38448024</v>
      </c>
      <c r="S312">
        <f t="shared" si="967"/>
        <v>-7130.1791638448021</v>
      </c>
      <c r="T312">
        <f t="shared" si="968"/>
        <v>-7.1301791638448018</v>
      </c>
    </row>
    <row r="313" spans="1:20" x14ac:dyDescent="0.25">
      <c r="A313" s="5">
        <v>44280</v>
      </c>
      <c r="B313">
        <v>5.7250000000000002E-2</v>
      </c>
      <c r="C313">
        <v>6.1519999999999998E-2</v>
      </c>
      <c r="D313">
        <v>5.3449999999999998E-2</v>
      </c>
      <c r="E313">
        <v>5.6500000000000002E-2</v>
      </c>
      <c r="F313">
        <v>53174191.600000001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-0.2441140024783138</v>
      </c>
      <c r="Q313">
        <f t="shared" si="965"/>
        <v>-12980564.740024732</v>
      </c>
      <c r="R313">
        <f t="shared" si="966"/>
        <v>-743689821.32716477</v>
      </c>
      <c r="S313">
        <f t="shared" si="967"/>
        <v>-7436.8982132716474</v>
      </c>
      <c r="T313">
        <f t="shared" si="968"/>
        <v>-7.4368982132716477</v>
      </c>
    </row>
    <row r="314" spans="1:20" x14ac:dyDescent="0.25">
      <c r="A314" s="5">
        <v>44279</v>
      </c>
      <c r="B314">
        <v>6.2E-2</v>
      </c>
      <c r="C314">
        <v>6.5680000000000002E-2</v>
      </c>
      <c r="D314">
        <v>5.7000000000000002E-2</v>
      </c>
      <c r="E314">
        <v>5.7299999999999997E-2</v>
      </c>
      <c r="F314">
        <v>33857268.899999999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-0.93087557603686755</v>
      </c>
      <c r="Q314">
        <f t="shared" si="965"/>
        <v>-31516904.690322619</v>
      </c>
      <c r="R314">
        <f t="shared" si="966"/>
        <v>-730709256.58714008</v>
      </c>
      <c r="S314">
        <f t="shared" si="967"/>
        <v>-7307.0925658714004</v>
      </c>
      <c r="T314">
        <f t="shared" si="968"/>
        <v>-7.3070925658714003</v>
      </c>
    </row>
    <row r="315" spans="1:20" x14ac:dyDescent="0.25">
      <c r="A315" s="5">
        <v>44278</v>
      </c>
      <c r="B315">
        <v>6.565E-2</v>
      </c>
      <c r="C315">
        <v>6.7599999999999993E-2</v>
      </c>
      <c r="D315">
        <v>6.1550000000000001E-2</v>
      </c>
      <c r="E315">
        <v>6.2E-2</v>
      </c>
      <c r="F315">
        <v>22279248.800000001</v>
      </c>
      <c r="G315">
        <v>0</v>
      </c>
      <c r="L315" t="s">
        <v>7</v>
      </c>
      <c r="M315" t="s">
        <v>8</v>
      </c>
      <c r="N315" t="s">
        <v>7</v>
      </c>
      <c r="P315">
        <f t="shared" si="964"/>
        <v>-0.85123966942148777</v>
      </c>
      <c r="Q315">
        <f t="shared" si="965"/>
        <v>-18964980.383471079</v>
      </c>
      <c r="R315">
        <f t="shared" si="966"/>
        <v>-699192351.89681745</v>
      </c>
      <c r="S315">
        <f t="shared" si="967"/>
        <v>-6991.9235189681749</v>
      </c>
      <c r="T315">
        <f t="shared" si="968"/>
        <v>-6.991923518968175</v>
      </c>
    </row>
    <row r="316" spans="1:20" x14ac:dyDescent="0.25">
      <c r="A316" s="5">
        <v>44277</v>
      </c>
      <c r="B316">
        <v>6.7699999999999996E-2</v>
      </c>
      <c r="C316">
        <v>7.1230000000000002E-2</v>
      </c>
      <c r="D316">
        <v>6.5170000000000006E-2</v>
      </c>
      <c r="E316">
        <v>6.5699999999999995E-2</v>
      </c>
      <c r="F316">
        <v>24181148.800000001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-0.82508250825082863</v>
      </c>
      <c r="Q316">
        <f t="shared" si="965"/>
        <v>-19951442.904290516</v>
      </c>
      <c r="R316">
        <f t="shared" si="966"/>
        <v>-680227371.51334631</v>
      </c>
      <c r="S316">
        <f t="shared" si="967"/>
        <v>-6802.2737151334632</v>
      </c>
      <c r="T316">
        <f t="shared" si="968"/>
        <v>-6.8022737151334631</v>
      </c>
    </row>
    <row r="317" spans="1:20" x14ac:dyDescent="0.25">
      <c r="A317" s="5">
        <v>44276</v>
      </c>
      <c r="B317">
        <v>6.8959999999999994E-2</v>
      </c>
      <c r="C317">
        <v>6.8959999999999994E-2</v>
      </c>
      <c r="D317">
        <v>6.4839999999999995E-2</v>
      </c>
      <c r="E317">
        <v>6.7680000000000004E-2</v>
      </c>
      <c r="F317">
        <v>17798074</v>
      </c>
      <c r="G317">
        <v>0</v>
      </c>
      <c r="L317" t="s">
        <v>7</v>
      </c>
      <c r="M317" t="s">
        <v>8</v>
      </c>
      <c r="N317" t="s">
        <v>7</v>
      </c>
      <c r="P317">
        <f t="shared" si="964"/>
        <v>0.37864077669903401</v>
      </c>
      <c r="Q317">
        <f t="shared" si="965"/>
        <v>6739076.5631068833</v>
      </c>
      <c r="R317">
        <f t="shared" si="966"/>
        <v>-660275928.60905576</v>
      </c>
      <c r="S317">
        <f t="shared" si="967"/>
        <v>-6602.7592860905579</v>
      </c>
      <c r="T317">
        <f t="shared" si="968"/>
        <v>-6.6027592860905582</v>
      </c>
    </row>
    <row r="318" spans="1:20" x14ac:dyDescent="0.25">
      <c r="A318" s="5">
        <v>44275</v>
      </c>
      <c r="B318">
        <v>6.7949999999999997E-2</v>
      </c>
      <c r="C318">
        <v>7.0639999999999994E-2</v>
      </c>
      <c r="D318">
        <v>6.7169999999999994E-2</v>
      </c>
      <c r="E318">
        <v>6.8860000000000005E-2</v>
      </c>
      <c r="F318">
        <v>17482184.899999999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-2.593659942362506E-2</v>
      </c>
      <c r="Q318">
        <f t="shared" si="965"/>
        <v>-453428.42680104671</v>
      </c>
      <c r="R318">
        <f t="shared" si="966"/>
        <v>-667015005.17216265</v>
      </c>
      <c r="S318">
        <f t="shared" si="967"/>
        <v>-6670.1500517216264</v>
      </c>
      <c r="T318">
        <f t="shared" si="968"/>
        <v>-6.6701500517216266</v>
      </c>
    </row>
    <row r="319" spans="1:20" x14ac:dyDescent="0.25">
      <c r="A319" s="5">
        <v>44274</v>
      </c>
      <c r="B319">
        <v>6.8510000000000001E-2</v>
      </c>
      <c r="C319">
        <v>7.0610000000000006E-2</v>
      </c>
      <c r="D319">
        <v>6.6119999999999998E-2</v>
      </c>
      <c r="E319">
        <v>6.7909999999999998E-2</v>
      </c>
      <c r="F319">
        <v>16632931.199999999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-0.2026726057906473</v>
      </c>
      <c r="Q319">
        <f t="shared" si="965"/>
        <v>-3371039.5082405582</v>
      </c>
      <c r="R319">
        <f t="shared" si="966"/>
        <v>-666561576.74536157</v>
      </c>
      <c r="S319">
        <f t="shared" si="967"/>
        <v>-6665.6157674536153</v>
      </c>
      <c r="T319">
        <f t="shared" si="968"/>
        <v>-6.6656157674536152</v>
      </c>
    </row>
    <row r="320" spans="1:20" x14ac:dyDescent="0.25">
      <c r="A320" s="5">
        <v>44273</v>
      </c>
      <c r="B320">
        <v>6.6710000000000005E-2</v>
      </c>
      <c r="C320">
        <v>7.0819999999999994E-2</v>
      </c>
      <c r="D320">
        <v>6.5970000000000001E-2</v>
      </c>
      <c r="E320">
        <v>6.8279999999999993E-2</v>
      </c>
      <c r="F320">
        <v>26180686.300000001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-4.7422680412372846E-2</v>
      </c>
      <c r="Q320">
        <f t="shared" si="965"/>
        <v>-1241558.3193814883</v>
      </c>
      <c r="R320">
        <f t="shared" si="966"/>
        <v>-663190537.23712099</v>
      </c>
      <c r="S320">
        <f t="shared" si="967"/>
        <v>-6631.9053723712095</v>
      </c>
      <c r="T320">
        <f t="shared" si="968"/>
        <v>-6.6319053723712091</v>
      </c>
    </row>
    <row r="321" spans="1:20" x14ac:dyDescent="0.25">
      <c r="A321" s="5">
        <v>44272</v>
      </c>
      <c r="B321">
        <v>6.4299999999999996E-2</v>
      </c>
      <c r="C321">
        <v>6.8199999999999997E-2</v>
      </c>
      <c r="D321">
        <v>0.06</v>
      </c>
      <c r="E321">
        <v>6.6659999999999997E-2</v>
      </c>
      <c r="F321">
        <v>30775954.800000001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0.62439024390243902</v>
      </c>
      <c r="Q321">
        <f t="shared" si="965"/>
        <v>19216205.923902441</v>
      </c>
      <c r="R321">
        <f t="shared" si="966"/>
        <v>-661948978.91773951</v>
      </c>
      <c r="S321">
        <f t="shared" si="967"/>
        <v>-6619.4897891773953</v>
      </c>
      <c r="T321">
        <f t="shared" si="968"/>
        <v>-6.6194897891773952</v>
      </c>
    </row>
    <row r="322" spans="1:20" x14ac:dyDescent="0.25">
      <c r="A322" s="5">
        <v>44271</v>
      </c>
      <c r="B322">
        <v>6.6199999999999995E-2</v>
      </c>
      <c r="C322">
        <v>6.6299999999999998E-2</v>
      </c>
      <c r="D322">
        <v>6.0999999999999999E-2</v>
      </c>
      <c r="E322">
        <v>6.447E-2</v>
      </c>
      <c r="F322">
        <v>28169462.100000001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0.30943396226415149</v>
      </c>
      <c r="Q322">
        <f t="shared" si="965"/>
        <v>8716588.2724528462</v>
      </c>
      <c r="R322">
        <f t="shared" si="966"/>
        <v>-681165184.8416419</v>
      </c>
      <c r="S322">
        <f t="shared" si="967"/>
        <v>-6811.6518484164189</v>
      </c>
      <c r="T322">
        <f t="shared" si="968"/>
        <v>-6.8116518484164192</v>
      </c>
    </row>
    <row r="323" spans="1:20" x14ac:dyDescent="0.25">
      <c r="A323" s="5">
        <v>44270</v>
      </c>
      <c r="B323">
        <v>6.6659999999999997E-2</v>
      </c>
      <c r="C323">
        <v>6.7500000000000004E-2</v>
      </c>
      <c r="D323">
        <v>5.6840000000000002E-2</v>
      </c>
      <c r="E323">
        <v>6.6309999999999994E-2</v>
      </c>
      <c r="F323">
        <v>46441825.299999997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0.77673545966228708</v>
      </c>
      <c r="Q323">
        <f t="shared" si="965"/>
        <v>36073012.521951132</v>
      </c>
      <c r="R323">
        <f t="shared" si="966"/>
        <v>-689881773.11409473</v>
      </c>
      <c r="S323">
        <f t="shared" si="967"/>
        <v>-6898.8177311409472</v>
      </c>
      <c r="T323">
        <f t="shared" si="968"/>
        <v>-6.8988177311409471</v>
      </c>
    </row>
    <row r="324" spans="1:20" x14ac:dyDescent="0.25">
      <c r="A324" s="5">
        <v>44269</v>
      </c>
      <c r="B324">
        <v>7.0499999999999993E-2</v>
      </c>
      <c r="C324">
        <v>7.3590000000000003E-2</v>
      </c>
      <c r="D324">
        <v>6.368E-2</v>
      </c>
      <c r="E324">
        <v>6.6659999999999997E-2</v>
      </c>
      <c r="F324">
        <v>36968824.5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-0.39858728557013201</v>
      </c>
      <c r="Q324">
        <f t="shared" si="965"/>
        <v>-14735303.408173593</v>
      </c>
      <c r="R324">
        <f t="shared" si="966"/>
        <v>-725954785.63604581</v>
      </c>
      <c r="S324">
        <f t="shared" si="967"/>
        <v>-7259.5478563604584</v>
      </c>
      <c r="T324">
        <f t="shared" si="968"/>
        <v>-7.2595478563604585</v>
      </c>
    </row>
    <row r="325" spans="1:20" x14ac:dyDescent="0.25">
      <c r="A325" s="5">
        <v>44268</v>
      </c>
      <c r="B325">
        <v>7.0790000000000006E-2</v>
      </c>
      <c r="C325">
        <v>7.8E-2</v>
      </c>
      <c r="D325">
        <v>6.7080000000000001E-2</v>
      </c>
      <c r="E325">
        <v>7.0040000000000005E-2</v>
      </c>
      <c r="F325">
        <v>44943482.799999997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-0.45787545787545703</v>
      </c>
      <c r="Q325">
        <f t="shared" si="965"/>
        <v>-20578517.765567727</v>
      </c>
      <c r="R325">
        <f t="shared" si="966"/>
        <v>-711219482.22787225</v>
      </c>
      <c r="S325">
        <f t="shared" si="967"/>
        <v>-7112.1948222787223</v>
      </c>
      <c r="T325">
        <f t="shared" si="968"/>
        <v>-7.1121948222787221</v>
      </c>
    </row>
    <row r="326" spans="1:20" x14ac:dyDescent="0.25">
      <c r="A326" s="5">
        <v>44267</v>
      </c>
      <c r="B326">
        <v>6.0769999999999998E-2</v>
      </c>
      <c r="C326">
        <v>7.8799999999999995E-2</v>
      </c>
      <c r="D326">
        <v>5.8590000000000003E-2</v>
      </c>
      <c r="E326">
        <v>7.0529999999999995E-2</v>
      </c>
      <c r="F326">
        <v>79491621.599999994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0.18159327065808978</v>
      </c>
      <c r="Q326">
        <f t="shared" ref="Q326:Q389" si="970">F326*P326</f>
        <v>14435143.556259254</v>
      </c>
      <c r="R326">
        <f t="shared" ref="R326:R389" si="971">R327+Q326</f>
        <v>-690640964.46230447</v>
      </c>
      <c r="S326">
        <f t="shared" ref="S326:S389" si="972">R326/100000</f>
        <v>-6906.4096446230451</v>
      </c>
      <c r="T326">
        <f t="shared" ref="T326:T389" si="973">S326/1000</f>
        <v>-6.9064096446230447</v>
      </c>
    </row>
    <row r="327" spans="1:20" x14ac:dyDescent="0.25">
      <c r="A327" s="5">
        <v>44266</v>
      </c>
      <c r="B327">
        <v>5.4879999999999998E-2</v>
      </c>
      <c r="C327">
        <v>6.5799999999999997E-2</v>
      </c>
      <c r="D327">
        <v>5.364E-2</v>
      </c>
      <c r="E327">
        <v>6.0789999999999997E-2</v>
      </c>
      <c r="F327">
        <v>45336556.299999997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0.17598684210526289</v>
      </c>
      <c r="Q327">
        <f t="shared" si="970"/>
        <v>7978637.3751644604</v>
      </c>
      <c r="R327">
        <f t="shared" si="971"/>
        <v>-705076108.01856375</v>
      </c>
      <c r="S327">
        <f t="shared" si="972"/>
        <v>-7050.7610801856372</v>
      </c>
      <c r="T327">
        <f t="shared" si="973"/>
        <v>-7.0507610801856373</v>
      </c>
    </row>
    <row r="328" spans="1:20" x14ac:dyDescent="0.25">
      <c r="A328" s="5">
        <v>44265</v>
      </c>
      <c r="B328">
        <v>5.7070000000000003E-2</v>
      </c>
      <c r="C328">
        <v>5.7070000000000003E-2</v>
      </c>
      <c r="D328">
        <v>5.0009999999999999E-2</v>
      </c>
      <c r="E328">
        <v>5.4890000000000001E-2</v>
      </c>
      <c r="F328">
        <v>31493323.899999999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0.38243626062322938</v>
      </c>
      <c r="Q328">
        <f t="shared" si="970"/>
        <v>12044189.026912179</v>
      </c>
      <c r="R328">
        <f t="shared" si="971"/>
        <v>-713054745.39372826</v>
      </c>
      <c r="S328">
        <f t="shared" si="972"/>
        <v>-7130.5474539372826</v>
      </c>
      <c r="T328">
        <f t="shared" si="973"/>
        <v>-7.1305474539372824</v>
      </c>
    </row>
    <row r="329" spans="1:20" x14ac:dyDescent="0.25">
      <c r="A329" s="5">
        <v>44264</v>
      </c>
      <c r="B329">
        <v>5.0049999999999997E-2</v>
      </c>
      <c r="C329">
        <v>5.8000000000000003E-2</v>
      </c>
      <c r="D329">
        <v>4.9639999999999997E-2</v>
      </c>
      <c r="E329">
        <v>5.7140000000000003E-2</v>
      </c>
      <c r="F329">
        <v>30139080.699999999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0.79425837320574189</v>
      </c>
      <c r="Q329">
        <f t="shared" si="970"/>
        <v>23938217.20669857</v>
      </c>
      <c r="R329">
        <f t="shared" si="971"/>
        <v>-725098934.42064047</v>
      </c>
      <c r="S329">
        <f t="shared" si="972"/>
        <v>-7250.9893442064049</v>
      </c>
      <c r="T329">
        <f t="shared" si="973"/>
        <v>-7.2509893442064053</v>
      </c>
    </row>
    <row r="330" spans="1:20" x14ac:dyDescent="0.25">
      <c r="A330" s="5">
        <v>44263</v>
      </c>
      <c r="B330">
        <v>5.194E-2</v>
      </c>
      <c r="C330">
        <v>5.2999999999999999E-2</v>
      </c>
      <c r="D330">
        <v>4.845E-2</v>
      </c>
      <c r="E330">
        <v>5.0049999999999997E-2</v>
      </c>
      <c r="F330">
        <v>18272568.899999999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-0.29670329670329765</v>
      </c>
      <c r="Q330">
        <f t="shared" si="970"/>
        <v>-5421531.431868149</v>
      </c>
      <c r="R330">
        <f t="shared" si="971"/>
        <v>-749037151.62733901</v>
      </c>
      <c r="S330">
        <f t="shared" si="972"/>
        <v>-7490.3715162733897</v>
      </c>
      <c r="T330">
        <f t="shared" si="973"/>
        <v>-7.4903715162733899</v>
      </c>
    </row>
    <row r="331" spans="1:20" x14ac:dyDescent="0.25">
      <c r="A331" s="5">
        <v>44262</v>
      </c>
      <c r="B331">
        <v>5.0849999999999999E-2</v>
      </c>
      <c r="C331">
        <v>5.3990000000000003E-2</v>
      </c>
      <c r="D331">
        <v>5.0250000000000003E-2</v>
      </c>
      <c r="E331">
        <v>5.194E-2</v>
      </c>
      <c r="F331">
        <v>16156904.9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-9.6256684491980243E-2</v>
      </c>
      <c r="Q331">
        <f t="shared" si="970"/>
        <v>-1555210.0973262296</v>
      </c>
      <c r="R331">
        <f t="shared" si="971"/>
        <v>-743615620.19547081</v>
      </c>
      <c r="S331">
        <f t="shared" si="972"/>
        <v>-7436.1562019547082</v>
      </c>
      <c r="T331">
        <f t="shared" si="973"/>
        <v>-7.4361562019547085</v>
      </c>
    </row>
    <row r="332" spans="1:20" x14ac:dyDescent="0.25">
      <c r="A332" s="5">
        <v>44261</v>
      </c>
      <c r="B332">
        <v>5.11E-2</v>
      </c>
      <c r="C332">
        <v>5.2749999999999998E-2</v>
      </c>
      <c r="D332">
        <v>4.8210000000000003E-2</v>
      </c>
      <c r="E332">
        <v>5.1040000000000002E-2</v>
      </c>
      <c r="F332">
        <v>11533951.800000001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0.24669603524229164</v>
      </c>
      <c r="Q332">
        <f t="shared" si="970"/>
        <v>2845380.1797356931</v>
      </c>
      <c r="R332">
        <f t="shared" si="971"/>
        <v>-742060410.09814453</v>
      </c>
      <c r="S332">
        <f t="shared" si="972"/>
        <v>-7420.6041009814453</v>
      </c>
      <c r="T332">
        <f t="shared" si="973"/>
        <v>-7.4206041009814454</v>
      </c>
    </row>
    <row r="333" spans="1:20" x14ac:dyDescent="0.25">
      <c r="A333" s="5">
        <v>44260</v>
      </c>
      <c r="B333">
        <v>5.144E-2</v>
      </c>
      <c r="C333">
        <v>5.4989999999999997E-2</v>
      </c>
      <c r="D333">
        <v>4.5339999999999998E-2</v>
      </c>
      <c r="E333">
        <v>5.1139999999999998E-2</v>
      </c>
      <c r="F333">
        <v>22476069.100000001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0.20207253886010368</v>
      </c>
      <c r="Q333">
        <f t="shared" si="970"/>
        <v>4541796.3466321258</v>
      </c>
      <c r="R333">
        <f t="shared" si="971"/>
        <v>-744905790.27788019</v>
      </c>
      <c r="S333">
        <f t="shared" si="972"/>
        <v>-7449.0579027788017</v>
      </c>
      <c r="T333">
        <f t="shared" si="973"/>
        <v>-7.4490579027788018</v>
      </c>
    </row>
    <row r="334" spans="1:20" x14ac:dyDescent="0.25">
      <c r="A334" s="5">
        <v>44259</v>
      </c>
      <c r="B334">
        <v>5.3109999999999997E-2</v>
      </c>
      <c r="C334">
        <v>5.321E-2</v>
      </c>
      <c r="D334">
        <v>4.752E-2</v>
      </c>
      <c r="E334">
        <v>5.1459999999999999E-2</v>
      </c>
      <c r="F334">
        <v>22326340.100000001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0.38488576449912076</v>
      </c>
      <c r="Q334">
        <f t="shared" si="970"/>
        <v>8593090.4778558761</v>
      </c>
      <c r="R334">
        <f t="shared" si="971"/>
        <v>-749447586.62451231</v>
      </c>
      <c r="S334">
        <f t="shared" si="972"/>
        <v>-7494.4758662451231</v>
      </c>
      <c r="T334">
        <f t="shared" si="973"/>
        <v>-7.4944758662451232</v>
      </c>
    </row>
    <row r="335" spans="1:20" x14ac:dyDescent="0.25">
      <c r="A335" s="5">
        <v>44258</v>
      </c>
      <c r="B335">
        <v>5.5030000000000003E-2</v>
      </c>
      <c r="C335">
        <v>5.8009999999999999E-2</v>
      </c>
      <c r="D335">
        <v>5.1650000000000001E-2</v>
      </c>
      <c r="E335">
        <v>5.3179999999999998E-2</v>
      </c>
      <c r="F335">
        <v>35158632.399999999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-0.51886792452830277</v>
      </c>
      <c r="Q335">
        <f t="shared" si="970"/>
        <v>-18242686.622641541</v>
      </c>
      <c r="R335">
        <f t="shared" si="971"/>
        <v>-758040677.10236824</v>
      </c>
      <c r="S335">
        <f t="shared" si="972"/>
        <v>-7580.4067710236823</v>
      </c>
      <c r="T335">
        <f t="shared" si="973"/>
        <v>-7.5804067710236822</v>
      </c>
    </row>
    <row r="336" spans="1:20" x14ac:dyDescent="0.25">
      <c r="A336" s="5">
        <v>44257</v>
      </c>
      <c r="B336">
        <v>4.4179999999999997E-2</v>
      </c>
      <c r="C336">
        <v>6.5710000000000005E-2</v>
      </c>
      <c r="D336">
        <v>4.2810000000000001E-2</v>
      </c>
      <c r="E336">
        <v>5.5140000000000002E-2</v>
      </c>
      <c r="F336">
        <v>132030167.3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7.685589519650643E-2</v>
      </c>
      <c r="Q336">
        <f t="shared" si="970"/>
        <v>10147296.700786009</v>
      </c>
      <c r="R336">
        <f t="shared" si="971"/>
        <v>-739797990.47972667</v>
      </c>
      <c r="S336">
        <f t="shared" si="972"/>
        <v>-7397.9799047972665</v>
      </c>
      <c r="T336">
        <f t="shared" si="973"/>
        <v>-7.3979799047972667</v>
      </c>
    </row>
    <row r="337" spans="1:20" x14ac:dyDescent="0.25">
      <c r="A337" s="5">
        <v>44256</v>
      </c>
      <c r="B337">
        <v>4.0059999999999998E-2</v>
      </c>
      <c r="C337">
        <v>4.5400000000000003E-2</v>
      </c>
      <c r="D337">
        <v>3.9350000000000003E-2</v>
      </c>
      <c r="E337">
        <v>4.4179999999999997E-2</v>
      </c>
      <c r="F337">
        <v>23007789.100000001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0.59669421487603114</v>
      </c>
      <c r="Q337">
        <f t="shared" si="970"/>
        <v>13728614.653057808</v>
      </c>
      <c r="R337">
        <f t="shared" si="971"/>
        <v>-749945287.18051267</v>
      </c>
      <c r="S337">
        <f t="shared" si="972"/>
        <v>-7499.452871805127</v>
      </c>
      <c r="T337">
        <f t="shared" si="973"/>
        <v>-7.4994528718051265</v>
      </c>
    </row>
    <row r="338" spans="1:20" x14ac:dyDescent="0.25">
      <c r="A338" s="5">
        <v>44255</v>
      </c>
      <c r="B338">
        <v>4.5670000000000002E-2</v>
      </c>
      <c r="C338">
        <v>4.6390000000000001E-2</v>
      </c>
      <c r="D338">
        <v>3.6420000000000001E-2</v>
      </c>
      <c r="E338">
        <v>4.0059999999999998E-2</v>
      </c>
      <c r="F338">
        <v>20717054.100000001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-0.26980942828485505</v>
      </c>
      <c r="Q338">
        <f t="shared" si="970"/>
        <v>-5589656.522467413</v>
      </c>
      <c r="R338">
        <f t="shared" si="971"/>
        <v>-763673901.83357048</v>
      </c>
      <c r="S338">
        <f t="shared" si="972"/>
        <v>-7636.7390183357047</v>
      </c>
      <c r="T338">
        <f t="shared" si="973"/>
        <v>-7.6367390183357049</v>
      </c>
    </row>
    <row r="339" spans="1:20" x14ac:dyDescent="0.25">
      <c r="A339" s="5">
        <v>44254</v>
      </c>
      <c r="B339">
        <v>4.6679999999999999E-2</v>
      </c>
      <c r="C339">
        <v>4.9239999999999999E-2</v>
      </c>
      <c r="D339">
        <v>4.4699999999999997E-2</v>
      </c>
      <c r="E339">
        <v>4.6149999999999997E-2</v>
      </c>
      <c r="F339">
        <v>16720003.699999999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-0.36123348017621182</v>
      </c>
      <c r="Q339">
        <f t="shared" si="970"/>
        <v>-6039825.1251101382</v>
      </c>
      <c r="R339">
        <f t="shared" si="971"/>
        <v>-758084245.31110311</v>
      </c>
      <c r="S339">
        <f t="shared" si="972"/>
        <v>-7580.8424531110313</v>
      </c>
      <c r="T339">
        <f t="shared" si="973"/>
        <v>-7.580842453111031</v>
      </c>
    </row>
    <row r="340" spans="1:20" x14ac:dyDescent="0.25">
      <c r="A340" s="5">
        <v>44253</v>
      </c>
      <c r="B340">
        <v>4.8649999999999999E-2</v>
      </c>
      <c r="C340">
        <v>5.024E-2</v>
      </c>
      <c r="D340">
        <v>4.2200000000000001E-2</v>
      </c>
      <c r="E340">
        <v>4.6640000000000001E-2</v>
      </c>
      <c r="F340">
        <v>23983607.600000001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0.10447761194029859</v>
      </c>
      <c r="Q340">
        <f t="shared" si="970"/>
        <v>2505750.0477611963</v>
      </c>
      <c r="R340">
        <f t="shared" si="971"/>
        <v>-752044420.18599296</v>
      </c>
      <c r="S340">
        <f t="shared" si="972"/>
        <v>-7520.4442018599293</v>
      </c>
      <c r="T340">
        <f t="shared" si="973"/>
        <v>-7.5204442018599291</v>
      </c>
    </row>
    <row r="341" spans="1:20" x14ac:dyDescent="0.25">
      <c r="A341" s="5">
        <v>44252</v>
      </c>
      <c r="B341">
        <v>5.6250000000000001E-2</v>
      </c>
      <c r="C341">
        <v>6.2010000000000003E-2</v>
      </c>
      <c r="D341">
        <v>4.7E-2</v>
      </c>
      <c r="E341">
        <v>4.8590000000000001E-2</v>
      </c>
      <c r="F341">
        <v>35988630.700000003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-0.78814123917388401</v>
      </c>
      <c r="Q341">
        <f t="shared" si="970"/>
        <v>-28364123.996069286</v>
      </c>
      <c r="R341">
        <f t="shared" si="971"/>
        <v>-754550170.23375416</v>
      </c>
      <c r="S341">
        <f t="shared" si="972"/>
        <v>-7545.5017023375412</v>
      </c>
      <c r="T341">
        <f t="shared" si="973"/>
        <v>-7.5455017023375408</v>
      </c>
    </row>
    <row r="342" spans="1:20" x14ac:dyDescent="0.25">
      <c r="A342" s="5">
        <v>44251</v>
      </c>
      <c r="B342">
        <v>4.8309999999999999E-2</v>
      </c>
      <c r="C342">
        <v>6.3380000000000006E-2</v>
      </c>
      <c r="D342">
        <v>4.5190000000000001E-2</v>
      </c>
      <c r="E342">
        <v>5.6259999999999998E-2</v>
      </c>
      <c r="F342">
        <v>47765515.899999999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0.21715228147333629</v>
      </c>
      <c r="Q342">
        <f t="shared" si="970"/>
        <v>10372390.753435919</v>
      </c>
      <c r="R342">
        <f t="shared" si="971"/>
        <v>-726186046.23768485</v>
      </c>
      <c r="S342">
        <f t="shared" si="972"/>
        <v>-7261.8604623768488</v>
      </c>
      <c r="T342">
        <f t="shared" si="973"/>
        <v>-7.2618604623768483</v>
      </c>
    </row>
    <row r="343" spans="1:20" x14ac:dyDescent="0.25">
      <c r="A343" s="5">
        <v>44250</v>
      </c>
      <c r="B343">
        <v>6.4649999999999999E-2</v>
      </c>
      <c r="C343">
        <v>6.4659999999999995E-2</v>
      </c>
      <c r="D343">
        <v>3.9019999999999999E-2</v>
      </c>
      <c r="E343">
        <v>4.8309999999999999E-2</v>
      </c>
      <c r="F343">
        <v>66812184.200000003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-0.27535101404056156</v>
      </c>
      <c r="Q343">
        <f t="shared" si="970"/>
        <v>-18396802.669734787</v>
      </c>
      <c r="R343">
        <f t="shared" si="971"/>
        <v>-736558436.99112082</v>
      </c>
      <c r="S343">
        <f t="shared" si="972"/>
        <v>-7365.5843699112083</v>
      </c>
      <c r="T343">
        <f t="shared" si="973"/>
        <v>-7.3655843699112085</v>
      </c>
    </row>
    <row r="344" spans="1:20" x14ac:dyDescent="0.25">
      <c r="A344" s="5">
        <v>44249</v>
      </c>
      <c r="B344">
        <v>7.9329999999999998E-2</v>
      </c>
      <c r="C344">
        <v>8.165E-2</v>
      </c>
      <c r="D344">
        <v>4.9140000000000003E-2</v>
      </c>
      <c r="E344">
        <v>6.4670000000000005E-2</v>
      </c>
      <c r="F344">
        <v>64050822.5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-4.4601661027375977E-2</v>
      </c>
      <c r="Q344">
        <f t="shared" si="970"/>
        <v>-2856773.0736696264</v>
      </c>
      <c r="R344">
        <f t="shared" si="971"/>
        <v>-718161634.32138598</v>
      </c>
      <c r="S344">
        <f t="shared" si="972"/>
        <v>-7181.6163432138601</v>
      </c>
      <c r="T344">
        <f t="shared" si="973"/>
        <v>-7.18161634321386</v>
      </c>
    </row>
    <row r="345" spans="1:20" x14ac:dyDescent="0.25">
      <c r="A345" s="5">
        <v>44248</v>
      </c>
      <c r="B345">
        <v>6.7739999999999995E-2</v>
      </c>
      <c r="C345">
        <v>9.0999999999999998E-2</v>
      </c>
      <c r="D345">
        <v>6.5909999999999996E-2</v>
      </c>
      <c r="E345">
        <v>7.979E-2</v>
      </c>
      <c r="F345">
        <v>94589713.700000003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0.10641689916301338</v>
      </c>
      <c r="Q345">
        <f t="shared" si="970"/>
        <v>10065944.024671204</v>
      </c>
      <c r="R345">
        <f t="shared" si="971"/>
        <v>-715304861.24771631</v>
      </c>
      <c r="S345">
        <f t="shared" si="972"/>
        <v>-7153.0486124771633</v>
      </c>
      <c r="T345">
        <f t="shared" si="973"/>
        <v>-7.1530486124771633</v>
      </c>
    </row>
    <row r="346" spans="1:20" x14ac:dyDescent="0.25">
      <c r="A346" s="5">
        <v>44247</v>
      </c>
      <c r="B346">
        <v>6.1280000000000001E-2</v>
      </c>
      <c r="C346">
        <v>8.2400000000000001E-2</v>
      </c>
      <c r="D346">
        <v>5.4429999999999999E-2</v>
      </c>
      <c r="E346">
        <v>6.7769999999999997E-2</v>
      </c>
      <c r="F346">
        <v>79553168.599999994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-4.6120843761172911E-2</v>
      </c>
      <c r="Q346">
        <f t="shared" si="970"/>
        <v>-3669059.2597068464</v>
      </c>
      <c r="R346">
        <f t="shared" si="971"/>
        <v>-725370805.2723875</v>
      </c>
      <c r="S346">
        <f t="shared" si="972"/>
        <v>-7253.708052723875</v>
      </c>
      <c r="T346">
        <f t="shared" si="973"/>
        <v>-7.2537080527238746</v>
      </c>
    </row>
    <row r="347" spans="1:20" x14ac:dyDescent="0.25">
      <c r="A347" s="5">
        <v>44246</v>
      </c>
      <c r="B347">
        <v>4.929E-2</v>
      </c>
      <c r="C347">
        <v>6.8000000000000005E-2</v>
      </c>
      <c r="D347">
        <v>4.6550000000000001E-2</v>
      </c>
      <c r="E347">
        <v>6.1539999999999997E-2</v>
      </c>
      <c r="F347">
        <v>72744596.400000006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0.3976689976689971</v>
      </c>
      <c r="Q347">
        <f t="shared" si="970"/>
        <v>28928270.736223739</v>
      </c>
      <c r="R347">
        <f t="shared" si="971"/>
        <v>-721701746.01268065</v>
      </c>
      <c r="S347">
        <f t="shared" si="972"/>
        <v>-7217.0174601268063</v>
      </c>
      <c r="T347">
        <f t="shared" si="973"/>
        <v>-7.2170174601268062</v>
      </c>
    </row>
    <row r="348" spans="1:20" x14ac:dyDescent="0.25">
      <c r="A348" s="5">
        <v>44245</v>
      </c>
      <c r="B348">
        <v>5.0900000000000001E-2</v>
      </c>
      <c r="C348">
        <v>5.4190000000000002E-2</v>
      </c>
      <c r="D348">
        <v>4.666E-2</v>
      </c>
      <c r="E348">
        <v>4.9329999999999999E-2</v>
      </c>
      <c r="F348">
        <v>37251103.100000001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-0.2908366533864547</v>
      </c>
      <c r="Q348">
        <f t="shared" si="970"/>
        <v>-10833986.160557788</v>
      </c>
      <c r="R348">
        <f t="shared" si="971"/>
        <v>-750630016.74890435</v>
      </c>
      <c r="S348">
        <f t="shared" si="972"/>
        <v>-7506.3001674890438</v>
      </c>
      <c r="T348">
        <f t="shared" si="973"/>
        <v>-7.5063001674890435</v>
      </c>
    </row>
    <row r="349" spans="1:20" x14ac:dyDescent="0.25">
      <c r="A349" s="5">
        <v>44244</v>
      </c>
      <c r="B349">
        <v>4.3799999999999999E-2</v>
      </c>
      <c r="C349">
        <v>5.1999999999999998E-2</v>
      </c>
      <c r="D349">
        <v>4.1610000000000001E-2</v>
      </c>
      <c r="E349">
        <v>5.0909999999999997E-2</v>
      </c>
      <c r="F349">
        <v>29139494.199999999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0.79018286814244443</v>
      </c>
      <c r="Q349">
        <f t="shared" si="970"/>
        <v>23025529.103176124</v>
      </c>
      <c r="R349">
        <f t="shared" si="971"/>
        <v>-739796030.5883466</v>
      </c>
      <c r="S349">
        <f t="shared" si="972"/>
        <v>-7397.9603058834664</v>
      </c>
      <c r="T349">
        <f t="shared" si="973"/>
        <v>-7.3979603058834664</v>
      </c>
    </row>
    <row r="350" spans="1:20" x14ac:dyDescent="0.25">
      <c r="A350" s="5">
        <v>44243</v>
      </c>
      <c r="B350">
        <v>4.0320000000000002E-2</v>
      </c>
      <c r="C350">
        <v>4.478E-2</v>
      </c>
      <c r="D350">
        <v>3.8960000000000002E-2</v>
      </c>
      <c r="E350">
        <v>4.3830000000000001E-2</v>
      </c>
      <c r="F350">
        <v>11087073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0.6735395189003438</v>
      </c>
      <c r="Q350">
        <f t="shared" si="970"/>
        <v>7467581.8144329917</v>
      </c>
      <c r="R350">
        <f t="shared" si="971"/>
        <v>-762821559.69152272</v>
      </c>
      <c r="S350">
        <f t="shared" si="972"/>
        <v>-7628.2155969152273</v>
      </c>
      <c r="T350">
        <f t="shared" si="973"/>
        <v>-7.6282155969152274</v>
      </c>
    </row>
    <row r="351" spans="1:20" x14ac:dyDescent="0.25">
      <c r="A351" s="5">
        <v>44242</v>
      </c>
      <c r="B351">
        <v>4.4170000000000001E-2</v>
      </c>
      <c r="C351">
        <v>4.4859999999999997E-2</v>
      </c>
      <c r="D351">
        <v>3.6999999999999998E-2</v>
      </c>
      <c r="E351">
        <v>4.0320000000000002E-2</v>
      </c>
      <c r="F351">
        <v>27912948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-0.15521628498727635</v>
      </c>
      <c r="Q351">
        <f t="shared" si="970"/>
        <v>-4332544.0916030258</v>
      </c>
      <c r="R351">
        <f t="shared" si="971"/>
        <v>-770289141.5059557</v>
      </c>
      <c r="S351">
        <f t="shared" si="972"/>
        <v>-7702.8914150595574</v>
      </c>
      <c r="T351">
        <f t="shared" si="973"/>
        <v>-7.7028914150595575</v>
      </c>
    </row>
    <row r="352" spans="1:20" x14ac:dyDescent="0.25">
      <c r="A352" s="5">
        <v>44241</v>
      </c>
      <c r="B352">
        <v>5.1549999999999999E-2</v>
      </c>
      <c r="C352">
        <v>5.2970000000000003E-2</v>
      </c>
      <c r="D352">
        <v>4.1680000000000002E-2</v>
      </c>
      <c r="E352">
        <v>4.4299999999999999E-2</v>
      </c>
      <c r="F352">
        <v>17783695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-0.53587245349867196</v>
      </c>
      <c r="Q352">
        <f t="shared" si="970"/>
        <v>-9529792.2719220649</v>
      </c>
      <c r="R352">
        <f t="shared" si="971"/>
        <v>-765956597.41435266</v>
      </c>
      <c r="S352">
        <f t="shared" si="972"/>
        <v>-7659.5659741435265</v>
      </c>
      <c r="T352">
        <f t="shared" si="973"/>
        <v>-7.6595659741435265</v>
      </c>
    </row>
    <row r="353" spans="1:20" x14ac:dyDescent="0.25">
      <c r="A353" s="5">
        <v>44240</v>
      </c>
      <c r="B353">
        <v>4.6530000000000002E-2</v>
      </c>
      <c r="C353">
        <v>0.06</v>
      </c>
      <c r="D353">
        <v>4.5109999999999997E-2</v>
      </c>
      <c r="E353">
        <v>5.1549999999999999E-2</v>
      </c>
      <c r="F353">
        <v>25336740.600000001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-0.13498992612491589</v>
      </c>
      <c r="Q353">
        <f t="shared" si="970"/>
        <v>-3420204.7418401572</v>
      </c>
      <c r="R353">
        <f t="shared" si="971"/>
        <v>-756426805.14243054</v>
      </c>
      <c r="S353">
        <f t="shared" si="972"/>
        <v>-7564.2680514243057</v>
      </c>
      <c r="T353">
        <f t="shared" si="973"/>
        <v>-7.5642680514243059</v>
      </c>
    </row>
    <row r="354" spans="1:20" x14ac:dyDescent="0.25">
      <c r="A354" s="5">
        <v>44239</v>
      </c>
      <c r="B354">
        <v>4.5039999999999997E-2</v>
      </c>
      <c r="C354">
        <v>4.7620000000000003E-2</v>
      </c>
      <c r="D354">
        <v>4.0140000000000002E-2</v>
      </c>
      <c r="E354">
        <v>4.6449999999999998E-2</v>
      </c>
      <c r="F354">
        <v>19136362.699999999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0.68716577540106838</v>
      </c>
      <c r="Q354">
        <f t="shared" si="970"/>
        <v>13149853.513101581</v>
      </c>
      <c r="R354">
        <f t="shared" si="971"/>
        <v>-753006600.40059042</v>
      </c>
      <c r="S354">
        <f t="shared" si="972"/>
        <v>-7530.0660040059038</v>
      </c>
      <c r="T354">
        <f t="shared" si="973"/>
        <v>-7.5300660040059038</v>
      </c>
    </row>
    <row r="355" spans="1:20" x14ac:dyDescent="0.25">
      <c r="A355" s="5">
        <v>44238</v>
      </c>
      <c r="B355">
        <v>4.199E-2</v>
      </c>
      <c r="C355">
        <v>4.8619999999999997E-2</v>
      </c>
      <c r="D355">
        <v>4.1770000000000002E-2</v>
      </c>
      <c r="E355">
        <v>4.5260000000000002E-2</v>
      </c>
      <c r="F355">
        <v>25232396.399999999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1.8978102189781781E-2</v>
      </c>
      <c r="Q355">
        <f t="shared" si="970"/>
        <v>478862.99737228191</v>
      </c>
      <c r="R355">
        <f t="shared" si="971"/>
        <v>-766156453.913692</v>
      </c>
      <c r="S355">
        <f t="shared" si="972"/>
        <v>-7661.5645391369198</v>
      </c>
      <c r="T355">
        <f t="shared" si="973"/>
        <v>-7.6615645391369203</v>
      </c>
    </row>
    <row r="356" spans="1:20" x14ac:dyDescent="0.25">
      <c r="A356" s="5">
        <v>44237</v>
      </c>
      <c r="B356">
        <v>4.4170000000000001E-2</v>
      </c>
      <c r="C356">
        <v>5.1729999999999998E-2</v>
      </c>
      <c r="D356">
        <v>4.0030000000000003E-2</v>
      </c>
      <c r="E356">
        <v>4.199E-2</v>
      </c>
      <c r="F356">
        <v>68104484.900000006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-0.66495726495726537</v>
      </c>
      <c r="Q356">
        <f t="shared" si="970"/>
        <v>-45286572.010427386</v>
      </c>
      <c r="R356">
        <f t="shared" si="971"/>
        <v>-766635316.91106427</v>
      </c>
      <c r="S356">
        <f t="shared" si="972"/>
        <v>-7666.3531691106427</v>
      </c>
      <c r="T356">
        <f t="shared" si="973"/>
        <v>-7.6663531691106428</v>
      </c>
    </row>
    <row r="357" spans="1:20" x14ac:dyDescent="0.25">
      <c r="A357" s="5">
        <v>44236</v>
      </c>
      <c r="B357">
        <v>4.48E-2</v>
      </c>
      <c r="C357">
        <v>4.8000000000000001E-2</v>
      </c>
      <c r="D357">
        <v>4.1750000000000002E-2</v>
      </c>
      <c r="E357">
        <v>4.4159999999999998E-2</v>
      </c>
      <c r="F357">
        <v>197775397.40000001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-0.22880000000000128</v>
      </c>
      <c r="Q357">
        <f t="shared" si="970"/>
        <v>-45251010.925120257</v>
      </c>
      <c r="R357">
        <f t="shared" si="971"/>
        <v>-721348744.90063691</v>
      </c>
      <c r="S357">
        <f t="shared" si="972"/>
        <v>-7213.4874490063694</v>
      </c>
      <c r="T357">
        <f t="shared" si="973"/>
        <v>-7.2134874490063696</v>
      </c>
    </row>
    <row r="358" spans="1:20" x14ac:dyDescent="0.25">
      <c r="A358" s="5">
        <v>44235</v>
      </c>
      <c r="B358">
        <v>3.6540000000000003E-2</v>
      </c>
      <c r="C358">
        <v>4.5429999999999998E-2</v>
      </c>
      <c r="D358">
        <v>3.5340000000000003E-2</v>
      </c>
      <c r="E358">
        <v>4.4569999999999999E-2</v>
      </c>
      <c r="F358">
        <v>145503913.5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0.82953419226957381</v>
      </c>
      <c r="Q358">
        <f t="shared" si="970"/>
        <v>120700471.35728444</v>
      </c>
      <c r="R358">
        <f t="shared" si="971"/>
        <v>-676097733.97551668</v>
      </c>
      <c r="S358">
        <f t="shared" si="972"/>
        <v>-6760.9773397551671</v>
      </c>
      <c r="T358">
        <f t="shared" si="973"/>
        <v>-6.7609773397551667</v>
      </c>
    </row>
    <row r="359" spans="1:20" x14ac:dyDescent="0.25">
      <c r="A359" s="5">
        <v>44234</v>
      </c>
      <c r="B359">
        <v>3.6519999999999997E-2</v>
      </c>
      <c r="C359">
        <v>4.2500000000000003E-2</v>
      </c>
      <c r="D359">
        <v>3.2579999999999998E-2</v>
      </c>
      <c r="E359">
        <v>3.6510000000000001E-2</v>
      </c>
      <c r="F359">
        <v>564809998.60000002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-0.20766129032258046</v>
      </c>
      <c r="Q359">
        <f t="shared" si="970"/>
        <v>-117289173.09637088</v>
      </c>
      <c r="R359">
        <f t="shared" si="971"/>
        <v>-796798205.3328011</v>
      </c>
      <c r="S359">
        <f t="shared" si="972"/>
        <v>-7967.9820533280108</v>
      </c>
      <c r="T359">
        <f t="shared" si="973"/>
        <v>-7.9679820533280106</v>
      </c>
    </row>
    <row r="360" spans="1:20" x14ac:dyDescent="0.25">
      <c r="A360" s="5">
        <v>44233</v>
      </c>
      <c r="B360">
        <v>4.3470000000000002E-2</v>
      </c>
      <c r="C360">
        <v>4.4580000000000002E-2</v>
      </c>
      <c r="D360">
        <v>3.3419999999999998E-2</v>
      </c>
      <c r="E360">
        <v>3.653E-2</v>
      </c>
      <c r="F360">
        <v>259856437.5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-0.44265232974910379</v>
      </c>
      <c r="Q360">
        <f t="shared" si="970"/>
        <v>-115026057.45967738</v>
      </c>
      <c r="R360">
        <f t="shared" si="971"/>
        <v>-679509032.23643029</v>
      </c>
      <c r="S360">
        <f t="shared" si="972"/>
        <v>-6795.0903223643027</v>
      </c>
      <c r="T360">
        <f t="shared" si="973"/>
        <v>-6.7950903223643024</v>
      </c>
    </row>
    <row r="361" spans="1:20" x14ac:dyDescent="0.25">
      <c r="A361" s="5">
        <v>44232</v>
      </c>
      <c r="B361">
        <v>3.041E-2</v>
      </c>
      <c r="C361">
        <v>5.5E-2</v>
      </c>
      <c r="D361">
        <v>3.0009999999999998E-2</v>
      </c>
      <c r="E361">
        <v>4.3450000000000003E-2</v>
      </c>
      <c r="F361">
        <v>293561851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7.5630252100840581E-2</v>
      </c>
      <c r="Q361">
        <f t="shared" si="970"/>
        <v>22202156.798319399</v>
      </c>
      <c r="R361">
        <f t="shared" si="971"/>
        <v>-564482974.77675295</v>
      </c>
      <c r="S361">
        <f t="shared" si="972"/>
        <v>-5644.8297477675296</v>
      </c>
      <c r="T361">
        <f t="shared" si="973"/>
        <v>-5.6448297477675293</v>
      </c>
    </row>
    <row r="362" spans="1:20" x14ac:dyDescent="0.25">
      <c r="A362" s="5">
        <v>44231</v>
      </c>
      <c r="B362">
        <v>2.8160000000000001E-2</v>
      </c>
      <c r="C362">
        <v>4.2000000000000003E-2</v>
      </c>
      <c r="D362">
        <v>2.47E-2</v>
      </c>
      <c r="E362">
        <v>3.041E-2</v>
      </c>
      <c r="F362">
        <v>30545162.399999999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-0.33988439306358392</v>
      </c>
      <c r="Q362">
        <f t="shared" si="970"/>
        <v>-10381823.983352603</v>
      </c>
      <c r="R362">
        <f t="shared" si="971"/>
        <v>-586685131.57507241</v>
      </c>
      <c r="S362">
        <f t="shared" si="972"/>
        <v>-5866.8513157507241</v>
      </c>
      <c r="T362">
        <f t="shared" si="973"/>
        <v>-5.8668513157507238</v>
      </c>
    </row>
    <row r="363" spans="1:20" x14ac:dyDescent="0.25">
      <c r="A363" s="5">
        <v>44230</v>
      </c>
      <c r="B363">
        <v>2.7480000000000001E-2</v>
      </c>
      <c r="C363">
        <v>0.03</v>
      </c>
      <c r="D363">
        <v>2.6409999999999999E-2</v>
      </c>
      <c r="E363">
        <v>2.7830000000000001E-2</v>
      </c>
      <c r="F363">
        <v>57892249.399999999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-0.2089136490250689</v>
      </c>
      <c r="Q363">
        <f t="shared" si="970"/>
        <v>-12094481.072423356</v>
      </c>
      <c r="R363">
        <f t="shared" si="971"/>
        <v>-576303307.59171975</v>
      </c>
      <c r="S363">
        <f t="shared" si="972"/>
        <v>-5763.0330759171975</v>
      </c>
      <c r="T363">
        <f t="shared" si="973"/>
        <v>-5.7630330759171979</v>
      </c>
    </row>
    <row r="364" spans="1:20" x14ac:dyDescent="0.25">
      <c r="A364" s="5">
        <v>44229</v>
      </c>
      <c r="B364">
        <v>2.521E-2</v>
      </c>
      <c r="C364">
        <v>2.9170000000000001E-2</v>
      </c>
      <c r="D364">
        <v>2.3470000000000001E-2</v>
      </c>
      <c r="E364">
        <v>2.7480000000000001E-2</v>
      </c>
      <c r="F364">
        <v>120784101.2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0.40701754385964894</v>
      </c>
      <c r="Q364">
        <f t="shared" si="970"/>
        <v>49161248.207719281</v>
      </c>
      <c r="R364">
        <f t="shared" si="971"/>
        <v>-564208826.51929641</v>
      </c>
      <c r="S364">
        <f t="shared" si="972"/>
        <v>-5642.0882651929642</v>
      </c>
      <c r="T364">
        <f t="shared" si="973"/>
        <v>-5.6420882651929638</v>
      </c>
    </row>
    <row r="365" spans="1:20" x14ac:dyDescent="0.25">
      <c r="A365" s="5">
        <v>44228</v>
      </c>
      <c r="B365">
        <v>2.5510000000000001E-2</v>
      </c>
      <c r="C365">
        <v>2.649E-2</v>
      </c>
      <c r="D365">
        <v>2.3259999999999999E-2</v>
      </c>
      <c r="E365">
        <v>2.5180000000000001E-2</v>
      </c>
      <c r="F365">
        <v>57121820.299999997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0.18885448916408756</v>
      </c>
      <c r="Q365">
        <f t="shared" si="970"/>
        <v>10787712.192879306</v>
      </c>
      <c r="R365">
        <f t="shared" si="971"/>
        <v>-613370074.72701573</v>
      </c>
      <c r="S365">
        <f t="shared" si="972"/>
        <v>-6133.7007472701571</v>
      </c>
      <c r="T365">
        <f t="shared" si="973"/>
        <v>-6.133700747270157</v>
      </c>
    </row>
    <row r="366" spans="1:20" x14ac:dyDescent="0.25">
      <c r="A366" s="5">
        <v>44227</v>
      </c>
      <c r="B366">
        <v>2.0650000000000002E-2</v>
      </c>
      <c r="C366">
        <v>2.6339999999999999E-2</v>
      </c>
      <c r="D366">
        <v>2.0549999999999999E-2</v>
      </c>
      <c r="E366">
        <v>2.5499999999999998E-2</v>
      </c>
      <c r="F366">
        <v>31124535.100000001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0.70984455958549209</v>
      </c>
      <c r="Q366">
        <f t="shared" si="970"/>
        <v>22093581.910362691</v>
      </c>
      <c r="R366">
        <f t="shared" si="971"/>
        <v>-624157786.91989505</v>
      </c>
      <c r="S366">
        <f t="shared" si="972"/>
        <v>-6241.5778691989508</v>
      </c>
      <c r="T366">
        <f t="shared" si="973"/>
        <v>-6.2415778691989505</v>
      </c>
    </row>
    <row r="367" spans="1:20" x14ac:dyDescent="0.25">
      <c r="A367" s="5">
        <v>44226</v>
      </c>
      <c r="B367">
        <v>1.9689999999999999E-2</v>
      </c>
      <c r="C367">
        <v>2.249E-2</v>
      </c>
      <c r="D367">
        <v>1.9429999999999999E-2</v>
      </c>
      <c r="E367">
        <v>2.0650000000000002E-2</v>
      </c>
      <c r="F367">
        <v>25446339.100000001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-0.20261437908496585</v>
      </c>
      <c r="Q367">
        <f t="shared" si="970"/>
        <v>-5155794.1967319893</v>
      </c>
      <c r="R367">
        <f t="shared" si="971"/>
        <v>-646251368.83025777</v>
      </c>
      <c r="S367">
        <f t="shared" si="972"/>
        <v>-6462.513688302578</v>
      </c>
      <c r="T367">
        <f t="shared" si="973"/>
        <v>-6.462513688302578</v>
      </c>
    </row>
    <row r="368" spans="1:20" x14ac:dyDescent="0.25">
      <c r="A368" s="5">
        <v>44225</v>
      </c>
      <c r="B368">
        <v>2.1530000000000001E-2</v>
      </c>
      <c r="C368">
        <v>2.2519999999999998E-2</v>
      </c>
      <c r="D368">
        <v>1.9040000000000001E-2</v>
      </c>
      <c r="E368">
        <v>1.966E-2</v>
      </c>
      <c r="F368">
        <v>64558959.299999997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-0.64367816091954044</v>
      </c>
      <c r="Q368">
        <f t="shared" si="970"/>
        <v>-41555192.193103462</v>
      </c>
      <c r="R368">
        <f t="shared" si="971"/>
        <v>-641095574.63352573</v>
      </c>
      <c r="S368">
        <f t="shared" si="972"/>
        <v>-6410.9557463352576</v>
      </c>
      <c r="T368">
        <f t="shared" si="973"/>
        <v>-6.410955746335258</v>
      </c>
    </row>
    <row r="369" spans="1:20" x14ac:dyDescent="0.25">
      <c r="A369" s="5">
        <v>44224</v>
      </c>
      <c r="B369">
        <v>1.9939999999999999E-2</v>
      </c>
      <c r="C369">
        <v>2.2069999999999999E-2</v>
      </c>
      <c r="D369">
        <v>1.9939999999999999E-2</v>
      </c>
      <c r="E369">
        <v>2.1499999999999998E-2</v>
      </c>
      <c r="F369">
        <v>53204226.299999997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0.46478873239436519</v>
      </c>
      <c r="Q369">
        <f t="shared" si="970"/>
        <v>24728724.899999946</v>
      </c>
      <c r="R369">
        <f t="shared" si="971"/>
        <v>-599540382.4404223</v>
      </c>
      <c r="S369">
        <f t="shared" si="972"/>
        <v>-5995.4038244042231</v>
      </c>
      <c r="T369">
        <f t="shared" si="973"/>
        <v>-5.9954038244042227</v>
      </c>
    </row>
    <row r="370" spans="1:20" x14ac:dyDescent="0.25">
      <c r="A370" s="5">
        <v>44223</v>
      </c>
      <c r="B370">
        <v>2.3230000000000001E-2</v>
      </c>
      <c r="C370">
        <v>2.324E-2</v>
      </c>
      <c r="D370">
        <v>1.8950000000000002E-2</v>
      </c>
      <c r="E370">
        <v>1.9990000000000001E-2</v>
      </c>
      <c r="F370">
        <v>98547560.099999994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-0.51515151515151536</v>
      </c>
      <c r="Q370">
        <f t="shared" si="970"/>
        <v>-50766924.900000021</v>
      </c>
      <c r="R370">
        <f t="shared" si="971"/>
        <v>-624269107.34042227</v>
      </c>
      <c r="S370">
        <f t="shared" si="972"/>
        <v>-6242.6910734042231</v>
      </c>
      <c r="T370">
        <f t="shared" si="973"/>
        <v>-6.2426910734042229</v>
      </c>
    </row>
    <row r="371" spans="1:20" x14ac:dyDescent="0.25">
      <c r="A371" s="5">
        <v>44222</v>
      </c>
      <c r="B371">
        <v>2.359E-2</v>
      </c>
      <c r="C371">
        <v>2.649E-2</v>
      </c>
      <c r="D371">
        <v>2.1360000000000001E-2</v>
      </c>
      <c r="E371">
        <v>2.3220000000000001E-2</v>
      </c>
      <c r="F371">
        <v>170382616.59999999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-0.27485380116959029</v>
      </c>
      <c r="Q371">
        <f t="shared" si="970"/>
        <v>-46830309.825730935</v>
      </c>
      <c r="R371">
        <f t="shared" si="971"/>
        <v>-573502182.4404223</v>
      </c>
      <c r="S371">
        <f t="shared" si="972"/>
        <v>-5735.0218244042226</v>
      </c>
      <c r="T371">
        <f t="shared" si="973"/>
        <v>-5.7350218244042228</v>
      </c>
    </row>
    <row r="372" spans="1:20" x14ac:dyDescent="0.25">
      <c r="A372" s="5">
        <v>44221</v>
      </c>
      <c r="B372">
        <v>1.9890000000000001E-2</v>
      </c>
      <c r="C372">
        <v>2.9000000000000001E-2</v>
      </c>
      <c r="D372">
        <v>1.9890000000000001E-2</v>
      </c>
      <c r="E372">
        <v>2.359E-2</v>
      </c>
      <c r="F372">
        <v>198450801.09999999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-0.18770581778265677</v>
      </c>
      <c r="Q372">
        <f t="shared" si="970"/>
        <v>-37250369.910098858</v>
      </c>
      <c r="R372">
        <f t="shared" si="971"/>
        <v>-526671872.61469138</v>
      </c>
      <c r="S372">
        <f t="shared" si="972"/>
        <v>-5266.7187261469135</v>
      </c>
      <c r="T372">
        <f t="shared" si="973"/>
        <v>-5.2667187261469133</v>
      </c>
    </row>
    <row r="373" spans="1:20" x14ac:dyDescent="0.25">
      <c r="A373" s="5">
        <v>44220</v>
      </c>
      <c r="B373">
        <v>1.8839999999999999E-2</v>
      </c>
      <c r="C373">
        <v>2.0379999999999999E-2</v>
      </c>
      <c r="D373">
        <v>1.839E-2</v>
      </c>
      <c r="E373">
        <v>1.9900000000000001E-2</v>
      </c>
      <c r="F373">
        <v>77101238.200000003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0.51758793969849437</v>
      </c>
      <c r="Q373">
        <f t="shared" si="970"/>
        <v>39906671.02814085</v>
      </c>
      <c r="R373">
        <f t="shared" si="971"/>
        <v>-489421502.70459253</v>
      </c>
      <c r="S373">
        <f t="shared" si="972"/>
        <v>-4894.2150270459251</v>
      </c>
      <c r="T373">
        <f t="shared" si="973"/>
        <v>-4.8942150270459255</v>
      </c>
    </row>
    <row r="374" spans="1:20" x14ac:dyDescent="0.25">
      <c r="A374" s="5">
        <v>44219</v>
      </c>
      <c r="B374">
        <v>1.6070000000000001E-2</v>
      </c>
      <c r="C374">
        <v>1.9199999999999998E-2</v>
      </c>
      <c r="D374">
        <v>1.575E-2</v>
      </c>
      <c r="E374">
        <v>1.8849999999999999E-2</v>
      </c>
      <c r="F374">
        <v>25438348.699999999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0.79710144927536242</v>
      </c>
      <c r="Q374">
        <f t="shared" si="970"/>
        <v>20276944.615942031</v>
      </c>
      <c r="R374">
        <f t="shared" si="971"/>
        <v>-529328173.73273337</v>
      </c>
      <c r="S374">
        <f t="shared" si="972"/>
        <v>-5293.2817373273338</v>
      </c>
      <c r="T374">
        <f t="shared" si="973"/>
        <v>-5.2932817373273338</v>
      </c>
    </row>
    <row r="375" spans="1:20" x14ac:dyDescent="0.25">
      <c r="A375" s="5">
        <v>44218</v>
      </c>
      <c r="B375">
        <v>1.5890000000000001E-2</v>
      </c>
      <c r="C375">
        <v>2.2849999999999999E-2</v>
      </c>
      <c r="D375">
        <v>1.431E-2</v>
      </c>
      <c r="E375">
        <v>1.6039999999999999E-2</v>
      </c>
      <c r="F375">
        <v>32004327.699999999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-0.59484777517564424</v>
      </c>
      <c r="Q375">
        <f t="shared" si="970"/>
        <v>-19037703.128337242</v>
      </c>
      <c r="R375">
        <f t="shared" si="971"/>
        <v>-549605118.34867537</v>
      </c>
      <c r="S375">
        <f t="shared" si="972"/>
        <v>-5496.0511834867539</v>
      </c>
      <c r="T375">
        <f t="shared" si="973"/>
        <v>-5.4960511834867543</v>
      </c>
    </row>
    <row r="376" spans="1:20" x14ac:dyDescent="0.25">
      <c r="A376" s="5">
        <v>44217</v>
      </c>
      <c r="B376">
        <v>1.737E-2</v>
      </c>
      <c r="C376">
        <v>1.7479999999999999E-2</v>
      </c>
      <c r="D376">
        <v>1.559E-2</v>
      </c>
      <c r="E376">
        <v>1.5900000000000001E-2</v>
      </c>
      <c r="F376">
        <v>40963855.5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-0.67195767195767053</v>
      </c>
      <c r="Q376">
        <f t="shared" si="970"/>
        <v>-27525976.976190418</v>
      </c>
      <c r="R376">
        <f t="shared" si="971"/>
        <v>-530567415.22033811</v>
      </c>
      <c r="S376">
        <f t="shared" si="972"/>
        <v>-5305.6741522033808</v>
      </c>
      <c r="T376">
        <f t="shared" si="973"/>
        <v>-5.3056741522033812</v>
      </c>
    </row>
    <row r="377" spans="1:20" x14ac:dyDescent="0.25">
      <c r="A377" s="5">
        <v>44216</v>
      </c>
      <c r="B377">
        <v>1.7860000000000001E-2</v>
      </c>
      <c r="C377">
        <v>1.8509999999999999E-2</v>
      </c>
      <c r="D377">
        <v>1.618E-2</v>
      </c>
      <c r="E377">
        <v>1.7389999999999999E-2</v>
      </c>
      <c r="F377">
        <v>138058856.09999999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3.862660944206002E-2</v>
      </c>
      <c r="Q377">
        <f t="shared" si="970"/>
        <v>5332745.5145922657</v>
      </c>
      <c r="R377">
        <f t="shared" si="971"/>
        <v>-503041438.24414772</v>
      </c>
      <c r="S377">
        <f t="shared" si="972"/>
        <v>-5030.4143824414768</v>
      </c>
      <c r="T377">
        <f t="shared" si="973"/>
        <v>-5.0304143824414771</v>
      </c>
    </row>
    <row r="378" spans="1:20" x14ac:dyDescent="0.25">
      <c r="A378" s="5">
        <v>44215</v>
      </c>
      <c r="B378">
        <v>2.0029999999999999E-2</v>
      </c>
      <c r="C378">
        <v>2.0500000000000001E-2</v>
      </c>
      <c r="D378">
        <v>1.7250000000000001E-2</v>
      </c>
      <c r="E378">
        <v>1.7860000000000001E-2</v>
      </c>
      <c r="F378">
        <v>154200693.19999999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-0.62461538461538491</v>
      </c>
      <c r="Q378">
        <f t="shared" si="970"/>
        <v>-96316125.291076958</v>
      </c>
      <c r="R378">
        <f t="shared" si="971"/>
        <v>-508374183.75874001</v>
      </c>
      <c r="S378">
        <f t="shared" si="972"/>
        <v>-5083.7418375874004</v>
      </c>
      <c r="T378">
        <f t="shared" si="973"/>
        <v>-5.0837418375874002</v>
      </c>
    </row>
    <row r="379" spans="1:20" x14ac:dyDescent="0.25">
      <c r="A379" s="5">
        <v>44214</v>
      </c>
      <c r="B379">
        <v>1.8259999999999998E-2</v>
      </c>
      <c r="C379">
        <v>2.0199999999999999E-2</v>
      </c>
      <c r="D379">
        <v>1.7000000000000001E-2</v>
      </c>
      <c r="E379">
        <v>2.001E-2</v>
      </c>
      <c r="F379">
        <v>62175524.600000001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0.88125000000000042</v>
      </c>
      <c r="Q379">
        <f t="shared" si="970"/>
        <v>54792181.053750031</v>
      </c>
      <c r="R379">
        <f t="shared" si="971"/>
        <v>-412058058.46766305</v>
      </c>
      <c r="S379">
        <f t="shared" si="972"/>
        <v>-4120.5805846766307</v>
      </c>
      <c r="T379">
        <f t="shared" si="973"/>
        <v>-4.120580584676631</v>
      </c>
    </row>
    <row r="380" spans="1:20" x14ac:dyDescent="0.25">
      <c r="A380" s="5">
        <v>44213</v>
      </c>
      <c r="B380">
        <v>1.8929999999999999E-2</v>
      </c>
      <c r="C380">
        <v>1.9439999999999999E-2</v>
      </c>
      <c r="D380">
        <v>1.5520000000000001E-2</v>
      </c>
      <c r="E380">
        <v>1.804E-2</v>
      </c>
      <c r="F380">
        <v>30693229.100000001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0.28571428571428614</v>
      </c>
      <c r="Q380">
        <f t="shared" si="970"/>
        <v>8769494.0285714418</v>
      </c>
      <c r="R380">
        <f t="shared" si="971"/>
        <v>-466850239.52141309</v>
      </c>
      <c r="S380">
        <f t="shared" si="972"/>
        <v>-4668.502395214131</v>
      </c>
      <c r="T380">
        <f t="shared" si="973"/>
        <v>-4.6685023952141309</v>
      </c>
    </row>
    <row r="381" spans="1:20" x14ac:dyDescent="0.25">
      <c r="A381" s="5">
        <v>44212</v>
      </c>
      <c r="B381">
        <v>1.542E-2</v>
      </c>
      <c r="C381">
        <v>1.9189999999999999E-2</v>
      </c>
      <c r="D381">
        <v>1.4069999999999999E-2</v>
      </c>
      <c r="E381">
        <v>1.9050000000000001E-2</v>
      </c>
      <c r="F381">
        <v>32604005.600000001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0.94531250000000089</v>
      </c>
      <c r="Q381">
        <f t="shared" si="970"/>
        <v>30820974.043750029</v>
      </c>
      <c r="R381">
        <f t="shared" si="971"/>
        <v>-475619733.54998451</v>
      </c>
      <c r="S381">
        <f t="shared" si="972"/>
        <v>-4756.1973354998454</v>
      </c>
      <c r="T381">
        <f t="shared" si="973"/>
        <v>-4.756197335499845</v>
      </c>
    </row>
    <row r="382" spans="1:20" x14ac:dyDescent="0.25">
      <c r="A382" s="5">
        <v>44211</v>
      </c>
      <c r="B382">
        <v>1.3769999999999999E-2</v>
      </c>
      <c r="C382">
        <v>1.7500000000000002E-2</v>
      </c>
      <c r="D382">
        <v>1.3050000000000001E-2</v>
      </c>
      <c r="E382">
        <v>1.5429999999999999E-2</v>
      </c>
      <c r="F382">
        <v>29977351.100000001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6.96629213483137E-2</v>
      </c>
      <c r="Q382">
        <f t="shared" si="970"/>
        <v>2088309.8519100852</v>
      </c>
      <c r="R382">
        <f t="shared" si="971"/>
        <v>-506440707.59373456</v>
      </c>
      <c r="S382">
        <f t="shared" si="972"/>
        <v>-5064.4070759373453</v>
      </c>
      <c r="T382">
        <f t="shared" si="973"/>
        <v>-5.0644070759373454</v>
      </c>
    </row>
    <row r="383" spans="1:20" x14ac:dyDescent="0.25">
      <c r="A383" s="5">
        <v>44210</v>
      </c>
      <c r="B383">
        <v>1.2619999999999999E-2</v>
      </c>
      <c r="C383">
        <v>1.461E-2</v>
      </c>
      <c r="D383">
        <v>1.256E-2</v>
      </c>
      <c r="E383">
        <v>1.379E-2</v>
      </c>
      <c r="F383">
        <v>16537934.800000001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0.20000000000000034</v>
      </c>
      <c r="Q383">
        <f t="shared" si="970"/>
        <v>3307586.960000006</v>
      </c>
      <c r="R383">
        <f t="shared" si="971"/>
        <v>-508529017.44564468</v>
      </c>
      <c r="S383">
        <f t="shared" si="972"/>
        <v>-5085.2901744564469</v>
      </c>
      <c r="T383">
        <f t="shared" si="973"/>
        <v>-5.0852901744564472</v>
      </c>
    </row>
    <row r="384" spans="1:20" x14ac:dyDescent="0.25">
      <c r="A384" s="5">
        <v>44209</v>
      </c>
      <c r="B384">
        <v>1.324E-2</v>
      </c>
      <c r="C384">
        <v>1.3990000000000001E-2</v>
      </c>
      <c r="D384">
        <v>1.0500000000000001E-2</v>
      </c>
      <c r="E384">
        <v>1.2710000000000001E-2</v>
      </c>
      <c r="F384">
        <v>35516127.200000003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0.26647564469914048</v>
      </c>
      <c r="Q384">
        <f t="shared" si="970"/>
        <v>9464182.8928366806</v>
      </c>
      <c r="R384">
        <f t="shared" si="971"/>
        <v>-511836604.40564466</v>
      </c>
      <c r="S384">
        <f t="shared" si="972"/>
        <v>-5118.3660440564463</v>
      </c>
      <c r="T384">
        <f t="shared" si="973"/>
        <v>-5.1183660440564465</v>
      </c>
    </row>
    <row r="385" spans="1:20" x14ac:dyDescent="0.25">
      <c r="A385" s="5">
        <v>44208</v>
      </c>
      <c r="B385">
        <v>1.3729999999999999E-2</v>
      </c>
      <c r="C385">
        <v>1.3899999999999999E-2</v>
      </c>
      <c r="D385">
        <v>1.257E-2</v>
      </c>
      <c r="E385">
        <v>1.325E-2</v>
      </c>
      <c r="F385">
        <v>12659293.699999999</v>
      </c>
      <c r="G385">
        <v>0</v>
      </c>
      <c r="L385" t="s">
        <v>7</v>
      </c>
      <c r="M385" t="s">
        <v>7</v>
      </c>
      <c r="N385" t="s">
        <v>8</v>
      </c>
      <c r="P385">
        <f t="shared" si="969"/>
        <v>2.2556390977444E-2</v>
      </c>
      <c r="Q385">
        <f t="shared" si="970"/>
        <v>285547.97819549363</v>
      </c>
      <c r="R385">
        <f t="shared" si="971"/>
        <v>-521300787.29848135</v>
      </c>
      <c r="S385">
        <f t="shared" si="972"/>
        <v>-5213.0078729848137</v>
      </c>
      <c r="T385">
        <f t="shared" si="973"/>
        <v>-5.2130078729848135</v>
      </c>
    </row>
    <row r="386" spans="1:20" x14ac:dyDescent="0.25">
      <c r="A386" s="5">
        <v>44207</v>
      </c>
      <c r="B386">
        <v>1.5129999999999999E-2</v>
      </c>
      <c r="C386">
        <v>1.5129999999999999E-2</v>
      </c>
      <c r="D386">
        <v>1.2619999999999999E-2</v>
      </c>
      <c r="E386">
        <v>1.375E-2</v>
      </c>
      <c r="F386">
        <v>17428671.399999999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-9.9601593625497406E-2</v>
      </c>
      <c r="Q386">
        <f t="shared" si="970"/>
        <v>-1735923.4462151288</v>
      </c>
      <c r="R386">
        <f t="shared" si="971"/>
        <v>-521586335.27667683</v>
      </c>
      <c r="S386">
        <f t="shared" si="972"/>
        <v>-5215.863352766768</v>
      </c>
      <c r="T386">
        <f t="shared" si="973"/>
        <v>-5.2158633527667684</v>
      </c>
    </row>
    <row r="387" spans="1:20" x14ac:dyDescent="0.25">
      <c r="A387" s="5">
        <v>44206</v>
      </c>
      <c r="B387">
        <v>1.5959999999999998E-2</v>
      </c>
      <c r="C387">
        <v>1.7500000000000002E-2</v>
      </c>
      <c r="D387">
        <v>1.431E-2</v>
      </c>
      <c r="E387">
        <v>1.5129999999999999E-2</v>
      </c>
      <c r="F387">
        <v>20148737.199999999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-0.48589341692790028</v>
      </c>
      <c r="Q387">
        <f t="shared" si="970"/>
        <v>-9790138.7648902945</v>
      </c>
      <c r="R387">
        <f t="shared" si="971"/>
        <v>-519850411.83046168</v>
      </c>
      <c r="S387">
        <f t="shared" si="972"/>
        <v>-5198.5041183046169</v>
      </c>
      <c r="T387">
        <f t="shared" si="973"/>
        <v>-5.1985041183046166</v>
      </c>
    </row>
    <row r="388" spans="1:20" x14ac:dyDescent="0.25">
      <c r="A388" s="5">
        <v>44205</v>
      </c>
      <c r="B388">
        <v>1.405E-2</v>
      </c>
      <c r="C388">
        <v>1.7299999999999999E-2</v>
      </c>
      <c r="D388">
        <v>1.34E-2</v>
      </c>
      <c r="E388">
        <v>1.601E-2</v>
      </c>
      <c r="F388">
        <v>26273266.699999999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0.33846153846153854</v>
      </c>
      <c r="Q388">
        <f t="shared" si="970"/>
        <v>8892490.2676923089</v>
      </c>
      <c r="R388">
        <f t="shared" si="971"/>
        <v>-510060273.06557137</v>
      </c>
      <c r="S388">
        <f t="shared" si="972"/>
        <v>-5100.6027306557135</v>
      </c>
      <c r="T388">
        <f t="shared" si="973"/>
        <v>-5.1006027306557131</v>
      </c>
    </row>
    <row r="389" spans="1:20" x14ac:dyDescent="0.25">
      <c r="A389" s="5">
        <v>44204</v>
      </c>
      <c r="B389">
        <v>1.5469999999999999E-2</v>
      </c>
      <c r="C389">
        <v>1.55E-2</v>
      </c>
      <c r="D389">
        <v>1.273E-2</v>
      </c>
      <c r="E389">
        <v>1.406E-2</v>
      </c>
      <c r="F389">
        <v>20191045.300000001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-3.9711191335740331E-2</v>
      </c>
      <c r="Q389">
        <f t="shared" si="970"/>
        <v>-801810.46317690052</v>
      </c>
      <c r="R389">
        <f t="shared" si="971"/>
        <v>-518952763.3332637</v>
      </c>
      <c r="S389">
        <f t="shared" si="972"/>
        <v>-5189.5276333326374</v>
      </c>
      <c r="T389">
        <f t="shared" si="973"/>
        <v>-5.189527633332637</v>
      </c>
    </row>
    <row r="390" spans="1:20" x14ac:dyDescent="0.25">
      <c r="A390" s="5">
        <v>44203</v>
      </c>
      <c r="B390">
        <v>1.438E-2</v>
      </c>
      <c r="C390">
        <v>1.5480000000000001E-2</v>
      </c>
      <c r="D390">
        <v>1.357E-2</v>
      </c>
      <c r="E390">
        <v>1.5429999999999999E-2</v>
      </c>
      <c r="F390">
        <v>26891091.699999999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0.94764397905759012</v>
      </c>
      <c r="Q390">
        <f t="shared" ref="Q390:Q453" si="975">F390*P390</f>
        <v>25483181.139790535</v>
      </c>
      <c r="R390">
        <f t="shared" ref="R390:R453" si="976">R391+Q390</f>
        <v>-518150952.87008679</v>
      </c>
      <c r="S390">
        <f t="shared" ref="S390:S453" si="977">R390/100000</f>
        <v>-5181.509528700868</v>
      </c>
      <c r="T390">
        <f t="shared" ref="T390:T453" si="978">S390/1000</f>
        <v>-5.1815095287008681</v>
      </c>
    </row>
    <row r="391" spans="1:20" x14ac:dyDescent="0.25">
      <c r="A391" s="5">
        <v>44202</v>
      </c>
      <c r="B391">
        <v>1.321E-2</v>
      </c>
      <c r="C391">
        <v>1.478E-2</v>
      </c>
      <c r="D391">
        <v>1.2840000000000001E-2</v>
      </c>
      <c r="E391">
        <v>1.434E-2</v>
      </c>
      <c r="F391">
        <v>79536360.099999994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0.54639175257731998</v>
      </c>
      <c r="Q391">
        <f t="shared" si="975"/>
        <v>43458011.188659824</v>
      </c>
      <c r="R391">
        <f t="shared" si="976"/>
        <v>-543634134.00987732</v>
      </c>
      <c r="S391">
        <f t="shared" si="977"/>
        <v>-5436.3413400987729</v>
      </c>
      <c r="T391">
        <f t="shared" si="978"/>
        <v>-5.4363413400987728</v>
      </c>
    </row>
    <row r="392" spans="1:20" x14ac:dyDescent="0.25">
      <c r="A392" s="5">
        <v>44201</v>
      </c>
      <c r="B392">
        <v>1.3860000000000001E-2</v>
      </c>
      <c r="C392">
        <v>1.482E-2</v>
      </c>
      <c r="D392">
        <v>1.172E-2</v>
      </c>
      <c r="E392">
        <v>1.323E-2</v>
      </c>
      <c r="F392">
        <v>125162626.5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-2.580645161290273E-2</v>
      </c>
      <c r="Q392">
        <f t="shared" si="975"/>
        <v>-3230003.2645160668</v>
      </c>
      <c r="R392">
        <f t="shared" si="976"/>
        <v>-587092145.19853711</v>
      </c>
      <c r="S392">
        <f t="shared" si="977"/>
        <v>-5870.9214519853713</v>
      </c>
      <c r="T392">
        <f t="shared" si="978"/>
        <v>-5.870921451985371</v>
      </c>
    </row>
    <row r="393" spans="1:20" x14ac:dyDescent="0.25">
      <c r="A393" s="5">
        <v>44200</v>
      </c>
      <c r="B393">
        <v>1.507E-2</v>
      </c>
      <c r="C393">
        <v>1.6410000000000001E-2</v>
      </c>
      <c r="D393">
        <v>1.2999999999999999E-2</v>
      </c>
      <c r="E393">
        <v>1.3849999999999999E-2</v>
      </c>
      <c r="F393">
        <v>121841046.8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-0.50146627565982427</v>
      </c>
      <c r="Q393">
        <f t="shared" si="975"/>
        <v>-61099175.961290345</v>
      </c>
      <c r="R393">
        <f t="shared" si="976"/>
        <v>-583862141.934021</v>
      </c>
      <c r="S393">
        <f t="shared" si="977"/>
        <v>-5838.6214193402102</v>
      </c>
      <c r="T393">
        <f t="shared" si="978"/>
        <v>-5.8386214193402104</v>
      </c>
    </row>
    <row r="394" spans="1:20" x14ac:dyDescent="0.25">
      <c r="A394" s="5">
        <v>44199</v>
      </c>
      <c r="B394">
        <v>1.566E-2</v>
      </c>
      <c r="C394">
        <v>1.634E-2</v>
      </c>
      <c r="D394">
        <v>1.4619999999999999E-2</v>
      </c>
      <c r="E394">
        <v>1.5049999999999999E-2</v>
      </c>
      <c r="F394">
        <v>75688599.700000003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-0.50000000000000056</v>
      </c>
      <c r="Q394">
        <f t="shared" si="975"/>
        <v>-37844299.850000046</v>
      </c>
      <c r="R394">
        <f t="shared" si="976"/>
        <v>-522762965.9727307</v>
      </c>
      <c r="S394">
        <f t="shared" si="977"/>
        <v>-5227.6296597273067</v>
      </c>
      <c r="T394">
        <f t="shared" si="978"/>
        <v>-5.2276296597273069</v>
      </c>
    </row>
    <row r="395" spans="1:20" x14ac:dyDescent="0.25">
      <c r="A395" s="5">
        <v>44198</v>
      </c>
      <c r="B395">
        <v>1.559E-2</v>
      </c>
      <c r="C395">
        <v>1.6590000000000001E-2</v>
      </c>
      <c r="D395">
        <v>1.5299999999999999E-2</v>
      </c>
      <c r="E395">
        <v>1.566E-2</v>
      </c>
      <c r="F395">
        <v>35186022.799999997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-0.44186046511627813</v>
      </c>
      <c r="Q395">
        <f t="shared" si="975"/>
        <v>-15547312.399999965</v>
      </c>
      <c r="R395">
        <f t="shared" si="976"/>
        <v>-484918666.12273067</v>
      </c>
      <c r="S395">
        <f t="shared" si="977"/>
        <v>-4849.186661227307</v>
      </c>
      <c r="T395">
        <f t="shared" si="978"/>
        <v>-4.8491866612273071</v>
      </c>
    </row>
    <row r="396" spans="1:20" x14ac:dyDescent="0.25">
      <c r="A396" s="5">
        <v>44197</v>
      </c>
      <c r="B396">
        <v>1.5259999999999999E-2</v>
      </c>
      <c r="C396">
        <v>1.6719999999999999E-2</v>
      </c>
      <c r="D396">
        <v>1.512E-2</v>
      </c>
      <c r="E396">
        <v>1.558E-2</v>
      </c>
      <c r="F396">
        <v>23626392.199999999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-0.42499999999999921</v>
      </c>
      <c r="Q396">
        <f t="shared" si="975"/>
        <v>-10041216.684999982</v>
      </c>
      <c r="R396">
        <f t="shared" si="976"/>
        <v>-469371353.7227307</v>
      </c>
      <c r="S396">
        <f t="shared" si="977"/>
        <v>-4693.7135372273069</v>
      </c>
      <c r="T396">
        <f t="shared" si="978"/>
        <v>-4.6937135372273069</v>
      </c>
    </row>
    <row r="397" spans="1:20" x14ac:dyDescent="0.25">
      <c r="A397" s="5">
        <v>44196</v>
      </c>
      <c r="B397">
        <v>1.5800000000000002E-2</v>
      </c>
      <c r="C397">
        <v>1.5859999999999999E-2</v>
      </c>
      <c r="D397">
        <v>1.4710000000000001E-2</v>
      </c>
      <c r="E397">
        <v>1.52E-2</v>
      </c>
      <c r="F397">
        <v>23703797.600000001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-0.14782608695652197</v>
      </c>
      <c r="Q397">
        <f t="shared" si="975"/>
        <v>-3504039.6452173968</v>
      </c>
      <c r="R397">
        <f t="shared" si="976"/>
        <v>-459330137.03773069</v>
      </c>
      <c r="S397">
        <f t="shared" si="977"/>
        <v>-4593.3013703773067</v>
      </c>
      <c r="T397">
        <f t="shared" si="978"/>
        <v>-4.5933013703773069</v>
      </c>
    </row>
    <row r="398" spans="1:20" x14ac:dyDescent="0.25">
      <c r="A398" s="5">
        <v>44195</v>
      </c>
      <c r="B398">
        <v>1.5350000000000001E-2</v>
      </c>
      <c r="C398">
        <v>1.6219999999999998E-2</v>
      </c>
      <c r="D398">
        <v>1.4800000000000001E-2</v>
      </c>
      <c r="E398">
        <v>1.5820000000000001E-2</v>
      </c>
      <c r="F398">
        <v>31338666.699999999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0.43661971830986163</v>
      </c>
      <c r="Q398">
        <f t="shared" si="975"/>
        <v>13683079.82676064</v>
      </c>
      <c r="R398">
        <f t="shared" si="976"/>
        <v>-455826097.39251328</v>
      </c>
      <c r="S398">
        <f t="shared" si="977"/>
        <v>-4558.2609739251329</v>
      </c>
      <c r="T398">
        <f t="shared" si="978"/>
        <v>-4.5582609739251332</v>
      </c>
    </row>
    <row r="399" spans="1:20" x14ac:dyDescent="0.25">
      <c r="A399" s="5">
        <v>44194</v>
      </c>
      <c r="B399">
        <v>1.5959999999999998E-2</v>
      </c>
      <c r="C399">
        <v>1.7000000000000001E-2</v>
      </c>
      <c r="D399">
        <v>1.528E-2</v>
      </c>
      <c r="E399">
        <v>1.533E-2</v>
      </c>
      <c r="F399">
        <v>36181174.5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-0.94186046511627941</v>
      </c>
      <c r="Q399">
        <f t="shared" si="975"/>
        <v>-34077617.84302327</v>
      </c>
      <c r="R399">
        <f t="shared" si="976"/>
        <v>-469509177.21927392</v>
      </c>
      <c r="S399">
        <f t="shared" si="977"/>
        <v>-4695.091772192739</v>
      </c>
      <c r="T399">
        <f t="shared" si="978"/>
        <v>-4.6950917721927388</v>
      </c>
    </row>
    <row r="400" spans="1:20" x14ac:dyDescent="0.25">
      <c r="A400" s="5">
        <v>44193</v>
      </c>
      <c r="B400">
        <v>1.6140000000000002E-2</v>
      </c>
      <c r="C400">
        <v>1.67E-2</v>
      </c>
      <c r="D400">
        <v>1.5910000000000001E-2</v>
      </c>
      <c r="E400">
        <v>1.5959999999999998E-2</v>
      </c>
      <c r="F400">
        <v>35441777.299999997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-0.87341772151899233</v>
      </c>
      <c r="Q400">
        <f t="shared" si="975"/>
        <v>-30955476.375949543</v>
      </c>
      <c r="R400">
        <f t="shared" si="976"/>
        <v>-435431559.37625068</v>
      </c>
      <c r="S400">
        <f t="shared" si="977"/>
        <v>-4354.315593762507</v>
      </c>
      <c r="T400">
        <f t="shared" si="978"/>
        <v>-4.3543155937625073</v>
      </c>
    </row>
    <row r="401" spans="1:20" x14ac:dyDescent="0.25">
      <c r="A401" s="5">
        <v>44192</v>
      </c>
      <c r="B401">
        <v>1.6369999999999999E-2</v>
      </c>
      <c r="C401">
        <v>1.6729999999999998E-2</v>
      </c>
      <c r="D401">
        <v>1.5699999999999999E-2</v>
      </c>
      <c r="E401">
        <v>1.6140000000000002E-2</v>
      </c>
      <c r="F401">
        <v>43355043.700000003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-0.14563106796115916</v>
      </c>
      <c r="Q401">
        <f t="shared" si="975"/>
        <v>-6313841.3155337255</v>
      </c>
      <c r="R401">
        <f t="shared" si="976"/>
        <v>-404476083.00030112</v>
      </c>
      <c r="S401">
        <f t="shared" si="977"/>
        <v>-4044.7608300030111</v>
      </c>
      <c r="T401">
        <f t="shared" si="978"/>
        <v>-4.0447608300030113</v>
      </c>
    </row>
    <row r="402" spans="1:20" x14ac:dyDescent="0.25">
      <c r="A402" s="5">
        <v>44191</v>
      </c>
      <c r="B402">
        <v>1.6820000000000002E-2</v>
      </c>
      <c r="C402">
        <v>1.728E-2</v>
      </c>
      <c r="D402">
        <v>1.5939999999999999E-2</v>
      </c>
      <c r="E402">
        <v>1.6379999999999999E-2</v>
      </c>
      <c r="F402">
        <v>25634838.899999999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-0.34328358208955356</v>
      </c>
      <c r="Q402">
        <f t="shared" si="975"/>
        <v>-8800019.3238806296</v>
      </c>
      <c r="R402">
        <f t="shared" si="976"/>
        <v>-398162241.68476743</v>
      </c>
      <c r="S402">
        <f t="shared" si="977"/>
        <v>-3981.6224168476742</v>
      </c>
      <c r="T402">
        <f t="shared" si="978"/>
        <v>-3.9816224168476744</v>
      </c>
    </row>
    <row r="403" spans="1:20" x14ac:dyDescent="0.25">
      <c r="A403" s="5">
        <v>44190</v>
      </c>
      <c r="B403">
        <v>1.702E-2</v>
      </c>
      <c r="C403">
        <v>1.7309999999999999E-2</v>
      </c>
      <c r="D403">
        <v>1.5949999999999999E-2</v>
      </c>
      <c r="E403">
        <v>1.6809999999999999E-2</v>
      </c>
      <c r="F403">
        <v>24944571.800000001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0.26470588235294057</v>
      </c>
      <c r="Q403">
        <f t="shared" si="975"/>
        <v>6602974.8882352794</v>
      </c>
      <c r="R403">
        <f t="shared" si="976"/>
        <v>-389362222.36088681</v>
      </c>
      <c r="S403">
        <f t="shared" si="977"/>
        <v>-3893.6222236088679</v>
      </c>
      <c r="T403">
        <f t="shared" si="978"/>
        <v>-3.893622223608868</v>
      </c>
    </row>
    <row r="404" spans="1:20" x14ac:dyDescent="0.25">
      <c r="A404" s="5">
        <v>44189</v>
      </c>
      <c r="B404">
        <v>1.6230000000000001E-2</v>
      </c>
      <c r="C404">
        <v>1.7489999999999999E-2</v>
      </c>
      <c r="D404">
        <v>1.5800000000000002E-2</v>
      </c>
      <c r="E404">
        <v>1.7010000000000001E-2</v>
      </c>
      <c r="F404">
        <v>26824975.600000001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0.43195266272189514</v>
      </c>
      <c r="Q404">
        <f t="shared" si="975"/>
        <v>11587119.637869867</v>
      </c>
      <c r="R404">
        <f t="shared" si="976"/>
        <v>-395965197.24912208</v>
      </c>
      <c r="S404">
        <f t="shared" si="977"/>
        <v>-3959.6519724912209</v>
      </c>
      <c r="T404">
        <f t="shared" si="978"/>
        <v>-3.9596519724912209</v>
      </c>
    </row>
    <row r="405" spans="1:20" x14ac:dyDescent="0.25">
      <c r="A405" s="5">
        <v>44188</v>
      </c>
      <c r="B405">
        <v>1.8460000000000001E-2</v>
      </c>
      <c r="C405">
        <v>2.7570000000000001E-2</v>
      </c>
      <c r="D405">
        <v>1.6E-2</v>
      </c>
      <c r="E405">
        <v>1.6219999999999998E-2</v>
      </c>
      <c r="F405">
        <v>110295747.3</v>
      </c>
      <c r="G405">
        <v>0</v>
      </c>
      <c r="L405" t="s">
        <v>8</v>
      </c>
      <c r="M405" t="s">
        <v>8</v>
      </c>
      <c r="N405" t="s">
        <v>7</v>
      </c>
      <c r="P405">
        <f t="shared" si="974"/>
        <v>-0.96197061365600722</v>
      </c>
      <c r="Q405">
        <f t="shared" si="975"/>
        <v>-106101267.71382889</v>
      </c>
      <c r="R405">
        <f t="shared" si="976"/>
        <v>-407552316.88699198</v>
      </c>
      <c r="S405">
        <f t="shared" si="977"/>
        <v>-4075.5231688699196</v>
      </c>
      <c r="T405">
        <f t="shared" si="978"/>
        <v>-4.0755231688699194</v>
      </c>
    </row>
    <row r="406" spans="1:20" x14ac:dyDescent="0.25">
      <c r="A406" s="5">
        <v>44187</v>
      </c>
      <c r="B406">
        <v>1.8720000000000001E-2</v>
      </c>
      <c r="C406">
        <v>1.9439999999999999E-2</v>
      </c>
      <c r="D406">
        <v>1.8200000000000001E-2</v>
      </c>
      <c r="E406">
        <v>1.848E-2</v>
      </c>
      <c r="F406">
        <v>21883666.600000001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-0.5483870967741945</v>
      </c>
      <c r="Q406">
        <f t="shared" si="975"/>
        <v>-12000720.393548409</v>
      </c>
      <c r="R406">
        <f t="shared" si="976"/>
        <v>-301451049.17316306</v>
      </c>
      <c r="S406">
        <f t="shared" si="977"/>
        <v>-3014.5104917316307</v>
      </c>
      <c r="T406">
        <f t="shared" si="978"/>
        <v>-3.0145104917316305</v>
      </c>
    </row>
    <row r="407" spans="1:20" x14ac:dyDescent="0.25">
      <c r="A407" s="5">
        <v>44186</v>
      </c>
      <c r="B407">
        <v>1.9970000000000002E-2</v>
      </c>
      <c r="C407">
        <v>2.0590000000000001E-2</v>
      </c>
      <c r="D407">
        <v>1.831E-2</v>
      </c>
      <c r="E407">
        <v>1.874E-2</v>
      </c>
      <c r="F407">
        <v>18622431.600000001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-0.62280701754385992</v>
      </c>
      <c r="Q407">
        <f t="shared" si="975"/>
        <v>-11598181.084210532</v>
      </c>
      <c r="R407">
        <f t="shared" si="976"/>
        <v>-289450328.77961463</v>
      </c>
      <c r="S407">
        <f t="shared" si="977"/>
        <v>-2894.5032877961462</v>
      </c>
      <c r="T407">
        <f t="shared" si="978"/>
        <v>-2.8945032877961463</v>
      </c>
    </row>
    <row r="408" spans="1:20" x14ac:dyDescent="0.25">
      <c r="A408" s="5">
        <v>44185</v>
      </c>
      <c r="B408">
        <v>1.9460000000000002E-2</v>
      </c>
      <c r="C408">
        <v>2.0660000000000001E-2</v>
      </c>
      <c r="D408">
        <v>1.8530000000000001E-2</v>
      </c>
      <c r="E408">
        <v>1.9939999999999999E-2</v>
      </c>
      <c r="F408">
        <v>31432470.300000001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0.32394366197182922</v>
      </c>
      <c r="Q408">
        <f t="shared" si="975"/>
        <v>10182349.533802763</v>
      </c>
      <c r="R408">
        <f t="shared" si="976"/>
        <v>-277852147.69540411</v>
      </c>
      <c r="S408">
        <f t="shared" si="977"/>
        <v>-2778.5214769540412</v>
      </c>
      <c r="T408">
        <f t="shared" si="978"/>
        <v>-2.7785214769540412</v>
      </c>
    </row>
    <row r="409" spans="1:20" x14ac:dyDescent="0.25">
      <c r="A409" s="5">
        <v>44184</v>
      </c>
      <c r="B409">
        <v>1.9910000000000001E-2</v>
      </c>
      <c r="C409">
        <v>2.0240000000000001E-2</v>
      </c>
      <c r="D409">
        <v>1.83E-2</v>
      </c>
      <c r="E409">
        <v>1.941E-2</v>
      </c>
      <c r="F409">
        <v>26275974.600000001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0.14432989690721593</v>
      </c>
      <c r="Q409">
        <f t="shared" si="975"/>
        <v>3792408.7051546243</v>
      </c>
      <c r="R409">
        <f t="shared" si="976"/>
        <v>-288034497.22920686</v>
      </c>
      <c r="S409">
        <f t="shared" si="977"/>
        <v>-2880.3449722920686</v>
      </c>
      <c r="T409">
        <f t="shared" si="978"/>
        <v>-2.8803449722920687</v>
      </c>
    </row>
    <row r="410" spans="1:20" x14ac:dyDescent="0.25">
      <c r="A410" s="5">
        <v>44183</v>
      </c>
      <c r="B410">
        <v>1.8769999999999998E-2</v>
      </c>
      <c r="C410">
        <v>2.1100000000000001E-2</v>
      </c>
      <c r="D410">
        <v>1.8069999999999999E-2</v>
      </c>
      <c r="E410">
        <v>1.9910000000000001E-2</v>
      </c>
      <c r="F410">
        <v>35097243.799999997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0.21452145214521484</v>
      </c>
      <c r="Q410">
        <f t="shared" si="975"/>
        <v>7529111.7062706379</v>
      </c>
      <c r="R410">
        <f t="shared" si="976"/>
        <v>-291826905.93436146</v>
      </c>
      <c r="S410">
        <f t="shared" si="977"/>
        <v>-2918.2690593436146</v>
      </c>
      <c r="T410">
        <f t="shared" si="978"/>
        <v>-2.9182690593436145</v>
      </c>
    </row>
    <row r="411" spans="1:20" x14ac:dyDescent="0.25">
      <c r="A411" s="5">
        <v>44182</v>
      </c>
      <c r="B411">
        <v>1.8069999999999999E-2</v>
      </c>
      <c r="C411">
        <v>1.8960000000000001E-2</v>
      </c>
      <c r="D411">
        <v>1.755E-2</v>
      </c>
      <c r="E411">
        <v>1.8859999999999998E-2</v>
      </c>
      <c r="F411">
        <v>46635142.600000001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0.85815602836879046</v>
      </c>
      <c r="Q411">
        <f t="shared" si="975"/>
        <v>40020228.75602819</v>
      </c>
      <c r="R411">
        <f t="shared" si="976"/>
        <v>-299356017.64063209</v>
      </c>
      <c r="S411">
        <f t="shared" si="977"/>
        <v>-2993.5601764063208</v>
      </c>
      <c r="T411">
        <f t="shared" si="978"/>
        <v>-2.9935601764063207</v>
      </c>
    </row>
    <row r="412" spans="1:20" x14ac:dyDescent="0.25">
      <c r="A412" s="5">
        <v>44181</v>
      </c>
      <c r="B412">
        <v>1.8339999999999999E-2</v>
      </c>
      <c r="C412">
        <v>1.8780000000000002E-2</v>
      </c>
      <c r="D412">
        <v>1.77E-2</v>
      </c>
      <c r="E412">
        <v>1.7950000000000001E-2</v>
      </c>
      <c r="F412">
        <v>28964985.699999999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-0.53703703703703709</v>
      </c>
      <c r="Q412">
        <f t="shared" si="975"/>
        <v>-15555270.098148149</v>
      </c>
      <c r="R412">
        <f t="shared" si="976"/>
        <v>-339376246.39666027</v>
      </c>
      <c r="S412">
        <f t="shared" si="977"/>
        <v>-3393.7624639666028</v>
      </c>
      <c r="T412">
        <f t="shared" si="978"/>
        <v>-3.3937624639666026</v>
      </c>
    </row>
    <row r="413" spans="1:20" x14ac:dyDescent="0.25">
      <c r="A413" s="5">
        <v>44180</v>
      </c>
      <c r="B413">
        <v>1.9040000000000001E-2</v>
      </c>
      <c r="C413">
        <v>1.925E-2</v>
      </c>
      <c r="D413">
        <v>1.7770000000000001E-2</v>
      </c>
      <c r="E413">
        <v>1.8339999999999999E-2</v>
      </c>
      <c r="F413">
        <v>20917010.199999999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-0.2297297297297323</v>
      </c>
      <c r="Q413">
        <f t="shared" si="975"/>
        <v>-4805259.1000000536</v>
      </c>
      <c r="R413">
        <f t="shared" si="976"/>
        <v>-323820976.2985121</v>
      </c>
      <c r="S413">
        <f t="shared" si="977"/>
        <v>-3238.209762985121</v>
      </c>
      <c r="T413">
        <f t="shared" si="978"/>
        <v>-3.2382097629851208</v>
      </c>
    </row>
    <row r="414" spans="1:20" x14ac:dyDescent="0.25">
      <c r="A414" s="5">
        <v>44179</v>
      </c>
      <c r="B414">
        <v>1.9810000000000001E-2</v>
      </c>
      <c r="C414">
        <v>1.985E-2</v>
      </c>
      <c r="D414">
        <v>1.8599999999999998E-2</v>
      </c>
      <c r="E414">
        <v>1.9029999999999998E-2</v>
      </c>
      <c r="F414">
        <v>15201648.699999999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-0.31200000000000089</v>
      </c>
      <c r="Q414">
        <f t="shared" si="975"/>
        <v>-4742914.3944000136</v>
      </c>
      <c r="R414">
        <f t="shared" si="976"/>
        <v>-319015717.19851208</v>
      </c>
      <c r="S414">
        <f t="shared" si="977"/>
        <v>-3190.1571719851208</v>
      </c>
      <c r="T414">
        <f t="shared" si="978"/>
        <v>-3.1901571719851209</v>
      </c>
    </row>
    <row r="415" spans="1:20" x14ac:dyDescent="0.25">
      <c r="A415" s="5">
        <v>44178</v>
      </c>
      <c r="B415">
        <v>1.9709999999999998E-2</v>
      </c>
      <c r="C415">
        <v>2.0109999999999999E-2</v>
      </c>
      <c r="D415">
        <v>1.8450000000000001E-2</v>
      </c>
      <c r="E415">
        <v>1.983E-2</v>
      </c>
      <c r="F415">
        <v>24468290.800000001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0.66265060240963936</v>
      </c>
      <c r="Q415">
        <f t="shared" si="975"/>
        <v>16213927.638554238</v>
      </c>
      <c r="R415">
        <f t="shared" si="976"/>
        <v>-314272802.80411208</v>
      </c>
      <c r="S415">
        <f t="shared" si="977"/>
        <v>-3142.728028041121</v>
      </c>
      <c r="T415">
        <f t="shared" si="978"/>
        <v>-3.1427280280411209</v>
      </c>
    </row>
    <row r="416" spans="1:20" x14ac:dyDescent="0.25">
      <c r="A416" s="5">
        <v>44177</v>
      </c>
      <c r="B416">
        <v>1.8069999999999999E-2</v>
      </c>
      <c r="C416">
        <v>2.0799999999999999E-2</v>
      </c>
      <c r="D416">
        <v>1.72E-2</v>
      </c>
      <c r="E416">
        <v>1.9720000000000001E-2</v>
      </c>
      <c r="F416">
        <v>25575711.100000001</v>
      </c>
      <c r="G416">
        <v>0</v>
      </c>
      <c r="L416" t="s">
        <v>7</v>
      </c>
      <c r="M416" t="s">
        <v>8</v>
      </c>
      <c r="N416" t="s">
        <v>7</v>
      </c>
      <c r="P416">
        <f t="shared" si="974"/>
        <v>0.40000000000000113</v>
      </c>
      <c r="Q416">
        <f t="shared" si="975"/>
        <v>10230284.440000029</v>
      </c>
      <c r="R416">
        <f t="shared" si="976"/>
        <v>-330486730.44266629</v>
      </c>
      <c r="S416">
        <f t="shared" si="977"/>
        <v>-3304.8673044266629</v>
      </c>
      <c r="T416">
        <f t="shared" si="978"/>
        <v>-3.3048673044266628</v>
      </c>
    </row>
    <row r="417" spans="1:20" x14ac:dyDescent="0.25">
      <c r="A417" s="5">
        <v>44176</v>
      </c>
      <c r="B417">
        <v>0.02</v>
      </c>
      <c r="C417">
        <v>2.0049999999999998E-2</v>
      </c>
      <c r="D417">
        <v>1.7270000000000001E-2</v>
      </c>
      <c r="E417">
        <v>1.804E-2</v>
      </c>
      <c r="F417">
        <v>36513912.399999999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-0.44604316546762557</v>
      </c>
      <c r="Q417">
        <f t="shared" si="975"/>
        <v>-16286781.070503585</v>
      </c>
      <c r="R417">
        <f t="shared" si="976"/>
        <v>-340717014.88266635</v>
      </c>
      <c r="S417">
        <f t="shared" si="977"/>
        <v>-3407.1701488266635</v>
      </c>
      <c r="T417">
        <f t="shared" si="978"/>
        <v>-3.4071701488266637</v>
      </c>
    </row>
    <row r="418" spans="1:20" x14ac:dyDescent="0.25">
      <c r="A418" s="5">
        <v>44175</v>
      </c>
      <c r="B418">
        <v>2.0250000000000001E-2</v>
      </c>
      <c r="C418">
        <v>2.213E-2</v>
      </c>
      <c r="D418">
        <v>1.9189999999999999E-2</v>
      </c>
      <c r="E418">
        <v>1.9990000000000001E-2</v>
      </c>
      <c r="F418">
        <v>188904063.69999999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-0.45578231292516896</v>
      </c>
      <c r="Q418">
        <f t="shared" si="975"/>
        <v>-86099131.074149445</v>
      </c>
      <c r="R418">
        <f t="shared" si="976"/>
        <v>-324430233.81216276</v>
      </c>
      <c r="S418">
        <f t="shared" si="977"/>
        <v>-3244.3023381216276</v>
      </c>
      <c r="T418">
        <f t="shared" si="978"/>
        <v>-3.2443023381216274</v>
      </c>
    </row>
    <row r="419" spans="1:20" x14ac:dyDescent="0.25">
      <c r="A419" s="5">
        <v>44174</v>
      </c>
      <c r="B419">
        <v>1.959E-2</v>
      </c>
      <c r="C419">
        <v>2.1989999999999999E-2</v>
      </c>
      <c r="D419">
        <v>1.9019999999999999E-2</v>
      </c>
      <c r="E419">
        <v>2.0250000000000001E-2</v>
      </c>
      <c r="F419">
        <v>236231788.69999999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-0.17171717171717055</v>
      </c>
      <c r="Q419">
        <f t="shared" si="975"/>
        <v>-40565054.625252247</v>
      </c>
      <c r="R419">
        <f t="shared" si="976"/>
        <v>-238331102.73801333</v>
      </c>
      <c r="S419">
        <f t="shared" si="977"/>
        <v>-2383.3110273801331</v>
      </c>
      <c r="T419">
        <f t="shared" si="978"/>
        <v>-2.3833110273801332</v>
      </c>
    </row>
    <row r="420" spans="1:20" x14ac:dyDescent="0.25">
      <c r="A420" s="5">
        <v>44173</v>
      </c>
      <c r="B420">
        <v>2.0760000000000001E-2</v>
      </c>
      <c r="C420">
        <v>2.0959999999999999E-2</v>
      </c>
      <c r="D420">
        <v>1.9099999999999999E-2</v>
      </c>
      <c r="E420">
        <v>1.959E-2</v>
      </c>
      <c r="F420">
        <v>114706023.09999999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-0.47311827956989172</v>
      </c>
      <c r="Q420">
        <f t="shared" si="975"/>
        <v>-54269516.305376254</v>
      </c>
      <c r="R420">
        <f t="shared" si="976"/>
        <v>-197766048.11276108</v>
      </c>
      <c r="S420">
        <f t="shared" si="977"/>
        <v>-1977.6604811276109</v>
      </c>
      <c r="T420">
        <f t="shared" si="978"/>
        <v>-1.9776604811276108</v>
      </c>
    </row>
    <row r="421" spans="1:20" x14ac:dyDescent="0.25">
      <c r="A421" s="5">
        <v>44172</v>
      </c>
      <c r="B421">
        <v>2.1239999999999998E-2</v>
      </c>
      <c r="C421">
        <v>2.3550000000000001E-2</v>
      </c>
      <c r="D421">
        <v>2.0490000000000001E-2</v>
      </c>
      <c r="E421">
        <v>2.0760000000000001E-2</v>
      </c>
      <c r="F421">
        <v>130090214.2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-0.82352941176470629</v>
      </c>
      <c r="Q421">
        <f t="shared" si="975"/>
        <v>-107133117.57647064</v>
      </c>
      <c r="R421">
        <f t="shared" si="976"/>
        <v>-143496531.80738482</v>
      </c>
      <c r="S421">
        <f t="shared" si="977"/>
        <v>-1434.9653180738483</v>
      </c>
      <c r="T421">
        <f t="shared" si="978"/>
        <v>-1.4349653180738482</v>
      </c>
    </row>
    <row r="422" spans="1:20" x14ac:dyDescent="0.25">
      <c r="A422" s="5">
        <v>44171</v>
      </c>
      <c r="B422">
        <v>2.0750000000000001E-2</v>
      </c>
      <c r="C422">
        <v>2.1999999999999999E-2</v>
      </c>
      <c r="D422">
        <v>1.984E-2</v>
      </c>
      <c r="E422">
        <v>2.1250000000000002E-2</v>
      </c>
      <c r="F422">
        <v>122642226.7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0.30555555555555775</v>
      </c>
      <c r="Q422">
        <f t="shared" si="975"/>
        <v>37474013.713889159</v>
      </c>
      <c r="R422">
        <f t="shared" si="976"/>
        <v>-36363414.230914183</v>
      </c>
      <c r="S422">
        <f t="shared" si="977"/>
        <v>-363.63414230914185</v>
      </c>
      <c r="T422">
        <f t="shared" si="978"/>
        <v>-0.36363414230914187</v>
      </c>
    </row>
    <row r="423" spans="1:20" x14ac:dyDescent="0.25">
      <c r="A423" s="5">
        <v>44170</v>
      </c>
      <c r="B423">
        <v>2.1100000000000001E-2</v>
      </c>
      <c r="C423">
        <v>2.162E-2</v>
      </c>
      <c r="D423">
        <v>1.9E-2</v>
      </c>
      <c r="E423">
        <v>2.0750000000000001E-2</v>
      </c>
      <c r="F423">
        <v>144521581.59999999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0.33587786259542063</v>
      </c>
      <c r="Q423">
        <f t="shared" si="975"/>
        <v>48541599.926717669</v>
      </c>
      <c r="R423">
        <f t="shared" si="976"/>
        <v>-73837427.944803342</v>
      </c>
      <c r="S423">
        <f t="shared" si="977"/>
        <v>-738.37427944803346</v>
      </c>
      <c r="T423">
        <f t="shared" si="978"/>
        <v>-0.73837427944803347</v>
      </c>
    </row>
    <row r="424" spans="1:20" x14ac:dyDescent="0.25">
      <c r="A424" s="5">
        <v>44169</v>
      </c>
      <c r="B424">
        <v>2.2599999999999999E-2</v>
      </c>
      <c r="C424">
        <v>2.2720000000000001E-2</v>
      </c>
      <c r="D424">
        <v>2.095E-2</v>
      </c>
      <c r="E424">
        <v>2.1100000000000001E-2</v>
      </c>
      <c r="F424">
        <v>67321845.400000006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-0.83050847457627031</v>
      </c>
      <c r="Q424">
        <f t="shared" si="975"/>
        <v>-55911363.128813505</v>
      </c>
      <c r="R424">
        <f t="shared" si="976"/>
        <v>-122379027.87152101</v>
      </c>
      <c r="S424">
        <f t="shared" si="977"/>
        <v>-1223.7902787152102</v>
      </c>
      <c r="T424">
        <f t="shared" si="978"/>
        <v>-1.2237902787152102</v>
      </c>
    </row>
    <row r="425" spans="1:20" x14ac:dyDescent="0.25">
      <c r="A425" s="5">
        <v>44168</v>
      </c>
      <c r="B425">
        <v>2.1569999999999999E-2</v>
      </c>
      <c r="C425">
        <v>2.2970000000000001E-2</v>
      </c>
      <c r="D425">
        <v>2.104E-2</v>
      </c>
      <c r="E425">
        <v>2.2589999999999999E-2</v>
      </c>
      <c r="F425">
        <v>59221002.299999997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0.60621761658030915</v>
      </c>
      <c r="Q425">
        <f t="shared" si="975"/>
        <v>35900814.865803003</v>
      </c>
      <c r="R425">
        <f t="shared" si="976"/>
        <v>-66467664.742707506</v>
      </c>
      <c r="S425">
        <f t="shared" si="977"/>
        <v>-664.67664742707507</v>
      </c>
      <c r="T425">
        <f t="shared" si="978"/>
        <v>-0.66467664742707511</v>
      </c>
    </row>
    <row r="426" spans="1:20" x14ac:dyDescent="0.25">
      <c r="A426" s="5">
        <v>44167</v>
      </c>
      <c r="B426">
        <v>2.137E-2</v>
      </c>
      <c r="C426">
        <v>2.197E-2</v>
      </c>
      <c r="D426">
        <v>2.0930000000000001E-2</v>
      </c>
      <c r="E426">
        <v>2.1569999999999999E-2</v>
      </c>
      <c r="F426">
        <v>38612196.399999999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0.2307692307692282</v>
      </c>
      <c r="Q426">
        <f t="shared" si="975"/>
        <v>8910506.8615383618</v>
      </c>
      <c r="R426">
        <f t="shared" si="976"/>
        <v>-102368479.60851051</v>
      </c>
      <c r="S426">
        <f t="shared" si="977"/>
        <v>-1023.6847960851051</v>
      </c>
      <c r="T426">
        <f t="shared" si="978"/>
        <v>-1.023684796085105</v>
      </c>
    </row>
    <row r="427" spans="1:20" x14ac:dyDescent="0.25">
      <c r="A427" s="5">
        <v>44166</v>
      </c>
      <c r="B427">
        <v>2.1729999999999999E-2</v>
      </c>
      <c r="C427">
        <v>2.3E-2</v>
      </c>
      <c r="D427">
        <v>2.1129999999999999E-2</v>
      </c>
      <c r="E427">
        <v>2.1420000000000002E-2</v>
      </c>
      <c r="F427">
        <v>68211908.700000003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-0.68983957219251124</v>
      </c>
      <c r="Q427">
        <f t="shared" si="975"/>
        <v>-47055273.916042641</v>
      </c>
      <c r="R427">
        <f t="shared" si="976"/>
        <v>-111278986.47004887</v>
      </c>
      <c r="S427">
        <f t="shared" si="977"/>
        <v>-1112.7898647004888</v>
      </c>
      <c r="T427">
        <f t="shared" si="978"/>
        <v>-1.1127898647004888</v>
      </c>
    </row>
    <row r="428" spans="1:20" x14ac:dyDescent="0.25">
      <c r="A428" s="5">
        <v>44165</v>
      </c>
      <c r="B428">
        <v>2.1940000000000001E-2</v>
      </c>
      <c r="C428">
        <v>2.2329999999999999E-2</v>
      </c>
      <c r="D428">
        <v>2.129E-2</v>
      </c>
      <c r="E428">
        <v>2.172E-2</v>
      </c>
      <c r="F428">
        <v>61964810.799999997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-0.17307692307692282</v>
      </c>
      <c r="Q428">
        <f t="shared" si="975"/>
        <v>-10724678.792307677</v>
      </c>
      <c r="R428">
        <f t="shared" si="976"/>
        <v>-64223712.554006241</v>
      </c>
      <c r="S428">
        <f t="shared" si="977"/>
        <v>-642.23712554006238</v>
      </c>
      <c r="T428">
        <f t="shared" si="978"/>
        <v>-0.6422371255400624</v>
      </c>
    </row>
    <row r="429" spans="1:20" x14ac:dyDescent="0.25">
      <c r="A429" s="5">
        <v>44164</v>
      </c>
      <c r="B429">
        <v>2.1950000000000001E-2</v>
      </c>
      <c r="C429">
        <v>2.2499999999999999E-2</v>
      </c>
      <c r="D429">
        <v>2.102E-2</v>
      </c>
      <c r="E429">
        <v>2.1950000000000001E-2</v>
      </c>
      <c r="F429">
        <v>38533262.399999999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0.25675675675675824</v>
      </c>
      <c r="Q429">
        <f t="shared" si="975"/>
        <v>9893675.4810811374</v>
      </c>
      <c r="R429">
        <f t="shared" si="976"/>
        <v>-53499033.761698566</v>
      </c>
      <c r="S429">
        <f t="shared" si="977"/>
        <v>-534.9903376169857</v>
      </c>
      <c r="T429">
        <f t="shared" si="978"/>
        <v>-0.53499033761698567</v>
      </c>
    </row>
    <row r="430" spans="1:20" x14ac:dyDescent="0.25">
      <c r="A430" s="5">
        <v>44163</v>
      </c>
      <c r="B430">
        <v>2.1579999999999998E-2</v>
      </c>
      <c r="C430">
        <v>2.2530000000000001E-2</v>
      </c>
      <c r="D430">
        <v>2.1239999999999998E-2</v>
      </c>
      <c r="E430">
        <v>2.198E-2</v>
      </c>
      <c r="F430">
        <v>39903803.700000003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0.1472868217054254</v>
      </c>
      <c r="Q430">
        <f t="shared" si="975"/>
        <v>5877304.4209301947</v>
      </c>
      <c r="R430">
        <f t="shared" si="976"/>
        <v>-63392709.242779702</v>
      </c>
      <c r="S430">
        <f t="shared" si="977"/>
        <v>-633.92709242779699</v>
      </c>
      <c r="T430">
        <f t="shared" si="978"/>
        <v>-0.63392709242779699</v>
      </c>
    </row>
    <row r="431" spans="1:20" x14ac:dyDescent="0.25">
      <c r="A431" s="5">
        <v>44162</v>
      </c>
      <c r="B431">
        <v>2.2499999999999999E-2</v>
      </c>
      <c r="C431">
        <v>2.2589999999999999E-2</v>
      </c>
      <c r="D431">
        <v>2.0799999999999999E-2</v>
      </c>
      <c r="E431">
        <v>2.1590000000000002E-2</v>
      </c>
      <c r="F431">
        <v>51092474.799999997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-0.1173184357541871</v>
      </c>
      <c r="Q431">
        <f t="shared" si="975"/>
        <v>-5994089.222346223</v>
      </c>
      <c r="R431">
        <f t="shared" si="976"/>
        <v>-69270013.663709894</v>
      </c>
      <c r="S431">
        <f t="shared" si="977"/>
        <v>-692.70013663709892</v>
      </c>
      <c r="T431">
        <f t="shared" si="978"/>
        <v>-0.69270013663709895</v>
      </c>
    </row>
    <row r="432" spans="1:20" x14ac:dyDescent="0.25">
      <c r="A432" s="5">
        <v>44161</v>
      </c>
      <c r="B432">
        <v>2.3640000000000001E-2</v>
      </c>
      <c r="C432">
        <v>2.4289999999999999E-2</v>
      </c>
      <c r="D432">
        <v>2.069E-2</v>
      </c>
      <c r="E432">
        <v>2.2509999999999999E-2</v>
      </c>
      <c r="F432">
        <v>97434293.200000003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1.1111111111110661E-2</v>
      </c>
      <c r="Q432">
        <f t="shared" si="975"/>
        <v>1082603.257777734</v>
      </c>
      <c r="R432">
        <f t="shared" si="976"/>
        <v>-63275924.44136367</v>
      </c>
      <c r="S432">
        <f t="shared" si="977"/>
        <v>-632.75924441363668</v>
      </c>
      <c r="T432">
        <f t="shared" si="978"/>
        <v>-0.63275924441363673</v>
      </c>
    </row>
    <row r="433" spans="1:20" x14ac:dyDescent="0.25">
      <c r="A433" s="5">
        <v>44160</v>
      </c>
      <c r="B433">
        <v>2.3720000000000001E-2</v>
      </c>
      <c r="C433">
        <v>2.6499999999999999E-2</v>
      </c>
      <c r="D433">
        <v>2.2890000000000001E-2</v>
      </c>
      <c r="E433">
        <v>2.3650000000000001E-2</v>
      </c>
      <c r="F433">
        <v>63550325.700000003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-0.57894736842105232</v>
      </c>
      <c r="Q433">
        <f t="shared" si="975"/>
        <v>-36792293.826315768</v>
      </c>
      <c r="R433">
        <f t="shared" si="976"/>
        <v>-64358527.699141406</v>
      </c>
      <c r="S433">
        <f t="shared" si="977"/>
        <v>-643.58527699141405</v>
      </c>
      <c r="T433">
        <f t="shared" si="978"/>
        <v>-0.6435852769914141</v>
      </c>
    </row>
    <row r="434" spans="1:20" x14ac:dyDescent="0.25">
      <c r="A434" s="5">
        <v>44159</v>
      </c>
      <c r="B434">
        <v>2.4119999999999999E-2</v>
      </c>
      <c r="C434">
        <v>2.4580000000000001E-2</v>
      </c>
      <c r="D434">
        <v>2.2700000000000001E-2</v>
      </c>
      <c r="E434">
        <v>2.3730000000000001E-2</v>
      </c>
      <c r="F434">
        <v>76737882.200000003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9.5744680851063635E-2</v>
      </c>
      <c r="Q434">
        <f t="shared" si="975"/>
        <v>7347244.0404255176</v>
      </c>
      <c r="R434">
        <f t="shared" si="976"/>
        <v>-27566233.872825637</v>
      </c>
      <c r="S434">
        <f t="shared" si="977"/>
        <v>-275.66233872825637</v>
      </c>
      <c r="T434">
        <f t="shared" si="978"/>
        <v>-0.27566233872825635</v>
      </c>
    </row>
    <row r="435" spans="1:20" x14ac:dyDescent="0.25">
      <c r="A435" s="5">
        <v>44158</v>
      </c>
      <c r="B435">
        <v>2.29E-2</v>
      </c>
      <c r="C435">
        <v>2.4750000000000001E-2</v>
      </c>
      <c r="D435">
        <v>2.2800000000000001E-2</v>
      </c>
      <c r="E435">
        <v>2.409E-2</v>
      </c>
      <c r="F435">
        <v>86751410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0.32307692307692232</v>
      </c>
      <c r="Q435">
        <f t="shared" si="975"/>
        <v>28027378.615384549</v>
      </c>
      <c r="R435">
        <f t="shared" si="976"/>
        <v>-34913477.913251154</v>
      </c>
      <c r="S435">
        <f t="shared" si="977"/>
        <v>-349.13477913251154</v>
      </c>
      <c r="T435">
        <f t="shared" si="978"/>
        <v>-0.34913477913251156</v>
      </c>
    </row>
    <row r="436" spans="1:20" x14ac:dyDescent="0.25">
      <c r="A436" s="5">
        <v>44157</v>
      </c>
      <c r="B436">
        <v>2.2970000000000001E-2</v>
      </c>
      <c r="C436">
        <v>2.3630000000000002E-2</v>
      </c>
      <c r="D436">
        <v>2.2429999999999999E-2</v>
      </c>
      <c r="E436">
        <v>2.291E-2</v>
      </c>
      <c r="F436">
        <v>65770480.899999999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-0.2</v>
      </c>
      <c r="Q436">
        <f t="shared" si="975"/>
        <v>-13154096.18</v>
      </c>
      <c r="R436">
        <f t="shared" si="976"/>
        <v>-62940856.528635703</v>
      </c>
      <c r="S436">
        <f t="shared" si="977"/>
        <v>-629.40856528635697</v>
      </c>
      <c r="T436">
        <f t="shared" si="978"/>
        <v>-0.62940856528635702</v>
      </c>
    </row>
    <row r="437" spans="1:20" x14ac:dyDescent="0.25">
      <c r="A437" s="5">
        <v>44156</v>
      </c>
      <c r="B437">
        <v>2.2790000000000001E-2</v>
      </c>
      <c r="C437">
        <v>2.325E-2</v>
      </c>
      <c r="D437">
        <v>2.189E-2</v>
      </c>
      <c r="E437">
        <v>2.2970000000000001E-2</v>
      </c>
      <c r="F437">
        <v>59950691.200000003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0.58823529411764852</v>
      </c>
      <c r="Q437">
        <f t="shared" si="975"/>
        <v>35265112.470588326</v>
      </c>
      <c r="R437">
        <f t="shared" si="976"/>
        <v>-49786760.348635703</v>
      </c>
      <c r="S437">
        <f t="shared" si="977"/>
        <v>-497.86760348635704</v>
      </c>
      <c r="T437">
        <f t="shared" si="978"/>
        <v>-0.49786760348635706</v>
      </c>
    </row>
    <row r="438" spans="1:20" x14ac:dyDescent="0.25">
      <c r="A438" s="5">
        <v>44155</v>
      </c>
      <c r="B438">
        <v>2.298E-2</v>
      </c>
      <c r="C438">
        <v>2.494E-2</v>
      </c>
      <c r="D438">
        <v>2.2419999999999999E-2</v>
      </c>
      <c r="E438">
        <v>2.2790000000000001E-2</v>
      </c>
      <c r="F438">
        <v>51319219.700000003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-0.70634920634920473</v>
      </c>
      <c r="Q438">
        <f t="shared" si="975"/>
        <v>-36249290.105555475</v>
      </c>
      <c r="R438">
        <f t="shared" si="976"/>
        <v>-85051872.81922403</v>
      </c>
      <c r="S438">
        <f t="shared" si="977"/>
        <v>-850.51872819224025</v>
      </c>
      <c r="T438">
        <f t="shared" si="978"/>
        <v>-0.85051872819224028</v>
      </c>
    </row>
    <row r="439" spans="1:20" x14ac:dyDescent="0.25">
      <c r="A439" s="5">
        <v>44154</v>
      </c>
      <c r="B439">
        <v>2.2589999999999999E-2</v>
      </c>
      <c r="C439">
        <v>2.367E-2</v>
      </c>
      <c r="D439">
        <v>2.2120000000000001E-2</v>
      </c>
      <c r="E439">
        <v>2.2960000000000001E-2</v>
      </c>
      <c r="F439">
        <v>29858028.199999999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8.3870967741936586E-2</v>
      </c>
      <c r="Q439">
        <f t="shared" si="975"/>
        <v>2504221.7200000328</v>
      </c>
      <c r="R439">
        <f t="shared" si="976"/>
        <v>-48802582.713668548</v>
      </c>
      <c r="S439">
        <f t="shared" si="977"/>
        <v>-488.02582713668545</v>
      </c>
      <c r="T439">
        <f t="shared" si="978"/>
        <v>-0.48802582713668546</v>
      </c>
    </row>
    <row r="440" spans="1:20" x14ac:dyDescent="0.25">
      <c r="A440" s="5">
        <v>44153</v>
      </c>
      <c r="B440">
        <v>2.367E-2</v>
      </c>
      <c r="C440">
        <v>2.4080000000000001E-2</v>
      </c>
      <c r="D440">
        <v>2.1600000000000001E-2</v>
      </c>
      <c r="E440">
        <v>2.2589999999999999E-2</v>
      </c>
      <c r="F440">
        <v>44835506.200000003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-0.20161290322580808</v>
      </c>
      <c r="Q440">
        <f t="shared" si="975"/>
        <v>-9039416.5725807194</v>
      </c>
      <c r="R440">
        <f t="shared" si="976"/>
        <v>-51306804.433668584</v>
      </c>
      <c r="S440">
        <f t="shared" si="977"/>
        <v>-513.06804433668583</v>
      </c>
      <c r="T440">
        <f t="shared" si="978"/>
        <v>-0.51306804433668585</v>
      </c>
    </row>
    <row r="441" spans="1:20" x14ac:dyDescent="0.25">
      <c r="A441" s="5">
        <v>44152</v>
      </c>
      <c r="B441">
        <v>3.3509999999999998E-2</v>
      </c>
      <c r="C441">
        <v>3.3509999999999998E-2</v>
      </c>
      <c r="D441">
        <v>2.1559999999999999E-2</v>
      </c>
      <c r="E441">
        <v>2.3609999999999999E-2</v>
      </c>
      <c r="F441">
        <v>64343348.399999999</v>
      </c>
      <c r="G441">
        <v>0</v>
      </c>
      <c r="P441">
        <f t="shared" si="974"/>
        <v>-0.65690376569037656</v>
      </c>
      <c r="Q441">
        <f t="shared" si="975"/>
        <v>-42267387.861087866</v>
      </c>
      <c r="R441">
        <f t="shared" si="976"/>
        <v>-42267387.861087866</v>
      </c>
      <c r="S441">
        <f t="shared" si="977"/>
        <v>-422.67387861087866</v>
      </c>
      <c r="T441">
        <f t="shared" si="978"/>
        <v>-0.42267387861087868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P746" sqref="HP74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$A$745</v>
      </c>
      <c r="D111" s="1" t="str">
        <f>ADDRESS(C121-1,D121,1,1)</f>
        <v>$HP$745</v>
      </c>
      <c r="E111"/>
    </row>
    <row r="112" spans="1:5" x14ac:dyDescent="0.25">
      <c r="A112" s="7">
        <v>12164.144957890772</v>
      </c>
      <c r="C112" s="1" t="str">
        <f>ADDRESS(C121,1,1,1)</f>
        <v>$A$746</v>
      </c>
      <c r="D112" s="1" t="str">
        <f>ADDRESS(C121,D121-1,1,1)</f>
        <v>$HO$746</v>
      </c>
      <c r="E112"/>
    </row>
    <row r="113" spans="1:5" x14ac:dyDescent="0.25">
      <c r="A113" s="7">
        <v>11925.63231165762</v>
      </c>
      <c r="C113" s="1" t="str">
        <f>ADDRESS(C121+1,1,1,1)</f>
        <v>$A$747</v>
      </c>
      <c r="D113" s="1" t="str">
        <f>ADDRESS(C121-1,D121+1,1,1)</f>
        <v>$HQ$745</v>
      </c>
    </row>
    <row r="114" spans="1:5" x14ac:dyDescent="0.25">
      <c r="A114" s="7">
        <v>11691.796383978059</v>
      </c>
      <c r="C114" s="1" t="str">
        <f>ADDRESS(C121,D121,1,1)</f>
        <v>$HP$746</v>
      </c>
      <c r="D114" s="1" t="str">
        <f>ADDRESS(C121+1,D121+1,1,1)</f>
        <v>$HQ$747</v>
      </c>
    </row>
    <row r="115" spans="1:5" x14ac:dyDescent="0.25">
      <c r="A115" s="7">
        <v>11462.545474488292</v>
      </c>
      <c r="C115" s="1" t="str">
        <f>ADDRESS(C121+1,D121,1,1)</f>
        <v>$HP$747</v>
      </c>
    </row>
    <row r="116" spans="1:5" x14ac:dyDescent="0.25">
      <c r="A116" s="7">
        <v>11237.789680870874</v>
      </c>
      <c r="C116" s="1">
        <f>C117-1</f>
        <v>745</v>
      </c>
    </row>
    <row r="117" spans="1:5" x14ac:dyDescent="0.25">
      <c r="A117" s="7">
        <v>11017.440863598895</v>
      </c>
      <c r="C117" s="1">
        <f>C121</f>
        <v>746</v>
      </c>
      <c r="D117" s="1">
        <f>D121</f>
        <v>224</v>
      </c>
    </row>
    <row r="118" spans="1:5" x14ac:dyDescent="0.25">
      <c r="A118" s="7">
        <v>10801.412611371465</v>
      </c>
      <c r="C118" s="1">
        <f>C117+1</f>
        <v>747</v>
      </c>
      <c r="D118" s="1">
        <f>D117+1</f>
        <v>225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746</v>
      </c>
      <c r="D121" s="19">
        <v>224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R746</v>
      </c>
      <c r="D123" s="1" t="str">
        <f>"C"&amp;D121</f>
        <v>C224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4.2911400600371442E-2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206" x14ac:dyDescent="0.25">
      <c r="A673" s="7">
        <v>0.18213156881997963</v>
      </c>
      <c r="B673"/>
      <c r="C673"/>
      <c r="D673"/>
      <c r="E673"/>
      <c r="F673" s="27" t="s">
        <v>7</v>
      </c>
    </row>
    <row r="674" spans="1:206" x14ac:dyDescent="0.25">
      <c r="A674" s="7">
        <v>0.17856036158821534</v>
      </c>
      <c r="B674"/>
      <c r="C674"/>
      <c r="D674"/>
      <c r="E674"/>
      <c r="F674" s="27" t="s">
        <v>7</v>
      </c>
    </row>
    <row r="675" spans="1:206" x14ac:dyDescent="0.25">
      <c r="A675" s="7">
        <v>0.17505917802766208</v>
      </c>
      <c r="B675"/>
      <c r="C675"/>
      <c r="D675"/>
      <c r="E675"/>
      <c r="F675" s="27" t="s">
        <v>7</v>
      </c>
    </row>
    <row r="676" spans="1:206" x14ac:dyDescent="0.25">
      <c r="A676" s="7">
        <v>0.17162664512515888</v>
      </c>
      <c r="B676"/>
      <c r="C676"/>
      <c r="D676"/>
      <c r="E676"/>
      <c r="F676" s="27" t="s">
        <v>7</v>
      </c>
    </row>
    <row r="677" spans="1:206" x14ac:dyDescent="0.25">
      <c r="A677" s="7">
        <v>0.16826141678937145</v>
      </c>
      <c r="B677"/>
      <c r="C677"/>
      <c r="D677"/>
      <c r="E677"/>
      <c r="F677" s="27" t="s">
        <v>7</v>
      </c>
      <c r="CC677" s="27" t="s">
        <v>8</v>
      </c>
    </row>
    <row r="678" spans="1:206" x14ac:dyDescent="0.25">
      <c r="A678" s="7">
        <v>0.16496217332291319</v>
      </c>
      <c r="B678"/>
      <c r="C678"/>
      <c r="D678"/>
      <c r="E678"/>
      <c r="F678" s="27" t="s">
        <v>7</v>
      </c>
      <c r="CC678" s="27" t="s">
        <v>8</v>
      </c>
      <c r="CD678" s="27" t="s">
        <v>7</v>
      </c>
    </row>
    <row r="679" spans="1:206" x14ac:dyDescent="0.25">
      <c r="A679" s="7">
        <v>0.16172762090481685</v>
      </c>
      <c r="B679"/>
      <c r="C679"/>
      <c r="D679"/>
      <c r="E679"/>
      <c r="F679" s="27" t="s">
        <v>7</v>
      </c>
      <c r="CC679" s="27" t="s">
        <v>8</v>
      </c>
      <c r="CD679" s="27" t="s">
        <v>7</v>
      </c>
    </row>
    <row r="680" spans="1:206" x14ac:dyDescent="0.25">
      <c r="A680" s="7">
        <v>0.15855649108315376</v>
      </c>
      <c r="B680"/>
      <c r="C680"/>
      <c r="D680"/>
      <c r="E680"/>
      <c r="F680" s="27" t="s">
        <v>7</v>
      </c>
      <c r="CC680" s="27" t="s">
        <v>8</v>
      </c>
      <c r="CD680" s="27" t="s">
        <v>7</v>
      </c>
    </row>
    <row r="681" spans="1:206" x14ac:dyDescent="0.25">
      <c r="A681" s="7">
        <v>0.15544754027760171</v>
      </c>
      <c r="B681"/>
      <c r="C681"/>
      <c r="D681"/>
      <c r="E681"/>
      <c r="F681" s="27" t="s">
        <v>7</v>
      </c>
      <c r="CC681" s="27" t="s">
        <v>8</v>
      </c>
      <c r="CD681" s="27" t="s">
        <v>7</v>
      </c>
    </row>
    <row r="682" spans="1:206" x14ac:dyDescent="0.25">
      <c r="A682" s="7">
        <v>0.15239954929176638</v>
      </c>
      <c r="B682"/>
      <c r="C682"/>
      <c r="D682"/>
      <c r="E682"/>
      <c r="F682" s="27" t="s">
        <v>7</v>
      </c>
      <c r="CC682" s="27" t="s">
        <v>8</v>
      </c>
      <c r="CD682" s="27" t="s">
        <v>7</v>
      </c>
    </row>
    <row r="683" spans="1:206" x14ac:dyDescent="0.25">
      <c r="A683" s="7">
        <v>0.14941132283506509</v>
      </c>
      <c r="B683"/>
      <c r="C683"/>
      <c r="D683"/>
      <c r="E683"/>
      <c r="F683" s="27" t="s">
        <v>7</v>
      </c>
      <c r="CC683" s="27" t="s">
        <v>8</v>
      </c>
      <c r="CD683" s="27" t="s">
        <v>7</v>
      </c>
    </row>
    <row r="684" spans="1:206" x14ac:dyDescent="0.25">
      <c r="A684" s="7">
        <v>0.14648168905398537</v>
      </c>
      <c r="B684"/>
      <c r="C684"/>
      <c r="D684"/>
      <c r="E684"/>
      <c r="F684" s="27" t="s">
        <v>7</v>
      </c>
      <c r="CC684" s="27" t="s">
        <v>8</v>
      </c>
      <c r="CD684" s="27" t="s">
        <v>7</v>
      </c>
    </row>
    <row r="685" spans="1:206" x14ac:dyDescent="0.25">
      <c r="A685" s="7">
        <v>0.14360949907253467</v>
      </c>
      <c r="B685"/>
      <c r="C685"/>
      <c r="D685"/>
      <c r="E685"/>
      <c r="F685" s="27" t="s">
        <v>7</v>
      </c>
      <c r="CA685" s="27" t="s">
        <v>8</v>
      </c>
      <c r="CC685" s="27" t="s">
        <v>8</v>
      </c>
      <c r="CD685" s="27" t="s">
        <v>7</v>
      </c>
      <c r="FC685" s="27" t="s">
        <v>8</v>
      </c>
    </row>
    <row r="686" spans="1:206" x14ac:dyDescent="0.25">
      <c r="A686" s="7">
        <v>0.14079362654170066</v>
      </c>
      <c r="B686"/>
      <c r="C686"/>
      <c r="D686"/>
      <c r="E686"/>
      <c r="F686" s="27" t="s">
        <v>7</v>
      </c>
      <c r="CA686" s="27" t="s">
        <v>8</v>
      </c>
      <c r="CB686" s="27" t="s">
        <v>7</v>
      </c>
      <c r="CC686" s="27" t="s">
        <v>8</v>
      </c>
      <c r="CD686" s="27" t="s">
        <v>7</v>
      </c>
      <c r="FC686" s="27" t="s">
        <v>8</v>
      </c>
      <c r="FD686" s="27" t="s">
        <v>7</v>
      </c>
    </row>
    <row r="687" spans="1:206" x14ac:dyDescent="0.25">
      <c r="A687" s="7">
        <v>0.13803296719774574</v>
      </c>
      <c r="B687"/>
      <c r="C687"/>
      <c r="D687"/>
      <c r="E687"/>
      <c r="F687" s="27" t="s">
        <v>7</v>
      </c>
      <c r="CA687" s="27" t="s">
        <v>8</v>
      </c>
      <c r="CB687" s="27" t="s">
        <v>7</v>
      </c>
      <c r="CC687" s="27" t="s">
        <v>8</v>
      </c>
      <c r="CD687" s="27" t="s">
        <v>7</v>
      </c>
      <c r="EM687" s="27" t="s">
        <v>8</v>
      </c>
      <c r="FC687" s="27" t="s">
        <v>8</v>
      </c>
      <c r="FD687" s="27" t="s">
        <v>7</v>
      </c>
      <c r="GW687" s="27" t="s">
        <v>8</v>
      </c>
    </row>
    <row r="688" spans="1:206" x14ac:dyDescent="0.25">
      <c r="A688" s="7">
        <v>0.1353264384291625</v>
      </c>
      <c r="B688"/>
      <c r="C688"/>
      <c r="D688"/>
      <c r="E688"/>
      <c r="F688" s="27" t="s">
        <v>7</v>
      </c>
      <c r="CA688" s="27" t="s">
        <v>8</v>
      </c>
      <c r="CB688" s="27" t="s">
        <v>7</v>
      </c>
      <c r="CC688" s="27" t="s">
        <v>8</v>
      </c>
      <c r="CD688" s="27" t="s">
        <v>7</v>
      </c>
      <c r="EM688" s="27" t="s">
        <v>8</v>
      </c>
      <c r="EN688" s="27" t="s">
        <v>7</v>
      </c>
      <c r="FC688" s="27" t="s">
        <v>8</v>
      </c>
      <c r="FD688" s="27" t="s">
        <v>7</v>
      </c>
      <c r="GW688" s="27" t="s">
        <v>8</v>
      </c>
      <c r="GX688" s="27" t="s">
        <v>7</v>
      </c>
    </row>
    <row r="689" spans="1:206" x14ac:dyDescent="0.25">
      <c r="A689" s="7">
        <v>0.13267297885212009</v>
      </c>
      <c r="B689"/>
      <c r="C689"/>
      <c r="D689"/>
      <c r="E689"/>
      <c r="F689" s="27" t="s">
        <v>7</v>
      </c>
      <c r="CA689" s="27" t="s">
        <v>8</v>
      </c>
      <c r="CB689" s="27" t="s">
        <v>7</v>
      </c>
      <c r="CC689" s="27" t="s">
        <v>8</v>
      </c>
      <c r="CD689" s="27" t="s">
        <v>7</v>
      </c>
      <c r="EM689" s="27" t="s">
        <v>8</v>
      </c>
      <c r="EN689" s="27" t="s">
        <v>7</v>
      </c>
      <c r="FC689" s="27" t="s">
        <v>8</v>
      </c>
      <c r="FD689" s="27" t="s">
        <v>7</v>
      </c>
      <c r="GW689" s="27" t="s">
        <v>8</v>
      </c>
      <c r="GX689" s="27" t="s">
        <v>7</v>
      </c>
    </row>
    <row r="690" spans="1:206" x14ac:dyDescent="0.25">
      <c r="A690" s="7">
        <v>0.13007154789423539</v>
      </c>
      <c r="B690"/>
      <c r="C690"/>
      <c r="D690"/>
      <c r="E690"/>
      <c r="F690" s="27" t="s">
        <v>7</v>
      </c>
      <c r="CA690" s="27" t="s">
        <v>8</v>
      </c>
      <c r="CB690" s="27" t="s">
        <v>7</v>
      </c>
      <c r="CC690" s="27" t="s">
        <v>8</v>
      </c>
      <c r="CD690" s="27" t="s">
        <v>7</v>
      </c>
      <c r="EM690" s="27" t="s">
        <v>8</v>
      </c>
      <c r="EN690" s="27" t="s">
        <v>7</v>
      </c>
      <c r="FC690" s="27" t="s">
        <v>8</v>
      </c>
      <c r="FD690" s="27" t="s">
        <v>7</v>
      </c>
      <c r="GW690" s="27" t="s">
        <v>8</v>
      </c>
      <c r="GX690" s="27" t="s">
        <v>7</v>
      </c>
    </row>
    <row r="691" spans="1:206" x14ac:dyDescent="0.25">
      <c r="A691" s="7">
        <v>0.12752112538650529</v>
      </c>
      <c r="B691"/>
      <c r="C691"/>
      <c r="D691"/>
      <c r="E691"/>
      <c r="F691" s="27" t="s">
        <v>7</v>
      </c>
      <c r="CA691" s="27" t="s">
        <v>8</v>
      </c>
      <c r="CB691" s="27" t="s">
        <v>7</v>
      </c>
      <c r="CC691" s="27" t="s">
        <v>8</v>
      </c>
      <c r="CD691" s="27" t="s">
        <v>7</v>
      </c>
      <c r="CG691" s="27" t="s">
        <v>8</v>
      </c>
      <c r="CM691" s="27" t="s">
        <v>8</v>
      </c>
      <c r="EM691" s="27" t="s">
        <v>8</v>
      </c>
      <c r="EN691" s="27" t="s">
        <v>7</v>
      </c>
      <c r="FC691" s="27" t="s">
        <v>8</v>
      </c>
      <c r="FD691" s="27" t="s">
        <v>7</v>
      </c>
      <c r="GW691" s="27" t="s">
        <v>8</v>
      </c>
      <c r="GX691" s="27" t="s">
        <v>7</v>
      </c>
    </row>
    <row r="692" spans="1:206" x14ac:dyDescent="0.25">
      <c r="A692" s="7">
        <v>0.12502071116324048</v>
      </c>
      <c r="B692"/>
      <c r="C692"/>
      <c r="D692"/>
      <c r="E692"/>
      <c r="F692" s="27" t="s">
        <v>7</v>
      </c>
      <c r="CA692" s="27" t="s">
        <v>8</v>
      </c>
      <c r="CB692" s="27" t="s">
        <v>7</v>
      </c>
      <c r="CC692" s="27" t="s">
        <v>8</v>
      </c>
      <c r="CD692" s="27" t="s">
        <v>7</v>
      </c>
      <c r="CG692" s="27" t="s">
        <v>8</v>
      </c>
      <c r="CH692" s="27" t="s">
        <v>7</v>
      </c>
      <c r="CM692" s="27" t="s">
        <v>8</v>
      </c>
      <c r="CN692" s="27" t="s">
        <v>7</v>
      </c>
      <c r="EM692" s="27" t="s">
        <v>8</v>
      </c>
      <c r="EN692" s="27" t="s">
        <v>7</v>
      </c>
      <c r="FC692" s="27" t="s">
        <v>8</v>
      </c>
      <c r="FD692" s="27" t="s">
        <v>7</v>
      </c>
      <c r="GW692" s="27" t="s">
        <v>8</v>
      </c>
      <c r="GX692" s="27" t="s">
        <v>7</v>
      </c>
    </row>
    <row r="693" spans="1:206" x14ac:dyDescent="0.25">
      <c r="A693" s="7">
        <v>0.1225693246698436</v>
      </c>
      <c r="B693"/>
      <c r="C693"/>
      <c r="D693"/>
      <c r="E693"/>
      <c r="F693" s="27" t="s">
        <v>7</v>
      </c>
      <c r="CA693" s="27" t="s">
        <v>8</v>
      </c>
      <c r="CB693" s="27" t="s">
        <v>7</v>
      </c>
      <c r="CC693" s="27" t="s">
        <v>8</v>
      </c>
      <c r="CD693" s="27" t="s">
        <v>7</v>
      </c>
      <c r="CG693" s="27" t="s">
        <v>8</v>
      </c>
      <c r="CH693" s="27" t="s">
        <v>7</v>
      </c>
      <c r="CK693" s="27" t="s">
        <v>8</v>
      </c>
      <c r="CM693" s="27" t="s">
        <v>8</v>
      </c>
      <c r="CN693" s="27" t="s">
        <v>7</v>
      </c>
      <c r="EM693" s="27" t="s">
        <v>8</v>
      </c>
      <c r="EN693" s="27" t="s">
        <v>7</v>
      </c>
      <c r="FC693" s="27" t="s">
        <v>8</v>
      </c>
      <c r="FD693" s="27" t="s">
        <v>7</v>
      </c>
      <c r="GW693" s="27" t="s">
        <v>8</v>
      </c>
      <c r="GX693" s="27" t="s">
        <v>7</v>
      </c>
    </row>
    <row r="694" spans="1:206" x14ac:dyDescent="0.25">
      <c r="A694" s="7">
        <v>0.12016600457827803</v>
      </c>
      <c r="B694"/>
      <c r="C694"/>
      <c r="D694"/>
      <c r="E694"/>
      <c r="F694" s="27" t="s">
        <v>7</v>
      </c>
      <c r="CA694" s="27" t="s">
        <v>8</v>
      </c>
      <c r="CB694" s="27" t="s">
        <v>7</v>
      </c>
      <c r="CC694" s="27" t="s">
        <v>8</v>
      </c>
      <c r="CD694" s="27" t="s">
        <v>7</v>
      </c>
      <c r="CG694" s="27" t="s">
        <v>8</v>
      </c>
      <c r="CH694" s="27" t="s">
        <v>7</v>
      </c>
      <c r="CK694" s="27" t="s">
        <v>8</v>
      </c>
      <c r="CL694" s="27" t="s">
        <v>7</v>
      </c>
      <c r="CM694" s="27" t="s">
        <v>8</v>
      </c>
      <c r="CN694" s="27" t="s">
        <v>7</v>
      </c>
      <c r="CO694" s="27" t="s">
        <v>8</v>
      </c>
      <c r="EM694" s="27" t="s">
        <v>8</v>
      </c>
      <c r="EN694" s="27" t="s">
        <v>7</v>
      </c>
      <c r="FC694" s="27" t="s">
        <v>8</v>
      </c>
      <c r="FD694" s="27" t="s">
        <v>7</v>
      </c>
      <c r="GW694" s="27" t="s">
        <v>8</v>
      </c>
      <c r="GX694" s="27" t="s">
        <v>7</v>
      </c>
    </row>
    <row r="695" spans="1:206" x14ac:dyDescent="0.25">
      <c r="A695" s="7">
        <v>0.1178098084100765</v>
      </c>
      <c r="B695"/>
      <c r="C695"/>
      <c r="D695"/>
      <c r="E695"/>
      <c r="F695" s="27" t="s">
        <v>7</v>
      </c>
      <c r="CA695" s="27" t="s">
        <v>8</v>
      </c>
      <c r="CB695" s="27" t="s">
        <v>7</v>
      </c>
      <c r="CC695" s="27" t="s">
        <v>8</v>
      </c>
      <c r="CD695" s="27" t="s">
        <v>7</v>
      </c>
      <c r="CG695" s="27" t="s">
        <v>8</v>
      </c>
      <c r="CH695" s="27" t="s">
        <v>7</v>
      </c>
      <c r="CK695" s="27" t="s">
        <v>8</v>
      </c>
      <c r="CL695" s="27" t="s">
        <v>7</v>
      </c>
      <c r="CM695" s="27" t="s">
        <v>8</v>
      </c>
      <c r="CN695" s="27" t="s">
        <v>7</v>
      </c>
      <c r="CO695" s="27" t="s">
        <v>8</v>
      </c>
      <c r="CP695" s="27" t="s">
        <v>7</v>
      </c>
      <c r="EM695" s="27" t="s">
        <v>8</v>
      </c>
      <c r="EN695" s="27" t="s">
        <v>7</v>
      </c>
      <c r="FC695" s="27" t="s">
        <v>8</v>
      </c>
      <c r="FD695" s="27" t="s">
        <v>7</v>
      </c>
      <c r="FU695" s="27" t="s">
        <v>8</v>
      </c>
      <c r="GW695" s="27" t="s">
        <v>8</v>
      </c>
      <c r="GX695" s="27" t="s">
        <v>7</v>
      </c>
    </row>
    <row r="696" spans="1:206" x14ac:dyDescent="0.25">
      <c r="A696" s="7">
        <v>0.11549981216674166</v>
      </c>
      <c r="B696"/>
      <c r="C696"/>
      <c r="D696"/>
      <c r="E696"/>
      <c r="F696" s="27" t="s">
        <v>7</v>
      </c>
      <c r="CA696" s="27" t="s">
        <v>8</v>
      </c>
      <c r="CB696" s="27" t="s">
        <v>7</v>
      </c>
      <c r="CC696" s="27" t="s">
        <v>8</v>
      </c>
      <c r="CD696" s="27" t="s">
        <v>7</v>
      </c>
      <c r="CG696" s="27" t="s">
        <v>8</v>
      </c>
      <c r="CH696" s="27" t="s">
        <v>7</v>
      </c>
      <c r="CK696" s="27" t="s">
        <v>8</v>
      </c>
      <c r="CL696" s="27" t="s">
        <v>7</v>
      </c>
      <c r="CM696" s="27" t="s">
        <v>8</v>
      </c>
      <c r="CN696" s="27" t="s">
        <v>7</v>
      </c>
      <c r="CO696" s="27" t="s">
        <v>8</v>
      </c>
      <c r="CP696" s="27" t="s">
        <v>7</v>
      </c>
      <c r="EM696" s="27" t="s">
        <v>8</v>
      </c>
      <c r="EN696" s="27" t="s">
        <v>7</v>
      </c>
      <c r="FC696" s="27" t="s">
        <v>8</v>
      </c>
      <c r="FD696" s="27" t="s">
        <v>7</v>
      </c>
      <c r="FU696" s="27" t="s">
        <v>8</v>
      </c>
      <c r="FV696" s="27" t="s">
        <v>7</v>
      </c>
      <c r="GW696" s="27" t="s">
        <v>8</v>
      </c>
      <c r="GX696" s="27" t="s">
        <v>7</v>
      </c>
    </row>
    <row r="697" spans="1:206" x14ac:dyDescent="0.25">
      <c r="A697" s="7">
        <v>0.11323510996739378</v>
      </c>
      <c r="B697"/>
      <c r="C697"/>
      <c r="D697"/>
      <c r="E697"/>
      <c r="F697" s="27" t="s">
        <v>7</v>
      </c>
      <c r="CA697" s="27" t="s">
        <v>8</v>
      </c>
      <c r="CB697" s="27" t="s">
        <v>7</v>
      </c>
      <c r="CD697" s="27" t="s">
        <v>7</v>
      </c>
      <c r="CG697" s="27" t="s">
        <v>8</v>
      </c>
      <c r="CH697" s="27" t="s">
        <v>7</v>
      </c>
      <c r="CK697" s="27" t="s">
        <v>8</v>
      </c>
      <c r="CL697" s="27" t="s">
        <v>7</v>
      </c>
      <c r="CM697" s="27" t="s">
        <v>8</v>
      </c>
      <c r="CN697" s="27" t="s">
        <v>7</v>
      </c>
      <c r="CO697" s="27" t="s">
        <v>8</v>
      </c>
      <c r="CP697" s="27" t="s">
        <v>7</v>
      </c>
      <c r="EM697" s="27" t="s">
        <v>8</v>
      </c>
      <c r="EN697" s="27" t="s">
        <v>7</v>
      </c>
      <c r="FC697" s="27" t="s">
        <v>8</v>
      </c>
      <c r="FD697" s="27" t="s">
        <v>7</v>
      </c>
      <c r="FU697" s="27" t="s">
        <v>8</v>
      </c>
      <c r="FV697" s="27" t="s">
        <v>7</v>
      </c>
      <c r="GW697" s="27" t="s">
        <v>8</v>
      </c>
      <c r="GX697" s="27" t="s">
        <v>7</v>
      </c>
    </row>
    <row r="698" spans="1:206" x14ac:dyDescent="0.25">
      <c r="A698" s="7">
        <v>0.11101481369352331</v>
      </c>
      <c r="B698"/>
      <c r="C698"/>
      <c r="D698"/>
      <c r="E698"/>
      <c r="F698" s="27" t="s">
        <v>7</v>
      </c>
      <c r="CA698" s="27" t="s">
        <v>8</v>
      </c>
      <c r="CD698" s="27" t="s">
        <v>7</v>
      </c>
      <c r="CG698" s="27" t="s">
        <v>8</v>
      </c>
      <c r="CH698" s="27" t="s">
        <v>7</v>
      </c>
      <c r="CK698" s="27" t="s">
        <v>8</v>
      </c>
      <c r="CL698" s="27" t="s">
        <v>7</v>
      </c>
      <c r="CM698" s="27" t="s">
        <v>8</v>
      </c>
      <c r="CN698" s="27" t="s">
        <v>7</v>
      </c>
      <c r="CO698" s="27" t="s">
        <v>8</v>
      </c>
      <c r="CP698" s="27" t="s">
        <v>7</v>
      </c>
      <c r="EM698" s="27" t="s">
        <v>8</v>
      </c>
      <c r="EN698" s="27" t="s">
        <v>7</v>
      </c>
      <c r="FC698" s="27" t="s">
        <v>8</v>
      </c>
      <c r="FD698" s="27" t="s">
        <v>7</v>
      </c>
      <c r="FU698" s="27" t="s">
        <v>8</v>
      </c>
      <c r="FV698" s="27" t="s">
        <v>7</v>
      </c>
      <c r="GW698" s="27" t="s">
        <v>8</v>
      </c>
      <c r="GX698" s="27" t="s">
        <v>7</v>
      </c>
    </row>
    <row r="699" spans="1:206" x14ac:dyDescent="0.25">
      <c r="A699" s="7">
        <v>0.10883805264070913</v>
      </c>
      <c r="B699"/>
      <c r="C699"/>
      <c r="D699"/>
      <c r="E699"/>
      <c r="F699" s="27" t="s">
        <v>7</v>
      </c>
      <c r="CA699" s="27" t="s">
        <v>8</v>
      </c>
      <c r="CD699" s="27" t="s">
        <v>7</v>
      </c>
      <c r="CE699" s="27" t="s">
        <v>8</v>
      </c>
      <c r="CG699" s="27" t="s">
        <v>8</v>
      </c>
      <c r="CH699" s="27" t="s">
        <v>7</v>
      </c>
      <c r="CK699" s="27" t="s">
        <v>8</v>
      </c>
      <c r="CL699" s="27" t="s">
        <v>7</v>
      </c>
      <c r="CM699" s="27" t="s">
        <v>8</v>
      </c>
      <c r="CN699" s="27" t="s">
        <v>7</v>
      </c>
      <c r="CO699" s="27" t="s">
        <v>8</v>
      </c>
      <c r="CP699" s="27" t="s">
        <v>7</v>
      </c>
      <c r="CQ699" s="27" t="s">
        <v>8</v>
      </c>
      <c r="EM699" s="27" t="s">
        <v>8</v>
      </c>
      <c r="EN699" s="27" t="s">
        <v>7</v>
      </c>
      <c r="FC699" s="27" t="s">
        <v>8</v>
      </c>
      <c r="FD699" s="27" t="s">
        <v>7</v>
      </c>
      <c r="FU699" s="27" t="s">
        <v>8</v>
      </c>
      <c r="FV699" s="27" t="s">
        <v>7</v>
      </c>
      <c r="GW699" s="27" t="s">
        <v>8</v>
      </c>
      <c r="GX699" s="27" t="s">
        <v>7</v>
      </c>
    </row>
    <row r="700" spans="1:206" x14ac:dyDescent="0.25">
      <c r="A700" s="7">
        <v>0.10670397317716582</v>
      </c>
      <c r="B700"/>
      <c r="C700"/>
      <c r="D700"/>
      <c r="E700"/>
      <c r="F700" s="27" t="s">
        <v>7</v>
      </c>
      <c r="CA700" s="27" t="s">
        <v>8</v>
      </c>
      <c r="CD700" s="27" t="s">
        <v>7</v>
      </c>
      <c r="CE700" s="27" t="s">
        <v>8</v>
      </c>
      <c r="CF700" s="27" t="s">
        <v>7</v>
      </c>
      <c r="CG700" s="27" t="s">
        <v>8</v>
      </c>
      <c r="CH700" s="27" t="s">
        <v>7</v>
      </c>
      <c r="CK700" s="27" t="s">
        <v>8</v>
      </c>
      <c r="CL700" s="27" t="s">
        <v>7</v>
      </c>
      <c r="CM700" s="27" t="s">
        <v>8</v>
      </c>
      <c r="CN700" s="27" t="s">
        <v>7</v>
      </c>
      <c r="CO700" s="27" t="s">
        <v>8</v>
      </c>
      <c r="CP700" s="27" t="s">
        <v>7</v>
      </c>
      <c r="CQ700" s="27" t="s">
        <v>8</v>
      </c>
      <c r="CR700" s="27" t="s">
        <v>7</v>
      </c>
      <c r="EM700" s="27" t="s">
        <v>8</v>
      </c>
      <c r="EN700" s="27" t="s">
        <v>7</v>
      </c>
      <c r="FC700" s="27" t="s">
        <v>8</v>
      </c>
      <c r="FD700" s="27" t="s">
        <v>7</v>
      </c>
      <c r="FU700" s="27" t="s">
        <v>8</v>
      </c>
      <c r="FV700" s="27" t="s">
        <v>7</v>
      </c>
      <c r="GW700" s="27" t="s">
        <v>8</v>
      </c>
      <c r="GX700" s="27" t="s">
        <v>7</v>
      </c>
    </row>
    <row r="701" spans="1:206" x14ac:dyDescent="0.25">
      <c r="A701" s="7">
        <v>0.1046117384089861</v>
      </c>
      <c r="B701"/>
      <c r="C701"/>
      <c r="D701"/>
      <c r="E701"/>
      <c r="F701" s="27" t="s">
        <v>7</v>
      </c>
      <c r="BW701" s="27" t="s">
        <v>8</v>
      </c>
      <c r="CA701" s="27" t="s">
        <v>8</v>
      </c>
      <c r="CD701" s="27" t="s">
        <v>7</v>
      </c>
      <c r="CE701" s="27" t="s">
        <v>8</v>
      </c>
      <c r="CF701" s="27" t="s">
        <v>7</v>
      </c>
      <c r="CG701" s="27" t="s">
        <v>8</v>
      </c>
      <c r="CH701" s="27" t="s">
        <v>7</v>
      </c>
      <c r="CK701" s="27" t="s">
        <v>8</v>
      </c>
      <c r="CL701" s="27" t="s">
        <v>7</v>
      </c>
      <c r="CM701" s="27" t="s">
        <v>8</v>
      </c>
      <c r="CN701" s="27" t="s">
        <v>7</v>
      </c>
      <c r="CP701" s="27" t="s">
        <v>7</v>
      </c>
      <c r="CQ701" s="27" t="s">
        <v>8</v>
      </c>
      <c r="CR701" s="27" t="s">
        <v>7</v>
      </c>
      <c r="EM701" s="27" t="s">
        <v>8</v>
      </c>
      <c r="EN701" s="27" t="s">
        <v>7</v>
      </c>
      <c r="FC701" s="27" t="s">
        <v>8</v>
      </c>
      <c r="FD701" s="27" t="s">
        <v>7</v>
      </c>
      <c r="FU701" s="27" t="s">
        <v>8</v>
      </c>
      <c r="FV701" s="27" t="s">
        <v>7</v>
      </c>
      <c r="GW701" s="27" t="s">
        <v>8</v>
      </c>
      <c r="GX701" s="27" t="s">
        <v>7</v>
      </c>
    </row>
    <row r="702" spans="1:206" x14ac:dyDescent="0.25">
      <c r="A702" s="7">
        <v>0.10256052785194716</v>
      </c>
      <c r="B702"/>
      <c r="C702"/>
      <c r="D702"/>
      <c r="E702"/>
      <c r="F702" s="27" t="s">
        <v>7</v>
      </c>
      <c r="BW702" s="27" t="s">
        <v>8</v>
      </c>
      <c r="BX702" s="27" t="s">
        <v>7</v>
      </c>
      <c r="CA702" s="27" t="s">
        <v>8</v>
      </c>
      <c r="CD702" s="27" t="s">
        <v>7</v>
      </c>
      <c r="CE702" s="27" t="s">
        <v>8</v>
      </c>
      <c r="CF702" s="27" t="s">
        <v>7</v>
      </c>
      <c r="CG702" s="27" t="s">
        <v>8</v>
      </c>
      <c r="CH702" s="27" t="s">
        <v>7</v>
      </c>
      <c r="CK702" s="27" t="s">
        <v>8</v>
      </c>
      <c r="CL702" s="27" t="s">
        <v>7</v>
      </c>
      <c r="CM702" s="27" t="s">
        <v>8</v>
      </c>
      <c r="CP702" s="27" t="s">
        <v>7</v>
      </c>
      <c r="CQ702" s="27" t="s">
        <v>8</v>
      </c>
      <c r="CR702" s="27" t="s">
        <v>7</v>
      </c>
      <c r="CS702" s="27" t="s">
        <v>8</v>
      </c>
      <c r="EM702" s="27" t="s">
        <v>8</v>
      </c>
      <c r="EN702" s="27" t="s">
        <v>7</v>
      </c>
      <c r="EQ702" s="27" t="s">
        <v>8</v>
      </c>
      <c r="FC702" s="27" t="s">
        <v>8</v>
      </c>
      <c r="FD702" s="27" t="s">
        <v>7</v>
      </c>
      <c r="FU702" s="27" t="s">
        <v>8</v>
      </c>
      <c r="FV702" s="27" t="s">
        <v>7</v>
      </c>
      <c r="FW702" s="27" t="s">
        <v>8</v>
      </c>
      <c r="GW702" s="27" t="s">
        <v>8</v>
      </c>
      <c r="GX702" s="27" t="s">
        <v>7</v>
      </c>
    </row>
    <row r="703" spans="1:206" x14ac:dyDescent="0.25">
      <c r="A703" s="7">
        <v>0.10054953710975212</v>
      </c>
      <c r="B703"/>
      <c r="C703"/>
      <c r="D703"/>
      <c r="E703"/>
      <c r="F703" s="27" t="s">
        <v>7</v>
      </c>
      <c r="BW703" s="27" t="s">
        <v>8</v>
      </c>
      <c r="BX703" s="27" t="s">
        <v>7</v>
      </c>
      <c r="CA703" s="27" t="s">
        <v>8</v>
      </c>
      <c r="CD703" s="27" t="s">
        <v>7</v>
      </c>
      <c r="CE703" s="27" t="s">
        <v>8</v>
      </c>
      <c r="CF703" s="27" t="s">
        <v>7</v>
      </c>
      <c r="CG703" s="27" t="s">
        <v>8</v>
      </c>
      <c r="CH703" s="27" t="s">
        <v>7</v>
      </c>
      <c r="CK703" s="27" t="s">
        <v>8</v>
      </c>
      <c r="CL703" s="27" t="s">
        <v>7</v>
      </c>
      <c r="CM703" s="27" t="s">
        <v>8</v>
      </c>
      <c r="CP703" s="27" t="s">
        <v>7</v>
      </c>
      <c r="CQ703" s="27" t="s">
        <v>8</v>
      </c>
      <c r="CR703" s="27" t="s">
        <v>7</v>
      </c>
      <c r="CS703" s="27" t="s">
        <v>8</v>
      </c>
      <c r="CT703" s="27" t="s">
        <v>7</v>
      </c>
      <c r="EM703" s="27" t="s">
        <v>8</v>
      </c>
      <c r="EN703" s="27" t="s">
        <v>7</v>
      </c>
      <c r="EQ703" s="27" t="s">
        <v>8</v>
      </c>
      <c r="ER703" s="27" t="s">
        <v>7</v>
      </c>
      <c r="FC703" s="27" t="s">
        <v>8</v>
      </c>
      <c r="FD703" s="27" t="s">
        <v>7</v>
      </c>
      <c r="FU703" s="27" t="s">
        <v>8</v>
      </c>
      <c r="FV703" s="27" t="s">
        <v>7</v>
      </c>
      <c r="FW703" s="27" t="s">
        <v>8</v>
      </c>
      <c r="FX703" s="27" t="s">
        <v>7</v>
      </c>
      <c r="FY703" s="27" t="s">
        <v>8</v>
      </c>
      <c r="GW703" s="27" t="s">
        <v>8</v>
      </c>
      <c r="GX703" s="27" t="s">
        <v>7</v>
      </c>
    </row>
    <row r="704" spans="1:206" x14ac:dyDescent="0.25">
      <c r="A704" s="7">
        <v>9.8577977558580512E-2</v>
      </c>
      <c r="B704"/>
      <c r="C704"/>
      <c r="D704"/>
      <c r="E704"/>
      <c r="F704" s="27" t="s">
        <v>7</v>
      </c>
      <c r="BW704" s="27" t="s">
        <v>8</v>
      </c>
      <c r="BX704" s="27" t="s">
        <v>7</v>
      </c>
      <c r="CA704" s="27" t="s">
        <v>8</v>
      </c>
      <c r="CD704" s="27" t="s">
        <v>7</v>
      </c>
      <c r="CE704" s="27" t="s">
        <v>8</v>
      </c>
      <c r="CF704" s="27" t="s">
        <v>7</v>
      </c>
      <c r="CG704" s="27" t="s">
        <v>8</v>
      </c>
      <c r="CH704" s="27" t="s">
        <v>7</v>
      </c>
      <c r="CK704" s="27" t="s">
        <v>8</v>
      </c>
      <c r="CL704" s="27" t="s">
        <v>7</v>
      </c>
      <c r="CM704" s="27" t="s">
        <v>8</v>
      </c>
      <c r="CP704" s="27" t="s">
        <v>7</v>
      </c>
      <c r="CQ704" s="27" t="s">
        <v>8</v>
      </c>
      <c r="CR704" s="27" t="s">
        <v>7</v>
      </c>
      <c r="CS704" s="27" t="s">
        <v>8</v>
      </c>
      <c r="CT704" s="27" t="s">
        <v>7</v>
      </c>
      <c r="EM704" s="27" t="s">
        <v>8</v>
      </c>
      <c r="EN704" s="27" t="s">
        <v>7</v>
      </c>
      <c r="EQ704" s="27" t="s">
        <v>8</v>
      </c>
      <c r="ER704" s="27" t="s">
        <v>7</v>
      </c>
      <c r="FC704" s="27" t="s">
        <v>8</v>
      </c>
      <c r="FD704" s="27" t="s">
        <v>7</v>
      </c>
      <c r="FE704" s="27" t="s">
        <v>8</v>
      </c>
      <c r="FU704" s="27" t="s">
        <v>8</v>
      </c>
      <c r="FV704" s="27" t="s">
        <v>7</v>
      </c>
      <c r="FW704" s="27" t="s">
        <v>8</v>
      </c>
      <c r="FX704" s="27" t="s">
        <v>7</v>
      </c>
      <c r="FY704" s="27" t="s">
        <v>8</v>
      </c>
      <c r="FZ704" s="27" t="s">
        <v>7</v>
      </c>
      <c r="GE704" s="27" t="s">
        <v>8</v>
      </c>
      <c r="GG704" s="27" t="s">
        <v>8</v>
      </c>
      <c r="GW704" s="27" t="s">
        <v>8</v>
      </c>
      <c r="GX704" s="27" t="s">
        <v>7</v>
      </c>
    </row>
    <row r="705" spans="1:216" x14ac:dyDescent="0.25">
      <c r="A705" s="7">
        <v>9.6645076037824032E-2</v>
      </c>
      <c r="B705"/>
      <c r="C705"/>
      <c r="D705"/>
      <c r="E705"/>
      <c r="F705" s="27" t="s">
        <v>7</v>
      </c>
      <c r="BW705" s="27" t="s">
        <v>8</v>
      </c>
      <c r="BX705" s="27" t="s">
        <v>7</v>
      </c>
      <c r="CA705" s="27" t="s">
        <v>8</v>
      </c>
      <c r="CD705" s="27" t="s">
        <v>7</v>
      </c>
      <c r="CE705" s="27" t="s">
        <v>8</v>
      </c>
      <c r="CF705" s="27" t="s">
        <v>7</v>
      </c>
      <c r="CG705" s="27" t="s">
        <v>8</v>
      </c>
      <c r="CH705" s="27" t="s">
        <v>7</v>
      </c>
      <c r="CK705" s="27" t="s">
        <v>8</v>
      </c>
      <c r="CL705" s="27" t="s">
        <v>7</v>
      </c>
      <c r="CM705" s="27" t="s">
        <v>8</v>
      </c>
      <c r="CP705" s="27" t="s">
        <v>7</v>
      </c>
      <c r="CQ705" s="27" t="s">
        <v>8</v>
      </c>
      <c r="CR705" s="27" t="s">
        <v>7</v>
      </c>
      <c r="CS705" s="27" t="s">
        <v>8</v>
      </c>
      <c r="CT705" s="27" t="s">
        <v>7</v>
      </c>
      <c r="EM705" s="27" t="s">
        <v>8</v>
      </c>
      <c r="EN705" s="27" t="s">
        <v>7</v>
      </c>
      <c r="EO705" s="27" t="s">
        <v>8</v>
      </c>
      <c r="EQ705" s="27" t="s">
        <v>8</v>
      </c>
      <c r="ER705" s="27" t="s">
        <v>7</v>
      </c>
      <c r="FC705" s="27" t="s">
        <v>8</v>
      </c>
      <c r="FD705" s="27" t="s">
        <v>7</v>
      </c>
      <c r="FE705" s="27" t="s">
        <v>8</v>
      </c>
      <c r="FF705" s="27" t="s">
        <v>7</v>
      </c>
      <c r="FM705" s="27" t="s">
        <v>8</v>
      </c>
      <c r="FU705" s="27" t="s">
        <v>8</v>
      </c>
      <c r="FV705" s="27" t="s">
        <v>7</v>
      </c>
      <c r="FW705" s="27" t="s">
        <v>8</v>
      </c>
      <c r="FX705" s="27" t="s">
        <v>7</v>
      </c>
      <c r="FY705" s="27" t="s">
        <v>8</v>
      </c>
      <c r="FZ705" s="27" t="s">
        <v>7</v>
      </c>
      <c r="GE705" s="27" t="s">
        <v>8</v>
      </c>
      <c r="GF705" s="27" t="s">
        <v>7</v>
      </c>
      <c r="GG705" s="27" t="s">
        <v>8</v>
      </c>
      <c r="GH705" s="27" t="s">
        <v>7</v>
      </c>
      <c r="GW705" s="27" t="s">
        <v>8</v>
      </c>
      <c r="GX705" s="27" t="s">
        <v>7</v>
      </c>
    </row>
    <row r="706" spans="1:216" x14ac:dyDescent="0.25">
      <c r="A706" s="7">
        <v>9.4750074546886304E-2</v>
      </c>
      <c r="B706"/>
      <c r="C706"/>
      <c r="D706"/>
      <c r="E706"/>
      <c r="F706" s="27" t="s">
        <v>7</v>
      </c>
      <c r="BW706" s="27" t="s">
        <v>8</v>
      </c>
      <c r="BX706" s="27" t="s">
        <v>7</v>
      </c>
      <c r="CA706" s="27" t="s">
        <v>8</v>
      </c>
      <c r="CD706" s="27" t="s">
        <v>7</v>
      </c>
      <c r="CE706" s="27" t="s">
        <v>8</v>
      </c>
      <c r="CF706" s="27" t="s">
        <v>7</v>
      </c>
      <c r="CG706" s="27" t="s">
        <v>8</v>
      </c>
      <c r="CH706" s="27" t="s">
        <v>7</v>
      </c>
      <c r="CK706" s="27" t="s">
        <v>8</v>
      </c>
      <c r="CL706" s="27" t="s">
        <v>7</v>
      </c>
      <c r="CM706" s="27" t="s">
        <v>8</v>
      </c>
      <c r="CP706" s="27" t="s">
        <v>7</v>
      </c>
      <c r="CQ706" s="27" t="s">
        <v>8</v>
      </c>
      <c r="CR706" s="27" t="s">
        <v>7</v>
      </c>
      <c r="CS706" s="27" t="s">
        <v>8</v>
      </c>
      <c r="CT706" s="27" t="s">
        <v>7</v>
      </c>
      <c r="EM706" s="27" t="s">
        <v>8</v>
      </c>
      <c r="EN706" s="27" t="s">
        <v>7</v>
      </c>
      <c r="EO706" s="27" t="s">
        <v>8</v>
      </c>
      <c r="EP706" s="27" t="s">
        <v>7</v>
      </c>
      <c r="EQ706" s="27" t="s">
        <v>8</v>
      </c>
      <c r="ER706" s="27" t="s">
        <v>7</v>
      </c>
      <c r="FC706" s="27" t="s">
        <v>8</v>
      </c>
      <c r="FD706" s="27" t="s">
        <v>7</v>
      </c>
      <c r="FE706" s="27" t="s">
        <v>8</v>
      </c>
      <c r="FF706" s="27" t="s">
        <v>7</v>
      </c>
      <c r="FM706" s="27" t="s">
        <v>8</v>
      </c>
      <c r="FN706" s="27" t="s">
        <v>7</v>
      </c>
      <c r="FU706" s="27" t="s">
        <v>8</v>
      </c>
      <c r="FV706" s="27" t="s">
        <v>7</v>
      </c>
      <c r="FW706" s="27" t="s">
        <v>8</v>
      </c>
      <c r="FX706" s="27" t="s">
        <v>7</v>
      </c>
      <c r="FY706" s="27" t="s">
        <v>8</v>
      </c>
      <c r="FZ706" s="27" t="s">
        <v>7</v>
      </c>
      <c r="GC706" s="27" t="s">
        <v>8</v>
      </c>
      <c r="GE706" s="27" t="s">
        <v>8</v>
      </c>
      <c r="GF706" s="27" t="s">
        <v>7</v>
      </c>
      <c r="GG706" s="27" t="s">
        <v>8</v>
      </c>
      <c r="GH706" s="27" t="s">
        <v>7</v>
      </c>
      <c r="GI706" s="27" t="s">
        <v>8</v>
      </c>
      <c r="GM706" s="27" t="s">
        <v>8</v>
      </c>
      <c r="GW706" s="27" t="s">
        <v>8</v>
      </c>
      <c r="GX706" s="27" t="s">
        <v>7</v>
      </c>
    </row>
    <row r="707" spans="1:216" x14ac:dyDescent="0.25">
      <c r="A707" s="7">
        <v>9.2892229947927743E-2</v>
      </c>
      <c r="B707"/>
      <c r="C707"/>
      <c r="D707"/>
      <c r="E707"/>
      <c r="F707" s="27" t="s">
        <v>7</v>
      </c>
      <c r="BW707" s="27" t="s">
        <v>8</v>
      </c>
      <c r="BX707" s="27" t="s">
        <v>7</v>
      </c>
      <c r="CA707" s="27" t="s">
        <v>8</v>
      </c>
      <c r="CD707" s="27" t="s">
        <v>7</v>
      </c>
      <c r="CE707" s="27" t="s">
        <v>8</v>
      </c>
      <c r="CF707" s="27" t="s">
        <v>7</v>
      </c>
      <c r="CG707" s="27" t="s">
        <v>8</v>
      </c>
      <c r="CH707" s="27" t="s">
        <v>7</v>
      </c>
      <c r="CK707" s="27" t="s">
        <v>8</v>
      </c>
      <c r="CL707" s="27" t="s">
        <v>7</v>
      </c>
      <c r="CM707" s="27" t="s">
        <v>8</v>
      </c>
      <c r="CP707" s="27" t="s">
        <v>7</v>
      </c>
      <c r="CR707" s="27" t="s">
        <v>7</v>
      </c>
      <c r="CS707" s="27" t="s">
        <v>8</v>
      </c>
      <c r="CT707" s="27" t="s">
        <v>7</v>
      </c>
      <c r="EM707" s="27" t="s">
        <v>8</v>
      </c>
      <c r="EN707" s="27" t="s">
        <v>7</v>
      </c>
      <c r="EO707" s="27" t="s">
        <v>8</v>
      </c>
      <c r="EP707" s="27" t="s">
        <v>7</v>
      </c>
      <c r="EQ707" s="27" t="s">
        <v>8</v>
      </c>
      <c r="ER707" s="27" t="s">
        <v>7</v>
      </c>
      <c r="FC707" s="27" t="s">
        <v>8</v>
      </c>
      <c r="FD707" s="27" t="s">
        <v>7</v>
      </c>
      <c r="FE707" s="27" t="s">
        <v>8</v>
      </c>
      <c r="FF707" s="27" t="s">
        <v>7</v>
      </c>
      <c r="FM707" s="27" t="s">
        <v>8</v>
      </c>
      <c r="FN707" s="27" t="s">
        <v>7</v>
      </c>
      <c r="FQ707" s="27" t="s">
        <v>8</v>
      </c>
      <c r="FU707" s="27" t="s">
        <v>8</v>
      </c>
      <c r="FV707" s="27" t="s">
        <v>7</v>
      </c>
      <c r="FW707" s="27" t="s">
        <v>8</v>
      </c>
      <c r="FX707" s="27" t="s">
        <v>7</v>
      </c>
      <c r="FY707" s="27" t="s">
        <v>8</v>
      </c>
      <c r="FZ707" s="27" t="s">
        <v>7</v>
      </c>
      <c r="GC707" s="27" t="s">
        <v>8</v>
      </c>
      <c r="GD707" s="27" t="s">
        <v>7</v>
      </c>
      <c r="GE707" s="27" t="s">
        <v>8</v>
      </c>
      <c r="GF707" s="27" t="s">
        <v>7</v>
      </c>
      <c r="GG707" s="27" t="s">
        <v>8</v>
      </c>
      <c r="GH707" s="27" t="s">
        <v>7</v>
      </c>
      <c r="GI707" s="27" t="s">
        <v>8</v>
      </c>
      <c r="GJ707" s="27" t="s">
        <v>7</v>
      </c>
      <c r="GM707" s="27" t="s">
        <v>8</v>
      </c>
      <c r="GN707" s="27" t="s">
        <v>7</v>
      </c>
      <c r="GW707" s="27" t="s">
        <v>8</v>
      </c>
      <c r="GX707" s="27" t="s">
        <v>7</v>
      </c>
    </row>
    <row r="708" spans="1:216" x14ac:dyDescent="0.25">
      <c r="A708" s="7">
        <v>9.1070813674438963E-2</v>
      </c>
      <c r="B708"/>
      <c r="C708"/>
      <c r="D708"/>
      <c r="E708"/>
      <c r="F708" s="27" t="s">
        <v>7</v>
      </c>
      <c r="BW708" s="27" t="s">
        <v>8</v>
      </c>
      <c r="BX708" s="27" t="s">
        <v>7</v>
      </c>
      <c r="BY708" s="27" t="s">
        <v>8</v>
      </c>
      <c r="CA708" s="27" t="s">
        <v>8</v>
      </c>
      <c r="CD708" s="27" t="s">
        <v>7</v>
      </c>
      <c r="CE708" s="27" t="s">
        <v>8</v>
      </c>
      <c r="CF708" s="27" t="s">
        <v>7</v>
      </c>
      <c r="CG708" s="27" t="s">
        <v>8</v>
      </c>
      <c r="CH708" s="27" t="s">
        <v>7</v>
      </c>
      <c r="CK708" s="27" t="s">
        <v>8</v>
      </c>
      <c r="CL708" s="27" t="s">
        <v>7</v>
      </c>
      <c r="CR708" s="27" t="s">
        <v>7</v>
      </c>
      <c r="CS708" s="27" t="s">
        <v>8</v>
      </c>
      <c r="CT708" s="27" t="s">
        <v>7</v>
      </c>
      <c r="EM708" s="27" t="s">
        <v>8</v>
      </c>
      <c r="EN708" s="27" t="s">
        <v>7</v>
      </c>
      <c r="EO708" s="27" t="s">
        <v>8</v>
      </c>
      <c r="EP708" s="27" t="s">
        <v>7</v>
      </c>
      <c r="EQ708" s="27" t="s">
        <v>8</v>
      </c>
      <c r="ER708" s="27" t="s">
        <v>7</v>
      </c>
      <c r="FC708" s="27" t="s">
        <v>8</v>
      </c>
      <c r="FD708" s="27" t="s">
        <v>7</v>
      </c>
      <c r="FE708" s="27" t="s">
        <v>8</v>
      </c>
      <c r="FF708" s="27" t="s">
        <v>7</v>
      </c>
      <c r="FM708" s="27" t="s">
        <v>8</v>
      </c>
      <c r="FN708" s="27" t="s">
        <v>7</v>
      </c>
      <c r="FQ708" s="27" t="s">
        <v>8</v>
      </c>
      <c r="FR708" s="27" t="s">
        <v>7</v>
      </c>
      <c r="FU708" s="27" t="s">
        <v>8</v>
      </c>
      <c r="FV708" s="27" t="s">
        <v>7</v>
      </c>
      <c r="FW708" s="27" t="s">
        <v>8</v>
      </c>
      <c r="FX708" s="27" t="s">
        <v>7</v>
      </c>
      <c r="FY708" s="27" t="s">
        <v>8</v>
      </c>
      <c r="FZ708" s="27" t="s">
        <v>7</v>
      </c>
      <c r="GC708" s="27" t="s">
        <v>8</v>
      </c>
      <c r="GD708" s="27" t="s">
        <v>7</v>
      </c>
      <c r="GE708" s="27" t="s">
        <v>8</v>
      </c>
      <c r="GF708" s="27" t="s">
        <v>7</v>
      </c>
      <c r="GG708" s="27" t="s">
        <v>8</v>
      </c>
      <c r="GH708" s="27" t="s">
        <v>7</v>
      </c>
      <c r="GI708" s="27" t="s">
        <v>8</v>
      </c>
      <c r="GJ708" s="27" t="s">
        <v>7</v>
      </c>
      <c r="GM708" s="27" t="s">
        <v>8</v>
      </c>
      <c r="GN708" s="27" t="s">
        <v>7</v>
      </c>
      <c r="GW708" s="27" t="s">
        <v>8</v>
      </c>
      <c r="GX708" s="27" t="s">
        <v>7</v>
      </c>
    </row>
    <row r="709" spans="1:216" x14ac:dyDescent="0.25">
      <c r="A709" s="7">
        <v>8.9285111445528392E-2</v>
      </c>
      <c r="B709"/>
      <c r="C709"/>
      <c r="D709"/>
      <c r="E709"/>
      <c r="F709" s="27" t="s">
        <v>7</v>
      </c>
      <c r="BA709" s="27" t="s">
        <v>8</v>
      </c>
      <c r="BW709" s="27" t="s">
        <v>8</v>
      </c>
      <c r="BX709" s="27" t="s">
        <v>7</v>
      </c>
      <c r="BY709" s="27" t="s">
        <v>8</v>
      </c>
      <c r="BZ709" s="27" t="s">
        <v>7</v>
      </c>
      <c r="CA709" s="27" t="s">
        <v>8</v>
      </c>
      <c r="CD709" s="27" t="s">
        <v>7</v>
      </c>
      <c r="CE709" s="27" t="s">
        <v>8</v>
      </c>
      <c r="CF709" s="27" t="s">
        <v>7</v>
      </c>
      <c r="CH709" s="27" t="s">
        <v>7</v>
      </c>
      <c r="CK709" s="27" t="s">
        <v>8</v>
      </c>
      <c r="CR709" s="27" t="s">
        <v>7</v>
      </c>
      <c r="CS709" s="27" t="s">
        <v>8</v>
      </c>
      <c r="CT709" s="27" t="s">
        <v>7</v>
      </c>
      <c r="CU709" s="27" t="s">
        <v>8</v>
      </c>
      <c r="EM709" s="27" t="s">
        <v>8</v>
      </c>
      <c r="EN709" s="27" t="s">
        <v>7</v>
      </c>
      <c r="EO709" s="27" t="s">
        <v>8</v>
      </c>
      <c r="EP709" s="27" t="s">
        <v>7</v>
      </c>
      <c r="EQ709" s="27" t="s">
        <v>8</v>
      </c>
      <c r="ER709" s="27" t="s">
        <v>7</v>
      </c>
      <c r="FC709" s="27" t="s">
        <v>8</v>
      </c>
      <c r="FD709" s="27" t="s">
        <v>7</v>
      </c>
      <c r="FE709" s="27" t="s">
        <v>8</v>
      </c>
      <c r="FF709" s="27" t="s">
        <v>7</v>
      </c>
      <c r="FI709" s="27" t="s">
        <v>8</v>
      </c>
      <c r="FM709" s="27" t="s">
        <v>8</v>
      </c>
      <c r="FN709" s="27" t="s">
        <v>7</v>
      </c>
      <c r="FQ709" s="27" t="s">
        <v>8</v>
      </c>
      <c r="FR709" s="27" t="s">
        <v>7</v>
      </c>
      <c r="FU709" s="27" t="s">
        <v>8</v>
      </c>
      <c r="FV709" s="27" t="s">
        <v>7</v>
      </c>
      <c r="FW709" s="27" t="s">
        <v>8</v>
      </c>
      <c r="FX709" s="27" t="s">
        <v>7</v>
      </c>
      <c r="FZ709" s="27" t="s">
        <v>7</v>
      </c>
      <c r="GA709" s="27" t="s">
        <v>8</v>
      </c>
      <c r="GC709" s="27" t="s">
        <v>8</v>
      </c>
      <c r="GD709" s="27" t="s">
        <v>7</v>
      </c>
      <c r="GE709" s="27" t="s">
        <v>8</v>
      </c>
      <c r="GF709" s="27" t="s">
        <v>7</v>
      </c>
      <c r="GG709" s="27" t="s">
        <v>8</v>
      </c>
      <c r="GH709" s="27" t="s">
        <v>7</v>
      </c>
      <c r="GI709" s="27" t="s">
        <v>8</v>
      </c>
      <c r="GJ709" s="27" t="s">
        <v>7</v>
      </c>
      <c r="GM709" s="27" t="s">
        <v>8</v>
      </c>
      <c r="GN709" s="27" t="s">
        <v>7</v>
      </c>
      <c r="GW709" s="27" t="s">
        <v>8</v>
      </c>
      <c r="GX709" s="27" t="s">
        <v>7</v>
      </c>
    </row>
    <row r="710" spans="1:216" x14ac:dyDescent="0.25">
      <c r="A710" s="7">
        <v>8.7534422985812155E-2</v>
      </c>
      <c r="B710"/>
      <c r="C710"/>
      <c r="D710"/>
      <c r="E710"/>
      <c r="F710" s="27" t="s">
        <v>7</v>
      </c>
      <c r="BA710" s="27" t="s">
        <v>8</v>
      </c>
      <c r="BB710" s="27" t="s">
        <v>7</v>
      </c>
      <c r="BW710" s="27" t="s">
        <v>8</v>
      </c>
      <c r="BX710" s="27" t="s">
        <v>7</v>
      </c>
      <c r="BY710" s="27" t="s">
        <v>8</v>
      </c>
      <c r="BZ710" s="27" t="s">
        <v>7</v>
      </c>
      <c r="CA710" s="27" t="s">
        <v>8</v>
      </c>
      <c r="CD710" s="27" t="s">
        <v>7</v>
      </c>
      <c r="CE710" s="27" t="s">
        <v>8</v>
      </c>
      <c r="CH710" s="27" t="s">
        <v>7</v>
      </c>
      <c r="CK710" s="27" t="s">
        <v>8</v>
      </c>
      <c r="CR710" s="27" t="s">
        <v>7</v>
      </c>
      <c r="CS710" s="27" t="s">
        <v>8</v>
      </c>
      <c r="CT710" s="27" t="s">
        <v>7</v>
      </c>
      <c r="CU710" s="27" t="s">
        <v>8</v>
      </c>
      <c r="CV710" s="27" t="s">
        <v>7</v>
      </c>
      <c r="EM710" s="27" t="s">
        <v>8</v>
      </c>
      <c r="EN710" s="27" t="s">
        <v>7</v>
      </c>
      <c r="EO710" s="27" t="s">
        <v>8</v>
      </c>
      <c r="EP710" s="27" t="s">
        <v>7</v>
      </c>
      <c r="EQ710" s="27" t="s">
        <v>8</v>
      </c>
      <c r="ER710" s="27" t="s">
        <v>7</v>
      </c>
      <c r="FC710" s="27" t="s">
        <v>8</v>
      </c>
      <c r="FD710" s="27" t="s">
        <v>7</v>
      </c>
      <c r="FE710" s="27" t="s">
        <v>8</v>
      </c>
      <c r="FF710" s="27" t="s">
        <v>7</v>
      </c>
      <c r="FI710" s="27" t="s">
        <v>8</v>
      </c>
      <c r="FJ710" s="27" t="s">
        <v>7</v>
      </c>
      <c r="FM710" s="27" t="s">
        <v>8</v>
      </c>
      <c r="FN710" s="27" t="s">
        <v>7</v>
      </c>
      <c r="FO710" s="27" t="s">
        <v>8</v>
      </c>
      <c r="FQ710" s="27" t="s">
        <v>8</v>
      </c>
      <c r="FR710" s="27" t="s">
        <v>7</v>
      </c>
      <c r="FU710" s="27" t="s">
        <v>8</v>
      </c>
      <c r="FV710" s="27" t="s">
        <v>7</v>
      </c>
      <c r="FZ710" s="27" t="s">
        <v>7</v>
      </c>
      <c r="GA710" s="27" t="s">
        <v>8</v>
      </c>
      <c r="GB710" s="27" t="s">
        <v>7</v>
      </c>
      <c r="GC710" s="27" t="s">
        <v>8</v>
      </c>
      <c r="GD710" s="27" t="s">
        <v>7</v>
      </c>
      <c r="GE710" s="27" t="s">
        <v>8</v>
      </c>
      <c r="GF710" s="27" t="s">
        <v>7</v>
      </c>
      <c r="GG710" s="27" t="s">
        <v>8</v>
      </c>
      <c r="GH710" s="27" t="s">
        <v>7</v>
      </c>
      <c r="GI710" s="27" t="s">
        <v>8</v>
      </c>
      <c r="GJ710" s="27" t="s">
        <v>7</v>
      </c>
      <c r="GM710" s="27" t="s">
        <v>8</v>
      </c>
      <c r="GN710" s="27" t="s">
        <v>7</v>
      </c>
      <c r="GW710" s="27" t="s">
        <v>8</v>
      </c>
      <c r="GX710" s="27" t="s">
        <v>7</v>
      </c>
    </row>
    <row r="711" spans="1:216" x14ac:dyDescent="0.25">
      <c r="A711" s="7">
        <v>8.5818061750796232E-2</v>
      </c>
      <c r="B711"/>
      <c r="C711"/>
      <c r="D711"/>
      <c r="E711"/>
      <c r="F711" s="27" t="s">
        <v>7</v>
      </c>
      <c r="BA711" s="27" t="s">
        <v>8</v>
      </c>
      <c r="BB711" s="27" t="s">
        <v>7</v>
      </c>
      <c r="BW711" s="27" t="s">
        <v>8</v>
      </c>
      <c r="BX711" s="27" t="s">
        <v>7</v>
      </c>
      <c r="BY711" s="27" t="s">
        <v>8</v>
      </c>
      <c r="BZ711" s="27" t="s">
        <v>7</v>
      </c>
      <c r="CA711" s="27" t="s">
        <v>8</v>
      </c>
      <c r="CD711" s="27" t="s">
        <v>7</v>
      </c>
      <c r="CH711" s="27" t="s">
        <v>7</v>
      </c>
      <c r="CK711" s="27" t="s">
        <v>8</v>
      </c>
      <c r="CR711" s="27" t="s">
        <v>7</v>
      </c>
      <c r="CT711" s="27" t="s">
        <v>7</v>
      </c>
      <c r="CU711" s="27" t="s">
        <v>8</v>
      </c>
      <c r="CV711" s="27" t="s">
        <v>7</v>
      </c>
      <c r="EM711" s="27" t="s">
        <v>8</v>
      </c>
      <c r="EN711" s="27" t="s">
        <v>7</v>
      </c>
      <c r="EO711" s="27" t="s">
        <v>8</v>
      </c>
      <c r="EP711" s="27" t="s">
        <v>7</v>
      </c>
      <c r="EQ711" s="27" t="s">
        <v>8</v>
      </c>
      <c r="ER711" s="27" t="s">
        <v>7</v>
      </c>
      <c r="EW711" s="27" t="s">
        <v>8</v>
      </c>
      <c r="FC711" s="27" t="s">
        <v>8</v>
      </c>
      <c r="FD711" s="27" t="s">
        <v>7</v>
      </c>
      <c r="FE711" s="27" t="s">
        <v>8</v>
      </c>
      <c r="FF711" s="27" t="s">
        <v>7</v>
      </c>
      <c r="FI711" s="27" t="s">
        <v>8</v>
      </c>
      <c r="FJ711" s="27" t="s">
        <v>7</v>
      </c>
      <c r="FM711" s="27" t="s">
        <v>8</v>
      </c>
      <c r="FN711" s="27" t="s">
        <v>7</v>
      </c>
      <c r="FO711" s="27" t="s">
        <v>8</v>
      </c>
      <c r="FP711" s="27" t="s">
        <v>7</v>
      </c>
      <c r="FQ711" s="27" t="s">
        <v>8</v>
      </c>
      <c r="FR711" s="27" t="s">
        <v>7</v>
      </c>
      <c r="FU711" s="27" t="s">
        <v>8</v>
      </c>
      <c r="FZ711" s="27" t="s">
        <v>7</v>
      </c>
      <c r="GA711" s="27" t="s">
        <v>8</v>
      </c>
      <c r="GB711" s="27" t="s">
        <v>7</v>
      </c>
      <c r="GC711" s="27" t="s">
        <v>8</v>
      </c>
      <c r="GD711" s="27" t="s">
        <v>7</v>
      </c>
      <c r="GE711" s="27" t="s">
        <v>8</v>
      </c>
      <c r="GF711" s="27" t="s">
        <v>7</v>
      </c>
      <c r="GH711" s="27" t="s">
        <v>7</v>
      </c>
      <c r="GI711" s="27" t="s">
        <v>8</v>
      </c>
      <c r="GJ711" s="27" t="s">
        <v>7</v>
      </c>
      <c r="GM711" s="27" t="s">
        <v>8</v>
      </c>
      <c r="GN711" s="27" t="s">
        <v>7</v>
      </c>
      <c r="GW711" s="27" t="s">
        <v>8</v>
      </c>
      <c r="GX711" s="27" t="s">
        <v>7</v>
      </c>
    </row>
    <row r="712" spans="1:216" x14ac:dyDescent="0.25">
      <c r="A712" s="7">
        <v>8.4135354657643366E-2</v>
      </c>
      <c r="B712"/>
      <c r="C712"/>
      <c r="D712"/>
      <c r="E712"/>
      <c r="F712" s="27" t="s">
        <v>7</v>
      </c>
      <c r="BA712" s="27" t="s">
        <v>8</v>
      </c>
      <c r="BB712" s="27" t="s">
        <v>7</v>
      </c>
      <c r="BW712" s="27" t="s">
        <v>8</v>
      </c>
      <c r="BX712" s="27" t="s">
        <v>7</v>
      </c>
      <c r="BY712" s="27" t="s">
        <v>8</v>
      </c>
      <c r="BZ712" s="27" t="s">
        <v>7</v>
      </c>
      <c r="CA712" s="27" t="s">
        <v>8</v>
      </c>
      <c r="CH712" s="27" t="s">
        <v>7</v>
      </c>
      <c r="CI712" s="27" t="s">
        <v>8</v>
      </c>
      <c r="CK712" s="27" t="s">
        <v>8</v>
      </c>
      <c r="CT712" s="27" t="s">
        <v>7</v>
      </c>
      <c r="CU712" s="27" t="s">
        <v>8</v>
      </c>
      <c r="CV712" s="27" t="s">
        <v>7</v>
      </c>
      <c r="EM712" s="27" t="s">
        <v>8</v>
      </c>
      <c r="EN712" s="27" t="s">
        <v>7</v>
      </c>
      <c r="EO712" s="27" t="s">
        <v>8</v>
      </c>
      <c r="EP712" s="27" t="s">
        <v>7</v>
      </c>
      <c r="EQ712" s="27" t="s">
        <v>8</v>
      </c>
      <c r="ER712" s="27" t="s">
        <v>7</v>
      </c>
      <c r="ES712" s="27" t="s">
        <v>8</v>
      </c>
      <c r="EW712" s="27" t="s">
        <v>8</v>
      </c>
      <c r="EX712" s="27" t="s">
        <v>7</v>
      </c>
      <c r="FC712" s="27" t="s">
        <v>8</v>
      </c>
      <c r="FD712" s="27" t="s">
        <v>7</v>
      </c>
      <c r="FE712" s="27" t="s">
        <v>8</v>
      </c>
      <c r="FF712" s="27" t="s">
        <v>7</v>
      </c>
      <c r="FG712" s="27" t="s">
        <v>8</v>
      </c>
      <c r="FI712" s="27" t="s">
        <v>8</v>
      </c>
      <c r="FJ712" s="27" t="s">
        <v>7</v>
      </c>
      <c r="FM712" s="27" t="s">
        <v>8</v>
      </c>
      <c r="FN712" s="27" t="s">
        <v>7</v>
      </c>
      <c r="FO712" s="27" t="s">
        <v>8</v>
      </c>
      <c r="FP712" s="27" t="s">
        <v>7</v>
      </c>
      <c r="FQ712" s="27" t="s">
        <v>8</v>
      </c>
      <c r="FR712" s="27" t="s">
        <v>7</v>
      </c>
      <c r="FU712" s="27" t="s">
        <v>8</v>
      </c>
      <c r="FZ712" s="27" t="s">
        <v>7</v>
      </c>
      <c r="GA712" s="27" t="s">
        <v>8</v>
      </c>
      <c r="GB712" s="27" t="s">
        <v>7</v>
      </c>
      <c r="GC712" s="27" t="s">
        <v>8</v>
      </c>
      <c r="GD712" s="27" t="s">
        <v>7</v>
      </c>
      <c r="GE712" s="27" t="s">
        <v>8</v>
      </c>
      <c r="GH712" s="27" t="s">
        <v>7</v>
      </c>
      <c r="GI712" s="27" t="s">
        <v>8</v>
      </c>
      <c r="GJ712" s="27" t="s">
        <v>7</v>
      </c>
      <c r="GM712" s="27" t="s">
        <v>8</v>
      </c>
      <c r="GN712" s="27" t="s">
        <v>7</v>
      </c>
      <c r="GW712" s="27" t="s">
        <v>8</v>
      </c>
      <c r="GX712" s="27" t="s">
        <v>7</v>
      </c>
    </row>
    <row r="713" spans="1:216" x14ac:dyDescent="0.25">
      <c r="A713" s="7">
        <v>8.248564182121898E-2</v>
      </c>
      <c r="B713"/>
      <c r="C713"/>
      <c r="D713"/>
      <c r="E713"/>
      <c r="F713" s="27" t="s">
        <v>7</v>
      </c>
      <c r="BA713" s="27" t="s">
        <v>8</v>
      </c>
      <c r="BB713" s="27" t="s">
        <v>7</v>
      </c>
      <c r="BW713" s="27" t="s">
        <v>8</v>
      </c>
      <c r="BX713" s="27" t="s">
        <v>7</v>
      </c>
      <c r="BY713" s="27" t="s">
        <v>8</v>
      </c>
      <c r="BZ713" s="27" t="s">
        <v>7</v>
      </c>
      <c r="CA713" s="27" t="s">
        <v>8</v>
      </c>
      <c r="CH713" s="27" t="s">
        <v>7</v>
      </c>
      <c r="CI713" s="27" t="s">
        <v>8</v>
      </c>
      <c r="CJ713" s="27" t="s">
        <v>7</v>
      </c>
      <c r="CK713" s="27" t="s">
        <v>8</v>
      </c>
      <c r="CT713" s="27" t="s">
        <v>7</v>
      </c>
      <c r="CV713" s="27" t="s">
        <v>7</v>
      </c>
      <c r="EM713" s="27" t="s">
        <v>8</v>
      </c>
      <c r="EN713" s="27" t="s">
        <v>7</v>
      </c>
      <c r="EO713" s="27" t="s">
        <v>8</v>
      </c>
      <c r="EP713" s="27" t="s">
        <v>7</v>
      </c>
      <c r="EQ713" s="27" t="s">
        <v>8</v>
      </c>
      <c r="ER713" s="27" t="s">
        <v>7</v>
      </c>
      <c r="ES713" s="27" t="s">
        <v>8</v>
      </c>
      <c r="ET713" s="27" t="s">
        <v>7</v>
      </c>
      <c r="EU713" s="27" t="s">
        <v>8</v>
      </c>
      <c r="EW713" s="27" t="s">
        <v>8</v>
      </c>
      <c r="EX713" s="27" t="s">
        <v>7</v>
      </c>
      <c r="FC713" s="27" t="s">
        <v>8</v>
      </c>
      <c r="FD713" s="27" t="s">
        <v>7</v>
      </c>
      <c r="FE713" s="27" t="s">
        <v>8</v>
      </c>
      <c r="FF713" s="27" t="s">
        <v>7</v>
      </c>
      <c r="FG713" s="27" t="s">
        <v>8</v>
      </c>
      <c r="FH713" s="27" t="s">
        <v>7</v>
      </c>
      <c r="FI713" s="27" t="s">
        <v>8</v>
      </c>
      <c r="FJ713" s="27" t="s">
        <v>7</v>
      </c>
      <c r="FM713" s="27" t="s">
        <v>8</v>
      </c>
      <c r="FN713" s="27" t="s">
        <v>7</v>
      </c>
      <c r="FO713" s="27" t="s">
        <v>8</v>
      </c>
      <c r="FP713" s="27" t="s">
        <v>7</v>
      </c>
      <c r="FQ713" s="27" t="s">
        <v>8</v>
      </c>
      <c r="FR713" s="27" t="s">
        <v>7</v>
      </c>
      <c r="FS713" s="27" t="s">
        <v>8</v>
      </c>
      <c r="FU713" s="27" t="s">
        <v>8</v>
      </c>
      <c r="FZ713" s="27" t="s">
        <v>7</v>
      </c>
      <c r="GA713" s="27" t="s">
        <v>8</v>
      </c>
      <c r="GB713" s="27" t="s">
        <v>7</v>
      </c>
      <c r="GC713" s="27" t="s">
        <v>8</v>
      </c>
      <c r="GD713" s="27" t="s">
        <v>7</v>
      </c>
      <c r="GH713" s="27" t="s">
        <v>7</v>
      </c>
      <c r="GI713" s="27" t="s">
        <v>8</v>
      </c>
      <c r="GJ713" s="27" t="s">
        <v>7</v>
      </c>
      <c r="GM713" s="27" t="s">
        <v>8</v>
      </c>
      <c r="GN713" s="27" t="s">
        <v>7</v>
      </c>
      <c r="GO713" s="27" t="s">
        <v>8</v>
      </c>
      <c r="GW713" s="27" t="s">
        <v>8</v>
      </c>
      <c r="GX713" s="27" t="s">
        <v>7</v>
      </c>
      <c r="GY713" s="27" t="s">
        <v>8</v>
      </c>
    </row>
    <row r="714" spans="1:216" x14ac:dyDescent="0.25">
      <c r="A714" s="7">
        <v>8.0868276295312735E-2</v>
      </c>
      <c r="B714"/>
      <c r="C714"/>
      <c r="D714"/>
      <c r="E714"/>
      <c r="F714" s="27" t="s">
        <v>7</v>
      </c>
      <c r="BA714" s="27" t="s">
        <v>8</v>
      </c>
      <c r="BB714" s="27" t="s">
        <v>7</v>
      </c>
      <c r="BW714" s="27" t="s">
        <v>8</v>
      </c>
      <c r="BX714" s="27" t="s">
        <v>7</v>
      </c>
      <c r="BY714" s="27" t="s">
        <v>8</v>
      </c>
      <c r="BZ714" s="27" t="s">
        <v>7</v>
      </c>
      <c r="CA714" s="27" t="s">
        <v>8</v>
      </c>
      <c r="CH714" s="27" t="s">
        <v>7</v>
      </c>
      <c r="CI714" s="27" t="s">
        <v>8</v>
      </c>
      <c r="CJ714" s="27" t="s">
        <v>7</v>
      </c>
      <c r="CK714" s="27" t="s">
        <v>8</v>
      </c>
      <c r="CV714" s="27" t="s">
        <v>7</v>
      </c>
      <c r="EM714" s="27" t="s">
        <v>8</v>
      </c>
      <c r="EN714" s="27" t="s">
        <v>7</v>
      </c>
      <c r="EO714" s="27" t="s">
        <v>8</v>
      </c>
      <c r="EP714" s="27" t="s">
        <v>7</v>
      </c>
      <c r="EQ714" s="27" t="s">
        <v>8</v>
      </c>
      <c r="ER714" s="27" t="s">
        <v>7</v>
      </c>
      <c r="ES714" s="27" t="s">
        <v>8</v>
      </c>
      <c r="ET714" s="27" t="s">
        <v>7</v>
      </c>
      <c r="EU714" s="27" t="s">
        <v>8</v>
      </c>
      <c r="EV714" s="27" t="s">
        <v>7</v>
      </c>
      <c r="EW714" s="27" t="s">
        <v>8</v>
      </c>
      <c r="EX714" s="27" t="s">
        <v>7</v>
      </c>
      <c r="FC714" s="27" t="s">
        <v>8</v>
      </c>
      <c r="FD714" s="27" t="s">
        <v>7</v>
      </c>
      <c r="FE714" s="27" t="s">
        <v>8</v>
      </c>
      <c r="FF714" s="27" t="s">
        <v>7</v>
      </c>
      <c r="FG714" s="27" t="s">
        <v>8</v>
      </c>
      <c r="FH714" s="27" t="s">
        <v>7</v>
      </c>
      <c r="FI714" s="27" t="s">
        <v>8</v>
      </c>
      <c r="FJ714" s="27" t="s">
        <v>7</v>
      </c>
      <c r="FK714" s="27" t="s">
        <v>8</v>
      </c>
      <c r="FM714" s="27" t="s">
        <v>8</v>
      </c>
      <c r="FN714" s="27" t="s">
        <v>7</v>
      </c>
      <c r="FP714" s="27" t="s">
        <v>7</v>
      </c>
      <c r="FQ714" s="27" t="s">
        <v>8</v>
      </c>
      <c r="FR714" s="27" t="s">
        <v>7</v>
      </c>
      <c r="FS714" s="27" t="s">
        <v>8</v>
      </c>
      <c r="FT714" s="27" t="s">
        <v>7</v>
      </c>
      <c r="FU714" s="27" t="s">
        <v>8</v>
      </c>
      <c r="FZ714" s="27" t="s">
        <v>7</v>
      </c>
      <c r="GB714" s="27" t="s">
        <v>7</v>
      </c>
      <c r="GC714" s="27" t="s">
        <v>8</v>
      </c>
      <c r="GH714" s="27" t="s">
        <v>7</v>
      </c>
      <c r="GI714" s="27" t="s">
        <v>8</v>
      </c>
      <c r="GJ714" s="27" t="s">
        <v>7</v>
      </c>
      <c r="GM714" s="27" t="s">
        <v>8</v>
      </c>
      <c r="GN714" s="27" t="s">
        <v>7</v>
      </c>
      <c r="GO714" s="27" t="s">
        <v>8</v>
      </c>
      <c r="GP714" s="27" t="s">
        <v>7</v>
      </c>
      <c r="GW714" s="27" t="s">
        <v>8</v>
      </c>
      <c r="GX714" s="27" t="s">
        <v>7</v>
      </c>
      <c r="GY714" s="27" t="s">
        <v>8</v>
      </c>
      <c r="GZ714" s="27" t="s">
        <v>7</v>
      </c>
      <c r="HA714" s="27" t="s">
        <v>8</v>
      </c>
    </row>
    <row r="715" spans="1:216" x14ac:dyDescent="0.25">
      <c r="A715" s="7">
        <v>7.9282623818934056E-2</v>
      </c>
      <c r="B715"/>
      <c r="C715"/>
      <c r="D715"/>
      <c r="E715"/>
      <c r="F715" s="27" t="s">
        <v>7</v>
      </c>
      <c r="BA715" s="27" t="s">
        <v>8</v>
      </c>
      <c r="BB715" s="27" t="s">
        <v>7</v>
      </c>
      <c r="BW715" s="27" t="s">
        <v>8</v>
      </c>
      <c r="BX715" s="27" t="s">
        <v>7</v>
      </c>
      <c r="BY715" s="27" t="s">
        <v>8</v>
      </c>
      <c r="BZ715" s="27" t="s">
        <v>7</v>
      </c>
      <c r="CA715" s="27" t="s">
        <v>8</v>
      </c>
      <c r="CH715" s="27" t="s">
        <v>7</v>
      </c>
      <c r="CI715" s="27" t="s">
        <v>8</v>
      </c>
      <c r="CJ715" s="27" t="s">
        <v>7</v>
      </c>
      <c r="CK715" s="27" t="s">
        <v>8</v>
      </c>
      <c r="CV715" s="27" t="s">
        <v>7</v>
      </c>
      <c r="EM715" s="27" t="s">
        <v>8</v>
      </c>
      <c r="EN715" s="27" t="s">
        <v>7</v>
      </c>
      <c r="EO715" s="27" t="s">
        <v>8</v>
      </c>
      <c r="EP715" s="27" t="s">
        <v>7</v>
      </c>
      <c r="EQ715" s="27" t="s">
        <v>8</v>
      </c>
      <c r="ER715" s="27" t="s">
        <v>7</v>
      </c>
      <c r="ES715" s="27" t="s">
        <v>8</v>
      </c>
      <c r="ET715" s="27" t="s">
        <v>7</v>
      </c>
      <c r="EU715" s="27" t="s">
        <v>8</v>
      </c>
      <c r="EV715" s="27" t="s">
        <v>7</v>
      </c>
      <c r="EW715" s="27" t="s">
        <v>8</v>
      </c>
      <c r="EX715" s="27" t="s">
        <v>7</v>
      </c>
      <c r="FC715" s="27" t="s">
        <v>8</v>
      </c>
      <c r="FD715" s="27" t="s">
        <v>7</v>
      </c>
      <c r="FE715" s="27" t="s">
        <v>8</v>
      </c>
      <c r="FF715" s="27" t="s">
        <v>7</v>
      </c>
      <c r="FG715" s="27" t="s">
        <v>8</v>
      </c>
      <c r="FH715" s="27" t="s">
        <v>7</v>
      </c>
      <c r="FI715" s="27" t="s">
        <v>8</v>
      </c>
      <c r="FJ715" s="27" t="s">
        <v>7</v>
      </c>
      <c r="FK715" s="27" t="s">
        <v>8</v>
      </c>
      <c r="FL715" s="27" t="s">
        <v>7</v>
      </c>
      <c r="FM715" s="27" t="s">
        <v>8</v>
      </c>
      <c r="FP715" s="27" t="s">
        <v>7</v>
      </c>
      <c r="FQ715" s="27" t="s">
        <v>8</v>
      </c>
      <c r="FR715" s="27" t="s">
        <v>7</v>
      </c>
      <c r="FS715" s="27" t="s">
        <v>8</v>
      </c>
      <c r="FT715" s="27" t="s">
        <v>7</v>
      </c>
      <c r="FU715" s="27" t="s">
        <v>8</v>
      </c>
      <c r="GB715" s="27" t="s">
        <v>7</v>
      </c>
      <c r="GH715" s="27" t="s">
        <v>7</v>
      </c>
      <c r="GI715" s="27" t="s">
        <v>8</v>
      </c>
      <c r="GJ715" s="27" t="s">
        <v>7</v>
      </c>
      <c r="GK715" s="27" t="s">
        <v>8</v>
      </c>
      <c r="GM715" s="27" t="s">
        <v>8</v>
      </c>
      <c r="GN715" s="27" t="s">
        <v>7</v>
      </c>
      <c r="GO715" s="27" t="s">
        <v>8</v>
      </c>
      <c r="GP715" s="27" t="s">
        <v>7</v>
      </c>
      <c r="GW715" s="27" t="s">
        <v>8</v>
      </c>
      <c r="GX715" s="27" t="s">
        <v>7</v>
      </c>
      <c r="GY715" s="27" t="s">
        <v>8</v>
      </c>
      <c r="GZ715" s="27" t="s">
        <v>7</v>
      </c>
      <c r="HA715" s="27" t="s">
        <v>8</v>
      </c>
      <c r="HB715" s="27" t="s">
        <v>7</v>
      </c>
    </row>
    <row r="716" spans="1:216" x14ac:dyDescent="0.25">
      <c r="A716" s="7">
        <v>7.7728062567582412E-2</v>
      </c>
      <c r="B716"/>
      <c r="C716"/>
      <c r="D716"/>
      <c r="E716"/>
      <c r="F716" s="27" t="s">
        <v>7</v>
      </c>
      <c r="BA716" s="27" t="s">
        <v>8</v>
      </c>
      <c r="BB716" s="27" t="s">
        <v>7</v>
      </c>
      <c r="BM716" s="27" t="s">
        <v>8</v>
      </c>
      <c r="BU716" s="27" t="s">
        <v>8</v>
      </c>
      <c r="BW716" s="27" t="s">
        <v>8</v>
      </c>
      <c r="BX716" s="27" t="s">
        <v>7</v>
      </c>
      <c r="BY716" s="27" t="s">
        <v>8</v>
      </c>
      <c r="BZ716" s="27" t="s">
        <v>7</v>
      </c>
      <c r="CA716" s="27" t="s">
        <v>8</v>
      </c>
      <c r="CH716" s="27" t="s">
        <v>7</v>
      </c>
      <c r="CI716" s="27" t="s">
        <v>8</v>
      </c>
      <c r="CJ716" s="27" t="s">
        <v>7</v>
      </c>
      <c r="CK716" s="27" t="s">
        <v>8</v>
      </c>
      <c r="CV716" s="27" t="s">
        <v>7</v>
      </c>
      <c r="EM716" s="27" t="s">
        <v>8</v>
      </c>
      <c r="EN716" s="27" t="s">
        <v>7</v>
      </c>
      <c r="EO716" s="27" t="s">
        <v>8</v>
      </c>
      <c r="EP716" s="27" t="s">
        <v>7</v>
      </c>
      <c r="EQ716" s="27" t="s">
        <v>8</v>
      </c>
      <c r="ER716" s="27" t="s">
        <v>7</v>
      </c>
      <c r="ES716" s="27" t="s">
        <v>8</v>
      </c>
      <c r="ET716" s="27" t="s">
        <v>7</v>
      </c>
      <c r="EU716" s="27" t="s">
        <v>8</v>
      </c>
      <c r="EV716" s="27" t="s">
        <v>7</v>
      </c>
      <c r="EW716" s="27" t="s">
        <v>8</v>
      </c>
      <c r="EX716" s="27" t="s">
        <v>7</v>
      </c>
      <c r="FC716" s="27" t="s">
        <v>8</v>
      </c>
      <c r="FD716" s="27" t="s">
        <v>7</v>
      </c>
      <c r="FE716" s="27" t="s">
        <v>8</v>
      </c>
      <c r="FF716" s="27" t="s">
        <v>7</v>
      </c>
      <c r="FG716" s="27" t="s">
        <v>8</v>
      </c>
      <c r="FH716" s="27" t="s">
        <v>7</v>
      </c>
      <c r="FI716" s="27" t="s">
        <v>8</v>
      </c>
      <c r="FJ716" s="27" t="s">
        <v>7</v>
      </c>
      <c r="FK716" s="27" t="s">
        <v>8</v>
      </c>
      <c r="FL716" s="27" t="s">
        <v>7</v>
      </c>
      <c r="FM716" s="27" t="s">
        <v>8</v>
      </c>
      <c r="FP716" s="27" t="s">
        <v>7</v>
      </c>
      <c r="FR716" s="27" t="s">
        <v>7</v>
      </c>
      <c r="FT716" s="27" t="s">
        <v>7</v>
      </c>
      <c r="GH716" s="27" t="s">
        <v>7</v>
      </c>
      <c r="GI716" s="27" t="s">
        <v>8</v>
      </c>
      <c r="GJ716" s="27" t="s">
        <v>7</v>
      </c>
      <c r="GK716" s="27" t="s">
        <v>8</v>
      </c>
      <c r="GL716" s="27" t="s">
        <v>7</v>
      </c>
      <c r="GM716" s="27" t="s">
        <v>8</v>
      </c>
      <c r="GN716" s="27" t="s">
        <v>7</v>
      </c>
      <c r="GO716" s="27" t="s">
        <v>8</v>
      </c>
      <c r="GP716" s="27" t="s">
        <v>7</v>
      </c>
      <c r="GW716" s="27" t="s">
        <v>8</v>
      </c>
      <c r="GX716" s="27" t="s">
        <v>7</v>
      </c>
      <c r="GY716" s="27" t="s">
        <v>8</v>
      </c>
      <c r="GZ716" s="27" t="s">
        <v>7</v>
      </c>
      <c r="HA716" s="27" t="s">
        <v>8</v>
      </c>
      <c r="HB716" s="27" t="s">
        <v>7</v>
      </c>
    </row>
    <row r="717" spans="1:216" x14ac:dyDescent="0.25">
      <c r="A717" s="7">
        <v>7.6203982909394521E-2</v>
      </c>
      <c r="B717"/>
      <c r="C717"/>
      <c r="D717"/>
      <c r="E717"/>
      <c r="F717" s="27" t="s">
        <v>7</v>
      </c>
      <c r="BA717" s="27" t="s">
        <v>8</v>
      </c>
      <c r="BB717" s="27" t="s">
        <v>7</v>
      </c>
      <c r="BM717" s="27" t="s">
        <v>8</v>
      </c>
      <c r="BN717" s="27" t="s">
        <v>7</v>
      </c>
      <c r="BU717" s="27" t="s">
        <v>8</v>
      </c>
      <c r="BV717" s="27" t="s">
        <v>7</v>
      </c>
      <c r="BW717" s="27" t="s">
        <v>8</v>
      </c>
      <c r="BX717" s="27" t="s">
        <v>7</v>
      </c>
      <c r="BZ717" s="27" t="s">
        <v>7</v>
      </c>
      <c r="CA717" s="27" t="s">
        <v>8</v>
      </c>
      <c r="CH717" s="27" t="s">
        <v>7</v>
      </c>
      <c r="CI717" s="27" t="s">
        <v>8</v>
      </c>
      <c r="CJ717" s="27" t="s">
        <v>7</v>
      </c>
      <c r="CK717" s="27" t="s">
        <v>8</v>
      </c>
      <c r="CV717" s="27" t="s">
        <v>7</v>
      </c>
      <c r="EM717" s="27" t="s">
        <v>8</v>
      </c>
      <c r="EN717" s="27" t="s">
        <v>7</v>
      </c>
      <c r="EO717" s="27" t="s">
        <v>8</v>
      </c>
      <c r="EP717" s="27" t="s">
        <v>7</v>
      </c>
      <c r="EQ717" s="27" t="s">
        <v>8</v>
      </c>
      <c r="ER717" s="27" t="s">
        <v>7</v>
      </c>
      <c r="ES717" s="27" t="s">
        <v>8</v>
      </c>
      <c r="ET717" s="27" t="s">
        <v>7</v>
      </c>
      <c r="EV717" s="27" t="s">
        <v>7</v>
      </c>
      <c r="EW717" s="27" t="s">
        <v>8</v>
      </c>
      <c r="EX717" s="27" t="s">
        <v>7</v>
      </c>
      <c r="FC717" s="27" t="s">
        <v>8</v>
      </c>
      <c r="FD717" s="27" t="s">
        <v>7</v>
      </c>
      <c r="FE717" s="27" t="s">
        <v>8</v>
      </c>
      <c r="FF717" s="27" t="s">
        <v>7</v>
      </c>
      <c r="FH717" s="27" t="s">
        <v>7</v>
      </c>
      <c r="FI717" s="27" t="s">
        <v>8</v>
      </c>
      <c r="FJ717" s="27" t="s">
        <v>7</v>
      </c>
      <c r="FK717" s="27" t="s">
        <v>8</v>
      </c>
      <c r="FL717" s="27" t="s">
        <v>7</v>
      </c>
      <c r="FM717" s="27" t="s">
        <v>8</v>
      </c>
      <c r="GH717" s="27" t="s">
        <v>7</v>
      </c>
      <c r="GI717" s="27" t="s">
        <v>8</v>
      </c>
      <c r="GJ717" s="27" t="s">
        <v>7</v>
      </c>
      <c r="GK717" s="27" t="s">
        <v>8</v>
      </c>
      <c r="GL717" s="27" t="s">
        <v>7</v>
      </c>
      <c r="GM717" s="27" t="s">
        <v>8</v>
      </c>
      <c r="GN717" s="27" t="s">
        <v>7</v>
      </c>
      <c r="GO717" s="27" t="s">
        <v>8</v>
      </c>
      <c r="GP717" s="27" t="s">
        <v>7</v>
      </c>
      <c r="GW717" s="27" t="s">
        <v>8</v>
      </c>
      <c r="GX717" s="27" t="s">
        <v>7</v>
      </c>
      <c r="GY717" s="27" t="s">
        <v>8</v>
      </c>
      <c r="GZ717" s="27" t="s">
        <v>7</v>
      </c>
      <c r="HA717" s="27" t="s">
        <v>8</v>
      </c>
      <c r="HB717" s="27" t="s">
        <v>7</v>
      </c>
    </row>
    <row r="718" spans="1:216" x14ac:dyDescent="0.25">
      <c r="A718" s="7">
        <v>7.4709787166073058E-2</v>
      </c>
      <c r="B718"/>
      <c r="C718"/>
      <c r="D718"/>
      <c r="E718"/>
      <c r="F718" s="27" t="s">
        <v>7</v>
      </c>
      <c r="BA718" s="27" t="s">
        <v>8</v>
      </c>
      <c r="BB718" s="27" t="s">
        <v>7</v>
      </c>
      <c r="BM718" s="27" t="s">
        <v>8</v>
      </c>
      <c r="BN718" s="27" t="s">
        <v>7</v>
      </c>
      <c r="BU718" s="27" t="s">
        <v>8</v>
      </c>
      <c r="BV718" s="27" t="s">
        <v>7</v>
      </c>
      <c r="BW718" s="27" t="s">
        <v>8</v>
      </c>
      <c r="BZ718" s="27" t="s">
        <v>7</v>
      </c>
      <c r="CA718" s="27" t="s">
        <v>8</v>
      </c>
      <c r="CH718" s="27" t="s">
        <v>7</v>
      </c>
      <c r="CI718" s="27" t="s">
        <v>8</v>
      </c>
      <c r="CJ718" s="27" t="s">
        <v>7</v>
      </c>
      <c r="CK718" s="27" t="s">
        <v>8</v>
      </c>
      <c r="CV718" s="27" t="s">
        <v>7</v>
      </c>
      <c r="CW718" s="27" t="s">
        <v>8</v>
      </c>
      <c r="EM718" s="27" t="s">
        <v>8</v>
      </c>
      <c r="EN718" s="27" t="s">
        <v>7</v>
      </c>
      <c r="EO718" s="27" t="s">
        <v>8</v>
      </c>
      <c r="EP718" s="27" t="s">
        <v>7</v>
      </c>
      <c r="ER718" s="27" t="s">
        <v>7</v>
      </c>
      <c r="EV718" s="27" t="s">
        <v>7</v>
      </c>
      <c r="EX718" s="27" t="s">
        <v>7</v>
      </c>
      <c r="FC718" s="27" t="s">
        <v>8</v>
      </c>
      <c r="FD718" s="27" t="s">
        <v>7</v>
      </c>
      <c r="FE718" s="27" t="s">
        <v>8</v>
      </c>
      <c r="FH718" s="27" t="s">
        <v>7</v>
      </c>
      <c r="FI718" s="27" t="s">
        <v>8</v>
      </c>
      <c r="FJ718" s="27" t="s">
        <v>7</v>
      </c>
      <c r="FK718" s="27" t="s">
        <v>8</v>
      </c>
      <c r="FL718" s="27" t="s">
        <v>7</v>
      </c>
      <c r="GH718" s="27" t="s">
        <v>7</v>
      </c>
      <c r="GI718" s="27" t="s">
        <v>8</v>
      </c>
      <c r="GJ718" s="27" t="s">
        <v>7</v>
      </c>
      <c r="GK718" s="27" t="s">
        <v>8</v>
      </c>
      <c r="GL718" s="27" t="s">
        <v>7</v>
      </c>
      <c r="GN718" s="27" t="s">
        <v>7</v>
      </c>
      <c r="GO718" s="27" t="s">
        <v>8</v>
      </c>
      <c r="GP718" s="27" t="s">
        <v>7</v>
      </c>
      <c r="GW718" s="27" t="s">
        <v>8</v>
      </c>
      <c r="GX718" s="27" t="s">
        <v>7</v>
      </c>
      <c r="GY718" s="27" t="s">
        <v>8</v>
      </c>
      <c r="GZ718" s="27" t="s">
        <v>7</v>
      </c>
      <c r="HA718" s="27" t="s">
        <v>8</v>
      </c>
      <c r="HB718" s="27" t="s">
        <v>7</v>
      </c>
      <c r="HC718" s="27" t="s">
        <v>8</v>
      </c>
      <c r="HG718" s="27" t="s">
        <v>8</v>
      </c>
    </row>
    <row r="719" spans="1:216" x14ac:dyDescent="0.25">
      <c r="A719" s="7">
        <v>7.3244889378503E-2</v>
      </c>
      <c r="B719"/>
      <c r="C719"/>
      <c r="D719"/>
      <c r="E719"/>
      <c r="F719" s="27" t="s">
        <v>7</v>
      </c>
      <c r="BA719" s="27" t="s">
        <v>8</v>
      </c>
      <c r="BB719" s="27" t="s">
        <v>7</v>
      </c>
      <c r="BM719" s="27" t="s">
        <v>8</v>
      </c>
      <c r="BN719" s="27" t="s">
        <v>7</v>
      </c>
      <c r="BU719" s="27" t="s">
        <v>8</v>
      </c>
      <c r="BV719" s="27" t="s">
        <v>7</v>
      </c>
      <c r="BW719" s="27" t="s">
        <v>8</v>
      </c>
      <c r="BZ719" s="27" t="s">
        <v>7</v>
      </c>
      <c r="CA719" s="27" t="s">
        <v>8</v>
      </c>
      <c r="CH719" s="27" t="s">
        <v>7</v>
      </c>
      <c r="CI719" s="27" t="s">
        <v>8</v>
      </c>
      <c r="CJ719" s="27" t="s">
        <v>7</v>
      </c>
      <c r="CV719" s="27" t="s">
        <v>7</v>
      </c>
      <c r="CW719" s="27" t="s">
        <v>8</v>
      </c>
      <c r="CX719" s="27" t="s">
        <v>7</v>
      </c>
      <c r="EM719" s="27" t="s">
        <v>8</v>
      </c>
      <c r="EN719" s="27" t="s">
        <v>7</v>
      </c>
      <c r="EO719" s="27" t="s">
        <v>8</v>
      </c>
      <c r="EX719" s="27" t="s">
        <v>7</v>
      </c>
      <c r="FC719" s="27" t="s">
        <v>8</v>
      </c>
      <c r="FD719" s="27" t="s">
        <v>7</v>
      </c>
      <c r="FE719" s="27" t="s">
        <v>8</v>
      </c>
      <c r="FH719" s="27" t="s">
        <v>7</v>
      </c>
      <c r="FI719" s="27" t="s">
        <v>8</v>
      </c>
      <c r="FJ719" s="27" t="s">
        <v>7</v>
      </c>
      <c r="GH719" s="27" t="s">
        <v>7</v>
      </c>
      <c r="GJ719" s="27" t="s">
        <v>7</v>
      </c>
      <c r="GK719" s="27" t="s">
        <v>8</v>
      </c>
      <c r="GN719" s="27" t="s">
        <v>7</v>
      </c>
      <c r="GO719" s="27" t="s">
        <v>8</v>
      </c>
      <c r="GP719" s="27" t="s">
        <v>7</v>
      </c>
      <c r="GQ719" s="27" t="s">
        <v>8</v>
      </c>
      <c r="GW719" s="27" t="s">
        <v>8</v>
      </c>
      <c r="GX719" s="27" t="s">
        <v>7</v>
      </c>
      <c r="GZ719" s="27" t="s">
        <v>7</v>
      </c>
      <c r="HA719" s="27" t="s">
        <v>8</v>
      </c>
      <c r="HB719" s="27" t="s">
        <v>7</v>
      </c>
      <c r="HC719" s="27" t="s">
        <v>8</v>
      </c>
      <c r="HD719" s="27" t="s">
        <v>7</v>
      </c>
      <c r="HG719" s="27" t="s">
        <v>8</v>
      </c>
      <c r="HH719" s="27" t="s">
        <v>7</v>
      </c>
    </row>
    <row r="720" spans="1:216" x14ac:dyDescent="0.25">
      <c r="A720" s="7">
        <v>7.1808715076963722E-2</v>
      </c>
      <c r="B720"/>
      <c r="C720"/>
      <c r="D720"/>
      <c r="E720"/>
      <c r="F720" s="27" t="s">
        <v>7</v>
      </c>
      <c r="BA720" s="27" t="s">
        <v>8</v>
      </c>
      <c r="BB720" s="27" t="s">
        <v>7</v>
      </c>
      <c r="BM720" s="27" t="s">
        <v>8</v>
      </c>
      <c r="BN720" s="27" t="s">
        <v>7</v>
      </c>
      <c r="BU720" s="27" t="s">
        <v>8</v>
      </c>
      <c r="BV720" s="27" t="s">
        <v>7</v>
      </c>
      <c r="BW720" s="27" t="s">
        <v>8</v>
      </c>
      <c r="BZ720" s="27" t="s">
        <v>7</v>
      </c>
      <c r="CA720" s="27" t="s">
        <v>8</v>
      </c>
      <c r="CH720" s="27" t="s">
        <v>7</v>
      </c>
      <c r="CI720" s="27" t="s">
        <v>8</v>
      </c>
      <c r="CV720" s="27" t="s">
        <v>7</v>
      </c>
      <c r="CW720" s="27" t="s">
        <v>8</v>
      </c>
      <c r="CX720" s="27" t="s">
        <v>7</v>
      </c>
      <c r="EM720" s="27" t="s">
        <v>8</v>
      </c>
      <c r="EN720" s="27" t="s">
        <v>7</v>
      </c>
      <c r="EO720" s="27" t="s">
        <v>8</v>
      </c>
      <c r="EX720" s="27" t="s">
        <v>7</v>
      </c>
      <c r="EY720" s="27" t="s">
        <v>8</v>
      </c>
      <c r="FC720" s="27" t="s">
        <v>8</v>
      </c>
      <c r="FD720" s="27" t="s">
        <v>7</v>
      </c>
      <c r="FH720" s="27" t="s">
        <v>7</v>
      </c>
      <c r="FI720" s="27" t="s">
        <v>8</v>
      </c>
      <c r="GJ720" s="27" t="s">
        <v>7</v>
      </c>
      <c r="GN720" s="27" t="s">
        <v>7</v>
      </c>
      <c r="GO720" s="27" t="s">
        <v>8</v>
      </c>
      <c r="GP720" s="27" t="s">
        <v>7</v>
      </c>
      <c r="GQ720" s="27" t="s">
        <v>8</v>
      </c>
      <c r="GR720" s="27" t="s">
        <v>7</v>
      </c>
      <c r="GW720" s="27" t="s">
        <v>8</v>
      </c>
      <c r="GZ720" s="27" t="s">
        <v>7</v>
      </c>
      <c r="HB720" s="27" t="s">
        <v>7</v>
      </c>
      <c r="HC720" s="27" t="s">
        <v>8</v>
      </c>
      <c r="HD720" s="27" t="s">
        <v>7</v>
      </c>
      <c r="HG720" s="27" t="s">
        <v>8</v>
      </c>
      <c r="HH720" s="27" t="s">
        <v>7</v>
      </c>
    </row>
    <row r="721" spans="1:220" x14ac:dyDescent="0.25">
      <c r="A721" s="7">
        <v>7.0400701055846782E-2</v>
      </c>
      <c r="B721"/>
      <c r="C721"/>
      <c r="D721"/>
      <c r="E721"/>
      <c r="F721" s="27" t="s">
        <v>7</v>
      </c>
      <c r="BA721" s="27" t="s">
        <v>8</v>
      </c>
      <c r="BB721" s="27" t="s">
        <v>7</v>
      </c>
      <c r="BM721" s="27" t="s">
        <v>8</v>
      </c>
      <c r="BN721" s="27" t="s">
        <v>7</v>
      </c>
      <c r="BO721" s="27" t="s">
        <v>8</v>
      </c>
      <c r="BQ721" s="27" t="s">
        <v>8</v>
      </c>
      <c r="BS721" s="27" t="s">
        <v>8</v>
      </c>
      <c r="BU721" s="27" t="s">
        <v>8</v>
      </c>
      <c r="BV721" s="27" t="s">
        <v>7</v>
      </c>
      <c r="BW721" s="27" t="s">
        <v>8</v>
      </c>
      <c r="BZ721" s="27" t="s">
        <v>7</v>
      </c>
      <c r="CH721" s="27" t="s">
        <v>7</v>
      </c>
      <c r="CI721" s="27" t="s">
        <v>8</v>
      </c>
      <c r="CV721" s="27" t="s">
        <v>7</v>
      </c>
      <c r="CW721" s="27" t="s">
        <v>8</v>
      </c>
      <c r="CX721" s="27" t="s">
        <v>7</v>
      </c>
      <c r="EM721" s="27" t="s">
        <v>8</v>
      </c>
      <c r="EN721" s="27" t="s">
        <v>7</v>
      </c>
      <c r="EO721" s="27" t="s">
        <v>8</v>
      </c>
      <c r="EX721" s="27" t="s">
        <v>7</v>
      </c>
      <c r="EY721" s="27" t="s">
        <v>8</v>
      </c>
      <c r="EZ721" s="27" t="s">
        <v>7</v>
      </c>
      <c r="FC721" s="27" t="s">
        <v>8</v>
      </c>
      <c r="FH721" s="27" t="s">
        <v>7</v>
      </c>
      <c r="GN721" s="27" t="s">
        <v>7</v>
      </c>
      <c r="GO721" s="27" t="s">
        <v>8</v>
      </c>
      <c r="GP721" s="27" t="s">
        <v>7</v>
      </c>
      <c r="GQ721" s="27" t="s">
        <v>8</v>
      </c>
      <c r="GR721" s="27" t="s">
        <v>7</v>
      </c>
      <c r="GW721" s="27" t="s">
        <v>8</v>
      </c>
      <c r="HB721" s="27" t="s">
        <v>7</v>
      </c>
      <c r="HD721" s="27" t="s">
        <v>7</v>
      </c>
      <c r="HG721" s="27" t="s">
        <v>8</v>
      </c>
      <c r="HH721" s="27" t="s">
        <v>7</v>
      </c>
    </row>
    <row r="722" spans="1:220" x14ac:dyDescent="0.25">
      <c r="A722" s="7">
        <v>6.9020295152790956E-2</v>
      </c>
      <c r="B722"/>
      <c r="C722"/>
      <c r="D722"/>
      <c r="E722"/>
      <c r="F722" s="27" t="s">
        <v>7</v>
      </c>
      <c r="BA722" s="27" t="s">
        <v>8</v>
      </c>
      <c r="BB722" s="27" t="s">
        <v>7</v>
      </c>
      <c r="BM722" s="27" t="s">
        <v>8</v>
      </c>
      <c r="BN722" s="27" t="s">
        <v>7</v>
      </c>
      <c r="BO722" s="27" t="s">
        <v>8</v>
      </c>
      <c r="BP722" s="27" t="s">
        <v>7</v>
      </c>
      <c r="BQ722" s="27" t="s">
        <v>8</v>
      </c>
      <c r="BR722" s="27" t="s">
        <v>7</v>
      </c>
      <c r="BS722" s="27" t="s">
        <v>8</v>
      </c>
      <c r="BT722" s="27" t="s">
        <v>7</v>
      </c>
      <c r="BU722" s="27" t="s">
        <v>8</v>
      </c>
      <c r="BV722" s="27" t="s">
        <v>7</v>
      </c>
      <c r="BW722" s="27" t="s">
        <v>8</v>
      </c>
      <c r="CH722" s="27" t="s">
        <v>7</v>
      </c>
      <c r="CI722" s="27" t="s">
        <v>8</v>
      </c>
      <c r="CV722" s="27" t="s">
        <v>7</v>
      </c>
      <c r="CW722" s="27" t="s">
        <v>8</v>
      </c>
      <c r="CX722" s="27" t="s">
        <v>7</v>
      </c>
      <c r="EK722" s="27" t="s">
        <v>8</v>
      </c>
      <c r="EM722" s="27" t="s">
        <v>8</v>
      </c>
      <c r="EN722" s="27" t="s">
        <v>7</v>
      </c>
      <c r="EO722" s="27" t="s">
        <v>8</v>
      </c>
      <c r="EX722" s="27" t="s">
        <v>7</v>
      </c>
      <c r="EY722" s="27" t="s">
        <v>8</v>
      </c>
      <c r="EZ722" s="27" t="s">
        <v>7</v>
      </c>
      <c r="FC722" s="27" t="s">
        <v>8</v>
      </c>
      <c r="GN722" s="27" t="s">
        <v>7</v>
      </c>
      <c r="GO722" s="27" t="s">
        <v>8</v>
      </c>
      <c r="GP722" s="27" t="s">
        <v>7</v>
      </c>
      <c r="GQ722" s="27" t="s">
        <v>8</v>
      </c>
      <c r="GR722" s="27" t="s">
        <v>7</v>
      </c>
      <c r="GW722" s="27" t="s">
        <v>8</v>
      </c>
      <c r="HD722" s="27" t="s">
        <v>7</v>
      </c>
      <c r="HG722" s="27" t="s">
        <v>8</v>
      </c>
      <c r="HH722" s="27" t="s">
        <v>7</v>
      </c>
    </row>
    <row r="723" spans="1:220" x14ac:dyDescent="0.25">
      <c r="A723" s="7">
        <v>6.7666956032147993E-2</v>
      </c>
      <c r="B723"/>
      <c r="C723"/>
      <c r="D723"/>
      <c r="E723"/>
      <c r="F723" s="27" t="s">
        <v>7</v>
      </c>
      <c r="BA723" s="27" t="s">
        <v>8</v>
      </c>
      <c r="BB723" s="27" t="s">
        <v>7</v>
      </c>
      <c r="BM723" s="27" t="s">
        <v>8</v>
      </c>
      <c r="BN723" s="27" t="s">
        <v>7</v>
      </c>
      <c r="BO723" s="27" t="s">
        <v>8</v>
      </c>
      <c r="BP723" s="27" t="s">
        <v>7</v>
      </c>
      <c r="BQ723" s="27" t="s">
        <v>8</v>
      </c>
      <c r="BR723" s="27" t="s">
        <v>7</v>
      </c>
      <c r="BS723" s="27" t="s">
        <v>8</v>
      </c>
      <c r="BT723" s="27" t="s">
        <v>7</v>
      </c>
      <c r="BU723" s="27" t="s">
        <v>8</v>
      </c>
      <c r="BV723" s="27" t="s">
        <v>7</v>
      </c>
      <c r="CH723" s="27" t="s">
        <v>7</v>
      </c>
      <c r="CI723" s="27" t="s">
        <v>8</v>
      </c>
      <c r="CV723" s="27" t="s">
        <v>7</v>
      </c>
      <c r="CX723" s="27" t="s">
        <v>7</v>
      </c>
      <c r="EK723" s="27" t="s">
        <v>8</v>
      </c>
      <c r="EL723" s="27" t="s">
        <v>7</v>
      </c>
      <c r="EM723" s="27" t="s">
        <v>8</v>
      </c>
      <c r="EN723" s="27" t="s">
        <v>7</v>
      </c>
      <c r="EO723" s="27" t="s">
        <v>8</v>
      </c>
      <c r="EX723" s="27" t="s">
        <v>7</v>
      </c>
      <c r="EY723" s="27" t="s">
        <v>8</v>
      </c>
      <c r="EZ723" s="27" t="s">
        <v>7</v>
      </c>
      <c r="FA723" s="27" t="s">
        <v>8</v>
      </c>
      <c r="FC723" s="27" t="s">
        <v>8</v>
      </c>
      <c r="GN723" s="27" t="s">
        <v>7</v>
      </c>
      <c r="GO723" s="27" t="s">
        <v>8</v>
      </c>
      <c r="GP723" s="27" t="s">
        <v>7</v>
      </c>
      <c r="GQ723" s="27" t="s">
        <v>8</v>
      </c>
      <c r="GR723" s="27" t="s">
        <v>7</v>
      </c>
      <c r="GS723" s="27" t="s">
        <v>8</v>
      </c>
      <c r="GU723" s="27" t="s">
        <v>8</v>
      </c>
      <c r="GW723" s="27" t="s">
        <v>8</v>
      </c>
      <c r="HD723" s="27" t="s">
        <v>7</v>
      </c>
      <c r="HG723" s="27" t="s">
        <v>8</v>
      </c>
      <c r="HH723" s="27" t="s">
        <v>7</v>
      </c>
    </row>
    <row r="724" spans="1:220" x14ac:dyDescent="0.25">
      <c r="A724" s="7">
        <v>6.6340152972694105E-2</v>
      </c>
      <c r="B724"/>
      <c r="C724"/>
      <c r="D724"/>
      <c r="E724"/>
      <c r="F724" s="27" t="s">
        <v>7</v>
      </c>
      <c r="BA724" s="27" t="s">
        <v>8</v>
      </c>
      <c r="BB724" s="27" t="s">
        <v>7</v>
      </c>
      <c r="BM724" s="27" t="s">
        <v>8</v>
      </c>
      <c r="BN724" s="27" t="s">
        <v>7</v>
      </c>
      <c r="BO724" s="27" t="s">
        <v>8</v>
      </c>
      <c r="BP724" s="27" t="s">
        <v>7</v>
      </c>
      <c r="BR724" s="27" t="s">
        <v>7</v>
      </c>
      <c r="BS724" s="27" t="s">
        <v>8</v>
      </c>
      <c r="BT724" s="27" t="s">
        <v>7</v>
      </c>
      <c r="BU724" s="27" t="s">
        <v>8</v>
      </c>
      <c r="CH724" s="27" t="s">
        <v>7</v>
      </c>
      <c r="CI724" s="27" t="s">
        <v>8</v>
      </c>
      <c r="CX724" s="27" t="s">
        <v>7</v>
      </c>
      <c r="EK724" s="27" t="s">
        <v>8</v>
      </c>
      <c r="EL724" s="27" t="s">
        <v>7</v>
      </c>
      <c r="EM724" s="27" t="s">
        <v>8</v>
      </c>
      <c r="EN724" s="27" t="s">
        <v>7</v>
      </c>
      <c r="EO724" s="27" t="s">
        <v>8</v>
      </c>
      <c r="EX724" s="27" t="s">
        <v>7</v>
      </c>
      <c r="EY724" s="27" t="s">
        <v>8</v>
      </c>
      <c r="EZ724" s="27" t="s">
        <v>7</v>
      </c>
      <c r="FA724" s="27" t="s">
        <v>8</v>
      </c>
      <c r="FB724" s="27" t="s">
        <v>7</v>
      </c>
      <c r="FC724" s="27" t="s">
        <v>8</v>
      </c>
      <c r="GN724" s="27" t="s">
        <v>7</v>
      </c>
      <c r="GO724" s="27" t="s">
        <v>8</v>
      </c>
      <c r="GP724" s="27" t="s">
        <v>7</v>
      </c>
      <c r="GQ724" s="27" t="s">
        <v>8</v>
      </c>
      <c r="GR724" s="27" t="s">
        <v>7</v>
      </c>
      <c r="GS724" s="27" t="s">
        <v>8</v>
      </c>
      <c r="GT724" s="27" t="s">
        <v>7</v>
      </c>
      <c r="GU724" s="27" t="s">
        <v>8</v>
      </c>
      <c r="GV724" s="27" t="s">
        <v>7</v>
      </c>
      <c r="GW724" s="27" t="s">
        <v>8</v>
      </c>
      <c r="HD724" s="27" t="s">
        <v>7</v>
      </c>
      <c r="HG724" s="27" t="s">
        <v>8</v>
      </c>
      <c r="HH724" s="27" t="s">
        <v>7</v>
      </c>
      <c r="HI724" s="27" t="s">
        <v>8</v>
      </c>
    </row>
    <row r="725" spans="1:220" x14ac:dyDescent="0.25">
      <c r="A725" s="7">
        <v>6.5039365659504023E-2</v>
      </c>
      <c r="B725"/>
      <c r="C725"/>
      <c r="D725"/>
      <c r="E725"/>
      <c r="F725" s="27" t="s">
        <v>7</v>
      </c>
      <c r="BA725" s="27" t="s">
        <v>8</v>
      </c>
      <c r="BB725" s="27" t="s">
        <v>7</v>
      </c>
      <c r="BG725" s="27" t="s">
        <v>8</v>
      </c>
      <c r="BM725" s="27" t="s">
        <v>8</v>
      </c>
      <c r="BN725" s="27" t="s">
        <v>7</v>
      </c>
      <c r="BO725" s="27" t="s">
        <v>8</v>
      </c>
      <c r="BR725" s="27" t="s">
        <v>7</v>
      </c>
      <c r="BT725" s="27" t="s">
        <v>7</v>
      </c>
      <c r="BU725" s="27" t="s">
        <v>8</v>
      </c>
      <c r="CH725" s="27" t="s">
        <v>7</v>
      </c>
      <c r="CI725" s="27" t="s">
        <v>8</v>
      </c>
      <c r="CX725" s="27" t="s">
        <v>7</v>
      </c>
      <c r="EK725" s="27" t="s">
        <v>8</v>
      </c>
      <c r="EL725" s="27" t="s">
        <v>7</v>
      </c>
      <c r="EM725" s="27" t="s">
        <v>8</v>
      </c>
      <c r="EN725" s="27" t="s">
        <v>7</v>
      </c>
      <c r="EO725" s="27" t="s">
        <v>8</v>
      </c>
      <c r="EX725" s="27" t="s">
        <v>7</v>
      </c>
      <c r="EY725" s="27" t="s">
        <v>8</v>
      </c>
      <c r="EZ725" s="27" t="s">
        <v>7</v>
      </c>
      <c r="FA725" s="27" t="s">
        <v>8</v>
      </c>
      <c r="FB725" s="27" t="s">
        <v>7</v>
      </c>
      <c r="FC725" s="27" t="s">
        <v>8</v>
      </c>
      <c r="GN725" s="27" t="s">
        <v>7</v>
      </c>
      <c r="GO725" s="27" t="s">
        <v>8</v>
      </c>
      <c r="GP725" s="27" t="s">
        <v>7</v>
      </c>
      <c r="GQ725" s="27" t="s">
        <v>8</v>
      </c>
      <c r="GR725" s="27" t="s">
        <v>7</v>
      </c>
      <c r="GS725" s="27" t="s">
        <v>8</v>
      </c>
      <c r="GT725" s="27" t="s">
        <v>7</v>
      </c>
      <c r="GU725" s="27" t="s">
        <v>8</v>
      </c>
      <c r="GV725" s="27" t="s">
        <v>7</v>
      </c>
      <c r="GW725" s="27" t="s">
        <v>8</v>
      </c>
      <c r="HD725" s="27" t="s">
        <v>7</v>
      </c>
      <c r="HE725" s="27" t="s">
        <v>8</v>
      </c>
      <c r="HG725" s="27" t="s">
        <v>8</v>
      </c>
      <c r="HH725" s="27" t="s">
        <v>7</v>
      </c>
      <c r="HI725" s="27" t="s">
        <v>8</v>
      </c>
      <c r="HJ725" s="27" t="s">
        <v>7</v>
      </c>
      <c r="HK725" s="27" t="s">
        <v>8</v>
      </c>
    </row>
    <row r="726" spans="1:220" x14ac:dyDescent="0.25">
      <c r="A726" s="7">
        <v>6.3764083979905906E-2</v>
      </c>
      <c r="B726"/>
      <c r="C726"/>
      <c r="D726"/>
      <c r="E726"/>
      <c r="F726" s="27" t="s">
        <v>7</v>
      </c>
      <c r="BA726" s="27" t="s">
        <v>8</v>
      </c>
      <c r="BB726" s="27" t="s">
        <v>7</v>
      </c>
      <c r="BG726" s="27" t="s">
        <v>8</v>
      </c>
      <c r="BH726" s="27" t="s">
        <v>7</v>
      </c>
      <c r="BM726" s="27" t="s">
        <v>8</v>
      </c>
      <c r="BN726" s="27" t="s">
        <v>7</v>
      </c>
      <c r="BO726" s="27" t="s">
        <v>8</v>
      </c>
      <c r="BT726" s="27" t="s">
        <v>7</v>
      </c>
      <c r="BU726" s="27" t="s">
        <v>8</v>
      </c>
      <c r="CH726" s="27" t="s">
        <v>7</v>
      </c>
      <c r="CI726" s="27" t="s">
        <v>8</v>
      </c>
      <c r="CX726" s="27" t="s">
        <v>7</v>
      </c>
      <c r="EK726" s="27" t="s">
        <v>8</v>
      </c>
      <c r="EL726" s="27" t="s">
        <v>7</v>
      </c>
      <c r="EM726" s="27" t="s">
        <v>8</v>
      </c>
      <c r="EN726" s="27" t="s">
        <v>7</v>
      </c>
      <c r="EO726" s="27" t="s">
        <v>8</v>
      </c>
      <c r="EX726" s="27" t="s">
        <v>7</v>
      </c>
      <c r="EY726" s="27" t="s">
        <v>8</v>
      </c>
      <c r="EZ726" s="27" t="s">
        <v>7</v>
      </c>
      <c r="FA726" s="27" t="s">
        <v>8</v>
      </c>
      <c r="FB726" s="27" t="s">
        <v>7</v>
      </c>
      <c r="FC726" s="27" t="s">
        <v>8</v>
      </c>
      <c r="GN726" s="27" t="s">
        <v>7</v>
      </c>
      <c r="GP726" s="27" t="s">
        <v>7</v>
      </c>
      <c r="GR726" s="27" t="s">
        <v>7</v>
      </c>
      <c r="GS726" s="27" t="s">
        <v>8</v>
      </c>
      <c r="GT726" s="27" t="s">
        <v>7</v>
      </c>
      <c r="GU726" s="27" t="s">
        <v>8</v>
      </c>
      <c r="GV726" s="27" t="s">
        <v>7</v>
      </c>
      <c r="GW726" s="27" t="s">
        <v>8</v>
      </c>
      <c r="HD726" s="27" t="s">
        <v>7</v>
      </c>
      <c r="HE726" s="27" t="s">
        <v>8</v>
      </c>
      <c r="HF726" s="27" t="s">
        <v>7</v>
      </c>
      <c r="HG726" s="27" t="s">
        <v>8</v>
      </c>
      <c r="HH726" s="27" t="s">
        <v>7</v>
      </c>
      <c r="HI726" s="27" t="s">
        <v>8</v>
      </c>
      <c r="HJ726" s="27" t="s">
        <v>7</v>
      </c>
      <c r="HK726" s="27" t="s">
        <v>8</v>
      </c>
      <c r="HL726" s="27" t="s">
        <v>7</v>
      </c>
    </row>
    <row r="727" spans="1:220" x14ac:dyDescent="0.25">
      <c r="A727" s="7">
        <v>6.251380782343717E-2</v>
      </c>
      <c r="B727"/>
      <c r="C727"/>
      <c r="D727"/>
      <c r="E727"/>
      <c r="F727" s="27" t="s">
        <v>7</v>
      </c>
      <c r="BA727" s="27" t="s">
        <v>8</v>
      </c>
      <c r="BB727" s="27" t="s">
        <v>7</v>
      </c>
      <c r="BC727" s="27" t="s">
        <v>8</v>
      </c>
      <c r="BG727" s="27" t="s">
        <v>8</v>
      </c>
      <c r="BH727" s="27" t="s">
        <v>7</v>
      </c>
      <c r="BM727" s="27" t="s">
        <v>8</v>
      </c>
      <c r="BN727" s="27" t="s">
        <v>7</v>
      </c>
      <c r="BO727" s="27" t="s">
        <v>8</v>
      </c>
      <c r="BT727" s="27" t="s">
        <v>7</v>
      </c>
      <c r="BU727" s="27" t="s">
        <v>8</v>
      </c>
      <c r="CH727" s="27" t="s">
        <v>7</v>
      </c>
      <c r="CI727" s="27" t="s">
        <v>8</v>
      </c>
      <c r="CX727" s="27" t="s">
        <v>7</v>
      </c>
      <c r="EK727" s="27" t="s">
        <v>8</v>
      </c>
      <c r="EL727" s="27" t="s">
        <v>7</v>
      </c>
      <c r="EM727" s="27" t="s">
        <v>8</v>
      </c>
      <c r="EN727" s="27" t="s">
        <v>7</v>
      </c>
      <c r="EO727" s="27" t="s">
        <v>8</v>
      </c>
      <c r="EX727" s="27" t="s">
        <v>7</v>
      </c>
      <c r="EY727" s="27" t="s">
        <v>8</v>
      </c>
      <c r="EZ727" s="27" t="s">
        <v>7</v>
      </c>
      <c r="FA727" s="27" t="s">
        <v>8</v>
      </c>
      <c r="FB727" s="27" t="s">
        <v>7</v>
      </c>
      <c r="FC727" s="27" t="s">
        <v>8</v>
      </c>
      <c r="GR727" s="27" t="s">
        <v>7</v>
      </c>
      <c r="GS727" s="27" t="s">
        <v>8</v>
      </c>
      <c r="GT727" s="27" t="s">
        <v>7</v>
      </c>
      <c r="GU727" s="27" t="s">
        <v>8</v>
      </c>
      <c r="GV727" s="27" t="s">
        <v>7</v>
      </c>
      <c r="GW727" s="27" t="s">
        <v>8</v>
      </c>
      <c r="HD727" s="27" t="s">
        <v>7</v>
      </c>
      <c r="HE727" s="27" t="s">
        <v>8</v>
      </c>
      <c r="HF727" s="27" t="s">
        <v>7</v>
      </c>
      <c r="HG727" s="27" t="s">
        <v>8</v>
      </c>
      <c r="HH727" s="27" t="s">
        <v>7</v>
      </c>
      <c r="HI727" s="27" t="s">
        <v>8</v>
      </c>
      <c r="HJ727" s="27" t="s">
        <v>7</v>
      </c>
      <c r="HK727" s="27" t="s">
        <v>8</v>
      </c>
      <c r="HL727" s="27" t="s">
        <v>7</v>
      </c>
    </row>
    <row r="728" spans="1:220" x14ac:dyDescent="0.25">
      <c r="A728" s="7">
        <v>6.1288046885722716E-2</v>
      </c>
      <c r="B728"/>
      <c r="C728"/>
      <c r="D728"/>
      <c r="E728"/>
      <c r="F728" s="27" t="s">
        <v>7</v>
      </c>
      <c r="BA728" s="27" t="s">
        <v>8</v>
      </c>
      <c r="BB728" s="27" t="s">
        <v>7</v>
      </c>
      <c r="BC728" s="27" t="s">
        <v>8</v>
      </c>
      <c r="BD728" s="27" t="s">
        <v>7</v>
      </c>
      <c r="BG728" s="27" t="s">
        <v>8</v>
      </c>
      <c r="BH728" s="27" t="s">
        <v>7</v>
      </c>
      <c r="BM728" s="27" t="s">
        <v>8</v>
      </c>
      <c r="BN728" s="27" t="s">
        <v>7</v>
      </c>
      <c r="BO728" s="27" t="s">
        <v>8</v>
      </c>
      <c r="BT728" s="27" t="s">
        <v>7</v>
      </c>
      <c r="BU728" s="27" t="s">
        <v>8</v>
      </c>
      <c r="CH728" s="27" t="s">
        <v>7</v>
      </c>
      <c r="CI728" s="27" t="s">
        <v>8</v>
      </c>
      <c r="CX728" s="27" t="s">
        <v>7</v>
      </c>
      <c r="EK728" s="27" t="s">
        <v>8</v>
      </c>
      <c r="EL728" s="27" t="s">
        <v>7</v>
      </c>
      <c r="EM728" s="27" t="s">
        <v>8</v>
      </c>
      <c r="EN728" s="27" t="s">
        <v>7</v>
      </c>
      <c r="EO728" s="27" t="s">
        <v>8</v>
      </c>
      <c r="EX728" s="27" t="s">
        <v>7</v>
      </c>
      <c r="EY728" s="27" t="s">
        <v>8</v>
      </c>
      <c r="EZ728" s="27" t="s">
        <v>7</v>
      </c>
      <c r="FA728" s="27" t="s">
        <v>8</v>
      </c>
      <c r="FB728" s="27" t="s">
        <v>7</v>
      </c>
      <c r="FC728" s="27" t="s">
        <v>8</v>
      </c>
      <c r="GR728" s="27" t="s">
        <v>7</v>
      </c>
      <c r="GS728" s="27" t="s">
        <v>8</v>
      </c>
      <c r="GT728" s="27" t="s">
        <v>7</v>
      </c>
      <c r="GU728" s="27" t="s">
        <v>8</v>
      </c>
      <c r="GV728" s="27" t="s">
        <v>7</v>
      </c>
      <c r="GW728" s="27" t="s">
        <v>8</v>
      </c>
      <c r="HD728" s="27" t="s">
        <v>7</v>
      </c>
      <c r="HF728" s="27" t="s">
        <v>7</v>
      </c>
      <c r="HG728" s="27" t="s">
        <v>8</v>
      </c>
      <c r="HH728" s="27" t="s">
        <v>7</v>
      </c>
      <c r="HI728" s="27" t="s">
        <v>8</v>
      </c>
      <c r="HJ728" s="27" t="s">
        <v>7</v>
      </c>
      <c r="HK728" s="27" t="s">
        <v>8</v>
      </c>
      <c r="HL728" s="27" t="s">
        <v>7</v>
      </c>
    </row>
    <row r="729" spans="1:220" x14ac:dyDescent="0.25">
      <c r="A729" s="7">
        <v>6.0086320476198739E-2</v>
      </c>
      <c r="B729"/>
      <c r="C729"/>
      <c r="D729"/>
      <c r="E729"/>
      <c r="F729" s="27" t="s">
        <v>7</v>
      </c>
      <c r="BA729" s="27" t="s">
        <v>8</v>
      </c>
      <c r="BB729" s="27" t="s">
        <v>7</v>
      </c>
      <c r="BC729" s="27" t="s">
        <v>8</v>
      </c>
      <c r="BD729" s="27" t="s">
        <v>7</v>
      </c>
      <c r="BG729" s="27" t="s">
        <v>8</v>
      </c>
      <c r="BH729" s="27" t="s">
        <v>7</v>
      </c>
      <c r="BM729" s="27" t="s">
        <v>8</v>
      </c>
      <c r="BN729" s="27" t="s">
        <v>7</v>
      </c>
      <c r="BO729" s="27" t="s">
        <v>8</v>
      </c>
      <c r="BT729" s="27" t="s">
        <v>7</v>
      </c>
      <c r="BU729" s="27" t="s">
        <v>8</v>
      </c>
      <c r="CH729" s="27" t="s">
        <v>7</v>
      </c>
      <c r="CX729" s="27" t="s">
        <v>7</v>
      </c>
      <c r="DI729" s="27" t="s">
        <v>8</v>
      </c>
      <c r="EK729" s="27" t="s">
        <v>8</v>
      </c>
      <c r="EL729" s="27" t="s">
        <v>7</v>
      </c>
      <c r="EM729" s="27" t="s">
        <v>8</v>
      </c>
      <c r="EN729" s="27" t="s">
        <v>7</v>
      </c>
      <c r="EX729" s="27" t="s">
        <v>7</v>
      </c>
      <c r="EY729" s="27" t="s">
        <v>8</v>
      </c>
      <c r="EZ729" s="27" t="s">
        <v>7</v>
      </c>
      <c r="FA729" s="27" t="s">
        <v>8</v>
      </c>
      <c r="FB729" s="27" t="s">
        <v>7</v>
      </c>
      <c r="FC729" s="27" t="s">
        <v>8</v>
      </c>
      <c r="GR729" s="27" t="s">
        <v>7</v>
      </c>
      <c r="GS729" s="27" t="s">
        <v>8</v>
      </c>
      <c r="GT729" s="27" t="s">
        <v>7</v>
      </c>
      <c r="GU729" s="27" t="s">
        <v>8</v>
      </c>
      <c r="GV729" s="27" t="s">
        <v>7</v>
      </c>
      <c r="GW729" s="27" t="s">
        <v>8</v>
      </c>
      <c r="HF729" s="27" t="s">
        <v>7</v>
      </c>
      <c r="HG729" s="27" t="s">
        <v>8</v>
      </c>
      <c r="HH729" s="27" t="s">
        <v>7</v>
      </c>
      <c r="HI729" s="27" t="s">
        <v>8</v>
      </c>
      <c r="HJ729" s="27" t="s">
        <v>7</v>
      </c>
      <c r="HL729" s="27" t="s">
        <v>7</v>
      </c>
    </row>
    <row r="730" spans="1:220" x14ac:dyDescent="0.25">
      <c r="A730" s="7">
        <v>5.8908157329606609E-2</v>
      </c>
      <c r="B730"/>
      <c r="C730"/>
      <c r="D730"/>
      <c r="E730"/>
      <c r="F730" s="27" t="s">
        <v>7</v>
      </c>
      <c r="AY730" s="27" t="s">
        <v>8</v>
      </c>
      <c r="BA730" s="27" t="s">
        <v>8</v>
      </c>
      <c r="BB730" s="27" t="s">
        <v>7</v>
      </c>
      <c r="BC730" s="27" t="s">
        <v>8</v>
      </c>
      <c r="BD730" s="27" t="s">
        <v>7</v>
      </c>
      <c r="BG730" s="27" t="s">
        <v>8</v>
      </c>
      <c r="BH730" s="27" t="s">
        <v>7</v>
      </c>
      <c r="BM730" s="27" t="s">
        <v>8</v>
      </c>
      <c r="BN730" s="27" t="s">
        <v>7</v>
      </c>
      <c r="BO730" s="27" t="s">
        <v>8</v>
      </c>
      <c r="BT730" s="27" t="s">
        <v>7</v>
      </c>
      <c r="BU730" s="27" t="s">
        <v>8</v>
      </c>
      <c r="CX730" s="27" t="s">
        <v>7</v>
      </c>
      <c r="DI730" s="27" t="s">
        <v>8</v>
      </c>
      <c r="DJ730" s="27" t="s">
        <v>7</v>
      </c>
      <c r="EK730" s="27" t="s">
        <v>8</v>
      </c>
      <c r="EL730" s="27" t="s">
        <v>7</v>
      </c>
      <c r="EM730" s="27" t="s">
        <v>8</v>
      </c>
      <c r="EX730" s="27" t="s">
        <v>7</v>
      </c>
      <c r="EY730" s="27" t="s">
        <v>8</v>
      </c>
      <c r="EZ730" s="27" t="s">
        <v>7</v>
      </c>
      <c r="FA730" s="27" t="s">
        <v>8</v>
      </c>
      <c r="FB730" s="27" t="s">
        <v>7</v>
      </c>
      <c r="FC730" s="27" t="s">
        <v>8</v>
      </c>
      <c r="GR730" s="27" t="s">
        <v>7</v>
      </c>
      <c r="GS730" s="27" t="s">
        <v>8</v>
      </c>
      <c r="GT730" s="27" t="s">
        <v>7</v>
      </c>
      <c r="GV730" s="27" t="s">
        <v>7</v>
      </c>
      <c r="GW730" s="27" t="s">
        <v>8</v>
      </c>
      <c r="HF730" s="27" t="s">
        <v>7</v>
      </c>
      <c r="HH730" s="27" t="s">
        <v>7</v>
      </c>
      <c r="HI730" s="27" t="s">
        <v>8</v>
      </c>
      <c r="HL730" s="27" t="s">
        <v>7</v>
      </c>
    </row>
    <row r="731" spans="1:220" x14ac:dyDescent="0.25">
      <c r="A731" s="7">
        <v>5.7753095421182947E-2</v>
      </c>
      <c r="B731"/>
      <c r="C731"/>
      <c r="D731"/>
      <c r="E731"/>
      <c r="F731" s="27" t="s">
        <v>7</v>
      </c>
      <c r="AY731" s="27" t="s">
        <v>8</v>
      </c>
      <c r="AZ731" s="27" t="s">
        <v>7</v>
      </c>
      <c r="BA731" s="27" t="s">
        <v>8</v>
      </c>
      <c r="BB731" s="27" t="s">
        <v>7</v>
      </c>
      <c r="BC731" s="27" t="s">
        <v>8</v>
      </c>
      <c r="BD731" s="27" t="s">
        <v>7</v>
      </c>
      <c r="BG731" s="27" t="s">
        <v>8</v>
      </c>
      <c r="BH731" s="27" t="s">
        <v>7</v>
      </c>
      <c r="BK731" s="27" t="s">
        <v>8</v>
      </c>
      <c r="BM731" s="27" t="s">
        <v>8</v>
      </c>
      <c r="BN731" s="27" t="s">
        <v>7</v>
      </c>
      <c r="BT731" s="27" t="s">
        <v>7</v>
      </c>
      <c r="BU731" s="27" t="s">
        <v>8</v>
      </c>
      <c r="CX731" s="27" t="s">
        <v>7</v>
      </c>
      <c r="DI731" s="27" t="s">
        <v>8</v>
      </c>
      <c r="DJ731" s="27" t="s">
        <v>7</v>
      </c>
      <c r="EK731" s="27" t="s">
        <v>8</v>
      </c>
      <c r="EL731" s="27" t="s">
        <v>7</v>
      </c>
      <c r="EM731" s="27" t="s">
        <v>8</v>
      </c>
      <c r="EX731" s="27" t="s">
        <v>7</v>
      </c>
      <c r="EY731" s="27" t="s">
        <v>8</v>
      </c>
      <c r="EZ731" s="27" t="s">
        <v>7</v>
      </c>
      <c r="FB731" s="27" t="s">
        <v>7</v>
      </c>
      <c r="GR731" s="27" t="s">
        <v>7</v>
      </c>
      <c r="GS731" s="27" t="s">
        <v>8</v>
      </c>
      <c r="GV731" s="27" t="s">
        <v>7</v>
      </c>
      <c r="GW731" s="27" t="s">
        <v>8</v>
      </c>
      <c r="HH731" s="27" t="s">
        <v>7</v>
      </c>
      <c r="HI731" s="27" t="s">
        <v>8</v>
      </c>
      <c r="HL731" s="27" t="s">
        <v>7</v>
      </c>
    </row>
    <row r="732" spans="1:220" x14ac:dyDescent="0.25">
      <c r="A732" s="7">
        <v>5.6620681785473484E-2</v>
      </c>
      <c r="B732"/>
      <c r="C732"/>
      <c r="D732"/>
      <c r="E732"/>
      <c r="F732" s="27" t="s">
        <v>7</v>
      </c>
      <c r="AY732" s="27" t="s">
        <v>8</v>
      </c>
      <c r="AZ732" s="27" t="s">
        <v>7</v>
      </c>
      <c r="BA732" s="27" t="s">
        <v>8</v>
      </c>
      <c r="BB732" s="27" t="s">
        <v>7</v>
      </c>
      <c r="BC732" s="27" t="s">
        <v>8</v>
      </c>
      <c r="BD732" s="27" t="s">
        <v>7</v>
      </c>
      <c r="BG732" s="27" t="s">
        <v>8</v>
      </c>
      <c r="BH732" s="27" t="s">
        <v>7</v>
      </c>
      <c r="BK732" s="27" t="s">
        <v>8</v>
      </c>
      <c r="BL732" s="27" t="s">
        <v>7</v>
      </c>
      <c r="BM732" s="27" t="s">
        <v>8</v>
      </c>
      <c r="BT732" s="27" t="s">
        <v>7</v>
      </c>
      <c r="BU732" s="27" t="s">
        <v>8</v>
      </c>
      <c r="CX732" s="27" t="s">
        <v>7</v>
      </c>
      <c r="DI732" s="27" t="s">
        <v>8</v>
      </c>
      <c r="DJ732" s="27" t="s">
        <v>7</v>
      </c>
      <c r="EK732" s="27" t="s">
        <v>8</v>
      </c>
      <c r="EL732" s="27" t="s">
        <v>7</v>
      </c>
      <c r="EM732" s="27" t="s">
        <v>8</v>
      </c>
      <c r="EX732" s="27" t="s">
        <v>7</v>
      </c>
      <c r="EY732" s="27" t="s">
        <v>8</v>
      </c>
      <c r="GR732" s="27" t="s">
        <v>7</v>
      </c>
      <c r="GS732" s="27" t="s">
        <v>8</v>
      </c>
      <c r="GV732" s="27" t="s">
        <v>7</v>
      </c>
      <c r="HH732" s="27" t="s">
        <v>7</v>
      </c>
      <c r="HI732" s="27" t="s">
        <v>8</v>
      </c>
      <c r="HL732" s="27" t="s">
        <v>7</v>
      </c>
    </row>
    <row r="733" spans="1:220" x14ac:dyDescent="0.25">
      <c r="A733" s="7">
        <v>5.5510472338699497E-2</v>
      </c>
      <c r="B733"/>
      <c r="C733"/>
      <c r="D733"/>
      <c r="E733"/>
      <c r="F733" s="27" t="s">
        <v>7</v>
      </c>
      <c r="AY733" s="27" t="s">
        <v>8</v>
      </c>
      <c r="AZ733" s="27" t="s">
        <v>7</v>
      </c>
      <c r="BA733" s="27" t="s">
        <v>8</v>
      </c>
      <c r="BB733" s="27" t="s">
        <v>7</v>
      </c>
      <c r="BC733" s="27" t="s">
        <v>8</v>
      </c>
      <c r="BD733" s="27" t="s">
        <v>7</v>
      </c>
      <c r="BG733" s="27" t="s">
        <v>8</v>
      </c>
      <c r="BH733" s="27" t="s">
        <v>7</v>
      </c>
      <c r="BK733" s="27" t="s">
        <v>8</v>
      </c>
      <c r="BL733" s="27" t="s">
        <v>7</v>
      </c>
      <c r="BM733" s="27" t="s">
        <v>8</v>
      </c>
      <c r="BT733" s="27" t="s">
        <v>7</v>
      </c>
      <c r="BU733" s="27" t="s">
        <v>8</v>
      </c>
      <c r="CX733" s="27" t="s">
        <v>7</v>
      </c>
      <c r="DI733" s="27" t="s">
        <v>8</v>
      </c>
      <c r="DJ733" s="27" t="s">
        <v>7</v>
      </c>
      <c r="EK733" s="27" t="s">
        <v>8</v>
      </c>
      <c r="EL733" s="27" t="s">
        <v>7</v>
      </c>
      <c r="EM733" s="27" t="s">
        <v>8</v>
      </c>
      <c r="EX733" s="27" t="s">
        <v>7</v>
      </c>
      <c r="GR733" s="27" t="s">
        <v>7</v>
      </c>
      <c r="GS733" s="27" t="s">
        <v>8</v>
      </c>
      <c r="HH733" s="27" t="s">
        <v>7</v>
      </c>
      <c r="HI733" s="27" t="s">
        <v>8</v>
      </c>
      <c r="HL733" s="27" t="s">
        <v>7</v>
      </c>
    </row>
    <row r="734" spans="1:220" x14ac:dyDescent="0.25">
      <c r="A734" s="7">
        <v>5.4422031704607354E-2</v>
      </c>
      <c r="B734"/>
      <c r="C734"/>
      <c r="D734"/>
      <c r="E734"/>
      <c r="F734" s="27" t="s">
        <v>7</v>
      </c>
      <c r="AU734" s="27" t="s">
        <v>8</v>
      </c>
      <c r="AY734" s="27" t="s">
        <v>8</v>
      </c>
      <c r="AZ734" s="27" t="s">
        <v>7</v>
      </c>
      <c r="BA734" s="27" t="s">
        <v>8</v>
      </c>
      <c r="BB734" s="27" t="s">
        <v>7</v>
      </c>
      <c r="BC734" s="27" t="s">
        <v>8</v>
      </c>
      <c r="BD734" s="27" t="s">
        <v>7</v>
      </c>
      <c r="BG734" s="27" t="s">
        <v>8</v>
      </c>
      <c r="BH734" s="27" t="s">
        <v>7</v>
      </c>
      <c r="BK734" s="27" t="s">
        <v>8</v>
      </c>
      <c r="BL734" s="27" t="s">
        <v>7</v>
      </c>
      <c r="BM734" s="27" t="s">
        <v>8</v>
      </c>
      <c r="BT734" s="27" t="s">
        <v>7</v>
      </c>
      <c r="CX734" s="27" t="s">
        <v>7</v>
      </c>
      <c r="DI734" s="27" t="s">
        <v>8</v>
      </c>
      <c r="DJ734" s="27" t="s">
        <v>7</v>
      </c>
      <c r="EK734" s="27" t="s">
        <v>8</v>
      </c>
      <c r="EL734" s="27" t="s">
        <v>7</v>
      </c>
      <c r="EM734" s="27" t="s">
        <v>8</v>
      </c>
      <c r="GR734" s="27" t="s">
        <v>7</v>
      </c>
      <c r="GS734" s="27" t="s">
        <v>8</v>
      </c>
      <c r="HH734" s="27" t="s">
        <v>7</v>
      </c>
      <c r="HL734" s="27" t="s">
        <v>7</v>
      </c>
    </row>
    <row r="735" spans="1:220" x14ac:dyDescent="0.25">
      <c r="A735" s="7">
        <v>5.3354933043732705E-2</v>
      </c>
      <c r="B735"/>
      <c r="C735"/>
      <c r="D735"/>
      <c r="E735"/>
      <c r="F735" s="27" t="s">
        <v>7</v>
      </c>
      <c r="AU735" s="27" t="s">
        <v>8</v>
      </c>
      <c r="AV735" s="27" t="s">
        <v>7</v>
      </c>
      <c r="AY735" s="27" t="s">
        <v>8</v>
      </c>
      <c r="AZ735" s="27" t="s">
        <v>7</v>
      </c>
      <c r="BA735" s="27" t="s">
        <v>8</v>
      </c>
      <c r="BB735" s="27" t="s">
        <v>7</v>
      </c>
      <c r="BC735" s="27" t="s">
        <v>8</v>
      </c>
      <c r="BD735" s="27" t="s">
        <v>7</v>
      </c>
      <c r="BG735" s="27" t="s">
        <v>8</v>
      </c>
      <c r="BH735" s="27" t="s">
        <v>7</v>
      </c>
      <c r="BI735" s="27" t="s">
        <v>8</v>
      </c>
      <c r="BK735" s="27" t="s">
        <v>8</v>
      </c>
      <c r="BL735" s="27" t="s">
        <v>7</v>
      </c>
      <c r="BM735" s="27" t="s">
        <v>8</v>
      </c>
      <c r="CX735" s="27" t="s">
        <v>7</v>
      </c>
      <c r="CY735" s="27" t="s">
        <v>8</v>
      </c>
      <c r="DI735" s="27" t="s">
        <v>8</v>
      </c>
      <c r="DJ735" s="27" t="s">
        <v>7</v>
      </c>
      <c r="EK735" s="27" t="s">
        <v>8</v>
      </c>
      <c r="EL735" s="27" t="s">
        <v>7</v>
      </c>
      <c r="EM735" s="27" t="s">
        <v>8</v>
      </c>
      <c r="GR735" s="27" t="s">
        <v>7</v>
      </c>
      <c r="GS735" s="27" t="s">
        <v>8</v>
      </c>
      <c r="HL735" s="27" t="s">
        <v>7</v>
      </c>
    </row>
    <row r="736" spans="1:220" x14ac:dyDescent="0.25">
      <c r="A736" s="7">
        <v>5.2308757886012455E-2</v>
      </c>
      <c r="B736"/>
      <c r="C736"/>
      <c r="D736"/>
      <c r="E736"/>
      <c r="F736" s="27" t="s">
        <v>7</v>
      </c>
      <c r="AU736" s="27" t="s">
        <v>8</v>
      </c>
      <c r="AV736" s="27" t="s">
        <v>7</v>
      </c>
      <c r="AY736" s="27" t="s">
        <v>8</v>
      </c>
      <c r="AZ736" s="27" t="s">
        <v>7</v>
      </c>
      <c r="BA736" s="27" t="s">
        <v>8</v>
      </c>
      <c r="BB736" s="27" t="s">
        <v>7</v>
      </c>
      <c r="BC736" s="27" t="s">
        <v>8</v>
      </c>
      <c r="BD736" s="27" t="s">
        <v>7</v>
      </c>
      <c r="BG736" s="27" t="s">
        <v>8</v>
      </c>
      <c r="BH736" s="27" t="s">
        <v>7</v>
      </c>
      <c r="BI736" s="27" t="s">
        <v>8</v>
      </c>
      <c r="BJ736" s="27" t="s">
        <v>7</v>
      </c>
      <c r="BK736" s="27" t="s">
        <v>8</v>
      </c>
      <c r="BL736" s="27" t="s">
        <v>7</v>
      </c>
      <c r="BM736" s="27" t="s">
        <v>8</v>
      </c>
      <c r="CX736" s="27" t="s">
        <v>7</v>
      </c>
      <c r="CY736" s="27" t="s">
        <v>8</v>
      </c>
      <c r="CZ736" s="27" t="s">
        <v>7</v>
      </c>
      <c r="DI736" s="27" t="s">
        <v>8</v>
      </c>
      <c r="DJ736" s="27" t="s">
        <v>7</v>
      </c>
      <c r="EK736" s="27" t="s">
        <v>8</v>
      </c>
      <c r="EL736" s="27" t="s">
        <v>7</v>
      </c>
      <c r="EM736" s="27" t="s">
        <v>8</v>
      </c>
      <c r="GR736" s="27" t="s">
        <v>7</v>
      </c>
      <c r="HL736" s="27" t="s">
        <v>7</v>
      </c>
    </row>
    <row r="737" spans="1:224" x14ac:dyDescent="0.25">
      <c r="A737" s="7">
        <v>5.1283095966678877E-2</v>
      </c>
      <c r="B737"/>
      <c r="C737"/>
      <c r="D737"/>
      <c r="E737"/>
      <c r="F737" s="27" t="s">
        <v>7</v>
      </c>
      <c r="AU737" s="27" t="s">
        <v>8</v>
      </c>
      <c r="AV737" s="27" t="s">
        <v>7</v>
      </c>
      <c r="AW737" s="27" t="s">
        <v>8</v>
      </c>
      <c r="AY737" s="27" t="s">
        <v>8</v>
      </c>
      <c r="AZ737" s="27" t="s">
        <v>7</v>
      </c>
      <c r="BA737" s="27" t="s">
        <v>8</v>
      </c>
      <c r="BB737" s="27" t="s">
        <v>7</v>
      </c>
      <c r="BC737" s="27" t="s">
        <v>8</v>
      </c>
      <c r="BD737" s="27" t="s">
        <v>7</v>
      </c>
      <c r="BG737" s="27" t="s">
        <v>8</v>
      </c>
      <c r="BH737" s="27" t="s">
        <v>7</v>
      </c>
      <c r="BI737" s="27" t="s">
        <v>8</v>
      </c>
      <c r="BJ737" s="27" t="s">
        <v>7</v>
      </c>
      <c r="BK737" s="27" t="s">
        <v>8</v>
      </c>
      <c r="BL737" s="27" t="s">
        <v>7</v>
      </c>
      <c r="BM737" s="27" t="s">
        <v>8</v>
      </c>
      <c r="CX737" s="27" t="s">
        <v>7</v>
      </c>
      <c r="CY737" s="27" t="s">
        <v>8</v>
      </c>
      <c r="CZ737" s="27" t="s">
        <v>7</v>
      </c>
      <c r="DI737" s="27" t="s">
        <v>8</v>
      </c>
      <c r="DJ737" s="27" t="s">
        <v>7</v>
      </c>
      <c r="EK737" s="27" t="s">
        <v>8</v>
      </c>
      <c r="EL737" s="27" t="s">
        <v>7</v>
      </c>
      <c r="EM737" s="27" t="s">
        <v>8</v>
      </c>
      <c r="HL737" s="27" t="s">
        <v>7</v>
      </c>
    </row>
    <row r="738" spans="1:224" x14ac:dyDescent="0.25">
      <c r="A738" s="7">
        <v>5.0277545065371444E-2</v>
      </c>
      <c r="B738"/>
      <c r="C738"/>
      <c r="D738"/>
      <c r="E738"/>
      <c r="F738" s="27" t="s">
        <v>7</v>
      </c>
      <c r="AU738" s="27" t="s">
        <v>8</v>
      </c>
      <c r="AV738" s="27" t="s">
        <v>7</v>
      </c>
      <c r="AW738" s="27" t="s">
        <v>8</v>
      </c>
      <c r="AX738" s="27" t="s">
        <v>7</v>
      </c>
      <c r="AY738" s="27" t="s">
        <v>8</v>
      </c>
      <c r="AZ738" s="27" t="s">
        <v>7</v>
      </c>
      <c r="BA738" s="27" t="s">
        <v>8</v>
      </c>
      <c r="BB738" s="27" t="s">
        <v>7</v>
      </c>
      <c r="BC738" s="27" t="s">
        <v>8</v>
      </c>
      <c r="BD738" s="27" t="s">
        <v>7</v>
      </c>
      <c r="BG738" s="27" t="s">
        <v>8</v>
      </c>
      <c r="BH738" s="27" t="s">
        <v>7</v>
      </c>
      <c r="BI738" s="27" t="s">
        <v>8</v>
      </c>
      <c r="BJ738" s="27" t="s">
        <v>7</v>
      </c>
      <c r="BK738" s="27" t="s">
        <v>8</v>
      </c>
      <c r="BL738" s="27" t="s">
        <v>7</v>
      </c>
      <c r="CX738" s="27" t="s">
        <v>7</v>
      </c>
      <c r="CY738" s="27" t="s">
        <v>8</v>
      </c>
      <c r="CZ738" s="27" t="s">
        <v>7</v>
      </c>
      <c r="DI738" s="27" t="s">
        <v>8</v>
      </c>
      <c r="DJ738" s="27" t="s">
        <v>7</v>
      </c>
      <c r="EK738" s="27" t="s">
        <v>8</v>
      </c>
      <c r="EL738" s="27" t="s">
        <v>7</v>
      </c>
      <c r="EM738" s="27" t="s">
        <v>8</v>
      </c>
      <c r="HL738" s="27" t="s">
        <v>7</v>
      </c>
    </row>
    <row r="739" spans="1:224" x14ac:dyDescent="0.25">
      <c r="A739" s="7">
        <v>4.9291710848403378E-2</v>
      </c>
      <c r="B739"/>
      <c r="C739"/>
      <c r="D739"/>
      <c r="E739"/>
      <c r="F739" s="27" t="s">
        <v>7</v>
      </c>
      <c r="AU739" s="27" t="s">
        <v>8</v>
      </c>
      <c r="AV739" s="27" t="s">
        <v>7</v>
      </c>
      <c r="AW739" s="27" t="s">
        <v>8</v>
      </c>
      <c r="AX739" s="27" t="s">
        <v>7</v>
      </c>
      <c r="AY739" s="27" t="s">
        <v>8</v>
      </c>
      <c r="AZ739" s="27" t="s">
        <v>7</v>
      </c>
      <c r="BA739" s="27" t="s">
        <v>8</v>
      </c>
      <c r="BB739" s="27" t="s">
        <v>7</v>
      </c>
      <c r="BC739" s="27" t="s">
        <v>8</v>
      </c>
      <c r="BD739" s="27" t="s">
        <v>7</v>
      </c>
      <c r="BG739" s="27" t="s">
        <v>8</v>
      </c>
      <c r="BH739" s="27" t="s">
        <v>7</v>
      </c>
      <c r="BI739" s="27" t="s">
        <v>8</v>
      </c>
      <c r="BJ739" s="27" t="s">
        <v>7</v>
      </c>
      <c r="CX739" s="27" t="s">
        <v>7</v>
      </c>
      <c r="CY739" s="27" t="s">
        <v>8</v>
      </c>
      <c r="CZ739" s="27" t="s">
        <v>7</v>
      </c>
      <c r="DI739" s="27" t="s">
        <v>8</v>
      </c>
      <c r="DJ739" s="27" t="s">
        <v>7</v>
      </c>
      <c r="EK739" s="27" t="s">
        <v>8</v>
      </c>
      <c r="EL739" s="27" t="s">
        <v>7</v>
      </c>
      <c r="EM739" s="27" t="s">
        <v>8</v>
      </c>
      <c r="HL739" s="27" t="s">
        <v>7</v>
      </c>
    </row>
    <row r="740" spans="1:224" x14ac:dyDescent="0.25">
      <c r="A740" s="7">
        <v>4.8325206714120959E-2</v>
      </c>
      <c r="B740"/>
      <c r="C740"/>
      <c r="D740"/>
      <c r="E740"/>
      <c r="F740" s="27" t="s">
        <v>7</v>
      </c>
      <c r="AU740" s="27" t="s">
        <v>8</v>
      </c>
      <c r="AV740" s="27" t="s">
        <v>7</v>
      </c>
      <c r="AW740" s="27" t="s">
        <v>8</v>
      </c>
      <c r="AX740" s="27" t="s">
        <v>7</v>
      </c>
      <c r="AY740" s="27" t="s">
        <v>8</v>
      </c>
      <c r="AZ740" s="27" t="s">
        <v>7</v>
      </c>
      <c r="BA740" s="27" t="s">
        <v>8</v>
      </c>
      <c r="BB740" s="27" t="s">
        <v>7</v>
      </c>
      <c r="BC740" s="27" t="s">
        <v>8</v>
      </c>
      <c r="BD740" s="27" t="s">
        <v>7</v>
      </c>
      <c r="BE740" s="27" t="s">
        <v>8</v>
      </c>
      <c r="BG740" s="27" t="s">
        <v>8</v>
      </c>
      <c r="BH740" s="27" t="s">
        <v>7</v>
      </c>
      <c r="BI740" s="27" t="s">
        <v>8</v>
      </c>
      <c r="CX740" s="27" t="s">
        <v>7</v>
      </c>
      <c r="CY740" s="27" t="s">
        <v>8</v>
      </c>
      <c r="CZ740" s="27" t="s">
        <v>7</v>
      </c>
      <c r="DI740" s="27" t="s">
        <v>8</v>
      </c>
      <c r="DJ740" s="27" t="s">
        <v>7</v>
      </c>
      <c r="EK740" s="27" t="s">
        <v>8</v>
      </c>
      <c r="EL740" s="27" t="s">
        <v>7</v>
      </c>
      <c r="EM740" s="27" t="s">
        <v>8</v>
      </c>
      <c r="HL740" s="27" t="s">
        <v>7</v>
      </c>
    </row>
    <row r="741" spans="1:224" x14ac:dyDescent="0.25">
      <c r="A741" s="7">
        <v>4.7377653641295057E-2</v>
      </c>
      <c r="B741"/>
      <c r="C741"/>
      <c r="D741"/>
      <c r="E741"/>
      <c r="F741" s="27" t="s">
        <v>7</v>
      </c>
      <c r="AU741" s="27" t="s">
        <v>8</v>
      </c>
      <c r="AV741" s="27" t="s">
        <v>7</v>
      </c>
      <c r="AW741" s="27" t="s">
        <v>8</v>
      </c>
      <c r="AX741" s="27" t="s">
        <v>7</v>
      </c>
      <c r="AY741" s="27" t="s">
        <v>8</v>
      </c>
      <c r="AZ741" s="27" t="s">
        <v>7</v>
      </c>
      <c r="BA741" s="27" t="s">
        <v>8</v>
      </c>
      <c r="BB741" s="27" t="s">
        <v>7</v>
      </c>
      <c r="BC741" s="27" t="s">
        <v>8</v>
      </c>
      <c r="BD741" s="27" t="s">
        <v>7</v>
      </c>
      <c r="BE741" s="27" t="s">
        <v>8</v>
      </c>
      <c r="BF741" s="27" t="s">
        <v>7</v>
      </c>
      <c r="BG741" s="27" t="s">
        <v>8</v>
      </c>
      <c r="BH741" s="27" t="s">
        <v>7</v>
      </c>
      <c r="BI741" s="27" t="s">
        <v>8</v>
      </c>
      <c r="CX741" s="27" t="s">
        <v>7</v>
      </c>
      <c r="CY741" s="27" t="s">
        <v>8</v>
      </c>
      <c r="CZ741" s="27" t="s">
        <v>7</v>
      </c>
      <c r="DI741" s="27" t="s">
        <v>8</v>
      </c>
      <c r="DJ741" s="27" t="s">
        <v>7</v>
      </c>
      <c r="EK741" s="27" t="s">
        <v>8</v>
      </c>
      <c r="EL741" s="27" t="s">
        <v>7</v>
      </c>
      <c r="EM741" s="27" t="s">
        <v>8</v>
      </c>
      <c r="HL741" s="27" t="s">
        <v>7</v>
      </c>
      <c r="HM741" s="27" t="s">
        <v>8</v>
      </c>
    </row>
    <row r="742" spans="1:224" x14ac:dyDescent="0.25">
      <c r="A742" s="7">
        <v>4.644868004048535E-2</v>
      </c>
      <c r="B742"/>
      <c r="C742"/>
      <c r="D742"/>
      <c r="E742"/>
      <c r="F742" s="27" t="s">
        <v>7</v>
      </c>
      <c r="AU742" s="27" t="s">
        <v>8</v>
      </c>
      <c r="AV742" s="27" t="s">
        <v>7</v>
      </c>
      <c r="AW742" s="27" t="s">
        <v>8</v>
      </c>
      <c r="AX742" s="27" t="s">
        <v>7</v>
      </c>
      <c r="AY742" s="27" t="s">
        <v>8</v>
      </c>
      <c r="AZ742" s="27" t="s">
        <v>7</v>
      </c>
      <c r="BA742" s="27" t="s">
        <v>8</v>
      </c>
      <c r="BB742" s="27" t="s">
        <v>7</v>
      </c>
      <c r="BC742" s="27" t="s">
        <v>8</v>
      </c>
      <c r="BD742" s="27" t="s">
        <v>7</v>
      </c>
      <c r="BE742" s="27" t="s">
        <v>8</v>
      </c>
      <c r="BF742" s="27" t="s">
        <v>7</v>
      </c>
      <c r="BG742" s="27" t="s">
        <v>8</v>
      </c>
      <c r="BH742" s="27" t="s">
        <v>7</v>
      </c>
      <c r="BI742" s="27" t="s">
        <v>8</v>
      </c>
      <c r="CX742" s="27" t="s">
        <v>7</v>
      </c>
      <c r="CY742" s="27" t="s">
        <v>8</v>
      </c>
      <c r="CZ742" s="27" t="s">
        <v>7</v>
      </c>
      <c r="DA742" s="27" t="s">
        <v>8</v>
      </c>
      <c r="DI742" s="27" t="s">
        <v>8</v>
      </c>
      <c r="DJ742" s="27" t="s">
        <v>7</v>
      </c>
      <c r="EK742" s="27" t="s">
        <v>8</v>
      </c>
      <c r="EL742" s="27" t="s">
        <v>7</v>
      </c>
      <c r="EM742" s="27" t="s">
        <v>8</v>
      </c>
      <c r="HL742" s="27" t="s">
        <v>7</v>
      </c>
      <c r="HM742" s="27" t="s">
        <v>8</v>
      </c>
      <c r="HN742" s="27" t="s">
        <v>7</v>
      </c>
      <c r="HO742" s="27" t="s">
        <v>8</v>
      </c>
    </row>
    <row r="743" spans="1:224" x14ac:dyDescent="0.25">
      <c r="A743" s="7">
        <v>4.5537921608318974E-2</v>
      </c>
      <c r="B743"/>
      <c r="C743"/>
      <c r="D743"/>
      <c r="E743"/>
      <c r="F743" s="27" t="s">
        <v>7</v>
      </c>
      <c r="AU743" s="27" t="s">
        <v>8</v>
      </c>
      <c r="AV743" s="27" t="s">
        <v>7</v>
      </c>
      <c r="AW743" s="27" t="s">
        <v>8</v>
      </c>
      <c r="AX743" s="27" t="s">
        <v>7</v>
      </c>
      <c r="AY743" s="27" t="s">
        <v>8</v>
      </c>
      <c r="AZ743" s="27" t="s">
        <v>7</v>
      </c>
      <c r="BA743" s="27" t="s">
        <v>8</v>
      </c>
      <c r="BB743" s="27" t="s">
        <v>7</v>
      </c>
      <c r="BC743" s="27" t="s">
        <v>8</v>
      </c>
      <c r="BD743" s="27" t="s">
        <v>7</v>
      </c>
      <c r="BE743" s="27" t="s">
        <v>8</v>
      </c>
      <c r="BF743" s="27" t="s">
        <v>7</v>
      </c>
      <c r="BG743" s="27" t="s">
        <v>8</v>
      </c>
      <c r="BH743" s="27" t="s">
        <v>7</v>
      </c>
      <c r="CX743" s="27" t="s">
        <v>7</v>
      </c>
      <c r="CY743" s="27" t="s">
        <v>8</v>
      </c>
      <c r="CZ743" s="27" t="s">
        <v>7</v>
      </c>
      <c r="DA743" s="27" t="s">
        <v>8</v>
      </c>
      <c r="DB743" s="27" t="s">
        <v>7</v>
      </c>
      <c r="DI743" s="27" t="s">
        <v>8</v>
      </c>
      <c r="DJ743" s="27" t="s">
        <v>7</v>
      </c>
      <c r="EK743" s="27" t="s">
        <v>8</v>
      </c>
      <c r="EL743" s="27" t="s">
        <v>7</v>
      </c>
      <c r="EM743" s="27" t="s">
        <v>8</v>
      </c>
      <c r="HL743" s="27" t="s">
        <v>7</v>
      </c>
      <c r="HM743" s="27" t="s">
        <v>8</v>
      </c>
      <c r="HN743" s="27" t="s">
        <v>7</v>
      </c>
      <c r="HO743" s="27" t="s">
        <v>8</v>
      </c>
      <c r="HP743" s="27" t="s">
        <v>7</v>
      </c>
    </row>
    <row r="744" spans="1:224" x14ac:dyDescent="0.25">
      <c r="A744" s="7">
        <v>4.4645021184626446E-2</v>
      </c>
      <c r="B744"/>
      <c r="C744"/>
      <c r="D744"/>
      <c r="E744"/>
      <c r="F744" s="27" t="s">
        <v>7</v>
      </c>
      <c r="AU744" s="27" t="s">
        <v>8</v>
      </c>
      <c r="AV744" s="27" t="s">
        <v>7</v>
      </c>
      <c r="AW744" s="27" t="s">
        <v>8</v>
      </c>
      <c r="AX744" s="27" t="s">
        <v>7</v>
      </c>
      <c r="AY744" s="27" t="s">
        <v>8</v>
      </c>
      <c r="AZ744" s="27" t="s">
        <v>7</v>
      </c>
      <c r="BA744" s="27" t="s">
        <v>8</v>
      </c>
      <c r="BB744" s="27" t="s">
        <v>7</v>
      </c>
      <c r="BC744" s="27" t="s">
        <v>8</v>
      </c>
      <c r="BD744" s="27" t="s">
        <v>7</v>
      </c>
      <c r="BE744" s="27" t="s">
        <v>8</v>
      </c>
      <c r="BF744" s="27" t="s">
        <v>7</v>
      </c>
      <c r="BG744" s="27" t="s">
        <v>8</v>
      </c>
      <c r="CX744" s="27" t="s">
        <v>7</v>
      </c>
      <c r="CY744" s="27" t="s">
        <v>8</v>
      </c>
      <c r="CZ744" s="27" t="s">
        <v>7</v>
      </c>
      <c r="DA744" s="27" t="s">
        <v>8</v>
      </c>
      <c r="DB744" s="27" t="s">
        <v>7</v>
      </c>
      <c r="DI744" s="27" t="s">
        <v>8</v>
      </c>
      <c r="DJ744" s="27" t="s">
        <v>7</v>
      </c>
      <c r="EK744" s="27" t="s">
        <v>8</v>
      </c>
      <c r="EL744" s="27" t="s">
        <v>7</v>
      </c>
      <c r="HL744" s="27" t="s">
        <v>7</v>
      </c>
      <c r="HM744" s="27" t="s">
        <v>8</v>
      </c>
      <c r="HN744" s="27" t="s">
        <v>7</v>
      </c>
      <c r="HO744" s="27" t="s">
        <v>8</v>
      </c>
      <c r="HP744" s="27" t="s">
        <v>7</v>
      </c>
    </row>
    <row r="745" spans="1:224" x14ac:dyDescent="0.25">
      <c r="A745" s="7">
        <v>4.3769628612378868E-2</v>
      </c>
      <c r="B745"/>
      <c r="C745"/>
      <c r="D745"/>
      <c r="E745"/>
      <c r="F745" s="27" t="s">
        <v>7</v>
      </c>
      <c r="AU745" s="27" t="s">
        <v>8</v>
      </c>
      <c r="AV745" s="27" t="s">
        <v>7</v>
      </c>
      <c r="AW745" s="27" t="s">
        <v>8</v>
      </c>
      <c r="AX745" s="27" t="s">
        <v>7</v>
      </c>
      <c r="AY745" s="27" t="s">
        <v>8</v>
      </c>
      <c r="AZ745" s="27" t="s">
        <v>7</v>
      </c>
      <c r="BA745" s="27" t="s">
        <v>8</v>
      </c>
      <c r="BB745" s="27" t="s">
        <v>7</v>
      </c>
      <c r="BC745" s="27" t="s">
        <v>8</v>
      </c>
      <c r="BD745" s="27" t="s">
        <v>7</v>
      </c>
      <c r="BE745" s="27" t="s">
        <v>8</v>
      </c>
      <c r="BF745" s="27" t="s">
        <v>7</v>
      </c>
      <c r="BG745" s="27" t="s">
        <v>8</v>
      </c>
      <c r="CX745" s="27" t="s">
        <v>7</v>
      </c>
      <c r="CZ745" s="27" t="s">
        <v>7</v>
      </c>
      <c r="DA745" s="27" t="s">
        <v>8</v>
      </c>
      <c r="DB745" s="27" t="s">
        <v>7</v>
      </c>
      <c r="DI745" s="27" t="s">
        <v>8</v>
      </c>
      <c r="DJ745" s="27" t="s">
        <v>7</v>
      </c>
      <c r="EK745" s="27" t="s">
        <v>8</v>
      </c>
      <c r="HL745" s="27" t="s">
        <v>7</v>
      </c>
      <c r="HM745" s="27" t="s">
        <v>8</v>
      </c>
      <c r="HN745" s="27" t="s">
        <v>7</v>
      </c>
      <c r="HO745" s="27" t="s">
        <v>8</v>
      </c>
      <c r="HP745" s="27" t="s">
        <v>7</v>
      </c>
    </row>
    <row r="746" spans="1:224" x14ac:dyDescent="0.25">
      <c r="A746" s="7">
        <v>4.2911400600371442E-2</v>
      </c>
      <c r="B746"/>
      <c r="C746"/>
      <c r="D746"/>
      <c r="E746"/>
      <c r="F746" s="27" t="s">
        <v>7</v>
      </c>
      <c r="AU746" s="27" t="s">
        <v>8</v>
      </c>
      <c r="AV746" s="27" t="s">
        <v>7</v>
      </c>
      <c r="AW746" s="27" t="s">
        <v>8</v>
      </c>
      <c r="AX746" s="27" t="s">
        <v>7</v>
      </c>
      <c r="AY746" s="27" t="s">
        <v>8</v>
      </c>
      <c r="AZ746" s="27" t="s">
        <v>7</v>
      </c>
      <c r="BA746" s="27" t="s">
        <v>8</v>
      </c>
      <c r="BB746" s="27" t="s">
        <v>7</v>
      </c>
      <c r="BC746" s="27" t="s">
        <v>8</v>
      </c>
      <c r="BD746" s="27" t="s">
        <v>7</v>
      </c>
      <c r="BF746" s="27" t="s">
        <v>7</v>
      </c>
      <c r="BG746" s="27" t="s">
        <v>8</v>
      </c>
      <c r="CZ746" s="27" t="s">
        <v>7</v>
      </c>
      <c r="DA746" s="27" t="s">
        <v>8</v>
      </c>
      <c r="DB746" s="27" t="s">
        <v>7</v>
      </c>
      <c r="DE746" s="27" t="s">
        <v>8</v>
      </c>
      <c r="DI746" s="27" t="s">
        <v>8</v>
      </c>
      <c r="DJ746" s="27" t="s">
        <v>7</v>
      </c>
      <c r="EK746" s="27" t="s">
        <v>8</v>
      </c>
      <c r="HL746" s="27" t="s">
        <v>7</v>
      </c>
      <c r="HM746" s="27" t="s">
        <v>8</v>
      </c>
      <c r="HN746" s="27" t="s">
        <v>7</v>
      </c>
      <c r="HO746" s="27" t="s">
        <v>8</v>
      </c>
      <c r="HP746" s="27" t="s">
        <v>7</v>
      </c>
    </row>
    <row r="747" spans="1:224" x14ac:dyDescent="0.25">
      <c r="A747" s="7">
        <v>4.2070000588599457E-2</v>
      </c>
      <c r="B747"/>
      <c r="C747"/>
      <c r="D747"/>
      <c r="E747"/>
      <c r="F747" s="27" t="s">
        <v>7</v>
      </c>
      <c r="AU747" s="27" t="s">
        <v>8</v>
      </c>
      <c r="AV747" s="27" t="s">
        <v>7</v>
      </c>
      <c r="AW747" s="27" t="s">
        <v>8</v>
      </c>
      <c r="AX747" s="27" t="s">
        <v>7</v>
      </c>
      <c r="AY747" s="27" t="s">
        <v>8</v>
      </c>
      <c r="AZ747" s="27" t="s">
        <v>7</v>
      </c>
      <c r="BA747" s="27" t="s">
        <v>8</v>
      </c>
      <c r="BB747" s="27" t="s">
        <v>7</v>
      </c>
      <c r="BC747" s="27" t="s">
        <v>8</v>
      </c>
      <c r="BF747" s="27" t="s">
        <v>7</v>
      </c>
      <c r="BG747" s="27" t="s">
        <v>8</v>
      </c>
      <c r="CZ747" s="27" t="s">
        <v>7</v>
      </c>
      <c r="DA747" s="27" t="s">
        <v>8</v>
      </c>
      <c r="DB747" s="27" t="s">
        <v>7</v>
      </c>
      <c r="DE747" s="27" t="s">
        <v>8</v>
      </c>
      <c r="DF747" s="27" t="s">
        <v>7</v>
      </c>
      <c r="DI747" s="27" t="s">
        <v>8</v>
      </c>
      <c r="DJ747" s="27" t="s">
        <v>7</v>
      </c>
      <c r="DM747" s="27" t="s">
        <v>8</v>
      </c>
      <c r="EI747" s="27" t="s">
        <v>8</v>
      </c>
      <c r="EK747" s="27" t="s">
        <v>8</v>
      </c>
      <c r="HL747" s="27" t="s">
        <v>7</v>
      </c>
      <c r="HM747" s="27" t="s">
        <v>8</v>
      </c>
      <c r="HN747" s="27" t="s">
        <v>7</v>
      </c>
      <c r="HO747" s="27" t="s">
        <v>8</v>
      </c>
    </row>
    <row r="748" spans="1:224" x14ac:dyDescent="0.25">
      <c r="A748" s="7">
        <v>4.1245098616273977E-2</v>
      </c>
      <c r="B748"/>
      <c r="C748"/>
      <c r="D748"/>
      <c r="E748"/>
      <c r="F748" s="27" t="s">
        <v>7</v>
      </c>
      <c r="AU748" s="27" t="s">
        <v>8</v>
      </c>
      <c r="AV748" s="27" t="s">
        <v>7</v>
      </c>
      <c r="AW748" s="27" t="s">
        <v>8</v>
      </c>
      <c r="AX748" s="27" t="s">
        <v>7</v>
      </c>
      <c r="AY748" s="27" t="s">
        <v>8</v>
      </c>
      <c r="AZ748" s="27" t="s">
        <v>7</v>
      </c>
      <c r="BA748" s="27" t="s">
        <v>8</v>
      </c>
      <c r="BB748" s="27" t="s">
        <v>7</v>
      </c>
      <c r="BC748" s="27" t="s">
        <v>8</v>
      </c>
      <c r="BF748" s="27" t="s">
        <v>7</v>
      </c>
      <c r="BG748" s="27" t="s">
        <v>8</v>
      </c>
      <c r="CZ748" s="27" t="s">
        <v>7</v>
      </c>
      <c r="DA748" s="27" t="s">
        <v>8</v>
      </c>
      <c r="DB748" s="27" t="s">
        <v>7</v>
      </c>
      <c r="DC748" s="27" t="s">
        <v>8</v>
      </c>
      <c r="DE748" s="27" t="s">
        <v>8</v>
      </c>
      <c r="DF748" s="27" t="s">
        <v>7</v>
      </c>
      <c r="DI748" s="27" t="s">
        <v>8</v>
      </c>
      <c r="DJ748" s="27" t="s">
        <v>7</v>
      </c>
      <c r="DM748" s="27" t="s">
        <v>8</v>
      </c>
      <c r="DN748" s="27" t="s">
        <v>7</v>
      </c>
      <c r="EI748" s="27" t="s">
        <v>8</v>
      </c>
      <c r="EJ748" s="27" t="s">
        <v>7</v>
      </c>
      <c r="EK748" s="27" t="s">
        <v>8</v>
      </c>
      <c r="HL748" s="27" t="s">
        <v>7</v>
      </c>
      <c r="HM748" s="27" t="s">
        <v>8</v>
      </c>
      <c r="HN748" s="27" t="s">
        <v>7</v>
      </c>
      <c r="HO748" s="27" t="s">
        <v>8</v>
      </c>
    </row>
    <row r="749" spans="1:224" x14ac:dyDescent="0.25">
      <c r="A749" s="7">
        <v>4.043637119242547E-2</v>
      </c>
      <c r="B749"/>
      <c r="C749"/>
      <c r="D749"/>
      <c r="E749"/>
      <c r="F749" s="27" t="s">
        <v>7</v>
      </c>
      <c r="AU749" s="27" t="s">
        <v>8</v>
      </c>
      <c r="AV749" s="27" t="s">
        <v>7</v>
      </c>
      <c r="AW749" s="27" t="s">
        <v>8</v>
      </c>
      <c r="AX749" s="27" t="s">
        <v>7</v>
      </c>
      <c r="AZ749" s="27" t="s">
        <v>7</v>
      </c>
      <c r="BA749" s="27" t="s">
        <v>8</v>
      </c>
      <c r="BB749" s="27" t="s">
        <v>7</v>
      </c>
      <c r="BC749" s="27" t="s">
        <v>8</v>
      </c>
      <c r="BF749" s="27" t="s">
        <v>7</v>
      </c>
      <c r="BG749" s="27" t="s">
        <v>8</v>
      </c>
      <c r="CZ749" s="27" t="s">
        <v>7</v>
      </c>
      <c r="DA749" s="27" t="s">
        <v>8</v>
      </c>
      <c r="DB749" s="27" t="s">
        <v>7</v>
      </c>
      <c r="DC749" s="27" t="s">
        <v>8</v>
      </c>
      <c r="DD749" s="27" t="s">
        <v>7</v>
      </c>
      <c r="DE749" s="27" t="s">
        <v>8</v>
      </c>
      <c r="DF749" s="27" t="s">
        <v>7</v>
      </c>
      <c r="DI749" s="27" t="s">
        <v>8</v>
      </c>
      <c r="DJ749" s="27" t="s">
        <v>7</v>
      </c>
      <c r="DM749" s="27" t="s">
        <v>8</v>
      </c>
      <c r="DN749" s="27" t="s">
        <v>7</v>
      </c>
      <c r="EI749" s="27" t="s">
        <v>8</v>
      </c>
      <c r="EJ749" s="27" t="s">
        <v>7</v>
      </c>
      <c r="EK749" s="27" t="s">
        <v>8</v>
      </c>
      <c r="HL749" s="27" t="s">
        <v>7</v>
      </c>
      <c r="HM749" s="27" t="s">
        <v>8</v>
      </c>
      <c r="HN749" s="27" t="s">
        <v>7</v>
      </c>
      <c r="HO749" s="27" t="s">
        <v>8</v>
      </c>
    </row>
    <row r="750" spans="1:224" x14ac:dyDescent="0.25">
      <c r="A750" s="7">
        <v>3.9643501169044582E-2</v>
      </c>
      <c r="B750"/>
      <c r="C750"/>
      <c r="D750"/>
      <c r="E750"/>
      <c r="F750" s="27" t="s">
        <v>7</v>
      </c>
      <c r="AU750" s="27" t="s">
        <v>8</v>
      </c>
      <c r="AV750" s="27" t="s">
        <v>7</v>
      </c>
      <c r="AW750" s="27" t="s">
        <v>8</v>
      </c>
      <c r="AZ750" s="27" t="s">
        <v>7</v>
      </c>
      <c r="BA750" s="27" t="s">
        <v>8</v>
      </c>
      <c r="BB750" s="27" t="s">
        <v>7</v>
      </c>
      <c r="BF750" s="27" t="s">
        <v>7</v>
      </c>
      <c r="BG750" s="27" t="s">
        <v>8</v>
      </c>
      <c r="CZ750" s="27" t="s">
        <v>7</v>
      </c>
      <c r="DA750" s="27" t="s">
        <v>8</v>
      </c>
      <c r="DB750" s="27" t="s">
        <v>7</v>
      </c>
      <c r="DC750" s="27" t="s">
        <v>8</v>
      </c>
      <c r="DD750" s="27" t="s">
        <v>7</v>
      </c>
      <c r="DE750" s="27" t="s">
        <v>8</v>
      </c>
      <c r="DF750" s="27" t="s">
        <v>7</v>
      </c>
      <c r="DG750" s="27" t="s">
        <v>8</v>
      </c>
      <c r="DI750" s="27" t="s">
        <v>8</v>
      </c>
      <c r="DJ750" s="27" t="s">
        <v>7</v>
      </c>
      <c r="DM750" s="27" t="s">
        <v>8</v>
      </c>
      <c r="DN750" s="27" t="s">
        <v>7</v>
      </c>
      <c r="EI750" s="27" t="s">
        <v>8</v>
      </c>
      <c r="EJ750" s="27" t="s">
        <v>7</v>
      </c>
      <c r="EK750" s="27" t="s">
        <v>8</v>
      </c>
      <c r="HL750" s="27" t="s">
        <v>7</v>
      </c>
      <c r="HM750" s="27" t="s">
        <v>8</v>
      </c>
      <c r="HN750" s="27" t="s">
        <v>7</v>
      </c>
      <c r="HO750" s="27" t="s">
        <v>8</v>
      </c>
    </row>
    <row r="751" spans="1:224" x14ac:dyDescent="0.25">
      <c r="A751" s="7">
        <v>3.8866177616710372E-2</v>
      </c>
      <c r="B751"/>
      <c r="C751"/>
      <c r="D751"/>
      <c r="E751"/>
      <c r="F751" s="27" t="s">
        <v>7</v>
      </c>
      <c r="AU751" s="27" t="s">
        <v>8</v>
      </c>
      <c r="AV751" s="27" t="s">
        <v>7</v>
      </c>
      <c r="AW751" s="27" t="s">
        <v>8</v>
      </c>
      <c r="AZ751" s="27" t="s">
        <v>7</v>
      </c>
      <c r="BA751" s="27" t="s">
        <v>8</v>
      </c>
      <c r="BF751" s="27" t="s">
        <v>7</v>
      </c>
      <c r="BG751" s="27" t="s">
        <v>8</v>
      </c>
      <c r="CZ751" s="27" t="s">
        <v>7</v>
      </c>
      <c r="DA751" s="27" t="s">
        <v>8</v>
      </c>
      <c r="DB751" s="27" t="s">
        <v>7</v>
      </c>
      <c r="DC751" s="27" t="s">
        <v>8</v>
      </c>
      <c r="DD751" s="27" t="s">
        <v>7</v>
      </c>
      <c r="DF751" s="27" t="s">
        <v>7</v>
      </c>
      <c r="DG751" s="27" t="s">
        <v>8</v>
      </c>
      <c r="DH751" s="27" t="s">
        <v>7</v>
      </c>
      <c r="DI751" s="27" t="s">
        <v>8</v>
      </c>
      <c r="DJ751" s="27" t="s">
        <v>7</v>
      </c>
      <c r="DK751" s="27" t="s">
        <v>8</v>
      </c>
      <c r="DM751" s="27" t="s">
        <v>8</v>
      </c>
      <c r="DN751" s="27" t="s">
        <v>7</v>
      </c>
      <c r="EI751" s="27" t="s">
        <v>8</v>
      </c>
      <c r="EJ751" s="27" t="s">
        <v>7</v>
      </c>
      <c r="EK751" s="27" t="s">
        <v>8</v>
      </c>
      <c r="HL751" s="27" t="s">
        <v>7</v>
      </c>
      <c r="HM751" s="27" t="s">
        <v>8</v>
      </c>
      <c r="HN751" s="27" t="s">
        <v>7</v>
      </c>
      <c r="HO751" s="27" t="s">
        <v>8</v>
      </c>
    </row>
    <row r="752" spans="1:224" x14ac:dyDescent="0.25">
      <c r="A752" s="7">
        <v>3.8104095702657229E-2</v>
      </c>
      <c r="B752"/>
      <c r="C752"/>
      <c r="D752"/>
      <c r="E752"/>
      <c r="F752" s="27" t="s">
        <v>7</v>
      </c>
      <c r="AU752" s="27" t="s">
        <v>8</v>
      </c>
      <c r="AV752" s="27" t="s">
        <v>7</v>
      </c>
      <c r="AW752" s="27" t="s">
        <v>8</v>
      </c>
      <c r="AZ752" s="27" t="s">
        <v>7</v>
      </c>
      <c r="BA752" s="27" t="s">
        <v>8</v>
      </c>
      <c r="BF752" s="27" t="s">
        <v>7</v>
      </c>
      <c r="BG752" s="27" t="s">
        <v>8</v>
      </c>
      <c r="CZ752" s="27" t="s">
        <v>7</v>
      </c>
      <c r="DA752" s="27" t="s">
        <v>8</v>
      </c>
      <c r="DB752" s="27" t="s">
        <v>7</v>
      </c>
      <c r="DC752" s="27" t="s">
        <v>8</v>
      </c>
      <c r="DF752" s="27" t="s">
        <v>7</v>
      </c>
      <c r="DG752" s="27" t="s">
        <v>8</v>
      </c>
      <c r="DH752" s="27" t="s">
        <v>7</v>
      </c>
      <c r="DI752" s="27" t="s">
        <v>8</v>
      </c>
      <c r="DJ752" s="27" t="s">
        <v>7</v>
      </c>
      <c r="DK752" s="27" t="s">
        <v>8</v>
      </c>
      <c r="DL752" s="27" t="s">
        <v>7</v>
      </c>
      <c r="DM752" s="27" t="s">
        <v>8</v>
      </c>
      <c r="DN752" s="27" t="s">
        <v>7</v>
      </c>
      <c r="EI752" s="27" t="s">
        <v>8</v>
      </c>
      <c r="EJ752" s="27" t="s">
        <v>7</v>
      </c>
      <c r="EK752" s="27" t="s">
        <v>8</v>
      </c>
      <c r="HL752" s="27" t="s">
        <v>7</v>
      </c>
      <c r="HM752" s="27" t="s">
        <v>8</v>
      </c>
      <c r="HN752" s="27" t="s">
        <v>7</v>
      </c>
    </row>
    <row r="753" spans="1:220" x14ac:dyDescent="0.25">
      <c r="A753" s="7">
        <v>3.7356956571232579E-2</v>
      </c>
      <c r="B753"/>
      <c r="C753"/>
      <c r="D753"/>
      <c r="E753"/>
      <c r="F753" s="27" t="s">
        <v>7</v>
      </c>
      <c r="AU753" s="27" t="s">
        <v>8</v>
      </c>
      <c r="AV753" s="27" t="s">
        <v>7</v>
      </c>
      <c r="AW753" s="27" t="s">
        <v>8</v>
      </c>
      <c r="AZ753" s="27" t="s">
        <v>7</v>
      </c>
      <c r="BF753" s="27" t="s">
        <v>7</v>
      </c>
      <c r="BG753" s="27" t="s">
        <v>8</v>
      </c>
      <c r="CZ753" s="27" t="s">
        <v>7</v>
      </c>
      <c r="DA753" s="27" t="s">
        <v>8</v>
      </c>
      <c r="DB753" s="27" t="s">
        <v>7</v>
      </c>
      <c r="DC753" s="27" t="s">
        <v>8</v>
      </c>
      <c r="DF753" s="27" t="s">
        <v>7</v>
      </c>
      <c r="DG753" s="27" t="s">
        <v>8</v>
      </c>
      <c r="DH753" s="27" t="s">
        <v>7</v>
      </c>
      <c r="DI753" s="27" t="s">
        <v>8</v>
      </c>
      <c r="DJ753" s="27" t="s">
        <v>7</v>
      </c>
      <c r="DK753" s="27" t="s">
        <v>8</v>
      </c>
      <c r="DL753" s="27" t="s">
        <v>7</v>
      </c>
      <c r="DM753" s="27" t="s">
        <v>8</v>
      </c>
      <c r="DN753" s="27" t="s">
        <v>7</v>
      </c>
      <c r="EI753" s="27" t="s">
        <v>8</v>
      </c>
      <c r="EJ753" s="27" t="s">
        <v>7</v>
      </c>
      <c r="EK753" s="27" t="s">
        <v>8</v>
      </c>
      <c r="HL753" s="27" t="s">
        <v>7</v>
      </c>
    </row>
    <row r="754" spans="1:220" x14ac:dyDescent="0.25">
      <c r="A754" s="7">
        <v>3.6624467226698605E-2</v>
      </c>
      <c r="B754"/>
      <c r="C754"/>
      <c r="D754"/>
      <c r="E754"/>
      <c r="F754" s="27" t="s">
        <v>7</v>
      </c>
      <c r="AU754" s="27" t="s">
        <v>8</v>
      </c>
      <c r="AV754" s="27" t="s">
        <v>7</v>
      </c>
      <c r="AW754" s="27" t="s">
        <v>8</v>
      </c>
      <c r="BF754" s="27" t="s">
        <v>7</v>
      </c>
      <c r="CZ754" s="27" t="s">
        <v>7</v>
      </c>
      <c r="DA754" s="27" t="s">
        <v>8</v>
      </c>
      <c r="DB754" s="27" t="s">
        <v>7</v>
      </c>
      <c r="DC754" s="27" t="s">
        <v>8</v>
      </c>
      <c r="DF754" s="27" t="s">
        <v>7</v>
      </c>
      <c r="DG754" s="27" t="s">
        <v>8</v>
      </c>
      <c r="DH754" s="27" t="s">
        <v>7</v>
      </c>
      <c r="DI754" s="27" t="s">
        <v>8</v>
      </c>
      <c r="DJ754" s="27" t="s">
        <v>7</v>
      </c>
      <c r="DK754" s="27" t="s">
        <v>8</v>
      </c>
      <c r="DL754" s="27" t="s">
        <v>7</v>
      </c>
      <c r="DM754" s="27" t="s">
        <v>8</v>
      </c>
      <c r="DN754" s="27" t="s">
        <v>7</v>
      </c>
      <c r="EI754" s="27" t="s">
        <v>8</v>
      </c>
      <c r="EJ754" s="27" t="s">
        <v>7</v>
      </c>
      <c r="EK754" s="27" t="s">
        <v>8</v>
      </c>
    </row>
    <row r="755" spans="1:220" x14ac:dyDescent="0.25">
      <c r="A755" s="7">
        <v>3.5906340418331961E-2</v>
      </c>
      <c r="B755"/>
      <c r="C755"/>
      <c r="D755"/>
      <c r="E755"/>
      <c r="F755" s="27" t="s">
        <v>7</v>
      </c>
      <c r="AU755" s="27" t="s">
        <v>8</v>
      </c>
      <c r="AV755" s="27" t="s">
        <v>7</v>
      </c>
      <c r="AW755" s="27" t="s">
        <v>8</v>
      </c>
      <c r="CZ755" s="27" t="s">
        <v>7</v>
      </c>
      <c r="DA755" s="27" t="s">
        <v>8</v>
      </c>
      <c r="DB755" s="27" t="s">
        <v>7</v>
      </c>
      <c r="DC755" s="27" t="s">
        <v>8</v>
      </c>
      <c r="DF755" s="27" t="s">
        <v>7</v>
      </c>
      <c r="DH755" s="27" t="s">
        <v>7</v>
      </c>
      <c r="DI755" s="27" t="s">
        <v>8</v>
      </c>
      <c r="DJ755" s="27" t="s">
        <v>7</v>
      </c>
      <c r="DK755" s="27" t="s">
        <v>8</v>
      </c>
      <c r="DL755" s="27" t="s">
        <v>7</v>
      </c>
      <c r="DM755" s="27" t="s">
        <v>8</v>
      </c>
      <c r="DN755" s="27" t="s">
        <v>7</v>
      </c>
      <c r="EI755" s="27" t="s">
        <v>8</v>
      </c>
      <c r="EJ755" s="27" t="s">
        <v>7</v>
      </c>
      <c r="EK755" s="27" t="s">
        <v>8</v>
      </c>
    </row>
    <row r="756" spans="1:220" x14ac:dyDescent="0.25">
      <c r="A756" s="7">
        <v>3.5202294527776436E-2</v>
      </c>
      <c r="B756"/>
      <c r="C756"/>
      <c r="D756"/>
      <c r="E756"/>
      <c r="F756" s="27" t="s">
        <v>7</v>
      </c>
      <c r="AU756" s="27" t="s">
        <v>8</v>
      </c>
      <c r="AV756" s="27" t="s">
        <v>7</v>
      </c>
      <c r="AW756" s="27" t="s">
        <v>8</v>
      </c>
      <c r="CZ756" s="27" t="s">
        <v>7</v>
      </c>
      <c r="DA756" s="27" t="s">
        <v>8</v>
      </c>
      <c r="DB756" s="27" t="s">
        <v>7</v>
      </c>
      <c r="DC756" s="27" t="s">
        <v>8</v>
      </c>
      <c r="DH756" s="27" t="s">
        <v>7</v>
      </c>
      <c r="DI756" s="27" t="s">
        <v>8</v>
      </c>
      <c r="DJ756" s="27" t="s">
        <v>7</v>
      </c>
      <c r="DK756" s="27" t="s">
        <v>8</v>
      </c>
      <c r="DL756" s="27" t="s">
        <v>7</v>
      </c>
      <c r="DN756" s="27" t="s">
        <v>7</v>
      </c>
      <c r="EI756" s="27" t="s">
        <v>8</v>
      </c>
      <c r="EJ756" s="27" t="s">
        <v>7</v>
      </c>
      <c r="EK756" s="27" t="s">
        <v>8</v>
      </c>
    </row>
    <row r="757" spans="1:220" x14ac:dyDescent="0.25">
      <c r="A757" s="7">
        <v>3.451205345860435E-2</v>
      </c>
      <c r="B757"/>
      <c r="C757"/>
      <c r="D757"/>
      <c r="E757"/>
      <c r="F757" s="27" t="s">
        <v>7</v>
      </c>
      <c r="AU757" s="27" t="s">
        <v>8</v>
      </c>
      <c r="AV757" s="27" t="s">
        <v>7</v>
      </c>
      <c r="AW757" s="27" t="s">
        <v>8</v>
      </c>
      <c r="CZ757" s="27" t="s">
        <v>7</v>
      </c>
      <c r="DA757" s="27" t="s">
        <v>8</v>
      </c>
      <c r="DB757" s="27" t="s">
        <v>7</v>
      </c>
      <c r="DC757" s="27" t="s">
        <v>8</v>
      </c>
      <c r="DH757" s="27" t="s">
        <v>7</v>
      </c>
      <c r="DI757" s="27" t="s">
        <v>8</v>
      </c>
      <c r="DJ757" s="27" t="s">
        <v>7</v>
      </c>
      <c r="DK757" s="27" t="s">
        <v>8</v>
      </c>
      <c r="DN757" s="27" t="s">
        <v>7</v>
      </c>
      <c r="EI757" s="27" t="s">
        <v>8</v>
      </c>
      <c r="EJ757" s="27" t="s">
        <v>7</v>
      </c>
    </row>
    <row r="758" spans="1:220" x14ac:dyDescent="0.25">
      <c r="A758" s="7">
        <v>3.3835346528043479E-2</v>
      </c>
      <c r="B758"/>
      <c r="C758"/>
      <c r="D758"/>
      <c r="E758"/>
      <c r="F758" s="27" t="s">
        <v>7</v>
      </c>
      <c r="AU758" s="27" t="s">
        <v>8</v>
      </c>
      <c r="AV758" s="27" t="s">
        <v>7</v>
      </c>
      <c r="AW758" s="27" t="s">
        <v>8</v>
      </c>
      <c r="CZ758" s="27" t="s">
        <v>7</v>
      </c>
      <c r="DA758" s="27" t="s">
        <v>8</v>
      </c>
      <c r="DB758" s="27" t="s">
        <v>7</v>
      </c>
      <c r="DH758" s="27" t="s">
        <v>7</v>
      </c>
      <c r="DI758" s="27" t="s">
        <v>8</v>
      </c>
      <c r="DJ758" s="27" t="s">
        <v>7</v>
      </c>
      <c r="DK758" s="27" t="s">
        <v>8</v>
      </c>
      <c r="DN758" s="27" t="s">
        <v>7</v>
      </c>
      <c r="EI758" s="27" t="s">
        <v>8</v>
      </c>
    </row>
    <row r="759" spans="1:220" x14ac:dyDescent="0.25">
      <c r="A759" s="7">
        <v>3.3171908360826938E-2</v>
      </c>
      <c r="B759"/>
      <c r="C759"/>
      <c r="D759"/>
      <c r="E759"/>
      <c r="F759" s="27" t="s">
        <v>7</v>
      </c>
      <c r="AU759" s="27" t="s">
        <v>8</v>
      </c>
      <c r="AV759" s="27" t="s">
        <v>7</v>
      </c>
      <c r="CZ759" s="27" t="s">
        <v>7</v>
      </c>
      <c r="DA759" s="27" t="s">
        <v>8</v>
      </c>
      <c r="DH759" s="27" t="s">
        <v>7</v>
      </c>
      <c r="DI759" s="27" t="s">
        <v>8</v>
      </c>
      <c r="DJ759" s="27" t="s">
        <v>7</v>
      </c>
      <c r="DK759" s="27" t="s">
        <v>8</v>
      </c>
      <c r="DN759" s="27" t="s">
        <v>7</v>
      </c>
      <c r="DY759" s="27" t="s">
        <v>8</v>
      </c>
      <c r="EI759" s="27" t="s">
        <v>8</v>
      </c>
    </row>
    <row r="760" spans="1:220" x14ac:dyDescent="0.25">
      <c r="A760" s="7">
        <v>3.2521478785124451E-2</v>
      </c>
      <c r="B760"/>
      <c r="C760"/>
      <c r="D760"/>
      <c r="E760"/>
      <c r="F760" s="27" t="s">
        <v>7</v>
      </c>
      <c r="AU760" s="27" t="s">
        <v>8</v>
      </c>
      <c r="CZ760" s="27" t="s">
        <v>7</v>
      </c>
      <c r="DA760" s="27" t="s">
        <v>8</v>
      </c>
      <c r="DH760" s="27" t="s">
        <v>7</v>
      </c>
      <c r="DI760" s="27" t="s">
        <v>8</v>
      </c>
      <c r="DJ760" s="27" t="s">
        <v>7</v>
      </c>
      <c r="DN760" s="27" t="s">
        <v>7</v>
      </c>
      <c r="DY760" s="27" t="s">
        <v>8</v>
      </c>
      <c r="DZ760" s="27" t="s">
        <v>7</v>
      </c>
      <c r="EE760" s="27" t="s">
        <v>8</v>
      </c>
      <c r="EI760" s="27" t="s">
        <v>8</v>
      </c>
    </row>
    <row r="761" spans="1:220" x14ac:dyDescent="0.25">
      <c r="A761" s="7">
        <v>3.1883802730514173E-2</v>
      </c>
      <c r="B761"/>
      <c r="C761"/>
      <c r="D761"/>
      <c r="E761"/>
      <c r="F761" s="27" t="s">
        <v>7</v>
      </c>
      <c r="AU761" s="27" t="s">
        <v>8</v>
      </c>
      <c r="CZ761" s="27" t="s">
        <v>7</v>
      </c>
      <c r="DA761" s="27" t="s">
        <v>8</v>
      </c>
      <c r="DH761" s="27" t="s">
        <v>7</v>
      </c>
      <c r="DI761" s="27" t="s">
        <v>8</v>
      </c>
      <c r="DN761" s="27" t="s">
        <v>7</v>
      </c>
      <c r="DY761" s="27" t="s">
        <v>8</v>
      </c>
      <c r="DZ761" s="27" t="s">
        <v>7</v>
      </c>
      <c r="EE761" s="27" t="s">
        <v>8</v>
      </c>
      <c r="EF761" s="27" t="s">
        <v>7</v>
      </c>
      <c r="EG761" s="27" t="s">
        <v>8</v>
      </c>
      <c r="EI761" s="27" t="s">
        <v>8</v>
      </c>
    </row>
    <row r="762" spans="1:220" x14ac:dyDescent="0.25">
      <c r="A762" s="7">
        <v>3.1258630127955073E-2</v>
      </c>
      <c r="B762"/>
      <c r="C762"/>
      <c r="D762"/>
      <c r="E762"/>
      <c r="F762" s="27" t="s">
        <v>7</v>
      </c>
      <c r="AU762" s="27" t="s">
        <v>8</v>
      </c>
      <c r="CZ762" s="27" t="s">
        <v>7</v>
      </c>
      <c r="DA762" s="27" t="s">
        <v>8</v>
      </c>
      <c r="DH762" s="27" t="s">
        <v>7</v>
      </c>
      <c r="DI762" s="27" t="s">
        <v>8</v>
      </c>
      <c r="DN762" s="27" t="s">
        <v>7</v>
      </c>
      <c r="DY762" s="27" t="s">
        <v>8</v>
      </c>
      <c r="DZ762" s="27" t="s">
        <v>7</v>
      </c>
      <c r="EC762" s="27" t="s">
        <v>8</v>
      </c>
      <c r="EE762" s="27" t="s">
        <v>8</v>
      </c>
      <c r="EF762" s="27" t="s">
        <v>7</v>
      </c>
      <c r="EG762" s="27" t="s">
        <v>8</v>
      </c>
      <c r="EH762" s="27" t="s">
        <v>7</v>
      </c>
      <c r="EI762" s="27" t="s">
        <v>8</v>
      </c>
    </row>
    <row r="763" spans="1:220" x14ac:dyDescent="0.25">
      <c r="A763" s="7">
        <v>3.064571581172066E-2</v>
      </c>
      <c r="B763"/>
      <c r="C763"/>
      <c r="D763"/>
      <c r="E763"/>
      <c r="F763" s="27" t="s">
        <v>7</v>
      </c>
      <c r="AU763" s="27" t="s">
        <v>8</v>
      </c>
      <c r="CZ763" s="27" t="s">
        <v>7</v>
      </c>
      <c r="DA763" s="27" t="s">
        <v>8</v>
      </c>
      <c r="DH763" s="27" t="s">
        <v>7</v>
      </c>
      <c r="DI763" s="27" t="s">
        <v>8</v>
      </c>
      <c r="DN763" s="27" t="s">
        <v>7</v>
      </c>
      <c r="DY763" s="27" t="s">
        <v>8</v>
      </c>
      <c r="DZ763" s="27" t="s">
        <v>7</v>
      </c>
      <c r="EC763" s="27" t="s">
        <v>8</v>
      </c>
      <c r="ED763" s="27" t="s">
        <v>7</v>
      </c>
      <c r="EE763" s="27" t="s">
        <v>8</v>
      </c>
      <c r="EF763" s="27" t="s">
        <v>7</v>
      </c>
      <c r="EG763" s="27" t="s">
        <v>8</v>
      </c>
      <c r="EH763" s="27" t="s">
        <v>7</v>
      </c>
      <c r="EI763" s="27" t="s">
        <v>8</v>
      </c>
    </row>
    <row r="764" spans="1:220" x14ac:dyDescent="0.25">
      <c r="A764" s="7">
        <v>3.0044819423255549E-2</v>
      </c>
      <c r="B764"/>
      <c r="C764"/>
      <c r="D764"/>
      <c r="E764"/>
      <c r="F764" s="27" t="s">
        <v>7</v>
      </c>
      <c r="AU764" s="27" t="s">
        <v>8</v>
      </c>
      <c r="CZ764" s="27" t="s">
        <v>7</v>
      </c>
      <c r="DA764" s="27" t="s">
        <v>8</v>
      </c>
      <c r="DH764" s="27" t="s">
        <v>7</v>
      </c>
      <c r="DN764" s="27" t="s">
        <v>7</v>
      </c>
      <c r="DY764" s="27" t="s">
        <v>8</v>
      </c>
      <c r="DZ764" s="27" t="s">
        <v>7</v>
      </c>
      <c r="EC764" s="27" t="s">
        <v>8</v>
      </c>
      <c r="ED764" s="27" t="s">
        <v>7</v>
      </c>
      <c r="EE764" s="27" t="s">
        <v>8</v>
      </c>
      <c r="EF764" s="27" t="s">
        <v>7</v>
      </c>
      <c r="EG764" s="27" t="s">
        <v>8</v>
      </c>
      <c r="EH764" s="27" t="s">
        <v>7</v>
      </c>
      <c r="EI764" s="27" t="s">
        <v>8</v>
      </c>
    </row>
    <row r="765" spans="1:220" x14ac:dyDescent="0.25">
      <c r="A765" s="7">
        <v>2.9455705316917203E-2</v>
      </c>
      <c r="B765"/>
      <c r="C765"/>
      <c r="D765"/>
      <c r="E765"/>
      <c r="F765" s="27" t="s">
        <v>7</v>
      </c>
      <c r="AU765" s="27" t="s">
        <v>8</v>
      </c>
      <c r="CZ765" s="27" t="s">
        <v>7</v>
      </c>
      <c r="DA765" s="27" t="s">
        <v>8</v>
      </c>
      <c r="DN765" s="27" t="s">
        <v>7</v>
      </c>
      <c r="DY765" s="27" t="s">
        <v>8</v>
      </c>
      <c r="DZ765" s="27" t="s">
        <v>7</v>
      </c>
      <c r="EC765" s="27" t="s">
        <v>8</v>
      </c>
      <c r="ED765" s="27" t="s">
        <v>7</v>
      </c>
      <c r="EE765" s="27" t="s">
        <v>8</v>
      </c>
      <c r="EF765" s="27" t="s">
        <v>7</v>
      </c>
      <c r="EG765" s="27" t="s">
        <v>8</v>
      </c>
      <c r="EH765" s="27" t="s">
        <v>7</v>
      </c>
      <c r="EI765" s="27" t="s">
        <v>8</v>
      </c>
    </row>
    <row r="766" spans="1:220" x14ac:dyDescent="0.25">
      <c r="A766" s="7">
        <v>2.8878142467565884E-2</v>
      </c>
      <c r="B766"/>
      <c r="C766"/>
      <c r="D766"/>
      <c r="E766"/>
      <c r="F766" s="27" t="s">
        <v>7</v>
      </c>
      <c r="AO766" s="27" t="s">
        <v>8</v>
      </c>
      <c r="AU766" s="27" t="s">
        <v>8</v>
      </c>
      <c r="CZ766" s="27" t="s">
        <v>7</v>
      </c>
      <c r="DA766" s="27" t="s">
        <v>8</v>
      </c>
      <c r="DN766" s="27" t="s">
        <v>7</v>
      </c>
      <c r="DS766" s="27" t="s">
        <v>8</v>
      </c>
      <c r="DY766" s="27" t="s">
        <v>8</v>
      </c>
      <c r="DZ766" s="27" t="s">
        <v>7</v>
      </c>
      <c r="EC766" s="27" t="s">
        <v>8</v>
      </c>
      <c r="ED766" s="27" t="s">
        <v>7</v>
      </c>
      <c r="EE766" s="27" t="s">
        <v>8</v>
      </c>
      <c r="EF766" s="27" t="s">
        <v>7</v>
      </c>
      <c r="EG766" s="27" t="s">
        <v>8</v>
      </c>
      <c r="EH766" s="27" t="s">
        <v>7</v>
      </c>
    </row>
    <row r="767" spans="1:220" x14ac:dyDescent="0.25">
      <c r="A767" s="7">
        <v>2.8311904379966554E-2</v>
      </c>
      <c r="B767"/>
      <c r="C767"/>
      <c r="D767"/>
      <c r="E767"/>
      <c r="F767" s="27" t="s">
        <v>7</v>
      </c>
      <c r="AO767" s="27" t="s">
        <v>8</v>
      </c>
      <c r="AP767" s="27" t="s">
        <v>7</v>
      </c>
      <c r="AU767" s="27" t="s">
        <v>8</v>
      </c>
      <c r="CZ767" s="27" t="s">
        <v>7</v>
      </c>
      <c r="DA767" s="27" t="s">
        <v>8</v>
      </c>
      <c r="DN767" s="27" t="s">
        <v>7</v>
      </c>
      <c r="DS767" s="27" t="s">
        <v>8</v>
      </c>
      <c r="DT767" s="27" t="s">
        <v>7</v>
      </c>
      <c r="DW767" s="27" t="s">
        <v>8</v>
      </c>
      <c r="DY767" s="27" t="s">
        <v>8</v>
      </c>
      <c r="DZ767" s="27" t="s">
        <v>7</v>
      </c>
      <c r="EC767" s="27" t="s">
        <v>8</v>
      </c>
      <c r="ED767" s="27" t="s">
        <v>7</v>
      </c>
      <c r="EE767" s="27" t="s">
        <v>8</v>
      </c>
      <c r="EF767" s="27" t="s">
        <v>7</v>
      </c>
      <c r="EG767" s="27" t="s">
        <v>8</v>
      </c>
    </row>
    <row r="768" spans="1:220" x14ac:dyDescent="0.25">
      <c r="A768" s="7">
        <v>2.7756768999967207E-2</v>
      </c>
      <c r="B768"/>
      <c r="C768"/>
      <c r="D768"/>
      <c r="E768"/>
      <c r="F768" s="27" t="s">
        <v>7</v>
      </c>
      <c r="AO768" s="27" t="s">
        <v>8</v>
      </c>
      <c r="AP768" s="27" t="s">
        <v>7</v>
      </c>
      <c r="AU768" s="27" t="s">
        <v>8</v>
      </c>
      <c r="CZ768" s="27" t="s">
        <v>7</v>
      </c>
      <c r="DA768" s="27" t="s">
        <v>8</v>
      </c>
      <c r="DN768" s="27" t="s">
        <v>7</v>
      </c>
      <c r="DS768" s="27" t="s">
        <v>8</v>
      </c>
      <c r="DT768" s="27" t="s">
        <v>7</v>
      </c>
      <c r="DU768" s="27" t="s">
        <v>8</v>
      </c>
      <c r="DW768" s="27" t="s">
        <v>8</v>
      </c>
      <c r="DX768" s="27" t="s">
        <v>7</v>
      </c>
      <c r="DY768" s="27" t="s">
        <v>8</v>
      </c>
      <c r="DZ768" s="27" t="s">
        <v>7</v>
      </c>
      <c r="EA768" s="27" t="s">
        <v>8</v>
      </c>
      <c r="EC768" s="27" t="s">
        <v>8</v>
      </c>
      <c r="ED768" s="27" t="s">
        <v>7</v>
      </c>
      <c r="EE768" s="27" t="s">
        <v>8</v>
      </c>
      <c r="EF768" s="27" t="s">
        <v>7</v>
      </c>
      <c r="EG768" s="27" t="s">
        <v>8</v>
      </c>
    </row>
    <row r="769" spans="1:137" x14ac:dyDescent="0.25">
      <c r="A769" s="7">
        <v>2.7212518627418834E-2</v>
      </c>
      <c r="B769"/>
      <c r="C769"/>
      <c r="D769"/>
      <c r="E769"/>
      <c r="F769" s="27" t="s">
        <v>7</v>
      </c>
      <c r="AC769" s="27" t="s">
        <v>8</v>
      </c>
      <c r="AO769" s="27" t="s">
        <v>8</v>
      </c>
      <c r="AP769" s="27" t="s">
        <v>7</v>
      </c>
      <c r="AU769" s="27" t="s">
        <v>8</v>
      </c>
      <c r="CZ769" s="27" t="s">
        <v>7</v>
      </c>
      <c r="DN769" s="27" t="s">
        <v>7</v>
      </c>
      <c r="DO769" s="27" t="s">
        <v>8</v>
      </c>
      <c r="DS769" s="27" t="s">
        <v>8</v>
      </c>
      <c r="DT769" s="27" t="s">
        <v>7</v>
      </c>
      <c r="DU769" s="27" t="s">
        <v>8</v>
      </c>
      <c r="DV769" s="27" t="s">
        <v>7</v>
      </c>
      <c r="DW769" s="27" t="s">
        <v>8</v>
      </c>
      <c r="DX769" s="27" t="s">
        <v>7</v>
      </c>
      <c r="DY769" s="27" t="s">
        <v>8</v>
      </c>
      <c r="DZ769" s="27" t="s">
        <v>7</v>
      </c>
      <c r="EA769" s="27" t="s">
        <v>8</v>
      </c>
      <c r="EB769" s="27" t="s">
        <v>7</v>
      </c>
      <c r="EC769" s="27" t="s">
        <v>8</v>
      </c>
      <c r="ED769" s="27" t="s">
        <v>7</v>
      </c>
      <c r="EE769" s="27" t="s">
        <v>8</v>
      </c>
      <c r="EF769" s="27" t="s">
        <v>7</v>
      </c>
      <c r="EG769" s="27" t="s">
        <v>8</v>
      </c>
    </row>
    <row r="770" spans="1:137" x14ac:dyDescent="0.25">
      <c r="A770" s="7">
        <v>2.6678939830802779E-2</v>
      </c>
      <c r="B770"/>
      <c r="C770"/>
      <c r="D770"/>
      <c r="E770"/>
      <c r="F770" s="27" t="s">
        <v>7</v>
      </c>
      <c r="AC770" s="27" t="s">
        <v>8</v>
      </c>
      <c r="AD770" s="27" t="s">
        <v>7</v>
      </c>
      <c r="AO770" s="27" t="s">
        <v>8</v>
      </c>
      <c r="AP770" s="27" t="s">
        <v>7</v>
      </c>
      <c r="AU770" s="27" t="s">
        <v>8</v>
      </c>
      <c r="DN770" s="27" t="s">
        <v>7</v>
      </c>
      <c r="DO770" s="27" t="s">
        <v>8</v>
      </c>
      <c r="DP770" s="27" t="s">
        <v>7</v>
      </c>
      <c r="DQ770" s="27" t="s">
        <v>8</v>
      </c>
      <c r="DS770" s="27" t="s">
        <v>8</v>
      </c>
      <c r="DT770" s="27" t="s">
        <v>7</v>
      </c>
      <c r="DU770" s="27" t="s">
        <v>8</v>
      </c>
      <c r="DV770" s="27" t="s">
        <v>7</v>
      </c>
      <c r="DW770" s="27" t="s">
        <v>8</v>
      </c>
      <c r="DX770" s="27" t="s">
        <v>7</v>
      </c>
      <c r="DY770" s="27" t="s">
        <v>8</v>
      </c>
      <c r="DZ770" s="27" t="s">
        <v>7</v>
      </c>
      <c r="EA770" s="27" t="s">
        <v>8</v>
      </c>
      <c r="EB770" s="27" t="s">
        <v>7</v>
      </c>
      <c r="EC770" s="27" t="s">
        <v>8</v>
      </c>
      <c r="ED770" s="27" t="s">
        <v>7</v>
      </c>
      <c r="EE770" s="27" t="s">
        <v>8</v>
      </c>
      <c r="EF770" s="27" t="s">
        <v>7</v>
      </c>
    </row>
    <row r="771" spans="1:137" x14ac:dyDescent="0.25">
      <c r="A771" s="7">
        <v>2.615582336353214E-2</v>
      </c>
      <c r="B771"/>
      <c r="C771"/>
      <c r="D771"/>
      <c r="E771"/>
      <c r="F771" s="27" t="s">
        <v>7</v>
      </c>
      <c r="K771" s="27" t="s">
        <v>8</v>
      </c>
      <c r="AC771" s="27" t="s">
        <v>8</v>
      </c>
      <c r="AD771" s="27" t="s">
        <v>7</v>
      </c>
      <c r="AO771" s="27" t="s">
        <v>8</v>
      </c>
      <c r="AP771" s="27" t="s">
        <v>7</v>
      </c>
      <c r="AS771" s="27" t="s">
        <v>8</v>
      </c>
      <c r="AU771" s="27" t="s">
        <v>8</v>
      </c>
      <c r="DN771" s="27" t="s">
        <v>7</v>
      </c>
      <c r="DO771" s="27" t="s">
        <v>8</v>
      </c>
      <c r="DP771" s="27" t="s">
        <v>7</v>
      </c>
      <c r="DQ771" s="27" t="s">
        <v>8</v>
      </c>
      <c r="DR771" s="27" t="s">
        <v>7</v>
      </c>
      <c r="DS771" s="27" t="s">
        <v>8</v>
      </c>
      <c r="DT771" s="27" t="s">
        <v>7</v>
      </c>
      <c r="DU771" s="27" t="s">
        <v>8</v>
      </c>
      <c r="DV771" s="27" t="s">
        <v>7</v>
      </c>
      <c r="DX771" s="27" t="s">
        <v>7</v>
      </c>
      <c r="DY771" s="27" t="s">
        <v>8</v>
      </c>
      <c r="DZ771" s="27" t="s">
        <v>7</v>
      </c>
      <c r="EA771" s="27" t="s">
        <v>8</v>
      </c>
      <c r="EB771" s="27" t="s">
        <v>7</v>
      </c>
      <c r="EC771" s="27" t="s">
        <v>8</v>
      </c>
      <c r="ED771" s="27" t="s">
        <v>7</v>
      </c>
      <c r="EE771" s="27" t="s">
        <v>8</v>
      </c>
    </row>
    <row r="772" spans="1:137" x14ac:dyDescent="0.25">
      <c r="A772" s="7">
        <v>2.5642964081894253E-2</v>
      </c>
      <c r="B772"/>
      <c r="C772"/>
      <c r="D772"/>
      <c r="E772"/>
      <c r="F772" s="27" t="s">
        <v>7</v>
      </c>
      <c r="K772" s="27" t="s">
        <v>8</v>
      </c>
      <c r="L772" s="27" t="s">
        <v>7</v>
      </c>
      <c r="AC772" s="27" t="s">
        <v>8</v>
      </c>
      <c r="AD772" s="27" t="s">
        <v>7</v>
      </c>
      <c r="AO772" s="27" t="s">
        <v>8</v>
      </c>
      <c r="AP772" s="27" t="s">
        <v>7</v>
      </c>
      <c r="AS772" s="27" t="s">
        <v>8</v>
      </c>
      <c r="AT772" s="27" t="s">
        <v>7</v>
      </c>
      <c r="AU772" s="27" t="s">
        <v>8</v>
      </c>
      <c r="DN772" s="27" t="s">
        <v>7</v>
      </c>
      <c r="DO772" s="27" t="s">
        <v>8</v>
      </c>
      <c r="DP772" s="27" t="s">
        <v>7</v>
      </c>
      <c r="DQ772" s="27" t="s">
        <v>8</v>
      </c>
      <c r="DR772" s="27" t="s">
        <v>7</v>
      </c>
      <c r="DS772" s="27" t="s">
        <v>8</v>
      </c>
      <c r="DT772" s="27" t="s">
        <v>7</v>
      </c>
      <c r="DU772" s="27" t="s">
        <v>8</v>
      </c>
      <c r="DX772" s="27" t="s">
        <v>7</v>
      </c>
      <c r="DZ772" s="27" t="s">
        <v>7</v>
      </c>
      <c r="EA772" s="27" t="s">
        <v>8</v>
      </c>
      <c r="EB772" s="27" t="s">
        <v>7</v>
      </c>
      <c r="EC772" s="27" t="s">
        <v>8</v>
      </c>
      <c r="ED772" s="27" t="s">
        <v>7</v>
      </c>
      <c r="EE772" s="27" t="s">
        <v>8</v>
      </c>
    </row>
    <row r="773" spans="1:137" x14ac:dyDescent="0.25">
      <c r="A773" s="7">
        <v>2.5140160864602207E-2</v>
      </c>
      <c r="B773"/>
      <c r="C773"/>
      <c r="D773"/>
      <c r="E773"/>
      <c r="F773" s="27" t="s">
        <v>7</v>
      </c>
      <c r="K773" s="27" t="s">
        <v>8</v>
      </c>
      <c r="L773" s="27" t="s">
        <v>7</v>
      </c>
      <c r="AC773" s="27" t="s">
        <v>8</v>
      </c>
      <c r="AD773" s="27" t="s">
        <v>7</v>
      </c>
      <c r="AO773" s="27" t="s">
        <v>8</v>
      </c>
      <c r="AP773" s="27" t="s">
        <v>7</v>
      </c>
      <c r="AS773" s="27" t="s">
        <v>8</v>
      </c>
      <c r="AT773" s="27" t="s">
        <v>7</v>
      </c>
      <c r="AU773" s="27" t="s">
        <v>8</v>
      </c>
      <c r="DN773" s="27" t="s">
        <v>7</v>
      </c>
      <c r="DO773" s="27" t="s">
        <v>8</v>
      </c>
      <c r="DP773" s="27" t="s">
        <v>7</v>
      </c>
      <c r="DQ773" s="27" t="s">
        <v>8</v>
      </c>
      <c r="DR773" s="27" t="s">
        <v>7</v>
      </c>
      <c r="DT773" s="27" t="s">
        <v>7</v>
      </c>
      <c r="DZ773" s="27" t="s">
        <v>7</v>
      </c>
      <c r="EA773" s="27" t="s">
        <v>8</v>
      </c>
      <c r="EB773" s="27" t="s">
        <v>7</v>
      </c>
      <c r="EC773" s="27" t="s">
        <v>8</v>
      </c>
      <c r="ED773" s="27" t="s">
        <v>7</v>
      </c>
    </row>
    <row r="774" spans="1:137" x14ac:dyDescent="0.25">
      <c r="A774" s="7">
        <v>2.4647216533923735E-2</v>
      </c>
      <c r="B774"/>
      <c r="C774"/>
      <c r="D774"/>
      <c r="E774"/>
      <c r="F774" s="27" t="s">
        <v>7</v>
      </c>
      <c r="G774" s="27" t="s">
        <v>8</v>
      </c>
      <c r="I774" s="27" t="s">
        <v>8</v>
      </c>
      <c r="K774" s="27" t="s">
        <v>8</v>
      </c>
      <c r="L774" s="27" t="s">
        <v>7</v>
      </c>
      <c r="AC774" s="27" t="s">
        <v>8</v>
      </c>
      <c r="AD774" s="27" t="s">
        <v>7</v>
      </c>
      <c r="AO774" s="27" t="s">
        <v>8</v>
      </c>
      <c r="AP774" s="27" t="s">
        <v>7</v>
      </c>
      <c r="AS774" s="27" t="s">
        <v>8</v>
      </c>
      <c r="AT774" s="27" t="s">
        <v>7</v>
      </c>
      <c r="AU774" s="27" t="s">
        <v>8</v>
      </c>
      <c r="DN774" s="27" t="s">
        <v>7</v>
      </c>
      <c r="DO774" s="27" t="s">
        <v>8</v>
      </c>
      <c r="DP774" s="27" t="s">
        <v>7</v>
      </c>
      <c r="DQ774" s="27" t="s">
        <v>8</v>
      </c>
      <c r="DZ774" s="27" t="s">
        <v>7</v>
      </c>
      <c r="EA774" s="27" t="s">
        <v>8</v>
      </c>
      <c r="EB774" s="27" t="s">
        <v>7</v>
      </c>
      <c r="EC774" s="27" t="s">
        <v>8</v>
      </c>
    </row>
    <row r="775" spans="1:137" x14ac:dyDescent="0.25">
      <c r="A775" s="7">
        <v>2.4163937778356601E-2</v>
      </c>
      <c r="B775"/>
      <c r="C775"/>
      <c r="D775"/>
      <c r="E775"/>
      <c r="F775" s="27" t="s">
        <v>7</v>
      </c>
      <c r="G775" s="27" t="s">
        <v>8</v>
      </c>
      <c r="H775" s="27" t="s">
        <v>7</v>
      </c>
      <c r="I775" s="27" t="s">
        <v>8</v>
      </c>
      <c r="J775" s="27" t="s">
        <v>7</v>
      </c>
      <c r="K775" s="27" t="s">
        <v>8</v>
      </c>
      <c r="L775" s="27" t="s">
        <v>7</v>
      </c>
      <c r="AC775" s="27" t="s">
        <v>8</v>
      </c>
      <c r="AD775" s="27" t="s">
        <v>7</v>
      </c>
      <c r="AO775" s="27" t="s">
        <v>8</v>
      </c>
      <c r="AP775" s="27" t="s">
        <v>7</v>
      </c>
      <c r="AS775" s="27" t="s">
        <v>8</v>
      </c>
      <c r="AT775" s="27" t="s">
        <v>7</v>
      </c>
      <c r="AU775" s="27" t="s">
        <v>8</v>
      </c>
      <c r="DN775" s="27" t="s">
        <v>7</v>
      </c>
      <c r="DO775" s="27" t="s">
        <v>8</v>
      </c>
      <c r="DP775" s="27" t="s">
        <v>7</v>
      </c>
      <c r="DQ775" s="27" t="s">
        <v>8</v>
      </c>
      <c r="DZ775" s="27" t="s">
        <v>7</v>
      </c>
      <c r="EB775" s="27" t="s">
        <v>7</v>
      </c>
      <c r="EC775" s="27" t="s">
        <v>8</v>
      </c>
    </row>
    <row r="776" spans="1:137" x14ac:dyDescent="0.25">
      <c r="A776" s="7">
        <v>2.3690135076820197E-2</v>
      </c>
      <c r="B776"/>
      <c r="C776"/>
      <c r="D776"/>
      <c r="E776"/>
      <c r="F776" s="27" t="s">
        <v>7</v>
      </c>
      <c r="G776" s="27" t="s">
        <v>8</v>
      </c>
      <c r="H776" s="27" t="s">
        <v>7</v>
      </c>
      <c r="I776" s="27" t="s">
        <v>8</v>
      </c>
      <c r="J776" s="27" t="s">
        <v>7</v>
      </c>
      <c r="K776" s="27" t="s">
        <v>8</v>
      </c>
      <c r="L776" s="27" t="s">
        <v>7</v>
      </c>
      <c r="AC776" s="27" t="s">
        <v>8</v>
      </c>
      <c r="AD776" s="27" t="s">
        <v>7</v>
      </c>
      <c r="AO776" s="27" t="s">
        <v>8</v>
      </c>
      <c r="AP776" s="27" t="s">
        <v>7</v>
      </c>
      <c r="AS776" s="27" t="s">
        <v>8</v>
      </c>
      <c r="AT776" s="27" t="s">
        <v>7</v>
      </c>
      <c r="DN776" s="27" t="s">
        <v>7</v>
      </c>
      <c r="DO776" s="27" t="s">
        <v>8</v>
      </c>
      <c r="DP776" s="27" t="s">
        <v>7</v>
      </c>
      <c r="DQ776" s="27" t="s">
        <v>8</v>
      </c>
      <c r="EB776" s="27" t="s">
        <v>7</v>
      </c>
      <c r="EC776" s="27" t="s">
        <v>8</v>
      </c>
    </row>
    <row r="777" spans="1:137" x14ac:dyDescent="0.25">
      <c r="A777" s="7">
        <v>2.3225622624333527E-2</v>
      </c>
      <c r="B777"/>
      <c r="C777"/>
      <c r="D777"/>
      <c r="E777"/>
      <c r="F777" s="27" t="s">
        <v>7</v>
      </c>
      <c r="G777" s="27" t="s">
        <v>8</v>
      </c>
      <c r="H777" s="27" t="s">
        <v>7</v>
      </c>
      <c r="I777" s="27" t="s">
        <v>8</v>
      </c>
      <c r="J777" s="27" t="s">
        <v>7</v>
      </c>
      <c r="K777" s="27" t="s">
        <v>8</v>
      </c>
      <c r="L777" s="27" t="s">
        <v>7</v>
      </c>
      <c r="S777" s="27" t="s">
        <v>8</v>
      </c>
      <c r="AC777" s="27" t="s">
        <v>8</v>
      </c>
      <c r="AD777" s="27" t="s">
        <v>7</v>
      </c>
      <c r="AO777" s="27" t="s">
        <v>8</v>
      </c>
      <c r="AP777" s="27" t="s">
        <v>7</v>
      </c>
      <c r="AS777" s="27" t="s">
        <v>8</v>
      </c>
      <c r="DN777" s="27" t="s">
        <v>7</v>
      </c>
      <c r="DO777" s="27" t="s">
        <v>8</v>
      </c>
      <c r="DP777" s="27" t="s">
        <v>7</v>
      </c>
      <c r="DQ777" s="27" t="s">
        <v>8</v>
      </c>
      <c r="EB777" s="27" t="s">
        <v>7</v>
      </c>
      <c r="EC777" s="27" t="s">
        <v>8</v>
      </c>
    </row>
    <row r="778" spans="1:137" x14ac:dyDescent="0.25">
      <c r="A778" s="7">
        <v>2.2770218259150519E-2</v>
      </c>
      <c r="B778"/>
      <c r="C778"/>
      <c r="D778"/>
      <c r="E778"/>
      <c r="F778" s="27" t="s">
        <v>7</v>
      </c>
      <c r="G778" s="27" t="s">
        <v>8</v>
      </c>
      <c r="H778" s="27" t="s">
        <v>7</v>
      </c>
      <c r="I778" s="27" t="s">
        <v>8</v>
      </c>
      <c r="J778" s="27" t="s">
        <v>7</v>
      </c>
      <c r="L778" s="27" t="s">
        <v>7</v>
      </c>
      <c r="O778" s="27" t="s">
        <v>8</v>
      </c>
      <c r="Q778" s="27" t="s">
        <v>8</v>
      </c>
      <c r="S778" s="27" t="s">
        <v>8</v>
      </c>
      <c r="T778" s="27" t="s">
        <v>7</v>
      </c>
      <c r="AC778" s="27" t="s">
        <v>8</v>
      </c>
      <c r="AD778" s="27" t="s">
        <v>7</v>
      </c>
      <c r="AO778" s="27" t="s">
        <v>8</v>
      </c>
      <c r="AP778" s="27" t="s">
        <v>7</v>
      </c>
      <c r="AS778" s="27" t="s">
        <v>8</v>
      </c>
      <c r="DN778" s="27" t="s">
        <v>7</v>
      </c>
      <c r="DO778" s="27" t="s">
        <v>8</v>
      </c>
      <c r="DP778" s="27" t="s">
        <v>7</v>
      </c>
      <c r="DQ778" s="27" t="s">
        <v>8</v>
      </c>
      <c r="EB778" s="18" t="s">
        <v>7</v>
      </c>
      <c r="EC778" s="27" t="s">
        <v>8</v>
      </c>
    </row>
    <row r="779" spans="1:137" x14ac:dyDescent="0.25">
      <c r="A779" s="7">
        <v>2.2323743391324039E-2</v>
      </c>
      <c r="B779"/>
      <c r="C779"/>
      <c r="D779"/>
      <c r="E779"/>
      <c r="F779" s="27" t="s">
        <v>7</v>
      </c>
      <c r="G779" s="27" t="s">
        <v>8</v>
      </c>
      <c r="H779" s="27" t="s">
        <v>7</v>
      </c>
      <c r="L779" s="27" t="s">
        <v>7</v>
      </c>
      <c r="M779" s="27" t="s">
        <v>8</v>
      </c>
      <c r="O779" s="27" t="s">
        <v>8</v>
      </c>
      <c r="P779" s="27" t="s">
        <v>7</v>
      </c>
      <c r="Q779" s="27" t="s">
        <v>8</v>
      </c>
      <c r="R779" s="27" t="s">
        <v>7</v>
      </c>
      <c r="S779" s="27" t="s">
        <v>8</v>
      </c>
      <c r="T779" s="27" t="s">
        <v>7</v>
      </c>
      <c r="AC779" s="27" t="s">
        <v>8</v>
      </c>
      <c r="AD779" s="27" t="s">
        <v>7</v>
      </c>
      <c r="AO779" s="27" t="s">
        <v>8</v>
      </c>
      <c r="AP779" s="27" t="s">
        <v>7</v>
      </c>
      <c r="AQ779" s="27" t="s">
        <v>8</v>
      </c>
      <c r="AS779" s="27" t="s">
        <v>8</v>
      </c>
      <c r="DN779" s="27" t="s">
        <v>7</v>
      </c>
      <c r="DO779" s="27" t="s">
        <v>8</v>
      </c>
      <c r="DP779" s="27" t="s">
        <v>7</v>
      </c>
      <c r="DQ779" s="27" t="s">
        <v>8</v>
      </c>
      <c r="EB779" s="27" t="s">
        <v>7</v>
      </c>
      <c r="EC779" s="27" t="s">
        <v>8</v>
      </c>
    </row>
    <row r="780" spans="1:137" x14ac:dyDescent="0.25">
      <c r="A780" s="7">
        <v>2.188602293267063E-2</v>
      </c>
      <c r="B780"/>
      <c r="C780"/>
      <c r="D780"/>
      <c r="E780"/>
      <c r="F780" s="27" t="s">
        <v>7</v>
      </c>
      <c r="L780" s="27" t="s">
        <v>7</v>
      </c>
      <c r="M780" s="27" t="s">
        <v>8</v>
      </c>
      <c r="N780" s="27" t="s">
        <v>7</v>
      </c>
      <c r="O780" s="27" t="s">
        <v>8</v>
      </c>
      <c r="P780" s="27" t="s">
        <v>7</v>
      </c>
      <c r="Q780" s="27" t="s">
        <v>8</v>
      </c>
      <c r="R780" s="27" t="s">
        <v>7</v>
      </c>
      <c r="S780" s="27" t="s">
        <v>8</v>
      </c>
      <c r="T780" s="27" t="s">
        <v>7</v>
      </c>
      <c r="U780" s="27" t="s">
        <v>8</v>
      </c>
      <c r="AC780" s="27" t="s">
        <v>8</v>
      </c>
      <c r="AD780" s="27" t="s">
        <v>7</v>
      </c>
      <c r="AO780" s="27" t="s">
        <v>8</v>
      </c>
      <c r="AP780" s="27" t="s">
        <v>7</v>
      </c>
      <c r="AQ780" s="27" t="s">
        <v>8</v>
      </c>
      <c r="AR780" s="27" t="s">
        <v>7</v>
      </c>
      <c r="AS780" s="27" t="s">
        <v>8</v>
      </c>
      <c r="DN780" s="27" t="s">
        <v>7</v>
      </c>
      <c r="DO780" s="27" t="s">
        <v>8</v>
      </c>
      <c r="DP780" s="27" t="s">
        <v>7</v>
      </c>
      <c r="EB780" s="27" t="s">
        <v>7</v>
      </c>
      <c r="EC780" s="27" t="s">
        <v>8</v>
      </c>
    </row>
    <row r="781" spans="1:137" x14ac:dyDescent="0.25">
      <c r="A781" s="7">
        <v>2.1456885228108461E-2</v>
      </c>
      <c r="B781"/>
      <c r="C781"/>
      <c r="D781"/>
      <c r="E781"/>
      <c r="L781" s="27" t="s">
        <v>7</v>
      </c>
      <c r="M781" s="27" t="s">
        <v>8</v>
      </c>
      <c r="N781" s="27" t="s">
        <v>7</v>
      </c>
      <c r="O781" s="27" t="s">
        <v>8</v>
      </c>
      <c r="P781" s="27" t="s">
        <v>7</v>
      </c>
      <c r="Q781" s="27" t="s">
        <v>8</v>
      </c>
      <c r="R781" s="27" t="s">
        <v>7</v>
      </c>
      <c r="S781" s="27" t="s">
        <v>8</v>
      </c>
      <c r="T781" s="27" t="s">
        <v>7</v>
      </c>
      <c r="U781" s="27" t="s">
        <v>8</v>
      </c>
      <c r="V781" s="27" t="s">
        <v>7</v>
      </c>
      <c r="AC781" s="27" t="s">
        <v>8</v>
      </c>
      <c r="AD781" s="27" t="s">
        <v>7</v>
      </c>
      <c r="AO781" s="27" t="s">
        <v>8</v>
      </c>
      <c r="AP781" s="27" t="s">
        <v>7</v>
      </c>
      <c r="AQ781" s="27" t="s">
        <v>8</v>
      </c>
      <c r="AR781" s="27" t="s">
        <v>7</v>
      </c>
      <c r="AS781" s="27" t="s">
        <v>8</v>
      </c>
      <c r="DN781" s="27" t="s">
        <v>7</v>
      </c>
      <c r="DO781" s="27" t="s">
        <v>8</v>
      </c>
      <c r="EB781" s="27" t="s">
        <v>7</v>
      </c>
      <c r="EC781" s="27" t="s">
        <v>8</v>
      </c>
    </row>
    <row r="782" spans="1:137" x14ac:dyDescent="0.25">
      <c r="A782" s="7">
        <v>2.1036161988341632E-2</v>
      </c>
      <c r="B782"/>
      <c r="C782"/>
      <c r="D782"/>
      <c r="E782"/>
      <c r="L782" s="27" t="s">
        <v>7</v>
      </c>
      <c r="N782" s="27" t="s">
        <v>7</v>
      </c>
      <c r="P782" s="27" t="s">
        <v>7</v>
      </c>
      <c r="R782" s="27" t="s">
        <v>7</v>
      </c>
      <c r="S782" s="27" t="s">
        <v>8</v>
      </c>
      <c r="T782" s="27" t="s">
        <v>7</v>
      </c>
      <c r="U782" s="27" t="s">
        <v>8</v>
      </c>
      <c r="V782" s="27" t="s">
        <v>7</v>
      </c>
      <c r="Y782" s="27" t="s">
        <v>8</v>
      </c>
      <c r="AC782" s="27" t="s">
        <v>8</v>
      </c>
      <c r="AD782" s="27" t="s">
        <v>7</v>
      </c>
      <c r="AO782" s="27" t="s">
        <v>8</v>
      </c>
      <c r="AP782" s="27" t="s">
        <v>7</v>
      </c>
      <c r="AQ782" s="27" t="s">
        <v>8</v>
      </c>
      <c r="AR782" s="27" t="s">
        <v>7</v>
      </c>
      <c r="AS782" s="27" t="s">
        <v>8</v>
      </c>
      <c r="DN782" s="27" t="s">
        <v>7</v>
      </c>
      <c r="DO782" s="27" t="s">
        <v>8</v>
      </c>
      <c r="EB782" s="27" t="s">
        <v>7</v>
      </c>
      <c r="EC782" s="27" t="s">
        <v>8</v>
      </c>
    </row>
    <row r="783" spans="1:137" x14ac:dyDescent="0.25">
      <c r="A783" s="7">
        <v>2.0623688223864345E-2</v>
      </c>
      <c r="B783"/>
      <c r="C783"/>
      <c r="D783"/>
      <c r="E783"/>
      <c r="R783" s="27" t="s">
        <v>7</v>
      </c>
      <c r="S783" s="27" t="s">
        <v>8</v>
      </c>
      <c r="T783" s="27" t="s">
        <v>7</v>
      </c>
      <c r="U783" s="27" t="s">
        <v>8</v>
      </c>
      <c r="V783" s="27" t="s">
        <v>7</v>
      </c>
      <c r="Y783" s="27" t="s">
        <v>8</v>
      </c>
      <c r="Z783" s="27" t="s">
        <v>7</v>
      </c>
      <c r="AA783" s="27" t="s">
        <v>8</v>
      </c>
      <c r="AC783" s="27" t="s">
        <v>8</v>
      </c>
      <c r="AD783" s="27" t="s">
        <v>7</v>
      </c>
      <c r="AO783" s="27" t="s">
        <v>8</v>
      </c>
      <c r="AP783" s="27" t="s">
        <v>7</v>
      </c>
      <c r="AQ783" s="27" t="s">
        <v>8</v>
      </c>
      <c r="AR783" s="27" t="s">
        <v>7</v>
      </c>
      <c r="AS783" s="27" t="s">
        <v>8</v>
      </c>
      <c r="DN783" s="27" t="s">
        <v>7</v>
      </c>
      <c r="DO783" s="27" t="s">
        <v>8</v>
      </c>
      <c r="EB783" s="27" t="s">
        <v>7</v>
      </c>
      <c r="EC783" s="27" t="s">
        <v>8</v>
      </c>
    </row>
    <row r="784" spans="1:137" x14ac:dyDescent="0.25">
      <c r="A784" s="7">
        <v>2.021930218025916E-2</v>
      </c>
      <c r="B784"/>
      <c r="C784"/>
      <c r="D784"/>
      <c r="E784"/>
      <c r="R784" s="27" t="s">
        <v>7</v>
      </c>
      <c r="S784" s="27" t="s">
        <v>8</v>
      </c>
      <c r="T784" s="27" t="s">
        <v>7</v>
      </c>
      <c r="U784" s="27" t="s">
        <v>8</v>
      </c>
      <c r="V784" s="27" t="s">
        <v>7</v>
      </c>
      <c r="Y784" s="27" t="s">
        <v>8</v>
      </c>
      <c r="Z784" s="27" t="s">
        <v>7</v>
      </c>
      <c r="AA784" s="27" t="s">
        <v>8</v>
      </c>
      <c r="AB784" s="27" t="s">
        <v>7</v>
      </c>
      <c r="AC784" s="27" t="s">
        <v>8</v>
      </c>
      <c r="AD784" s="27" t="s">
        <v>7</v>
      </c>
      <c r="AM784" s="27" t="s">
        <v>8</v>
      </c>
      <c r="AO784" s="27" t="s">
        <v>8</v>
      </c>
      <c r="AP784" s="27" t="s">
        <v>7</v>
      </c>
      <c r="AQ784" s="27" t="s">
        <v>8</v>
      </c>
      <c r="AR784" s="27" t="s">
        <v>7</v>
      </c>
      <c r="AS784" s="27" t="s">
        <v>8</v>
      </c>
      <c r="DN784" s="27" t="s">
        <v>7</v>
      </c>
      <c r="EB784" s="27" t="s">
        <v>7</v>
      </c>
    </row>
    <row r="785" spans="1:45" x14ac:dyDescent="0.25">
      <c r="A785" s="7">
        <v>1.9822845274763884E-2</v>
      </c>
      <c r="B785"/>
      <c r="C785"/>
      <c r="D785"/>
      <c r="E785"/>
      <c r="R785" s="27" t="s">
        <v>7</v>
      </c>
      <c r="S785" s="27" t="s">
        <v>8</v>
      </c>
      <c r="T785" s="27" t="s">
        <v>7</v>
      </c>
      <c r="U785" s="27" t="s">
        <v>8</v>
      </c>
      <c r="V785" s="27" t="s">
        <v>7</v>
      </c>
      <c r="W785" s="27" t="s">
        <v>8</v>
      </c>
      <c r="Y785" s="27" t="s">
        <v>8</v>
      </c>
      <c r="Z785" s="27" t="s">
        <v>7</v>
      </c>
      <c r="AA785" s="27" t="s">
        <v>8</v>
      </c>
      <c r="AB785" s="27" t="s">
        <v>7</v>
      </c>
      <c r="AC785" s="27" t="s">
        <v>8</v>
      </c>
      <c r="AD785" s="27" t="s">
        <v>7</v>
      </c>
      <c r="AM785" s="27" t="s">
        <v>8</v>
      </c>
      <c r="AN785" s="27" t="s">
        <v>7</v>
      </c>
      <c r="AO785" s="27" t="s">
        <v>8</v>
      </c>
      <c r="AP785" s="27" t="s">
        <v>7</v>
      </c>
      <c r="AQ785" s="27" t="s">
        <v>8</v>
      </c>
      <c r="AR785" s="27" t="s">
        <v>7</v>
      </c>
      <c r="AS785" s="27" t="s">
        <v>8</v>
      </c>
    </row>
    <row r="786" spans="1:45" x14ac:dyDescent="0.25">
      <c r="A786" s="7">
        <v>1.9434162034082238E-2</v>
      </c>
      <c r="B786"/>
      <c r="C786"/>
      <c r="D786"/>
      <c r="E786"/>
      <c r="R786" s="27" t="s">
        <v>7</v>
      </c>
      <c r="S786" s="27" t="s">
        <v>8</v>
      </c>
      <c r="T786" s="27" t="s">
        <v>7</v>
      </c>
      <c r="U786" s="27" t="s">
        <v>8</v>
      </c>
      <c r="V786" s="27" t="s">
        <v>7</v>
      </c>
      <c r="W786" s="27" t="s">
        <v>8</v>
      </c>
      <c r="X786" s="27" t="s">
        <v>7</v>
      </c>
      <c r="Y786" s="27" t="s">
        <v>8</v>
      </c>
      <c r="Z786" s="27" t="s">
        <v>7</v>
      </c>
      <c r="AA786" s="27" t="s">
        <v>8</v>
      </c>
      <c r="AB786" s="27" t="s">
        <v>7</v>
      </c>
      <c r="AC786" s="27" t="s">
        <v>8</v>
      </c>
      <c r="AD786" s="27" t="s">
        <v>7</v>
      </c>
      <c r="AM786" s="27" t="s">
        <v>8</v>
      </c>
      <c r="AN786" s="27" t="s">
        <v>7</v>
      </c>
      <c r="AO786" s="27" t="s">
        <v>8</v>
      </c>
      <c r="AP786" s="27" t="s">
        <v>7</v>
      </c>
      <c r="AQ786" s="27" t="s">
        <v>8</v>
      </c>
      <c r="AR786" s="27" t="s">
        <v>7</v>
      </c>
    </row>
    <row r="787" spans="1:45" x14ac:dyDescent="0.25">
      <c r="A787" s="7">
        <v>1.9053100033413959E-2</v>
      </c>
      <c r="B787"/>
      <c r="C787"/>
      <c r="D787"/>
      <c r="E787"/>
      <c r="R787" s="27" t="s">
        <v>7</v>
      </c>
      <c r="T787" s="27" t="s">
        <v>7</v>
      </c>
      <c r="V787" s="27" t="s">
        <v>7</v>
      </c>
      <c r="W787" s="27" t="s">
        <v>8</v>
      </c>
      <c r="X787" s="27" t="s">
        <v>7</v>
      </c>
      <c r="Y787" s="27" t="s">
        <v>8</v>
      </c>
      <c r="Z787" s="27" t="s">
        <v>7</v>
      </c>
      <c r="AA787" s="27" t="s">
        <v>8</v>
      </c>
      <c r="AB787" s="27" t="s">
        <v>7</v>
      </c>
      <c r="AC787" s="27" t="s">
        <v>8</v>
      </c>
      <c r="AD787" s="27" t="s">
        <v>7</v>
      </c>
      <c r="AM787" s="27" t="s">
        <v>8</v>
      </c>
      <c r="AN787" s="27" t="s">
        <v>7</v>
      </c>
      <c r="AO787" s="27" t="s">
        <v>8</v>
      </c>
      <c r="AP787" s="27" t="s">
        <v>7</v>
      </c>
    </row>
    <row r="788" spans="1:45" x14ac:dyDescent="0.25">
      <c r="A788" s="7">
        <v>1.867950983668035E-2</v>
      </c>
      <c r="B788"/>
      <c r="C788"/>
      <c r="D788"/>
      <c r="E788"/>
      <c r="V788" s="27" t="s">
        <v>7</v>
      </c>
      <c r="W788" s="27" t="s">
        <v>8</v>
      </c>
      <c r="X788" s="27" t="s">
        <v>7</v>
      </c>
      <c r="Y788" s="27" t="s">
        <v>8</v>
      </c>
      <c r="Z788" s="27" t="s">
        <v>7</v>
      </c>
      <c r="AA788" s="27" t="s">
        <v>8</v>
      </c>
      <c r="AB788" s="27" t="s">
        <v>7</v>
      </c>
      <c r="AC788" s="27" t="s">
        <v>8</v>
      </c>
      <c r="AD788" s="27" t="s">
        <v>7</v>
      </c>
      <c r="AM788" s="27" t="s">
        <v>8</v>
      </c>
      <c r="AN788" s="27" t="s">
        <v>7</v>
      </c>
      <c r="AO788" s="27" t="s">
        <v>8</v>
      </c>
    </row>
    <row r="789" spans="1:45" x14ac:dyDescent="0.25">
      <c r="A789" s="7">
        <v>1.8313244937921913E-2</v>
      </c>
      <c r="B789"/>
      <c r="C789"/>
      <c r="D789"/>
      <c r="E789"/>
      <c r="V789" s="27" t="s">
        <v>7</v>
      </c>
      <c r="W789" s="27" t="s">
        <v>8</v>
      </c>
      <c r="X789" s="27" t="s">
        <v>7</v>
      </c>
      <c r="Y789" s="27" t="s">
        <v>8</v>
      </c>
      <c r="Z789" s="27" t="s">
        <v>7</v>
      </c>
      <c r="AB789" s="27" t="s">
        <v>7</v>
      </c>
      <c r="AD789" s="27" t="s">
        <v>7</v>
      </c>
      <c r="AM789" s="27" t="s">
        <v>8</v>
      </c>
      <c r="AN789" s="27" t="s">
        <v>7</v>
      </c>
      <c r="AO789" s="27" t="s">
        <v>8</v>
      </c>
    </row>
    <row r="790" spans="1:45" x14ac:dyDescent="0.25">
      <c r="A790" s="7">
        <v>1.7954161703845013E-2</v>
      </c>
      <c r="B790"/>
      <c r="C790"/>
      <c r="D790"/>
      <c r="E790"/>
      <c r="V790" s="27" t="s">
        <v>7</v>
      </c>
      <c r="W790" s="27" t="s">
        <v>8</v>
      </c>
      <c r="X790" s="27" t="s">
        <v>7</v>
      </c>
      <c r="Y790" s="27" t="s">
        <v>8</v>
      </c>
      <c r="AD790" s="27" t="s">
        <v>7</v>
      </c>
      <c r="AM790" s="27" t="s">
        <v>8</v>
      </c>
      <c r="AN790" s="27" t="s">
        <v>7</v>
      </c>
      <c r="AO790" s="27" t="s">
        <v>8</v>
      </c>
    </row>
    <row r="791" spans="1:45" x14ac:dyDescent="0.25">
      <c r="A791" s="7">
        <v>1.7602119317495109E-2</v>
      </c>
      <c r="B791"/>
      <c r="C791"/>
      <c r="D791"/>
      <c r="E791"/>
      <c r="V791" s="27" t="s">
        <v>7</v>
      </c>
      <c r="W791" s="27" t="s">
        <v>8</v>
      </c>
      <c r="X791" s="27" t="s">
        <v>7</v>
      </c>
      <c r="AD791" s="27" t="s">
        <v>7</v>
      </c>
      <c r="AM791" s="27" t="s">
        <v>8</v>
      </c>
      <c r="AN791" s="27" t="s">
        <v>7</v>
      </c>
      <c r="AO791" s="27" t="s">
        <v>8</v>
      </c>
    </row>
    <row r="792" spans="1:45" x14ac:dyDescent="0.25">
      <c r="A792" s="7">
        <v>1.7256979723034419E-2</v>
      </c>
      <c r="B792"/>
      <c r="C792"/>
      <c r="D792"/>
      <c r="E792"/>
      <c r="V792" s="27" t="s">
        <v>7</v>
      </c>
      <c r="AD792" s="27" t="s">
        <v>7</v>
      </c>
      <c r="AE792" s="27" t="s">
        <v>8</v>
      </c>
      <c r="AK792" s="27" t="s">
        <v>8</v>
      </c>
      <c r="AM792" s="27" t="s">
        <v>8</v>
      </c>
      <c r="AN792" s="27" t="s">
        <v>7</v>
      </c>
      <c r="AO792" s="27" t="s">
        <v>8</v>
      </c>
    </row>
    <row r="793" spans="1:45" x14ac:dyDescent="0.25">
      <c r="A793" s="7">
        <v>1.6918607571602372E-2</v>
      </c>
      <c r="B793"/>
      <c r="C793"/>
      <c r="D793"/>
      <c r="E793"/>
      <c r="AD793" s="27" t="s">
        <v>7</v>
      </c>
      <c r="AE793" s="27" t="s">
        <v>8</v>
      </c>
      <c r="AF793" s="27" t="s">
        <v>7</v>
      </c>
      <c r="AK793" s="27" t="s">
        <v>8</v>
      </c>
      <c r="AL793" s="27" t="s">
        <v>7</v>
      </c>
      <c r="AM793" s="27" t="s">
        <v>8</v>
      </c>
      <c r="AN793" s="27" t="s">
        <v>7</v>
      </c>
      <c r="AO793" s="27" t="s">
        <v>8</v>
      </c>
    </row>
    <row r="794" spans="1:45" x14ac:dyDescent="0.25">
      <c r="A794" s="7">
        <v>1.6586870168237622E-2</v>
      </c>
      <c r="B794"/>
      <c r="C794"/>
      <c r="D794"/>
      <c r="E794"/>
      <c r="AD794" s="27" t="s">
        <v>7</v>
      </c>
      <c r="AE794" s="27" t="s">
        <v>8</v>
      </c>
      <c r="AF794" s="27" t="s">
        <v>7</v>
      </c>
      <c r="AG794" s="27" t="s">
        <v>8</v>
      </c>
      <c r="AK794" s="27" t="s">
        <v>8</v>
      </c>
      <c r="AL794" s="27" t="s">
        <v>7</v>
      </c>
      <c r="AM794" s="27" t="s">
        <v>8</v>
      </c>
      <c r="AN794" s="27" t="s">
        <v>7</v>
      </c>
      <c r="AO794" s="27" t="s">
        <v>8</v>
      </c>
    </row>
    <row r="795" spans="1:45" x14ac:dyDescent="0.25">
      <c r="A795" s="7">
        <v>1.6261637419840807E-2</v>
      </c>
      <c r="B795"/>
      <c r="C795"/>
      <c r="D795"/>
      <c r="E795"/>
      <c r="AD795" s="27" t="s">
        <v>7</v>
      </c>
      <c r="AE795" s="27" t="s">
        <v>8</v>
      </c>
      <c r="AF795" s="27" t="s">
        <v>7</v>
      </c>
      <c r="AG795" s="27" t="s">
        <v>8</v>
      </c>
      <c r="AH795" s="27" t="s">
        <v>7</v>
      </c>
      <c r="AK795" s="27" t="s">
        <v>8</v>
      </c>
      <c r="AL795" s="27" t="s">
        <v>7</v>
      </c>
      <c r="AM795" s="27" t="s">
        <v>8</v>
      </c>
      <c r="AN795" s="27" t="s">
        <v>7</v>
      </c>
      <c r="AO795" s="27" t="s">
        <v>8</v>
      </c>
    </row>
    <row r="796" spans="1:45" x14ac:dyDescent="0.25">
      <c r="A796" s="7">
        <v>1.5942781784157655E-2</v>
      </c>
      <c r="B796"/>
      <c r="C796"/>
      <c r="D796"/>
      <c r="E796"/>
      <c r="AD796" s="27" t="s">
        <v>7</v>
      </c>
      <c r="AF796" s="27" t="s">
        <v>7</v>
      </c>
      <c r="AG796" s="27" t="s">
        <v>8</v>
      </c>
      <c r="AH796" s="27" t="s">
        <v>7</v>
      </c>
      <c r="AK796" s="27" t="s">
        <v>8</v>
      </c>
      <c r="AL796" s="27" t="s">
        <v>7</v>
      </c>
      <c r="AM796" s="27" t="s">
        <v>8</v>
      </c>
      <c r="AN796" s="27" t="s">
        <v>7</v>
      </c>
      <c r="AO796" s="27" t="s">
        <v>8</v>
      </c>
    </row>
    <row r="797" spans="1:45" x14ac:dyDescent="0.25">
      <c r="A797" s="7">
        <v>1.5630178219762408E-2</v>
      </c>
      <c r="B797"/>
      <c r="C797"/>
      <c r="D797"/>
      <c r="E797"/>
      <c r="AF797" s="27" t="s">
        <v>7</v>
      </c>
      <c r="AG797" s="27" t="s">
        <v>8</v>
      </c>
      <c r="AH797" s="27" t="s">
        <v>7</v>
      </c>
      <c r="AK797" s="27" t="s">
        <v>8</v>
      </c>
      <c r="AL797" s="27" t="s">
        <v>7</v>
      </c>
      <c r="AM797" s="27" t="s">
        <v>8</v>
      </c>
      <c r="AN797" s="27" t="s">
        <v>7</v>
      </c>
      <c r="AO797" s="27" t="s">
        <v>8</v>
      </c>
    </row>
    <row r="798" spans="1:45" x14ac:dyDescent="0.25">
      <c r="A798" s="7">
        <v>1.5323704137021967E-2</v>
      </c>
      <c r="B798"/>
      <c r="C798"/>
      <c r="D798"/>
      <c r="E798"/>
      <c r="AF798" s="27" t="s">
        <v>7</v>
      </c>
      <c r="AG798" s="27" t="s">
        <v>8</v>
      </c>
      <c r="AH798" s="27" t="s">
        <v>7</v>
      </c>
      <c r="AI798" s="27" t="s">
        <v>8</v>
      </c>
      <c r="AK798" s="27" t="s">
        <v>8</v>
      </c>
      <c r="AL798" s="27" t="s">
        <v>7</v>
      </c>
      <c r="AM798" s="27" t="s">
        <v>8</v>
      </c>
      <c r="AN798" s="27" t="s">
        <v>7</v>
      </c>
      <c r="AO798" s="27" t="s">
        <v>8</v>
      </c>
    </row>
    <row r="799" spans="1:45" x14ac:dyDescent="0.25">
      <c r="A799" s="7">
        <v>1.5023239350021535E-2</v>
      </c>
      <c r="B799"/>
      <c r="C799"/>
      <c r="D799"/>
      <c r="E799"/>
      <c r="AF799" s="27" t="s">
        <v>7</v>
      </c>
      <c r="AG799" s="27" t="s">
        <v>8</v>
      </c>
      <c r="AH799" s="27" t="s">
        <v>7</v>
      </c>
      <c r="AI799" s="27" t="s">
        <v>8</v>
      </c>
      <c r="AJ799" s="27" t="s">
        <v>7</v>
      </c>
      <c r="AK799" s="27" t="s">
        <v>8</v>
      </c>
      <c r="AL799" s="27" t="s">
        <v>7</v>
      </c>
      <c r="AM799" s="27" t="s">
        <v>8</v>
      </c>
      <c r="AN799" s="27" t="s">
        <v>7</v>
      </c>
      <c r="AO799" s="27" t="s">
        <v>8</v>
      </c>
    </row>
    <row r="800" spans="1:45" x14ac:dyDescent="0.25">
      <c r="A800" s="7">
        <v>1.4728666029432878E-2</v>
      </c>
      <c r="B800"/>
      <c r="C800"/>
      <c r="D800"/>
      <c r="E800"/>
      <c r="AF800" s="27" t="s">
        <v>7</v>
      </c>
      <c r="AH800" s="27" t="s">
        <v>7</v>
      </c>
      <c r="AI800" s="27" t="s">
        <v>8</v>
      </c>
      <c r="AJ800" s="27" t="s">
        <v>7</v>
      </c>
      <c r="AK800" s="27" t="s">
        <v>8</v>
      </c>
      <c r="AL800" s="27" t="s">
        <v>7</v>
      </c>
      <c r="AM800" s="27" t="s">
        <v>8</v>
      </c>
      <c r="AN800" s="27" t="s">
        <v>7</v>
      </c>
      <c r="AO800" s="27" t="s">
        <v>8</v>
      </c>
    </row>
    <row r="801" spans="1:40" x14ac:dyDescent="0.25">
      <c r="A801" s="7">
        <v>1.4439868656306743E-2</v>
      </c>
      <c r="B801"/>
      <c r="C801"/>
      <c r="D801"/>
      <c r="E801"/>
      <c r="AH801" s="27" t="s">
        <v>7</v>
      </c>
      <c r="AI801" s="27" t="s">
        <v>8</v>
      </c>
      <c r="AJ801" s="27" t="s">
        <v>7</v>
      </c>
      <c r="AK801" s="27" t="s">
        <v>8</v>
      </c>
      <c r="AL801" s="27" t="s">
        <v>7</v>
      </c>
      <c r="AM801" s="27" t="s">
        <v>8</v>
      </c>
      <c r="AN801" s="27" t="s">
        <v>7</v>
      </c>
    </row>
    <row r="802" spans="1:40" x14ac:dyDescent="0.25">
      <c r="A802" s="7">
        <v>1.4156733976771318E-2</v>
      </c>
      <c r="B802"/>
      <c r="C802"/>
      <c r="D802"/>
      <c r="E802"/>
      <c r="AH802" s="27" t="s">
        <v>7</v>
      </c>
      <c r="AI802" s="27" t="s">
        <v>8</v>
      </c>
      <c r="AJ802" s="27" t="s">
        <v>7</v>
      </c>
      <c r="AK802" s="27" t="s">
        <v>8</v>
      </c>
      <c r="AL802" s="27" t="s">
        <v>7</v>
      </c>
      <c r="AM802" s="27" t="s">
        <v>8</v>
      </c>
    </row>
    <row r="803" spans="1:40" x14ac:dyDescent="0.25">
      <c r="A803" s="7">
        <v>1.3879150957618939E-2</v>
      </c>
      <c r="B803"/>
      <c r="C803"/>
      <c r="D803"/>
      <c r="E803"/>
      <c r="AH803" s="27" t="s">
        <v>7</v>
      </c>
      <c r="AI803" s="27" t="s">
        <v>8</v>
      </c>
      <c r="AJ803" s="27" t="s">
        <v>7</v>
      </c>
      <c r="AK803" s="27" t="s">
        <v>8</v>
      </c>
      <c r="AL803" s="27" t="s">
        <v>7</v>
      </c>
      <c r="AM803" s="27" t="s">
        <v>8</v>
      </c>
    </row>
    <row r="804" spans="1:40" x14ac:dyDescent="0.25">
      <c r="A804" s="7">
        <v>1.3607010742763666E-2</v>
      </c>
      <c r="B804"/>
      <c r="C804"/>
      <c r="D804"/>
      <c r="E804"/>
      <c r="AH804" s="27" t="s">
        <v>7</v>
      </c>
      <c r="AI804" s="27" t="s">
        <v>8</v>
      </c>
      <c r="AJ804" s="27" t="s">
        <v>7</v>
      </c>
      <c r="AK804" s="27" t="s">
        <v>8</v>
      </c>
      <c r="AL804" s="27" t="s">
        <v>7</v>
      </c>
      <c r="AM804" s="27" t="s">
        <v>8</v>
      </c>
    </row>
    <row r="805" spans="1:40" x14ac:dyDescent="0.25">
      <c r="A805" s="7">
        <v>1.3340206610552614E-2</v>
      </c>
      <c r="B805"/>
      <c r="C805"/>
      <c r="D805"/>
      <c r="E805"/>
      <c r="AH805" s="27" t="s">
        <v>7</v>
      </c>
      <c r="AI805" s="27" t="s">
        <v>8</v>
      </c>
      <c r="AJ805" s="27" t="s">
        <v>7</v>
      </c>
      <c r="AK805" s="27" t="s">
        <v>8</v>
      </c>
      <c r="AL805" s="27" t="s">
        <v>7</v>
      </c>
      <c r="AM805" s="27" t="s">
        <v>8</v>
      </c>
    </row>
    <row r="806" spans="1:40" x14ac:dyDescent="0.25">
      <c r="A806" s="7">
        <v>1.3078633931914328E-2</v>
      </c>
      <c r="B806"/>
      <c r="C806"/>
      <c r="D806"/>
      <c r="E806"/>
      <c r="AH806" s="27" t="s">
        <v>7</v>
      </c>
      <c r="AI806" s="27" t="s">
        <v>8</v>
      </c>
      <c r="AJ806" s="27" t="s">
        <v>7</v>
      </c>
      <c r="AK806" s="27" t="s">
        <v>8</v>
      </c>
      <c r="AL806" s="27" t="s">
        <v>7</v>
      </c>
      <c r="AM806" s="27" t="s">
        <v>8</v>
      </c>
    </row>
    <row r="807" spans="1:40" x14ac:dyDescent="0.25">
      <c r="A807" s="7">
        <v>1.2822190129327771E-2</v>
      </c>
      <c r="B807"/>
      <c r="C807"/>
      <c r="D807"/>
      <c r="E807"/>
      <c r="AH807" s="27" t="s">
        <v>7</v>
      </c>
      <c r="AI807" s="27" t="s">
        <v>8</v>
      </c>
      <c r="AJ807" s="27" t="s">
        <v>7</v>
      </c>
      <c r="AL807" s="27" t="s">
        <v>7</v>
      </c>
      <c r="AM807" s="27" t="s">
        <v>8</v>
      </c>
    </row>
    <row r="808" spans="1:40" x14ac:dyDescent="0.25">
      <c r="A808" s="7">
        <v>1.2570774636595854E-2</v>
      </c>
      <c r="B808"/>
      <c r="C808"/>
      <c r="D808"/>
      <c r="E808"/>
      <c r="AH808" s="27" t="s">
        <v>7</v>
      </c>
      <c r="AI808" s="27" t="s">
        <v>8</v>
      </c>
      <c r="AL808" s="27" t="s">
        <v>7</v>
      </c>
      <c r="AM808" s="27" t="s">
        <v>8</v>
      </c>
    </row>
    <row r="809" spans="1:40" x14ac:dyDescent="0.25">
      <c r="A809" s="7">
        <v>1.23242888594077E-2</v>
      </c>
      <c r="B809"/>
      <c r="C809"/>
      <c r="D809"/>
      <c r="E809"/>
      <c r="AH809" s="27" t="s">
        <v>7</v>
      </c>
      <c r="AI809" s="27" t="s">
        <v>8</v>
      </c>
      <c r="AL809" s="27" t="s">
        <v>7</v>
      </c>
      <c r="AM809" s="27" t="s">
        <v>8</v>
      </c>
    </row>
    <row r="810" spans="1:40" x14ac:dyDescent="0.25">
      <c r="A810" s="7">
        <v>1.2082636136674216E-2</v>
      </c>
      <c r="B810"/>
      <c r="C810"/>
      <c r="D810"/>
      <c r="E810"/>
      <c r="AH810" s="27" t="s">
        <v>7</v>
      </c>
      <c r="AI810" s="27" t="s">
        <v>8</v>
      </c>
      <c r="AL810" s="27" t="s">
        <v>7</v>
      </c>
      <c r="AM810" s="27" t="s">
        <v>8</v>
      </c>
    </row>
    <row r="811" spans="1:40" x14ac:dyDescent="0.25">
      <c r="A811" s="7">
        <v>1.184572170262178E-2</v>
      </c>
      <c r="B811"/>
      <c r="C811"/>
      <c r="D811"/>
      <c r="E811"/>
      <c r="AH811" s="27" t="s">
        <v>7</v>
      </c>
      <c r="AL811" s="27" t="s">
        <v>7</v>
      </c>
      <c r="AM811" s="27" t="s">
        <v>8</v>
      </c>
    </row>
    <row r="812" spans="1:40" x14ac:dyDescent="0.25">
      <c r="A812" s="7">
        <v>1.1613452649629196E-2</v>
      </c>
      <c r="B812"/>
      <c r="C812"/>
      <c r="D812"/>
      <c r="E812"/>
      <c r="AL812" s="27" t="s">
        <v>7</v>
      </c>
      <c r="AM812" s="27" t="s">
        <v>8</v>
      </c>
    </row>
    <row r="813" spans="1:40" x14ac:dyDescent="0.25">
      <c r="A813" s="7">
        <v>1.138573789179333E-2</v>
      </c>
      <c r="B813"/>
      <c r="C813"/>
      <c r="D813"/>
      <c r="E813"/>
      <c r="AL813" s="27" t="s">
        <v>7</v>
      </c>
      <c r="AM813" s="27" t="s">
        <v>8</v>
      </c>
    </row>
    <row r="814" spans="1:40" x14ac:dyDescent="0.25">
      <c r="A814" s="7">
        <v>1.1162488129209149E-2</v>
      </c>
      <c r="B814"/>
      <c r="C814"/>
      <c r="D814"/>
      <c r="E814"/>
      <c r="AL814" s="27" t="s">
        <v>7</v>
      </c>
      <c r="AM814" s="27" t="s">
        <v>8</v>
      </c>
    </row>
    <row r="815" spans="1:40" x14ac:dyDescent="0.25">
      <c r="A815" s="7">
        <v>1.0943615812950145E-2</v>
      </c>
      <c r="B815"/>
      <c r="C815"/>
      <c r="D815"/>
      <c r="E815"/>
      <c r="AL815" s="27" t="s">
        <v>7</v>
      </c>
      <c r="AM815" s="27" t="s">
        <v>8</v>
      </c>
    </row>
    <row r="816" spans="1:40" x14ac:dyDescent="0.25">
      <c r="A816" s="7">
        <v>1.0729035110735436E-2</v>
      </c>
      <c r="B816"/>
      <c r="C816"/>
      <c r="D816"/>
      <c r="E816"/>
      <c r="AL816" s="27" t="s">
        <v>7</v>
      </c>
      <c r="AM816" s="27" t="s">
        <v>8</v>
      </c>
    </row>
    <row r="817" spans="1:38" x14ac:dyDescent="0.25">
      <c r="A817" s="7">
        <v>1.0518661873270036E-2</v>
      </c>
      <c r="B817"/>
      <c r="C817"/>
      <c r="D817"/>
      <c r="E817"/>
      <c r="AL817" s="27" t="s">
        <v>7</v>
      </c>
    </row>
    <row r="818" spans="1:38" x14ac:dyDescent="0.25">
      <c r="A818" s="7">
        <v>1.0312413601245135E-2</v>
      </c>
      <c r="B818"/>
      <c r="C818"/>
      <c r="D818"/>
      <c r="E818"/>
    </row>
    <row r="819" spans="1:38" x14ac:dyDescent="0.25">
      <c r="A819" s="7">
        <v>1.0110209412985426E-2</v>
      </c>
      <c r="B819"/>
      <c r="C819"/>
      <c r="D819"/>
      <c r="E819"/>
    </row>
    <row r="820" spans="1:38" x14ac:dyDescent="0.25">
      <c r="A820" s="7">
        <v>9.9119700127308103E-3</v>
      </c>
      <c r="B820"/>
      <c r="C820"/>
      <c r="D820"/>
      <c r="E820"/>
    </row>
    <row r="821" spans="1:38" x14ac:dyDescent="0.25">
      <c r="A821" s="7">
        <v>9.717617659540009E-3</v>
      </c>
      <c r="B821"/>
      <c r="C821"/>
      <c r="D821"/>
      <c r="E821"/>
    </row>
    <row r="822" spans="1:38" x14ac:dyDescent="0.25">
      <c r="A822" s="7">
        <v>9.5270761368039299E-3</v>
      </c>
      <c r="B822"/>
      <c r="C822"/>
      <c r="D822"/>
      <c r="E822"/>
    </row>
    <row r="823" spans="1:38" x14ac:dyDescent="0.25">
      <c r="A823" s="7">
        <v>9.3402707223567936E-3</v>
      </c>
      <c r="B823"/>
      <c r="C823"/>
      <c r="D823"/>
      <c r="E823"/>
    </row>
    <row r="824" spans="1:38" x14ac:dyDescent="0.25">
      <c r="A824" s="7">
        <v>9.1571281591733261E-3</v>
      </c>
      <c r="B824"/>
      <c r="C824"/>
      <c r="D824"/>
      <c r="E824"/>
    </row>
    <row r="825" spans="1:38" x14ac:dyDescent="0.25">
      <c r="A825" s="7">
        <v>8.9775766266405148E-3</v>
      </c>
      <c r="B825"/>
      <c r="C825"/>
      <c r="D825"/>
      <c r="E825"/>
    </row>
    <row r="826" spans="1:38" x14ac:dyDescent="0.25">
      <c r="A826" s="7">
        <v>8.8015457123926614E-3</v>
      </c>
      <c r="B826"/>
      <c r="C826"/>
      <c r="D826"/>
      <c r="E826"/>
    </row>
    <row r="827" spans="1:38" x14ac:dyDescent="0.25">
      <c r="A827" s="7">
        <v>8.6289663846986879E-3</v>
      </c>
      <c r="B827"/>
      <c r="C827"/>
      <c r="D827"/>
      <c r="E827"/>
    </row>
    <row r="828" spans="1:38" x14ac:dyDescent="0.25">
      <c r="A828" s="7">
        <v>8.4597709653908715E-3</v>
      </c>
      <c r="B828"/>
      <c r="C828"/>
      <c r="D828"/>
      <c r="E828"/>
    </row>
    <row r="829" spans="1:38" x14ac:dyDescent="0.25">
      <c r="A829" s="7">
        <v>8.2938931033243839E-3</v>
      </c>
      <c r="B829"/>
      <c r="C829"/>
      <c r="D829"/>
      <c r="E829"/>
    </row>
    <row r="830" spans="1:38" x14ac:dyDescent="0.25">
      <c r="A830" s="7">
        <v>8.1312677483572383E-3</v>
      </c>
      <c r="B830"/>
      <c r="C830"/>
      <c r="D830"/>
      <c r="E830"/>
    </row>
    <row r="831" spans="1:38" x14ac:dyDescent="0.25">
      <c r="A831" s="7">
        <v>7.9718311258404305E-3</v>
      </c>
      <c r="B831"/>
      <c r="C831"/>
      <c r="D831"/>
      <c r="E831"/>
    </row>
    <row r="832" spans="1:38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2" operator="equal">
      <formula>$U$1</formula>
    </cfRule>
    <cfRule type="cellIs" dxfId="89" priority="843" operator="equal">
      <formula>$S$1</formula>
    </cfRule>
  </conditionalFormatting>
  <conditionalFormatting sqref="D27">
    <cfRule type="cellIs" dxfId="88" priority="840" operator="equal">
      <formula>$S$1</formula>
    </cfRule>
    <cfRule type="cellIs" dxfId="87" priority="841" operator="equal">
      <formula>$U$1</formula>
    </cfRule>
  </conditionalFormatting>
  <conditionalFormatting sqref="C164">
    <cfRule type="cellIs" dxfId="86" priority="838" operator="equal">
      <formula>$U$1</formula>
    </cfRule>
    <cfRule type="cellIs" dxfId="85" priority="839" operator="equal">
      <formula>$S$1</formula>
    </cfRule>
  </conditionalFormatting>
  <conditionalFormatting sqref="D164">
    <cfRule type="cellIs" dxfId="84" priority="836" operator="equal">
      <formula>$S$1</formula>
    </cfRule>
    <cfRule type="cellIs" dxfId="83" priority="837" operator="equal">
      <formula>$U$1</formula>
    </cfRule>
  </conditionalFormatting>
  <conditionalFormatting sqref="C55">
    <cfRule type="cellIs" dxfId="82" priority="834" operator="equal">
      <formula>$U$1</formula>
    </cfRule>
    <cfRule type="cellIs" dxfId="81" priority="835" operator="equal">
      <formula>$S$1</formula>
    </cfRule>
  </conditionalFormatting>
  <conditionalFormatting sqref="D55">
    <cfRule type="cellIs" dxfId="80" priority="832" operator="equal">
      <formula>$S$1</formula>
    </cfRule>
    <cfRule type="cellIs" dxfId="79" priority="833" operator="equal">
      <formula>$U$1</formula>
    </cfRule>
  </conditionalFormatting>
  <conditionalFormatting sqref="C89">
    <cfRule type="cellIs" dxfId="78" priority="830" operator="equal">
      <formula>$U$1</formula>
    </cfRule>
    <cfRule type="cellIs" dxfId="77" priority="831" operator="equal">
      <formula>$S$1</formula>
    </cfRule>
  </conditionalFormatting>
  <conditionalFormatting sqref="D89">
    <cfRule type="cellIs" dxfId="76" priority="828" operator="equal">
      <formula>$S$1</formula>
    </cfRule>
    <cfRule type="cellIs" dxfId="75" priority="829" operator="equal">
      <formula>$U$1</formula>
    </cfRule>
  </conditionalFormatting>
  <conditionalFormatting sqref="C136">
    <cfRule type="cellIs" dxfId="74" priority="826" operator="equal">
      <formula>$U$1</formula>
    </cfRule>
    <cfRule type="cellIs" dxfId="73" priority="827" operator="equal">
      <formula>$S$1</formula>
    </cfRule>
  </conditionalFormatting>
  <conditionalFormatting sqref="D136">
    <cfRule type="cellIs" dxfId="72" priority="824" operator="equal">
      <formula>$S$1</formula>
    </cfRule>
    <cfRule type="cellIs" dxfId="71" priority="825" operator="equal">
      <formula>$U$1</formula>
    </cfRule>
  </conditionalFormatting>
  <conditionalFormatting sqref="C1">
    <cfRule type="cellIs" dxfId="70" priority="82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Q303" sqref="DQ3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$A$302</v>
      </c>
      <c r="D111" s="1" t="str">
        <f>ADDRESS(C121-1,D121,1,1)</f>
        <v>$DQ$302</v>
      </c>
      <c r="E111"/>
    </row>
    <row r="112" spans="1:5" x14ac:dyDescent="0.25">
      <c r="A112" s="30">
        <v>515.50191262726139</v>
      </c>
      <c r="C112" s="1" t="str">
        <f>ADDRESS(C121,1,1,1)</f>
        <v>$A$303</v>
      </c>
      <c r="D112" s="1" t="str">
        <f>ADDRESS(C121,D121-1,1,1)</f>
        <v>$DP$303</v>
      </c>
      <c r="E112"/>
    </row>
    <row r="113" spans="1:5" x14ac:dyDescent="0.25">
      <c r="A113" s="30">
        <v>490.95420250215363</v>
      </c>
      <c r="C113" s="1" t="str">
        <f>ADDRESS(C121+1,1,1,1)</f>
        <v>$A$304</v>
      </c>
      <c r="D113" s="1" t="str">
        <f>ADDRESS(C121-1,D121+1,1,1)</f>
        <v>$DR$302</v>
      </c>
    </row>
    <row r="114" spans="1:5" x14ac:dyDescent="0.25">
      <c r="A114" s="30">
        <v>467.57543095443202</v>
      </c>
      <c r="C114" s="1" t="str">
        <f>ADDRESS(C121,D121,1,1)</f>
        <v>$DQ$303</v>
      </c>
      <c r="D114" s="1" t="str">
        <f>ADDRESS(C121+1,D121+1,1,1)</f>
        <v>$DR$304</v>
      </c>
    </row>
    <row r="115" spans="1:5" x14ac:dyDescent="0.25">
      <c r="A115" s="30">
        <v>445.30993424231622</v>
      </c>
      <c r="C115" s="1" t="str">
        <f>ADDRESS(C121+1,D121,1,1)</f>
        <v>$DQ$304</v>
      </c>
    </row>
    <row r="116" spans="1:5" x14ac:dyDescent="0.25">
      <c r="A116" s="30">
        <v>424.10469927839637</v>
      </c>
      <c r="C116" s="1">
        <f>C117-1</f>
        <v>302</v>
      </c>
    </row>
    <row r="117" spans="1:5" x14ac:dyDescent="0.25">
      <c r="A117" s="30">
        <v>403.9092374079965</v>
      </c>
      <c r="C117" s="1">
        <f>C121</f>
        <v>303</v>
      </c>
      <c r="D117" s="1">
        <f>D121</f>
        <v>121</v>
      </c>
    </row>
    <row r="118" spans="1:5" x14ac:dyDescent="0.25">
      <c r="A118" s="30">
        <v>384.6754641980919</v>
      </c>
      <c r="C118" s="1">
        <f>C117+1</f>
        <v>304</v>
      </c>
      <c r="D118" s="1">
        <f>D117+1</f>
        <v>122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303</v>
      </c>
      <c r="D121" s="19">
        <v>121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R303</v>
      </c>
      <c r="D123" s="1" t="str">
        <f>"C"&amp;D121</f>
        <v>C121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4.6245998269295263E-2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114" x14ac:dyDescent="0.25">
      <c r="A273" s="30">
        <v>0.19987253960121379</v>
      </c>
      <c r="B273"/>
      <c r="C273"/>
      <c r="D273"/>
      <c r="E273"/>
      <c r="F273" s="27" t="s">
        <v>7</v>
      </c>
    </row>
    <row r="274" spans="1:114" x14ac:dyDescent="0.25">
      <c r="A274" s="30">
        <v>0.19035479962020352</v>
      </c>
      <c r="B274"/>
      <c r="C274"/>
      <c r="D274"/>
      <c r="E274"/>
      <c r="F274" s="27" t="s">
        <v>7</v>
      </c>
    </row>
    <row r="275" spans="1:114" x14ac:dyDescent="0.25">
      <c r="A275" s="30">
        <v>0.18129028535257471</v>
      </c>
      <c r="B275"/>
      <c r="C275"/>
      <c r="D275"/>
      <c r="E275"/>
      <c r="F275" s="27" t="s">
        <v>7</v>
      </c>
    </row>
    <row r="276" spans="1:114" x14ac:dyDescent="0.25">
      <c r="A276" s="30">
        <v>0.17265741462149967</v>
      </c>
      <c r="B276"/>
      <c r="C276"/>
      <c r="D276"/>
      <c r="E276"/>
      <c r="F276" s="27" t="s">
        <v>7</v>
      </c>
    </row>
    <row r="277" spans="1:114" x14ac:dyDescent="0.25">
      <c r="A277" s="30">
        <v>0.16443563297285677</v>
      </c>
      <c r="B277"/>
      <c r="C277"/>
      <c r="D277"/>
      <c r="E277"/>
      <c r="F277" s="27" t="s">
        <v>7</v>
      </c>
      <c r="AQ277" s="27" t="s">
        <v>8</v>
      </c>
    </row>
    <row r="278" spans="1:114" x14ac:dyDescent="0.25">
      <c r="A278" s="30">
        <v>0.15660536473605399</v>
      </c>
      <c r="B278"/>
      <c r="C278"/>
      <c r="D278"/>
      <c r="E278"/>
      <c r="F278" s="27" t="s">
        <v>7</v>
      </c>
      <c r="AQ278" s="27" t="s">
        <v>8</v>
      </c>
      <c r="AR278" s="27" t="s">
        <v>7</v>
      </c>
    </row>
    <row r="279" spans="1:114" x14ac:dyDescent="0.25">
      <c r="A279" s="30">
        <v>0.14914796641528946</v>
      </c>
      <c r="B279"/>
      <c r="C279"/>
      <c r="D279"/>
      <c r="E279"/>
      <c r="F279" s="27" t="s">
        <v>7</v>
      </c>
      <c r="AQ279" s="27" t="s">
        <v>8</v>
      </c>
      <c r="AR279" s="27" t="s">
        <v>7</v>
      </c>
    </row>
    <row r="280" spans="1:114" x14ac:dyDescent="0.25">
      <c r="A280" s="30">
        <v>0.14204568230027562</v>
      </c>
      <c r="B280"/>
      <c r="C280"/>
      <c r="D280"/>
      <c r="E280"/>
      <c r="F280" s="27" t="s">
        <v>7</v>
      </c>
      <c r="AO280" s="27" t="s">
        <v>8</v>
      </c>
      <c r="AQ280" s="27" t="s">
        <v>8</v>
      </c>
      <c r="AR280" s="27" t="s">
        <v>7</v>
      </c>
      <c r="CK280" s="27" t="s">
        <v>8</v>
      </c>
    </row>
    <row r="281" spans="1:114" x14ac:dyDescent="0.25">
      <c r="A281" s="30">
        <v>0.13528160219073862</v>
      </c>
      <c r="B281"/>
      <c r="C281"/>
      <c r="D281"/>
      <c r="E281"/>
      <c r="F281" s="27" t="s">
        <v>7</v>
      </c>
      <c r="AO281" s="27" t="s">
        <v>8</v>
      </c>
      <c r="AP281" s="27" t="s">
        <v>7</v>
      </c>
      <c r="AQ281" s="27" t="s">
        <v>8</v>
      </c>
      <c r="AR281" s="27" t="s">
        <v>7</v>
      </c>
      <c r="CA281" s="27" t="s">
        <v>8</v>
      </c>
      <c r="CK281" s="27" t="s">
        <v>8</v>
      </c>
      <c r="CL281" s="27" t="s">
        <v>7</v>
      </c>
      <c r="DI281" s="27" t="s">
        <v>8</v>
      </c>
    </row>
    <row r="282" spans="1:114" x14ac:dyDescent="0.25">
      <c r="A282" s="30">
        <v>0.12883962113403674</v>
      </c>
      <c r="B282"/>
      <c r="C282"/>
      <c r="D282"/>
      <c r="E282"/>
      <c r="F282" s="27" t="s">
        <v>7</v>
      </c>
      <c r="AO282" s="27" t="s">
        <v>8</v>
      </c>
      <c r="AP282" s="27" t="s">
        <v>7</v>
      </c>
      <c r="AQ282" s="27" t="s">
        <v>8</v>
      </c>
      <c r="AR282" s="27" t="s">
        <v>7</v>
      </c>
      <c r="AU282" s="27" t="s">
        <v>8</v>
      </c>
      <c r="AY282" s="27" t="s">
        <v>8</v>
      </c>
      <c r="CA282" s="27" t="s">
        <v>8</v>
      </c>
      <c r="CB282" s="27" t="s">
        <v>7</v>
      </c>
      <c r="CK282" s="27" t="s">
        <v>8</v>
      </c>
      <c r="CL282" s="27" t="s">
        <v>7</v>
      </c>
      <c r="DI282" s="27" t="s">
        <v>8</v>
      </c>
      <c r="DJ282" s="27" t="s">
        <v>7</v>
      </c>
    </row>
    <row r="283" spans="1:114" x14ac:dyDescent="0.25">
      <c r="A283" s="30">
        <v>0.12270440108003494</v>
      </c>
      <c r="B283"/>
      <c r="C283"/>
      <c r="D283"/>
      <c r="E283"/>
      <c r="F283" s="27" t="s">
        <v>7</v>
      </c>
      <c r="AO283" s="27" t="s">
        <v>8</v>
      </c>
      <c r="AP283" s="27" t="s">
        <v>7</v>
      </c>
      <c r="AQ283" s="27" t="s">
        <v>8</v>
      </c>
      <c r="AR283" s="27" t="s">
        <v>7</v>
      </c>
      <c r="AU283" s="27" t="s">
        <v>8</v>
      </c>
      <c r="AV283" s="27" t="s">
        <v>7</v>
      </c>
      <c r="AW283" s="27" t="s">
        <v>8</v>
      </c>
      <c r="AY283" s="27" t="s">
        <v>8</v>
      </c>
      <c r="AZ283" s="27" t="s">
        <v>7</v>
      </c>
      <c r="CA283" s="27" t="s">
        <v>8</v>
      </c>
      <c r="CB283" s="27" t="s">
        <v>7</v>
      </c>
      <c r="CK283" s="27" t="s">
        <v>8</v>
      </c>
      <c r="CL283" s="27" t="s">
        <v>7</v>
      </c>
      <c r="DI283" s="27" t="s">
        <v>8</v>
      </c>
      <c r="DJ283" s="27" t="s">
        <v>7</v>
      </c>
    </row>
    <row r="284" spans="1:114" x14ac:dyDescent="0.25">
      <c r="A284" s="30">
        <v>0.11686133436193799</v>
      </c>
      <c r="B284"/>
      <c r="C284"/>
      <c r="D284"/>
      <c r="E284"/>
      <c r="F284" s="27" t="s">
        <v>7</v>
      </c>
      <c r="AO284" s="27" t="s">
        <v>8</v>
      </c>
      <c r="AP284" s="27" t="s">
        <v>7</v>
      </c>
      <c r="AQ284" s="27" t="s">
        <v>8</v>
      </c>
      <c r="AR284" s="27" t="s">
        <v>7</v>
      </c>
      <c r="AU284" s="27" t="s">
        <v>8</v>
      </c>
      <c r="AV284" s="27" t="s">
        <v>7</v>
      </c>
      <c r="AW284" s="27" t="s">
        <v>8</v>
      </c>
      <c r="AX284" s="27" t="s">
        <v>7</v>
      </c>
      <c r="AY284" s="27" t="s">
        <v>8</v>
      </c>
      <c r="AZ284" s="27" t="s">
        <v>7</v>
      </c>
      <c r="CA284" s="27" t="s">
        <v>8</v>
      </c>
      <c r="CB284" s="27" t="s">
        <v>7</v>
      </c>
      <c r="CK284" s="27" t="s">
        <v>8</v>
      </c>
      <c r="CL284" s="27" t="s">
        <v>7</v>
      </c>
      <c r="CU284" s="27" t="s">
        <v>8</v>
      </c>
      <c r="DI284" s="27" t="s">
        <v>8</v>
      </c>
      <c r="DJ284" s="27" t="s">
        <v>7</v>
      </c>
    </row>
    <row r="285" spans="1:114" x14ac:dyDescent="0.25">
      <c r="A285" s="30">
        <v>0.11129650891613138</v>
      </c>
      <c r="B285"/>
      <c r="C285"/>
      <c r="D285"/>
      <c r="E285"/>
      <c r="F285" s="27" t="s">
        <v>7</v>
      </c>
      <c r="AO285" s="27" t="s">
        <v>8</v>
      </c>
      <c r="AP285" s="27" t="s">
        <v>7</v>
      </c>
      <c r="AR285" s="27" t="s">
        <v>7</v>
      </c>
      <c r="AU285" s="27" t="s">
        <v>8</v>
      </c>
      <c r="AV285" s="27" t="s">
        <v>7</v>
      </c>
      <c r="AW285" s="27" t="s">
        <v>8</v>
      </c>
      <c r="AX285" s="27" t="s">
        <v>7</v>
      </c>
      <c r="AY285" s="27" t="s">
        <v>8</v>
      </c>
      <c r="AZ285" s="27" t="s">
        <v>7</v>
      </c>
      <c r="CA285" s="27" t="s">
        <v>8</v>
      </c>
      <c r="CB285" s="27" t="s">
        <v>7</v>
      </c>
      <c r="CK285" s="27" t="s">
        <v>8</v>
      </c>
      <c r="CL285" s="27" t="s">
        <v>7</v>
      </c>
      <c r="CU285" s="27" t="s">
        <v>8</v>
      </c>
      <c r="CV285" s="27" t="s">
        <v>7</v>
      </c>
      <c r="DI285" s="27" t="s">
        <v>8</v>
      </c>
      <c r="DJ285" s="27" t="s">
        <v>7</v>
      </c>
    </row>
    <row r="286" spans="1:114" x14ac:dyDescent="0.25">
      <c r="A286" s="30">
        <v>0.10599667515822032</v>
      </c>
      <c r="B286"/>
      <c r="C286"/>
      <c r="D286"/>
      <c r="E286"/>
      <c r="F286" s="27" t="s">
        <v>7</v>
      </c>
      <c r="AO286" s="27" t="s">
        <v>8</v>
      </c>
      <c r="AR286" s="27" t="s">
        <v>7</v>
      </c>
      <c r="AS286" s="27" t="s">
        <v>8</v>
      </c>
      <c r="AU286" s="27" t="s">
        <v>8</v>
      </c>
      <c r="AV286" s="27" t="s">
        <v>7</v>
      </c>
      <c r="AW286" s="27" t="s">
        <v>8</v>
      </c>
      <c r="AX286" s="27" t="s">
        <v>7</v>
      </c>
      <c r="AY286" s="27" t="s">
        <v>8</v>
      </c>
      <c r="AZ286" s="27" t="s">
        <v>7</v>
      </c>
      <c r="BA286" s="27" t="s">
        <v>8</v>
      </c>
      <c r="CA286" s="27" t="s">
        <v>8</v>
      </c>
      <c r="CB286" s="27" t="s">
        <v>7</v>
      </c>
      <c r="CK286" s="27" t="s">
        <v>8</v>
      </c>
      <c r="CL286" s="27" t="s">
        <v>7</v>
      </c>
      <c r="CU286" s="27" t="s">
        <v>8</v>
      </c>
      <c r="CV286" s="27" t="s">
        <v>7</v>
      </c>
      <c r="DI286" s="27" t="s">
        <v>8</v>
      </c>
      <c r="DJ286" s="27" t="s">
        <v>7</v>
      </c>
    </row>
    <row r="287" spans="1:114" x14ac:dyDescent="0.25">
      <c r="A287" s="30">
        <v>0.10094921443640027</v>
      </c>
      <c r="B287"/>
      <c r="C287"/>
      <c r="D287"/>
      <c r="E287"/>
      <c r="F287" s="27" t="s">
        <v>7</v>
      </c>
      <c r="AK287" s="27" t="s">
        <v>8</v>
      </c>
      <c r="AO287" s="27" t="s">
        <v>8</v>
      </c>
      <c r="AR287" s="27" t="s">
        <v>7</v>
      </c>
      <c r="AS287" s="27" t="s">
        <v>8</v>
      </c>
      <c r="AT287" s="27" t="s">
        <v>7</v>
      </c>
      <c r="AU287" s="27" t="s">
        <v>8</v>
      </c>
      <c r="AV287" s="27" t="s">
        <v>7</v>
      </c>
      <c r="AW287" s="27" t="s">
        <v>8</v>
      </c>
      <c r="AX287" s="27" t="s">
        <v>7</v>
      </c>
      <c r="AY287" s="27" t="s">
        <v>8</v>
      </c>
      <c r="AZ287" s="27" t="s">
        <v>7</v>
      </c>
      <c r="BA287" s="27" t="s">
        <v>8</v>
      </c>
      <c r="BB287" s="27" t="s">
        <v>7</v>
      </c>
      <c r="BC287" s="27" t="s">
        <v>8</v>
      </c>
      <c r="CA287" s="27" t="s">
        <v>8</v>
      </c>
      <c r="CB287" s="27" t="s">
        <v>7</v>
      </c>
      <c r="CE287" s="27" t="s">
        <v>8</v>
      </c>
      <c r="CK287" s="27" t="s">
        <v>8</v>
      </c>
      <c r="CL287" s="27" t="s">
        <v>7</v>
      </c>
      <c r="CU287" s="27" t="s">
        <v>8</v>
      </c>
      <c r="CV287" s="27" t="s">
        <v>7</v>
      </c>
      <c r="CW287" s="27" t="s">
        <v>8</v>
      </c>
      <c r="DI287" s="27" t="s">
        <v>8</v>
      </c>
      <c r="DJ287" s="27" t="s">
        <v>7</v>
      </c>
    </row>
    <row r="288" spans="1:114" x14ac:dyDescent="0.25">
      <c r="A288" s="30">
        <v>9.6142108987047836E-2</v>
      </c>
      <c r="B288"/>
      <c r="C288"/>
      <c r="D288"/>
      <c r="E288"/>
      <c r="F288" s="27" t="s">
        <v>7</v>
      </c>
      <c r="AK288" s="27" t="s">
        <v>8</v>
      </c>
      <c r="AL288" s="27" t="s">
        <v>7</v>
      </c>
      <c r="AO288" s="27" t="s">
        <v>8</v>
      </c>
      <c r="AR288" s="27" t="s">
        <v>7</v>
      </c>
      <c r="AS288" s="27" t="s">
        <v>8</v>
      </c>
      <c r="AT288" s="27" t="s">
        <v>7</v>
      </c>
      <c r="AU288" s="27" t="s">
        <v>8</v>
      </c>
      <c r="AV288" s="27" t="s">
        <v>7</v>
      </c>
      <c r="AW288" s="27" t="s">
        <v>8</v>
      </c>
      <c r="AX288" s="27" t="s">
        <v>7</v>
      </c>
      <c r="AY288" s="27" t="s">
        <v>8</v>
      </c>
      <c r="AZ288" s="27" t="s">
        <v>7</v>
      </c>
      <c r="BA288" s="27" t="s">
        <v>8</v>
      </c>
      <c r="BB288" s="27" t="s">
        <v>7</v>
      </c>
      <c r="BC288" s="27" t="s">
        <v>8</v>
      </c>
      <c r="BD288" s="27" t="s">
        <v>7</v>
      </c>
      <c r="CA288" s="27" t="s">
        <v>8</v>
      </c>
      <c r="CB288" s="27" t="s">
        <v>7</v>
      </c>
      <c r="CC288" s="27" t="s">
        <v>8</v>
      </c>
      <c r="CE288" s="27" t="s">
        <v>8</v>
      </c>
      <c r="CF288" s="27" t="s">
        <v>7</v>
      </c>
      <c r="CK288" s="27" t="s">
        <v>8</v>
      </c>
      <c r="CL288" s="27" t="s">
        <v>7</v>
      </c>
      <c r="CM288" s="27" t="s">
        <v>8</v>
      </c>
      <c r="CQ288" s="27" t="s">
        <v>8</v>
      </c>
      <c r="CU288" s="27" t="s">
        <v>8</v>
      </c>
      <c r="CV288" s="27" t="s">
        <v>7</v>
      </c>
      <c r="CW288" s="27" t="s">
        <v>8</v>
      </c>
      <c r="CX288" s="27" t="s">
        <v>7</v>
      </c>
      <c r="CY288" s="27" t="s">
        <v>8</v>
      </c>
      <c r="DI288" s="27" t="s">
        <v>8</v>
      </c>
      <c r="DJ288" s="27" t="s">
        <v>7</v>
      </c>
    </row>
    <row r="289" spans="1:121" x14ac:dyDescent="0.25">
      <c r="A289" s="30">
        <v>9.1563913320997906E-2</v>
      </c>
      <c r="B289"/>
      <c r="C289"/>
      <c r="D289"/>
      <c r="E289"/>
      <c r="F289" s="27" t="s">
        <v>7</v>
      </c>
      <c r="AK289" s="27" t="s">
        <v>8</v>
      </c>
      <c r="AL289" s="27" t="s">
        <v>7</v>
      </c>
      <c r="AM289" s="27" t="s">
        <v>8</v>
      </c>
      <c r="AO289" s="27" t="s">
        <v>8</v>
      </c>
      <c r="AR289" s="27" t="s">
        <v>7</v>
      </c>
      <c r="AS289" s="27" t="s">
        <v>8</v>
      </c>
      <c r="AT289" s="27" t="s">
        <v>7</v>
      </c>
      <c r="AV289" s="27" t="s">
        <v>7</v>
      </c>
      <c r="AW289" s="27" t="s">
        <v>8</v>
      </c>
      <c r="AX289" s="27" t="s">
        <v>7</v>
      </c>
      <c r="AZ289" s="27" t="s">
        <v>7</v>
      </c>
      <c r="BB289" s="27" t="s">
        <v>7</v>
      </c>
      <c r="BC289" s="27" t="s">
        <v>8</v>
      </c>
      <c r="BD289" s="27" t="s">
        <v>7</v>
      </c>
      <c r="CA289" s="27" t="s">
        <v>8</v>
      </c>
      <c r="CB289" s="27" t="s">
        <v>7</v>
      </c>
      <c r="CC289" s="27" t="s">
        <v>8</v>
      </c>
      <c r="CD289" s="27" t="s">
        <v>7</v>
      </c>
      <c r="CE289" s="27" t="s">
        <v>8</v>
      </c>
      <c r="CF289" s="27" t="s">
        <v>7</v>
      </c>
      <c r="CG289" s="27" t="s">
        <v>8</v>
      </c>
      <c r="CK289" s="27" t="s">
        <v>8</v>
      </c>
      <c r="CL289" s="27" t="s">
        <v>7</v>
      </c>
      <c r="CM289" s="27" t="s">
        <v>8</v>
      </c>
      <c r="CN289" s="27" t="s">
        <v>7</v>
      </c>
      <c r="CQ289" s="27" t="s">
        <v>8</v>
      </c>
      <c r="CR289" s="27" t="s">
        <v>7</v>
      </c>
      <c r="CS289" s="27" t="s">
        <v>8</v>
      </c>
      <c r="CU289" s="27" t="s">
        <v>8</v>
      </c>
      <c r="CV289" s="27" t="s">
        <v>7</v>
      </c>
      <c r="CW289" s="27" t="s">
        <v>8</v>
      </c>
      <c r="CX289" s="27" t="s">
        <v>7</v>
      </c>
      <c r="CY289" s="27" t="s">
        <v>8</v>
      </c>
      <c r="CZ289" s="27" t="s">
        <v>7</v>
      </c>
      <c r="DA289" s="27" t="s">
        <v>8</v>
      </c>
      <c r="DC289" s="27" t="s">
        <v>8</v>
      </c>
      <c r="DI289" s="27" t="s">
        <v>8</v>
      </c>
      <c r="DJ289" s="27" t="s">
        <v>7</v>
      </c>
    </row>
    <row r="290" spans="1:121" x14ac:dyDescent="0.25">
      <c r="A290" s="30">
        <v>8.7203726972378923E-2</v>
      </c>
      <c r="B290"/>
      <c r="C290"/>
      <c r="D290"/>
      <c r="E290"/>
      <c r="F290" s="27" t="s">
        <v>7</v>
      </c>
      <c r="AA290" s="27" t="s">
        <v>8</v>
      </c>
      <c r="AK290" s="27" t="s">
        <v>8</v>
      </c>
      <c r="AL290" s="27" t="s">
        <v>7</v>
      </c>
      <c r="AM290" s="27" t="s">
        <v>8</v>
      </c>
      <c r="AN290" s="27" t="s">
        <v>7</v>
      </c>
      <c r="AO290" s="27" t="s">
        <v>8</v>
      </c>
      <c r="AR290" s="27" t="s">
        <v>7</v>
      </c>
      <c r="AV290" s="27" t="s">
        <v>7</v>
      </c>
      <c r="AW290" s="27" t="s">
        <v>8</v>
      </c>
      <c r="BB290" s="27" t="s">
        <v>7</v>
      </c>
      <c r="BD290" s="27" t="s">
        <v>7</v>
      </c>
      <c r="CA290" s="27" t="s">
        <v>8</v>
      </c>
      <c r="CB290" s="27" t="s">
        <v>7</v>
      </c>
      <c r="CC290" s="27" t="s">
        <v>8</v>
      </c>
      <c r="CD290" s="27" t="s">
        <v>7</v>
      </c>
      <c r="CE290" s="27" t="s">
        <v>8</v>
      </c>
      <c r="CF290" s="27" t="s">
        <v>7</v>
      </c>
      <c r="CG290" s="27" t="s">
        <v>8</v>
      </c>
      <c r="CH290" s="27" t="s">
        <v>7</v>
      </c>
      <c r="CK290" s="27" t="s">
        <v>8</v>
      </c>
      <c r="CL290" s="27" t="s">
        <v>7</v>
      </c>
      <c r="CM290" s="27" t="s">
        <v>8</v>
      </c>
      <c r="CN290" s="27" t="s">
        <v>7</v>
      </c>
      <c r="CO290" s="27" t="s">
        <v>8</v>
      </c>
      <c r="CQ290" s="27" t="s">
        <v>8</v>
      </c>
      <c r="CR290" s="27" t="s">
        <v>7</v>
      </c>
      <c r="CS290" s="27" t="s">
        <v>8</v>
      </c>
      <c r="CT290" s="27" t="s">
        <v>7</v>
      </c>
      <c r="CU290" s="27" t="s">
        <v>8</v>
      </c>
      <c r="CV290" s="27" t="s">
        <v>7</v>
      </c>
      <c r="CX290" s="27" t="s">
        <v>7</v>
      </c>
      <c r="CY290" s="27" t="s">
        <v>8</v>
      </c>
      <c r="CZ290" s="27" t="s">
        <v>7</v>
      </c>
      <c r="DA290" s="27" t="s">
        <v>8</v>
      </c>
      <c r="DB290" s="27" t="s">
        <v>7</v>
      </c>
      <c r="DC290" s="27" t="s">
        <v>8</v>
      </c>
      <c r="DD290" s="27" t="s">
        <v>7</v>
      </c>
      <c r="DI290" s="27" t="s">
        <v>8</v>
      </c>
      <c r="DJ290" s="27" t="s">
        <v>7</v>
      </c>
    </row>
    <row r="291" spans="1:121" x14ac:dyDescent="0.25">
      <c r="A291" s="30">
        <v>8.3051168545122747E-2</v>
      </c>
      <c r="B291"/>
      <c r="C291"/>
      <c r="D291"/>
      <c r="E291"/>
      <c r="F291" s="27" t="s">
        <v>7</v>
      </c>
      <c r="AA291" s="27" t="s">
        <v>8</v>
      </c>
      <c r="AB291" s="27" t="s">
        <v>7</v>
      </c>
      <c r="AK291" s="27" t="s">
        <v>8</v>
      </c>
      <c r="AL291" s="27" t="s">
        <v>7</v>
      </c>
      <c r="AM291" s="27" t="s">
        <v>8</v>
      </c>
      <c r="AN291" s="27" t="s">
        <v>7</v>
      </c>
      <c r="AO291" s="27" t="s">
        <v>8</v>
      </c>
      <c r="AV291" s="27" t="s">
        <v>7</v>
      </c>
      <c r="AW291" s="27" t="s">
        <v>8</v>
      </c>
      <c r="BD291" s="27" t="s">
        <v>7</v>
      </c>
      <c r="CA291" s="27" t="s">
        <v>8</v>
      </c>
      <c r="CB291" s="27" t="s">
        <v>7</v>
      </c>
      <c r="CC291" s="27" t="s">
        <v>8</v>
      </c>
      <c r="CD291" s="27" t="s">
        <v>7</v>
      </c>
      <c r="CE291" s="27" t="s">
        <v>8</v>
      </c>
      <c r="CF291" s="27" t="s">
        <v>7</v>
      </c>
      <c r="CG291" s="27" t="s">
        <v>8</v>
      </c>
      <c r="CH291" s="27" t="s">
        <v>7</v>
      </c>
      <c r="CK291" s="27" t="s">
        <v>8</v>
      </c>
      <c r="CL291" s="27" t="s">
        <v>7</v>
      </c>
      <c r="CM291" s="27" t="s">
        <v>8</v>
      </c>
      <c r="CN291" s="27" t="s">
        <v>7</v>
      </c>
      <c r="CO291" s="27" t="s">
        <v>8</v>
      </c>
      <c r="CP291" s="27" t="s">
        <v>7</v>
      </c>
      <c r="CQ291" s="27" t="s">
        <v>8</v>
      </c>
      <c r="CR291" s="27" t="s">
        <v>7</v>
      </c>
      <c r="CS291" s="27" t="s">
        <v>8</v>
      </c>
      <c r="CT291" s="27" t="s">
        <v>7</v>
      </c>
      <c r="CU291" s="27" t="s">
        <v>8</v>
      </c>
      <c r="CX291" s="27" t="s">
        <v>7</v>
      </c>
      <c r="CY291" s="27" t="s">
        <v>8</v>
      </c>
      <c r="CZ291" s="27" t="s">
        <v>7</v>
      </c>
      <c r="DA291" s="27" t="s">
        <v>8</v>
      </c>
      <c r="DB291" s="27" t="s">
        <v>7</v>
      </c>
      <c r="DC291" s="27" t="s">
        <v>8</v>
      </c>
      <c r="DD291" s="27" t="s">
        <v>7</v>
      </c>
      <c r="DE291" s="27" t="s">
        <v>8</v>
      </c>
      <c r="DI291" s="27" t="s">
        <v>8</v>
      </c>
      <c r="DJ291" s="27" t="s">
        <v>7</v>
      </c>
    </row>
    <row r="292" spans="1:121" x14ac:dyDescent="0.25">
      <c r="A292" s="30">
        <v>7.9096350995354961E-2</v>
      </c>
      <c r="B292"/>
      <c r="C292"/>
      <c r="D292"/>
      <c r="E292"/>
      <c r="F292" s="27" t="s">
        <v>7</v>
      </c>
      <c r="AA292" s="27" t="s">
        <v>8</v>
      </c>
      <c r="AB292" s="27" t="s">
        <v>7</v>
      </c>
      <c r="AK292" s="27" t="s">
        <v>8</v>
      </c>
      <c r="AL292" s="27" t="s">
        <v>7</v>
      </c>
      <c r="AN292" s="27" t="s">
        <v>7</v>
      </c>
      <c r="AO292" s="27" t="s">
        <v>8</v>
      </c>
      <c r="AV292" s="27" t="s">
        <v>7</v>
      </c>
      <c r="AW292" s="27" t="s">
        <v>8</v>
      </c>
      <c r="BD292" s="27" t="s">
        <v>7</v>
      </c>
      <c r="CA292" s="27" t="s">
        <v>8</v>
      </c>
      <c r="CB292" s="27" t="s">
        <v>7</v>
      </c>
      <c r="CC292" s="27" t="s">
        <v>8</v>
      </c>
      <c r="CD292" s="27" t="s">
        <v>7</v>
      </c>
      <c r="CE292" s="27" t="s">
        <v>8</v>
      </c>
      <c r="CF292" s="27" t="s">
        <v>7</v>
      </c>
      <c r="CG292" s="27" t="s">
        <v>8</v>
      </c>
      <c r="CH292" s="27" t="s">
        <v>7</v>
      </c>
      <c r="CK292" s="27" t="s">
        <v>8</v>
      </c>
      <c r="CL292" s="27" t="s">
        <v>7</v>
      </c>
      <c r="CM292" s="27" t="s">
        <v>8</v>
      </c>
      <c r="CN292" s="27" t="s">
        <v>7</v>
      </c>
      <c r="CO292" s="27" t="s">
        <v>8</v>
      </c>
      <c r="CP292" s="27" t="s">
        <v>7</v>
      </c>
      <c r="CQ292" s="27" t="s">
        <v>8</v>
      </c>
      <c r="CR292" s="27" t="s">
        <v>7</v>
      </c>
      <c r="CT292" s="27" t="s">
        <v>7</v>
      </c>
      <c r="CX292" s="27" t="s">
        <v>7</v>
      </c>
      <c r="CZ292" s="27" t="s">
        <v>7</v>
      </c>
      <c r="DA292" s="27" t="s">
        <v>8</v>
      </c>
      <c r="DB292" s="27" t="s">
        <v>7</v>
      </c>
      <c r="DC292" s="27" t="s">
        <v>8</v>
      </c>
      <c r="DD292" s="27" t="s">
        <v>7</v>
      </c>
      <c r="DE292" s="27" t="s">
        <v>8</v>
      </c>
      <c r="DF292" s="27" t="s">
        <v>7</v>
      </c>
      <c r="DI292" s="27" t="s">
        <v>8</v>
      </c>
      <c r="DJ292" s="27" t="s">
        <v>7</v>
      </c>
    </row>
    <row r="293" spans="1:121" x14ac:dyDescent="0.25">
      <c r="A293" s="30">
        <v>7.5329858090814217E-2</v>
      </c>
      <c r="B293"/>
      <c r="C293"/>
      <c r="D293"/>
      <c r="E293"/>
      <c r="F293" s="27" t="s">
        <v>7</v>
      </c>
      <c r="AA293" s="27" t="s">
        <v>8</v>
      </c>
      <c r="AB293" s="27" t="s">
        <v>7</v>
      </c>
      <c r="AG293" s="27" t="s">
        <v>8</v>
      </c>
      <c r="AK293" s="27" t="s">
        <v>8</v>
      </c>
      <c r="AN293" s="27" t="s">
        <v>7</v>
      </c>
      <c r="AO293" s="27" t="s">
        <v>8</v>
      </c>
      <c r="AV293" s="27" t="s">
        <v>7</v>
      </c>
      <c r="AW293" s="27" t="s">
        <v>8</v>
      </c>
      <c r="BD293" s="27" t="s">
        <v>7</v>
      </c>
      <c r="CA293" s="27" t="s">
        <v>8</v>
      </c>
      <c r="CB293" s="27" t="s">
        <v>7</v>
      </c>
      <c r="CC293" s="27" t="s">
        <v>8</v>
      </c>
      <c r="CD293" s="27" t="s">
        <v>7</v>
      </c>
      <c r="CF293" s="27" t="s">
        <v>7</v>
      </c>
      <c r="CH293" s="27" t="s">
        <v>7</v>
      </c>
      <c r="CK293" s="27" t="s">
        <v>8</v>
      </c>
      <c r="CL293" s="27" t="s">
        <v>7</v>
      </c>
      <c r="CM293" s="27" t="s">
        <v>8</v>
      </c>
      <c r="CN293" s="27" t="s">
        <v>7</v>
      </c>
      <c r="CO293" s="27" t="s">
        <v>8</v>
      </c>
      <c r="CP293" s="27" t="s">
        <v>7</v>
      </c>
      <c r="CZ293" s="27" t="s">
        <v>7</v>
      </c>
      <c r="DB293" s="27" t="s">
        <v>7</v>
      </c>
      <c r="DC293" s="27" t="s">
        <v>8</v>
      </c>
      <c r="DD293" s="27" t="s">
        <v>7</v>
      </c>
      <c r="DE293" s="27" t="s">
        <v>8</v>
      </c>
      <c r="DF293" s="27" t="s">
        <v>7</v>
      </c>
      <c r="DI293" s="27" t="s">
        <v>8</v>
      </c>
      <c r="DJ293" s="27" t="s">
        <v>7</v>
      </c>
      <c r="DK293" s="27" t="s">
        <v>8</v>
      </c>
    </row>
    <row r="294" spans="1:121" x14ac:dyDescent="0.25">
      <c r="A294" s="30">
        <v>7.1742721991251604E-2</v>
      </c>
      <c r="B294"/>
      <c r="C294"/>
      <c r="D294"/>
      <c r="E294"/>
      <c r="F294" s="27" t="s">
        <v>7</v>
      </c>
      <c r="AA294" s="27" t="s">
        <v>8</v>
      </c>
      <c r="AB294" s="27" t="s">
        <v>7</v>
      </c>
      <c r="AG294" s="27" t="s">
        <v>8</v>
      </c>
      <c r="AH294" s="27" t="s">
        <v>7</v>
      </c>
      <c r="AK294" s="27" t="s">
        <v>8</v>
      </c>
      <c r="AN294" s="27" t="s">
        <v>7</v>
      </c>
      <c r="AV294" s="27" t="s">
        <v>7</v>
      </c>
      <c r="AW294" s="27" t="s">
        <v>8</v>
      </c>
      <c r="BD294" s="27" t="s">
        <v>7</v>
      </c>
      <c r="CA294" s="27" t="s">
        <v>8</v>
      </c>
      <c r="CB294" s="27" t="s">
        <v>7</v>
      </c>
      <c r="CC294" s="27" t="s">
        <v>8</v>
      </c>
      <c r="CH294" s="27" t="s">
        <v>7</v>
      </c>
      <c r="CI294" s="27" t="s">
        <v>8</v>
      </c>
      <c r="CK294" s="27" t="s">
        <v>8</v>
      </c>
      <c r="CL294" s="27" t="s">
        <v>7</v>
      </c>
      <c r="CN294" s="27" t="s">
        <v>7</v>
      </c>
      <c r="DB294" s="27" t="s">
        <v>7</v>
      </c>
      <c r="DD294" s="27" t="s">
        <v>7</v>
      </c>
      <c r="DE294" s="27" t="s">
        <v>8</v>
      </c>
      <c r="DF294" s="27" t="s">
        <v>7</v>
      </c>
      <c r="DI294" s="27" t="s">
        <v>8</v>
      </c>
      <c r="DJ294" s="27" t="s">
        <v>7</v>
      </c>
      <c r="DK294" s="27" t="s">
        <v>8</v>
      </c>
      <c r="DL294" s="27" t="s">
        <v>7</v>
      </c>
    </row>
    <row r="295" spans="1:121" x14ac:dyDescent="0.25">
      <c r="A295" s="30">
        <v>6.8326401896430078E-2</v>
      </c>
      <c r="B295"/>
      <c r="C295"/>
      <c r="D295"/>
      <c r="E295"/>
      <c r="F295" s="27" t="s">
        <v>7</v>
      </c>
      <c r="AA295" s="27" t="s">
        <v>8</v>
      </c>
      <c r="AB295" s="27" t="s">
        <v>7</v>
      </c>
      <c r="AG295" s="27" t="s">
        <v>8</v>
      </c>
      <c r="AH295" s="27" t="s">
        <v>7</v>
      </c>
      <c r="AI295" s="27" t="s">
        <v>8</v>
      </c>
      <c r="AK295" s="27" t="s">
        <v>8</v>
      </c>
      <c r="AV295" s="27" t="s">
        <v>7</v>
      </c>
      <c r="AW295" s="27" t="s">
        <v>8</v>
      </c>
      <c r="BD295" s="27" t="s">
        <v>7</v>
      </c>
      <c r="BY295" s="27" t="s">
        <v>8</v>
      </c>
      <c r="CA295" s="27" t="s">
        <v>8</v>
      </c>
      <c r="CB295" s="27" t="s">
        <v>7</v>
      </c>
      <c r="CC295" s="27" t="s">
        <v>8</v>
      </c>
      <c r="CH295" s="27" t="s">
        <v>7</v>
      </c>
      <c r="CI295" s="27" t="s">
        <v>8</v>
      </c>
      <c r="CJ295" s="27" t="s">
        <v>7</v>
      </c>
      <c r="CK295" s="27" t="s">
        <v>8</v>
      </c>
      <c r="DD295" s="27" t="s">
        <v>7</v>
      </c>
      <c r="DE295" s="27" t="s">
        <v>8</v>
      </c>
      <c r="DF295" s="27" t="s">
        <v>7</v>
      </c>
      <c r="DG295" s="27" t="s">
        <v>8</v>
      </c>
      <c r="DI295" s="27" t="s">
        <v>8</v>
      </c>
      <c r="DJ295" s="27" t="s">
        <v>7</v>
      </c>
      <c r="DK295" s="27" t="s">
        <v>8</v>
      </c>
      <c r="DL295" s="27" t="s">
        <v>7</v>
      </c>
    </row>
    <row r="296" spans="1:121" x14ac:dyDescent="0.25">
      <c r="A296" s="30">
        <v>6.5072763710885759E-2</v>
      </c>
      <c r="B296"/>
      <c r="C296"/>
      <c r="D296"/>
      <c r="E296"/>
      <c r="F296" s="27" t="s">
        <v>7</v>
      </c>
      <c r="AA296" s="27" t="s">
        <v>8</v>
      </c>
      <c r="AB296" s="27" t="s">
        <v>7</v>
      </c>
      <c r="AE296" s="27" t="s">
        <v>8</v>
      </c>
      <c r="AG296" s="27" t="s">
        <v>8</v>
      </c>
      <c r="AH296" s="27" t="s">
        <v>7</v>
      </c>
      <c r="AI296" s="27" t="s">
        <v>8</v>
      </c>
      <c r="AJ296" s="27" t="s">
        <v>7</v>
      </c>
      <c r="AK296" s="27" t="s">
        <v>8</v>
      </c>
      <c r="AV296" s="27" t="s">
        <v>7</v>
      </c>
      <c r="AW296" s="27" t="s">
        <v>8</v>
      </c>
      <c r="BD296" s="27" t="s">
        <v>7</v>
      </c>
      <c r="BY296" s="27" t="s">
        <v>8</v>
      </c>
      <c r="BZ296" s="27" t="s">
        <v>7</v>
      </c>
      <c r="CA296" s="27" t="s">
        <v>8</v>
      </c>
      <c r="CB296" s="27" t="s">
        <v>7</v>
      </c>
      <c r="CC296" s="27" t="s">
        <v>8</v>
      </c>
      <c r="CH296" s="27" t="s">
        <v>7</v>
      </c>
      <c r="CI296" s="27" t="s">
        <v>8</v>
      </c>
      <c r="CJ296" s="27" t="s">
        <v>7</v>
      </c>
      <c r="CK296" s="27" t="s">
        <v>8</v>
      </c>
      <c r="DD296" s="27" t="s">
        <v>7</v>
      </c>
      <c r="DF296" s="27" t="s">
        <v>7</v>
      </c>
      <c r="DG296" s="27" t="s">
        <v>8</v>
      </c>
      <c r="DH296" s="27" t="s">
        <v>7</v>
      </c>
      <c r="DI296" s="27" t="s">
        <v>8</v>
      </c>
      <c r="DJ296" s="27" t="s">
        <v>7</v>
      </c>
      <c r="DK296" s="27" t="s">
        <v>8</v>
      </c>
      <c r="DL296" s="27" t="s">
        <v>7</v>
      </c>
      <c r="DM296" s="27" t="s">
        <v>8</v>
      </c>
    </row>
    <row r="297" spans="1:121" x14ac:dyDescent="0.25">
      <c r="A297" s="30">
        <v>6.197406067703403E-2</v>
      </c>
      <c r="B297"/>
      <c r="C297"/>
      <c r="D297"/>
      <c r="E297"/>
      <c r="F297" s="27" t="s">
        <v>7</v>
      </c>
      <c r="AA297" s="27" t="s">
        <v>8</v>
      </c>
      <c r="AB297" s="27" t="s">
        <v>7</v>
      </c>
      <c r="AC297" s="27" t="s">
        <v>8</v>
      </c>
      <c r="AE297" s="27" t="s">
        <v>8</v>
      </c>
      <c r="AF297" s="27" t="s">
        <v>7</v>
      </c>
      <c r="AG297" s="27" t="s">
        <v>8</v>
      </c>
      <c r="AH297" s="27" t="s">
        <v>7</v>
      </c>
      <c r="AI297" s="27" t="s">
        <v>8</v>
      </c>
      <c r="AJ297" s="27" t="s">
        <v>7</v>
      </c>
      <c r="AK297" s="27" t="s">
        <v>8</v>
      </c>
      <c r="AV297" s="27" t="s">
        <v>7</v>
      </c>
      <c r="BD297" s="27" t="s">
        <v>7</v>
      </c>
      <c r="BY297" s="27" t="s">
        <v>8</v>
      </c>
      <c r="BZ297" s="27" t="s">
        <v>7</v>
      </c>
      <c r="CA297" s="27" t="s">
        <v>8</v>
      </c>
      <c r="CB297" s="27" t="s">
        <v>7</v>
      </c>
      <c r="CH297" s="27" t="s">
        <v>7</v>
      </c>
      <c r="CI297" s="27" t="s">
        <v>8</v>
      </c>
      <c r="CJ297" s="27" t="s">
        <v>7</v>
      </c>
      <c r="CK297" s="27" t="s">
        <v>8</v>
      </c>
      <c r="DF297" s="27" t="s">
        <v>7</v>
      </c>
      <c r="DG297" s="27" t="s">
        <v>8</v>
      </c>
      <c r="DH297" s="27" t="s">
        <v>7</v>
      </c>
      <c r="DI297" s="27" t="s">
        <v>8</v>
      </c>
      <c r="DJ297" s="27" t="s">
        <v>7</v>
      </c>
      <c r="DK297" s="27" t="s">
        <v>8</v>
      </c>
      <c r="DL297" s="27" t="s">
        <v>7</v>
      </c>
      <c r="DM297" s="27" t="s">
        <v>8</v>
      </c>
      <c r="DN297" s="27" t="s">
        <v>7</v>
      </c>
    </row>
    <row r="298" spans="1:121" x14ac:dyDescent="0.25">
      <c r="A298" s="30">
        <v>5.9022914930508576E-2</v>
      </c>
      <c r="B298"/>
      <c r="C298"/>
      <c r="D298"/>
      <c r="E298"/>
      <c r="F298" s="27" t="s">
        <v>7</v>
      </c>
      <c r="Y298" s="27" t="s">
        <v>8</v>
      </c>
      <c r="AA298" s="27" t="s">
        <v>8</v>
      </c>
      <c r="AB298" s="27" t="s">
        <v>7</v>
      </c>
      <c r="AC298" s="27" t="s">
        <v>8</v>
      </c>
      <c r="AD298" s="27" t="s">
        <v>7</v>
      </c>
      <c r="AE298" s="27" t="s">
        <v>8</v>
      </c>
      <c r="AF298" s="27" t="s">
        <v>7</v>
      </c>
      <c r="AG298" s="27" t="s">
        <v>8</v>
      </c>
      <c r="AH298" s="27" t="s">
        <v>7</v>
      </c>
      <c r="AJ298" s="27" t="s">
        <v>7</v>
      </c>
      <c r="AK298" s="27" t="s">
        <v>8</v>
      </c>
      <c r="BD298" s="27" t="s">
        <v>7</v>
      </c>
      <c r="BK298" s="27" t="s">
        <v>8</v>
      </c>
      <c r="BY298" s="27" t="s">
        <v>8</v>
      </c>
      <c r="BZ298" s="27" t="s">
        <v>7</v>
      </c>
      <c r="CA298" s="27" t="s">
        <v>8</v>
      </c>
      <c r="CH298" s="27" t="s">
        <v>7</v>
      </c>
      <c r="CI298" s="27" t="s">
        <v>8</v>
      </c>
      <c r="CJ298" s="27" t="s">
        <v>7</v>
      </c>
      <c r="DF298" s="27" t="s">
        <v>7</v>
      </c>
      <c r="DG298" s="27" t="s">
        <v>8</v>
      </c>
      <c r="DH298" s="27" t="s">
        <v>7</v>
      </c>
      <c r="DJ298" s="27" t="s">
        <v>7</v>
      </c>
      <c r="DL298" s="27" t="s">
        <v>7</v>
      </c>
      <c r="DM298" s="27" t="s">
        <v>8</v>
      </c>
      <c r="DN298" s="27" t="s">
        <v>7</v>
      </c>
    </row>
    <row r="299" spans="1:121" x14ac:dyDescent="0.25">
      <c r="A299" s="30">
        <v>5.6212299933817669E-2</v>
      </c>
      <c r="B299"/>
      <c r="C299"/>
      <c r="D299"/>
      <c r="E299"/>
      <c r="F299" s="27" t="s">
        <v>7</v>
      </c>
      <c r="Y299" s="27" t="s">
        <v>8</v>
      </c>
      <c r="Z299" s="27" t="s">
        <v>7</v>
      </c>
      <c r="AA299" s="27" t="s">
        <v>8</v>
      </c>
      <c r="AB299" s="27" t="s">
        <v>7</v>
      </c>
      <c r="AC299" s="27" t="s">
        <v>8</v>
      </c>
      <c r="AD299" s="27" t="s">
        <v>7</v>
      </c>
      <c r="AE299" s="27" t="s">
        <v>8</v>
      </c>
      <c r="AF299" s="27" t="s">
        <v>7</v>
      </c>
      <c r="AG299" s="27" t="s">
        <v>8</v>
      </c>
      <c r="AJ299" s="27" t="s">
        <v>7</v>
      </c>
      <c r="AK299" s="27" t="s">
        <v>8</v>
      </c>
      <c r="BD299" s="27" t="s">
        <v>7</v>
      </c>
      <c r="BK299" s="27" t="s">
        <v>8</v>
      </c>
      <c r="BL299" s="27" t="s">
        <v>7</v>
      </c>
      <c r="BY299" s="27" t="s">
        <v>8</v>
      </c>
      <c r="BZ299" s="27" t="s">
        <v>7</v>
      </c>
      <c r="CA299" s="27" t="s">
        <v>8</v>
      </c>
      <c r="CH299" s="27" t="s">
        <v>7</v>
      </c>
      <c r="DF299" s="27" t="s">
        <v>7</v>
      </c>
      <c r="DG299" s="27" t="s">
        <v>8</v>
      </c>
      <c r="DL299" s="27" t="s">
        <v>7</v>
      </c>
      <c r="DN299" s="27" t="s">
        <v>7</v>
      </c>
    </row>
    <row r="300" spans="1:121" x14ac:dyDescent="0.25">
      <c r="A300" s="30">
        <v>5.3535523746492994E-2</v>
      </c>
      <c r="B300"/>
      <c r="C300"/>
      <c r="D300"/>
      <c r="E300"/>
      <c r="F300" s="27" t="s">
        <v>7</v>
      </c>
      <c r="U300" s="27" t="s">
        <v>8</v>
      </c>
      <c r="Y300" s="27" t="s">
        <v>8</v>
      </c>
      <c r="Z300" s="27" t="s">
        <v>7</v>
      </c>
      <c r="AA300" s="27" t="s">
        <v>8</v>
      </c>
      <c r="AB300" s="27" t="s">
        <v>7</v>
      </c>
      <c r="AC300" s="27" t="s">
        <v>8</v>
      </c>
      <c r="AD300" s="27" t="s">
        <v>7</v>
      </c>
      <c r="AE300" s="27" t="s">
        <v>8</v>
      </c>
      <c r="AF300" s="27" t="s">
        <v>7</v>
      </c>
      <c r="AG300" s="27" t="s">
        <v>8</v>
      </c>
      <c r="AJ300" s="27" t="s">
        <v>7</v>
      </c>
      <c r="BD300" s="27" t="s">
        <v>7</v>
      </c>
      <c r="BE300" s="27" t="s">
        <v>8</v>
      </c>
      <c r="BK300" s="27" t="s">
        <v>8</v>
      </c>
      <c r="BL300" s="27" t="s">
        <v>7</v>
      </c>
      <c r="BY300" s="27" t="s">
        <v>8</v>
      </c>
      <c r="BZ300" s="27" t="s">
        <v>7</v>
      </c>
      <c r="CA300" s="27" t="s">
        <v>8</v>
      </c>
      <c r="DF300" s="27" t="s">
        <v>7</v>
      </c>
      <c r="DN300" s="27" t="s">
        <v>7</v>
      </c>
    </row>
    <row r="301" spans="1:121" x14ac:dyDescent="0.25">
      <c r="A301" s="30">
        <v>5.0986213091898068E-2</v>
      </c>
      <c r="B301"/>
      <c r="C301"/>
      <c r="D301"/>
      <c r="E301"/>
      <c r="F301" s="27" t="s">
        <v>7</v>
      </c>
      <c r="U301" s="27" t="s">
        <v>8</v>
      </c>
      <c r="V301" s="27" t="s">
        <v>7</v>
      </c>
      <c r="W301" s="27" t="s">
        <v>8</v>
      </c>
      <c r="Y301" s="27" t="s">
        <v>8</v>
      </c>
      <c r="Z301" s="27" t="s">
        <v>7</v>
      </c>
      <c r="AA301" s="27" t="s">
        <v>8</v>
      </c>
      <c r="AB301" s="27" t="s">
        <v>7</v>
      </c>
      <c r="AC301" s="27" t="s">
        <v>8</v>
      </c>
      <c r="AD301" s="27" t="s">
        <v>7</v>
      </c>
      <c r="AE301" s="27" t="s">
        <v>8</v>
      </c>
      <c r="AF301" s="27" t="s">
        <v>7</v>
      </c>
      <c r="AG301" s="27" t="s">
        <v>8</v>
      </c>
      <c r="BD301" s="27" t="s">
        <v>7</v>
      </c>
      <c r="BE301" s="27" t="s">
        <v>8</v>
      </c>
      <c r="BF301" s="27" t="s">
        <v>7</v>
      </c>
      <c r="BK301" s="27" t="s">
        <v>8</v>
      </c>
      <c r="BL301" s="27" t="s">
        <v>7</v>
      </c>
      <c r="BY301" s="27" t="s">
        <v>8</v>
      </c>
      <c r="BZ301" s="27" t="s">
        <v>7</v>
      </c>
      <c r="CA301" s="27" t="s">
        <v>8</v>
      </c>
      <c r="DN301" s="27" t="s">
        <v>7</v>
      </c>
    </row>
    <row r="302" spans="1:121" x14ac:dyDescent="0.25">
      <c r="A302" s="30">
        <v>4.8558298182760043E-2</v>
      </c>
      <c r="B302"/>
      <c r="C302"/>
      <c r="D302"/>
      <c r="E302"/>
      <c r="F302" s="27" t="s">
        <v>7</v>
      </c>
      <c r="U302" s="27" t="s">
        <v>8</v>
      </c>
      <c r="V302" s="27" t="s">
        <v>7</v>
      </c>
      <c r="W302" s="27" t="s">
        <v>8</v>
      </c>
      <c r="X302" s="27" t="s">
        <v>7</v>
      </c>
      <c r="Y302" s="27" t="s">
        <v>8</v>
      </c>
      <c r="Z302" s="27" t="s">
        <v>7</v>
      </c>
      <c r="AA302" s="27" t="s">
        <v>8</v>
      </c>
      <c r="AB302" s="27" t="s">
        <v>7</v>
      </c>
      <c r="AC302" s="27" t="s">
        <v>8</v>
      </c>
      <c r="AD302" s="27" t="s">
        <v>7</v>
      </c>
      <c r="AE302" s="27" t="s">
        <v>8</v>
      </c>
      <c r="AF302" s="27" t="s">
        <v>7</v>
      </c>
      <c r="AG302" s="27" t="s">
        <v>8</v>
      </c>
      <c r="BD302" s="27" t="s">
        <v>7</v>
      </c>
      <c r="BE302" s="27" t="s">
        <v>8</v>
      </c>
      <c r="BF302" s="27" t="s">
        <v>7</v>
      </c>
      <c r="BK302" s="27" t="s">
        <v>8</v>
      </c>
      <c r="BL302" s="27" t="s">
        <v>7</v>
      </c>
      <c r="BY302" s="27" t="s">
        <v>8</v>
      </c>
      <c r="BZ302" s="27" t="s">
        <v>7</v>
      </c>
      <c r="CA302" s="27" t="s">
        <v>8</v>
      </c>
      <c r="DN302" s="27" t="s">
        <v>7</v>
      </c>
    </row>
    <row r="303" spans="1:121" x14ac:dyDescent="0.25">
      <c r="A303" s="30">
        <v>4.6245998269295263E-2</v>
      </c>
      <c r="B303"/>
      <c r="C303"/>
      <c r="D303"/>
      <c r="E303"/>
      <c r="F303" s="27" t="s">
        <v>7</v>
      </c>
      <c r="U303" s="27" t="s">
        <v>8</v>
      </c>
      <c r="V303" s="27" t="s">
        <v>7</v>
      </c>
      <c r="W303" s="27" t="s">
        <v>8</v>
      </c>
      <c r="X303" s="27" t="s">
        <v>7</v>
      </c>
      <c r="Y303" s="27" t="s">
        <v>8</v>
      </c>
      <c r="Z303" s="27" t="s">
        <v>7</v>
      </c>
      <c r="AA303" s="27" t="s">
        <v>8</v>
      </c>
      <c r="AB303" s="27" t="s">
        <v>7</v>
      </c>
      <c r="AC303" s="27" t="s">
        <v>8</v>
      </c>
      <c r="AD303" s="27" t="s">
        <v>7</v>
      </c>
      <c r="AE303" s="27" t="s">
        <v>8</v>
      </c>
      <c r="AF303" s="27" t="s">
        <v>7</v>
      </c>
      <c r="BD303" s="27" t="s">
        <v>7</v>
      </c>
      <c r="BE303" s="27" t="s">
        <v>8</v>
      </c>
      <c r="BF303" s="27" t="s">
        <v>7</v>
      </c>
      <c r="BG303" s="27" t="s">
        <v>8</v>
      </c>
      <c r="BK303" s="27" t="s">
        <v>8</v>
      </c>
      <c r="BL303" s="27" t="s">
        <v>7</v>
      </c>
      <c r="BY303" s="27" t="s">
        <v>8</v>
      </c>
      <c r="BZ303" s="27" t="s">
        <v>7</v>
      </c>
      <c r="DN303" s="27" t="s">
        <v>7</v>
      </c>
      <c r="DO303" s="27" t="s">
        <v>8</v>
      </c>
      <c r="DQ303" s="27" t="s">
        <v>8</v>
      </c>
    </row>
    <row r="304" spans="1:121" x14ac:dyDescent="0.25">
      <c r="A304" s="30">
        <v>4.4043807875519279E-2</v>
      </c>
      <c r="B304"/>
      <c r="C304"/>
      <c r="D304"/>
      <c r="E304"/>
      <c r="F304" s="27" t="s">
        <v>7</v>
      </c>
      <c r="U304" s="27" t="s">
        <v>8</v>
      </c>
      <c r="V304" s="27" t="s">
        <v>7</v>
      </c>
      <c r="W304" s="27" t="s">
        <v>8</v>
      </c>
      <c r="X304" s="27" t="s">
        <v>7</v>
      </c>
      <c r="Y304" s="27" t="s">
        <v>8</v>
      </c>
      <c r="Z304" s="27" t="s">
        <v>7</v>
      </c>
      <c r="AA304" s="27" t="s">
        <v>8</v>
      </c>
      <c r="AB304" s="27" t="s">
        <v>7</v>
      </c>
      <c r="AC304" s="27" t="s">
        <v>8</v>
      </c>
      <c r="AD304" s="27" t="s">
        <v>7</v>
      </c>
      <c r="AE304" s="27" t="s">
        <v>8</v>
      </c>
      <c r="BD304" s="27" t="s">
        <v>7</v>
      </c>
      <c r="BF304" s="27" t="s">
        <v>7</v>
      </c>
      <c r="BG304" s="27" t="s">
        <v>8</v>
      </c>
      <c r="BH304" s="27" t="s">
        <v>7</v>
      </c>
      <c r="BK304" s="27" t="s">
        <v>8</v>
      </c>
      <c r="BL304" s="27" t="s">
        <v>7</v>
      </c>
      <c r="BY304" s="27" t="s">
        <v>8</v>
      </c>
      <c r="DN304" s="27" t="s">
        <v>7</v>
      </c>
      <c r="DO304" s="27" t="s">
        <v>8</v>
      </c>
      <c r="DP304" s="27" t="s">
        <v>7</v>
      </c>
      <c r="DQ304" s="27" t="s">
        <v>8</v>
      </c>
    </row>
    <row r="305" spans="1:121" x14ac:dyDescent="0.25">
      <c r="A305" s="30">
        <v>4.1946483690970725E-2</v>
      </c>
      <c r="B305"/>
      <c r="C305"/>
      <c r="D305"/>
      <c r="E305"/>
      <c r="F305" s="27" t="s">
        <v>7</v>
      </c>
      <c r="U305" s="27" t="s">
        <v>8</v>
      </c>
      <c r="V305" s="27" t="s">
        <v>7</v>
      </c>
      <c r="W305" s="27" t="s">
        <v>8</v>
      </c>
      <c r="X305" s="27" t="s">
        <v>7</v>
      </c>
      <c r="Z305" s="27" t="s">
        <v>7</v>
      </c>
      <c r="AA305" s="27" t="s">
        <v>8</v>
      </c>
      <c r="AB305" s="27" t="s">
        <v>7</v>
      </c>
      <c r="AC305" s="27" t="s">
        <v>8</v>
      </c>
      <c r="AD305" s="27" t="s">
        <v>7</v>
      </c>
      <c r="AE305" s="27" t="s">
        <v>8</v>
      </c>
      <c r="BF305" s="27" t="s">
        <v>7</v>
      </c>
      <c r="BG305" s="27" t="s">
        <v>8</v>
      </c>
      <c r="BH305" s="27" t="s">
        <v>7</v>
      </c>
      <c r="BI305" s="27" t="s">
        <v>8</v>
      </c>
      <c r="BK305" s="27" t="s">
        <v>8</v>
      </c>
      <c r="BL305" s="27" t="s">
        <v>7</v>
      </c>
      <c r="BM305" s="27" t="s">
        <v>8</v>
      </c>
      <c r="BW305" s="27" t="s">
        <v>8</v>
      </c>
      <c r="BY305" s="27" t="s">
        <v>8</v>
      </c>
      <c r="DN305" s="27" t="s">
        <v>7</v>
      </c>
      <c r="DO305" s="27" t="s">
        <v>8</v>
      </c>
      <c r="DP305" s="27" t="s">
        <v>7</v>
      </c>
      <c r="DQ305" s="27" t="s">
        <v>8</v>
      </c>
    </row>
    <row r="306" spans="1:121" x14ac:dyDescent="0.25">
      <c r="A306" s="30">
        <v>3.9949032086638768E-2</v>
      </c>
      <c r="B306"/>
      <c r="C306"/>
      <c r="D306"/>
      <c r="E306"/>
      <c r="F306" s="27" t="s">
        <v>7</v>
      </c>
      <c r="U306" s="27" t="s">
        <v>8</v>
      </c>
      <c r="V306" s="27" t="s">
        <v>7</v>
      </c>
      <c r="W306" s="27" t="s">
        <v>8</v>
      </c>
      <c r="Z306" s="27" t="s">
        <v>7</v>
      </c>
      <c r="AA306" s="27" t="s">
        <v>8</v>
      </c>
      <c r="AB306" s="27" t="s">
        <v>7</v>
      </c>
      <c r="AD306" s="27" t="s">
        <v>7</v>
      </c>
      <c r="AE306" s="27" t="s">
        <v>8</v>
      </c>
      <c r="BF306" s="27" t="s">
        <v>7</v>
      </c>
      <c r="BG306" s="27" t="s">
        <v>8</v>
      </c>
      <c r="BH306" s="27" t="s">
        <v>7</v>
      </c>
      <c r="BI306" s="27" t="s">
        <v>8</v>
      </c>
      <c r="BJ306" s="27" t="s">
        <v>7</v>
      </c>
      <c r="BK306" s="27" t="s">
        <v>8</v>
      </c>
      <c r="BL306" s="27" t="s">
        <v>7</v>
      </c>
      <c r="BM306" s="27" t="s">
        <v>8</v>
      </c>
      <c r="BN306" s="27" t="s">
        <v>7</v>
      </c>
      <c r="BW306" s="27" t="s">
        <v>8</v>
      </c>
      <c r="BX306" s="27" t="s">
        <v>7</v>
      </c>
      <c r="BY306" s="27" t="s">
        <v>8</v>
      </c>
      <c r="DN306" s="27" t="s">
        <v>7</v>
      </c>
      <c r="DO306" s="27" t="s">
        <v>8</v>
      </c>
      <c r="DP306" s="27" t="s">
        <v>7</v>
      </c>
      <c r="DQ306" s="27" t="s">
        <v>8</v>
      </c>
    </row>
    <row r="307" spans="1:121" x14ac:dyDescent="0.25">
      <c r="A307" s="30">
        <v>3.8046697225370241E-2</v>
      </c>
      <c r="B307"/>
      <c r="C307"/>
      <c r="D307"/>
      <c r="E307"/>
      <c r="F307" s="27" t="s">
        <v>7</v>
      </c>
      <c r="U307" s="27" t="s">
        <v>8</v>
      </c>
      <c r="V307" s="27" t="s">
        <v>7</v>
      </c>
      <c r="W307" s="27" t="s">
        <v>8</v>
      </c>
      <c r="Z307" s="27" t="s">
        <v>7</v>
      </c>
      <c r="AD307" s="27" t="s">
        <v>7</v>
      </c>
      <c r="BF307" s="27" t="s">
        <v>7</v>
      </c>
      <c r="BG307" s="27" t="s">
        <v>8</v>
      </c>
      <c r="BH307" s="27" t="s">
        <v>7</v>
      </c>
      <c r="BI307" s="27" t="s">
        <v>8</v>
      </c>
      <c r="BJ307" s="27" t="s">
        <v>7</v>
      </c>
      <c r="BK307" s="27" t="s">
        <v>8</v>
      </c>
      <c r="BL307" s="27" t="s">
        <v>7</v>
      </c>
      <c r="BM307" s="27" t="s">
        <v>8</v>
      </c>
      <c r="BN307" s="27" t="s">
        <v>7</v>
      </c>
      <c r="BW307" s="27" t="s">
        <v>8</v>
      </c>
      <c r="BX307" s="27" t="s">
        <v>7</v>
      </c>
      <c r="BY307" s="27" t="s">
        <v>8</v>
      </c>
      <c r="DN307" s="27" t="s">
        <v>7</v>
      </c>
      <c r="DP307" s="27" t="s">
        <v>7</v>
      </c>
    </row>
    <row r="308" spans="1:121" x14ac:dyDescent="0.25">
      <c r="A308" s="30">
        <v>3.6234949738447833E-2</v>
      </c>
      <c r="B308"/>
      <c r="C308"/>
      <c r="D308"/>
      <c r="E308"/>
      <c r="F308" s="27" t="s">
        <v>7</v>
      </c>
      <c r="U308" s="27" t="s">
        <v>8</v>
      </c>
      <c r="V308" s="27" t="s">
        <v>7</v>
      </c>
      <c r="W308" s="27" t="s">
        <v>8</v>
      </c>
      <c r="BF308" s="27" t="s">
        <v>7</v>
      </c>
      <c r="BG308" s="27" t="s">
        <v>8</v>
      </c>
      <c r="BH308" s="27" t="s">
        <v>7</v>
      </c>
      <c r="BI308" s="27" t="s">
        <v>8</v>
      </c>
      <c r="BJ308" s="27" t="s">
        <v>7</v>
      </c>
      <c r="BK308" s="27" t="s">
        <v>8</v>
      </c>
      <c r="BL308" s="27" t="s">
        <v>7</v>
      </c>
      <c r="BM308" s="27" t="s">
        <v>8</v>
      </c>
      <c r="BN308" s="27" t="s">
        <v>7</v>
      </c>
      <c r="BW308" s="27" t="s">
        <v>8</v>
      </c>
      <c r="BX308" s="27" t="s">
        <v>7</v>
      </c>
      <c r="BY308" s="27" t="s">
        <v>8</v>
      </c>
    </row>
    <row r="309" spans="1:121" x14ac:dyDescent="0.25">
      <c r="A309" s="30">
        <v>3.4509475941378875E-2</v>
      </c>
      <c r="B309"/>
      <c r="C309"/>
      <c r="D309"/>
      <c r="E309"/>
      <c r="F309" s="27" t="s">
        <v>7</v>
      </c>
      <c r="U309" s="27" t="s">
        <v>8</v>
      </c>
      <c r="V309" s="27" t="s">
        <v>7</v>
      </c>
      <c r="W309" s="27" t="s">
        <v>8</v>
      </c>
      <c r="BF309" s="27" t="s">
        <v>7</v>
      </c>
      <c r="BG309" s="27" t="s">
        <v>8</v>
      </c>
      <c r="BH309" s="27" t="s">
        <v>7</v>
      </c>
      <c r="BJ309" s="27" t="s">
        <v>7</v>
      </c>
      <c r="BK309" s="27" t="s">
        <v>8</v>
      </c>
      <c r="BL309" s="27" t="s">
        <v>7</v>
      </c>
      <c r="BM309" s="27" t="s">
        <v>8</v>
      </c>
      <c r="BN309" s="27" t="s">
        <v>7</v>
      </c>
      <c r="BW309" s="27" t="s">
        <v>8</v>
      </c>
      <c r="BX309" s="27" t="s">
        <v>7</v>
      </c>
    </row>
    <row r="310" spans="1:121" x14ac:dyDescent="0.25">
      <c r="A310" s="30">
        <v>3.286616756321796E-2</v>
      </c>
      <c r="B310"/>
      <c r="C310"/>
      <c r="D310"/>
      <c r="E310"/>
      <c r="F310" s="27" t="s">
        <v>7</v>
      </c>
      <c r="U310" s="27" t="s">
        <v>8</v>
      </c>
      <c r="V310" s="27" t="s">
        <v>7</v>
      </c>
      <c r="BF310" s="27" t="s">
        <v>7</v>
      </c>
      <c r="BG310" s="27" t="s">
        <v>8</v>
      </c>
      <c r="BJ310" s="27" t="s">
        <v>7</v>
      </c>
      <c r="BK310" s="27" t="s">
        <v>8</v>
      </c>
      <c r="BL310" s="27" t="s">
        <v>7</v>
      </c>
      <c r="BN310" s="27" t="s">
        <v>7</v>
      </c>
      <c r="BQ310" s="27" t="s">
        <v>8</v>
      </c>
      <c r="BU310" s="27" t="s">
        <v>8</v>
      </c>
      <c r="BW310" s="27" t="s">
        <v>8</v>
      </c>
    </row>
    <row r="311" spans="1:121" x14ac:dyDescent="0.25">
      <c r="A311" s="30">
        <v>3.1301111964969472E-2</v>
      </c>
      <c r="B311"/>
      <c r="C311"/>
      <c r="D311"/>
      <c r="E311"/>
      <c r="F311" s="27" t="s">
        <v>7</v>
      </c>
      <c r="U311" s="27" t="s">
        <v>8</v>
      </c>
      <c r="BF311" s="27" t="s">
        <v>7</v>
      </c>
      <c r="BG311" s="27" t="s">
        <v>8</v>
      </c>
      <c r="BJ311" s="27" t="s">
        <v>7</v>
      </c>
      <c r="BN311" s="27" t="s">
        <v>7</v>
      </c>
      <c r="BQ311" s="27" t="s">
        <v>8</v>
      </c>
      <c r="BR311" s="27" t="s">
        <v>7</v>
      </c>
      <c r="BS311" s="27" t="s">
        <v>8</v>
      </c>
      <c r="BU311" s="27" t="s">
        <v>8</v>
      </c>
      <c r="BV311" s="27" t="s">
        <v>7</v>
      </c>
      <c r="BW311" s="27" t="s">
        <v>8</v>
      </c>
    </row>
    <row r="312" spans="1:121" x14ac:dyDescent="0.25">
      <c r="A312" s="30">
        <v>2.9810582823780438E-2</v>
      </c>
      <c r="B312"/>
      <c r="C312"/>
      <c r="D312"/>
      <c r="E312"/>
      <c r="F312" s="27" t="s">
        <v>7</v>
      </c>
      <c r="U312" s="27" t="s">
        <v>8</v>
      </c>
      <c r="BF312" s="27" t="s">
        <v>7</v>
      </c>
      <c r="BG312" s="27" t="s">
        <v>8</v>
      </c>
      <c r="BN312" s="27" t="s">
        <v>7</v>
      </c>
      <c r="BQ312" s="27" t="s">
        <v>8</v>
      </c>
      <c r="BR312" s="27" t="s">
        <v>7</v>
      </c>
      <c r="BS312" s="27" t="s">
        <v>8</v>
      </c>
      <c r="BT312" s="27" t="s">
        <v>7</v>
      </c>
      <c r="BU312" s="27" t="s">
        <v>8</v>
      </c>
      <c r="BV312" s="27" t="s">
        <v>7</v>
      </c>
      <c r="BW312" s="27" t="s">
        <v>8</v>
      </c>
    </row>
    <row r="313" spans="1:121" x14ac:dyDescent="0.25">
      <c r="A313" s="30">
        <v>2.8391031260743264E-2</v>
      </c>
      <c r="B313"/>
      <c r="C313"/>
      <c r="D313"/>
      <c r="E313"/>
      <c r="F313" s="27" t="s">
        <v>7</v>
      </c>
      <c r="S313" s="27" t="s">
        <v>8</v>
      </c>
      <c r="U313" s="27" t="s">
        <v>8</v>
      </c>
      <c r="BF313" s="27" t="s">
        <v>7</v>
      </c>
      <c r="BN313" s="27" t="s">
        <v>7</v>
      </c>
      <c r="BQ313" s="27" t="s">
        <v>8</v>
      </c>
      <c r="BR313" s="27" t="s">
        <v>7</v>
      </c>
      <c r="BS313" s="27" t="s">
        <v>8</v>
      </c>
      <c r="BT313" s="27" t="s">
        <v>7</v>
      </c>
      <c r="BU313" s="27" t="s">
        <v>8</v>
      </c>
      <c r="BV313" s="27" t="s">
        <v>7</v>
      </c>
      <c r="BW313" s="27" t="s">
        <v>8</v>
      </c>
    </row>
    <row r="314" spans="1:121" x14ac:dyDescent="0.25">
      <c r="A314" s="30">
        <v>2.7039077391184052E-2</v>
      </c>
      <c r="B314"/>
      <c r="C314"/>
      <c r="D314"/>
      <c r="E314"/>
      <c r="F314" s="27" t="s">
        <v>7</v>
      </c>
      <c r="K314" s="27" t="s">
        <v>8</v>
      </c>
      <c r="S314" s="27" t="s">
        <v>8</v>
      </c>
      <c r="T314" s="27" t="s">
        <v>7</v>
      </c>
      <c r="U314" s="27" t="s">
        <v>8</v>
      </c>
      <c r="BN314" s="27" t="s">
        <v>7</v>
      </c>
      <c r="BO314" s="27" t="s">
        <v>8</v>
      </c>
      <c r="BQ314" s="27" t="s">
        <v>8</v>
      </c>
      <c r="BR314" s="27" t="s">
        <v>7</v>
      </c>
      <c r="BS314" s="27" t="s">
        <v>8</v>
      </c>
      <c r="BT314" s="27" t="s">
        <v>7</v>
      </c>
      <c r="BU314" s="27" t="s">
        <v>8</v>
      </c>
      <c r="BV314" s="27" t="s">
        <v>7</v>
      </c>
    </row>
    <row r="315" spans="1:121" x14ac:dyDescent="0.25">
      <c r="A315" s="30">
        <v>2.5751502277318133E-2</v>
      </c>
      <c r="B315"/>
      <c r="C315"/>
      <c r="D315"/>
      <c r="E315"/>
      <c r="F315" s="27" t="s">
        <v>7</v>
      </c>
      <c r="G315" s="27" t="s">
        <v>8</v>
      </c>
      <c r="K315" s="27" t="s">
        <v>8</v>
      </c>
      <c r="L315" s="27" t="s">
        <v>7</v>
      </c>
      <c r="S315" s="27" t="s">
        <v>8</v>
      </c>
      <c r="T315" s="27" t="s">
        <v>7</v>
      </c>
      <c r="U315" s="27" t="s">
        <v>8</v>
      </c>
      <c r="BN315" s="27" t="s">
        <v>7</v>
      </c>
      <c r="BO315" s="27" t="s">
        <v>8</v>
      </c>
      <c r="BP315" s="27" t="s">
        <v>7</v>
      </c>
      <c r="BQ315" s="27" t="s">
        <v>8</v>
      </c>
      <c r="BR315" s="27" t="s">
        <v>7</v>
      </c>
      <c r="BS315" s="27" t="s">
        <v>8</v>
      </c>
      <c r="BT315" s="27" t="s">
        <v>7</v>
      </c>
    </row>
    <row r="316" spans="1:121" x14ac:dyDescent="0.25">
      <c r="A316" s="30">
        <v>2.4525240264112496E-2</v>
      </c>
      <c r="B316"/>
      <c r="C316"/>
      <c r="D316"/>
      <c r="E316"/>
      <c r="F316" s="27" t="s">
        <v>7</v>
      </c>
      <c r="G316" s="27" t="s">
        <v>8</v>
      </c>
      <c r="H316" s="27" t="s">
        <v>7</v>
      </c>
      <c r="K316" s="27" t="s">
        <v>8</v>
      </c>
      <c r="L316" s="27" t="s">
        <v>7</v>
      </c>
      <c r="S316" s="27" t="s">
        <v>8</v>
      </c>
      <c r="T316" s="27" t="s">
        <v>7</v>
      </c>
      <c r="U316" s="27" t="s">
        <v>8</v>
      </c>
      <c r="BN316" s="27" t="s">
        <v>7</v>
      </c>
      <c r="BO316" s="27" t="s">
        <v>8</v>
      </c>
      <c r="BP316" s="27" t="s">
        <v>7</v>
      </c>
      <c r="BQ316" s="27" t="s">
        <v>8</v>
      </c>
      <c r="BR316" s="27" t="s">
        <v>7</v>
      </c>
      <c r="BS316" s="27" t="s">
        <v>8</v>
      </c>
    </row>
    <row r="317" spans="1:121" x14ac:dyDescent="0.25">
      <c r="A317" s="30">
        <v>2.3357371680107129E-2</v>
      </c>
      <c r="B317"/>
      <c r="C317"/>
      <c r="D317"/>
      <c r="E317"/>
      <c r="F317" s="27" t="s">
        <v>7</v>
      </c>
      <c r="G317" s="27" t="s">
        <v>8</v>
      </c>
      <c r="H317" s="27" t="s">
        <v>7</v>
      </c>
      <c r="I317" s="27" t="s">
        <v>8</v>
      </c>
      <c r="K317" s="27" t="s">
        <v>8</v>
      </c>
      <c r="L317" s="27" t="s">
        <v>7</v>
      </c>
      <c r="S317" s="27" t="s">
        <v>8</v>
      </c>
      <c r="T317" s="27" t="s">
        <v>7</v>
      </c>
      <c r="U317" s="27" t="s">
        <v>8</v>
      </c>
      <c r="BN317" s="27" t="s">
        <v>7</v>
      </c>
      <c r="BO317" s="27" t="s">
        <v>8</v>
      </c>
      <c r="BP317" s="27" t="s">
        <v>7</v>
      </c>
      <c r="BQ317" s="27" t="s">
        <v>8</v>
      </c>
      <c r="BR317" s="18" t="s">
        <v>7</v>
      </c>
      <c r="BS317" s="27" t="s">
        <v>8</v>
      </c>
    </row>
    <row r="318" spans="1:121" x14ac:dyDescent="0.25">
      <c r="A318" s="30">
        <v>2.2245115885816305E-2</v>
      </c>
      <c r="B318"/>
      <c r="C318"/>
      <c r="D318"/>
      <c r="E318"/>
      <c r="F318" s="27" t="s">
        <v>7</v>
      </c>
      <c r="H318" s="27" t="s">
        <v>7</v>
      </c>
      <c r="I318" s="27" t="s">
        <v>8</v>
      </c>
      <c r="J318" s="27" t="s">
        <v>7</v>
      </c>
      <c r="K318" s="27" t="s">
        <v>8</v>
      </c>
      <c r="L318" s="27" t="s">
        <v>7</v>
      </c>
      <c r="S318" s="27" t="s">
        <v>8</v>
      </c>
      <c r="T318" s="27" t="s">
        <v>7</v>
      </c>
      <c r="U318" s="27" t="s">
        <v>8</v>
      </c>
      <c r="BN318" s="27" t="s">
        <v>7</v>
      </c>
      <c r="BO318" s="27" t="s">
        <v>8</v>
      </c>
      <c r="BP318" s="27" t="s">
        <v>7</v>
      </c>
      <c r="BR318" s="27" t="s">
        <v>7</v>
      </c>
      <c r="BS318" s="27" t="s">
        <v>8</v>
      </c>
    </row>
    <row r="319" spans="1:121" x14ac:dyDescent="0.25">
      <c r="A319" s="30">
        <v>2.1185824653158377E-2</v>
      </c>
      <c r="B319"/>
      <c r="C319"/>
      <c r="D319"/>
      <c r="E319"/>
      <c r="H319" s="27" t="s">
        <v>7</v>
      </c>
      <c r="I319" s="27" t="s">
        <v>8</v>
      </c>
      <c r="J319" s="27" t="s">
        <v>7</v>
      </c>
      <c r="K319" s="27" t="s">
        <v>8</v>
      </c>
      <c r="L319" s="27" t="s">
        <v>7</v>
      </c>
      <c r="S319" s="27" t="s">
        <v>8</v>
      </c>
      <c r="T319" s="27" t="s">
        <v>7</v>
      </c>
      <c r="U319" s="27" t="s">
        <v>8</v>
      </c>
      <c r="BN319" s="27" t="s">
        <v>7</v>
      </c>
      <c r="BO319" s="27" t="s">
        <v>8</v>
      </c>
      <c r="BR319" s="27" t="s">
        <v>7</v>
      </c>
      <c r="BS319" s="27" t="s">
        <v>8</v>
      </c>
    </row>
    <row r="320" spans="1:121" x14ac:dyDescent="0.25">
      <c r="A320" s="30">
        <v>2.0176975860150829E-2</v>
      </c>
      <c r="B320"/>
      <c r="C320"/>
      <c r="D320"/>
      <c r="E320"/>
      <c r="H320" s="27" t="s">
        <v>7</v>
      </c>
      <c r="I320" s="27" t="s">
        <v>8</v>
      </c>
      <c r="J320" s="27" t="s">
        <v>7</v>
      </c>
      <c r="K320" s="27" t="s">
        <v>8</v>
      </c>
      <c r="L320" s="27" t="s">
        <v>7</v>
      </c>
      <c r="Q320" s="27" t="s">
        <v>8</v>
      </c>
      <c r="S320" s="27" t="s">
        <v>8</v>
      </c>
      <c r="T320" s="27" t="s">
        <v>7</v>
      </c>
      <c r="U320" s="27" t="s">
        <v>8</v>
      </c>
      <c r="BN320" s="27" t="s">
        <v>7</v>
      </c>
      <c r="BR320" s="27" t="s">
        <v>7</v>
      </c>
    </row>
    <row r="321" spans="1:20" x14ac:dyDescent="0.25">
      <c r="A321" s="30">
        <v>1.9216167485857926E-2</v>
      </c>
      <c r="B321"/>
      <c r="C321"/>
      <c r="D321"/>
      <c r="E321"/>
      <c r="H321" s="27" t="s">
        <v>7</v>
      </c>
      <c r="J321" s="27" t="s">
        <v>7</v>
      </c>
      <c r="K321" s="27" t="s">
        <v>8</v>
      </c>
      <c r="L321" s="27" t="s">
        <v>7</v>
      </c>
      <c r="Q321" s="27" t="s">
        <v>8</v>
      </c>
      <c r="R321" s="27" t="s">
        <v>7</v>
      </c>
      <c r="S321" s="27" t="s">
        <v>8</v>
      </c>
      <c r="T321" s="27" t="s">
        <v>7</v>
      </c>
    </row>
    <row r="322" spans="1:20" x14ac:dyDescent="0.25">
      <c r="A322" s="30">
        <v>1.8301111891293256E-2</v>
      </c>
      <c r="B322"/>
      <c r="C322"/>
      <c r="D322"/>
      <c r="E322"/>
      <c r="J322" s="27" t="s">
        <v>7</v>
      </c>
      <c r="K322" s="27" t="s">
        <v>8</v>
      </c>
      <c r="L322" s="27" t="s">
        <v>7</v>
      </c>
      <c r="Q322" s="27" t="s">
        <v>8</v>
      </c>
      <c r="R322" s="27" t="s">
        <v>7</v>
      </c>
      <c r="S322" s="27" t="s">
        <v>8</v>
      </c>
    </row>
    <row r="323" spans="1:20" x14ac:dyDescent="0.25">
      <c r="A323" s="30">
        <v>1.7429630372660238E-2</v>
      </c>
      <c r="B323"/>
      <c r="C323"/>
      <c r="D323"/>
      <c r="E323"/>
      <c r="J323" s="27" t="s">
        <v>7</v>
      </c>
      <c r="L323" s="27" t="s">
        <v>7</v>
      </c>
      <c r="O323" s="27" t="s">
        <v>8</v>
      </c>
      <c r="Q323" s="27" t="s">
        <v>8</v>
      </c>
      <c r="R323" s="27" t="s">
        <v>7</v>
      </c>
      <c r="S323" s="27" t="s">
        <v>8</v>
      </c>
    </row>
    <row r="324" spans="1:20" x14ac:dyDescent="0.25">
      <c r="A324" s="30">
        <v>1.6599647973962125E-2</v>
      </c>
      <c r="B324"/>
      <c r="C324"/>
      <c r="D324"/>
      <c r="E324"/>
      <c r="L324" s="27" t="s">
        <v>7</v>
      </c>
      <c r="O324" s="27" t="s">
        <v>8</v>
      </c>
      <c r="P324" s="27" t="s">
        <v>7</v>
      </c>
      <c r="Q324" s="27" t="s">
        <v>8</v>
      </c>
      <c r="R324" s="27" t="s">
        <v>7</v>
      </c>
      <c r="S324" s="27" t="s">
        <v>8</v>
      </c>
    </row>
    <row r="325" spans="1:20" x14ac:dyDescent="0.25">
      <c r="A325" s="30">
        <v>1.580918854663059E-2</v>
      </c>
      <c r="B325"/>
      <c r="C325"/>
      <c r="D325"/>
      <c r="E325"/>
      <c r="L325" s="27" t="s">
        <v>7</v>
      </c>
      <c r="O325" s="27" t="s">
        <v>8</v>
      </c>
      <c r="P325" s="27" t="s">
        <v>7</v>
      </c>
      <c r="Q325" s="27" t="s">
        <v>8</v>
      </c>
      <c r="R325" s="27" t="s">
        <v>7</v>
      </c>
      <c r="S325" s="27" t="s">
        <v>8</v>
      </c>
    </row>
    <row r="326" spans="1:20" x14ac:dyDescent="0.25">
      <c r="A326" s="30">
        <v>1.5056370044410079E-2</v>
      </c>
      <c r="B326"/>
      <c r="C326"/>
      <c r="D326"/>
      <c r="E326"/>
      <c r="L326" s="27" t="s">
        <v>7</v>
      </c>
      <c r="M326" s="27" t="s">
        <v>8</v>
      </c>
      <c r="O326" s="27" t="s">
        <v>8</v>
      </c>
      <c r="P326" s="27" t="s">
        <v>7</v>
      </c>
      <c r="Q326" s="27" t="s">
        <v>8</v>
      </c>
      <c r="R326" s="27" t="s">
        <v>7</v>
      </c>
      <c r="S326" s="27" t="s">
        <v>8</v>
      </c>
    </row>
    <row r="327" spans="1:20" x14ac:dyDescent="0.25">
      <c r="A327" s="30">
        <v>1.4339400042295308E-2</v>
      </c>
      <c r="B327"/>
      <c r="C327"/>
      <c r="D327"/>
      <c r="E327"/>
      <c r="L327" s="27" t="s">
        <v>7</v>
      </c>
      <c r="M327" s="27" t="s">
        <v>8</v>
      </c>
      <c r="N327" s="27" t="s">
        <v>7</v>
      </c>
      <c r="O327" s="27" t="s">
        <v>8</v>
      </c>
      <c r="P327" s="27" t="s">
        <v>7</v>
      </c>
      <c r="Q327" s="27" t="s">
        <v>8</v>
      </c>
      <c r="R327" s="27" t="s">
        <v>7</v>
      </c>
    </row>
    <row r="328" spans="1:20" x14ac:dyDescent="0.25">
      <c r="A328" s="30">
        <v>1.365657146885267E-2</v>
      </c>
      <c r="B328"/>
      <c r="C328"/>
      <c r="D328"/>
      <c r="E328"/>
      <c r="L328" s="27" t="s">
        <v>7</v>
      </c>
      <c r="M328" s="27" t="s">
        <v>8</v>
      </c>
      <c r="N328" s="27" t="s">
        <v>7</v>
      </c>
      <c r="O328" s="27" t="s">
        <v>8</v>
      </c>
      <c r="P328" s="27" t="s">
        <v>7</v>
      </c>
      <c r="Q328" s="27" t="s">
        <v>8</v>
      </c>
    </row>
    <row r="329" spans="1:20" x14ac:dyDescent="0.25">
      <c r="A329" s="30">
        <v>1.3006258541764442E-2</v>
      </c>
      <c r="B329"/>
      <c r="C329"/>
      <c r="D329"/>
      <c r="E329"/>
      <c r="L329" s="27" t="s">
        <v>7</v>
      </c>
      <c r="M329" s="27" t="s">
        <v>8</v>
      </c>
      <c r="N329" s="27" t="s">
        <v>7</v>
      </c>
      <c r="P329" s="27" t="s">
        <v>7</v>
      </c>
      <c r="Q329" s="27" t="s">
        <v>8</v>
      </c>
    </row>
    <row r="330" spans="1:20" x14ac:dyDescent="0.25">
      <c r="A330" s="30">
        <v>1.2386912896918512E-2</v>
      </c>
      <c r="B330"/>
      <c r="C330"/>
      <c r="D330"/>
      <c r="E330"/>
      <c r="L330" s="27" t="s">
        <v>7</v>
      </c>
      <c r="M330" s="27" t="s">
        <v>8</v>
      </c>
      <c r="P330" s="27" t="s">
        <v>7</v>
      </c>
      <c r="Q330" s="27" t="s">
        <v>8</v>
      </c>
    </row>
    <row r="331" spans="1:20" x14ac:dyDescent="0.25">
      <c r="A331" s="30">
        <v>1.179705990182715E-2</v>
      </c>
      <c r="B331"/>
      <c r="C331"/>
      <c r="D331"/>
      <c r="E331"/>
      <c r="L331" s="27" t="s">
        <v>7</v>
      </c>
      <c r="P331" s="27" t="s">
        <v>7</v>
      </c>
      <c r="Q331" s="27" t="s">
        <v>8</v>
      </c>
    </row>
    <row r="332" spans="1:20" x14ac:dyDescent="0.25">
      <c r="A332" s="30">
        <v>1.1235295144597281E-2</v>
      </c>
      <c r="B332"/>
      <c r="C332"/>
      <c r="D332"/>
      <c r="E332"/>
      <c r="P332" s="27" t="s">
        <v>7</v>
      </c>
      <c r="Q332" s="27" t="s">
        <v>8</v>
      </c>
    </row>
    <row r="333" spans="1:20" x14ac:dyDescent="0.25">
      <c r="A333" s="30">
        <v>1.0700281090092644E-2</v>
      </c>
      <c r="B333"/>
      <c r="C333"/>
      <c r="D333"/>
      <c r="E333"/>
      <c r="P333" s="27" t="s">
        <v>7</v>
      </c>
    </row>
    <row r="334" spans="1:20" x14ac:dyDescent="0.25">
      <c r="A334" s="30">
        <v>1.0190743895326324E-2</v>
      </c>
      <c r="B334"/>
      <c r="C334"/>
      <c r="D334"/>
      <c r="E334"/>
    </row>
    <row r="335" spans="1:20" x14ac:dyDescent="0.25">
      <c r="A335" s="30">
        <v>9.7054703765012563E-3</v>
      </c>
      <c r="B335"/>
      <c r="C335"/>
      <c r="D335"/>
      <c r="E335"/>
    </row>
    <row r="336" spans="1:20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7" operator="equal">
      <formula>$U$1</formula>
    </cfRule>
    <cfRule type="cellIs" dxfId="67" priority="858" operator="equal">
      <formula>$S$1</formula>
    </cfRule>
  </conditionalFormatting>
  <conditionalFormatting sqref="D136">
    <cfRule type="cellIs" dxfId="66" priority="855" operator="equal">
      <formula>$S$1</formula>
    </cfRule>
    <cfRule type="cellIs" dxfId="65" priority="856" operator="equal">
      <formula>$U$1</formula>
    </cfRule>
  </conditionalFormatting>
  <conditionalFormatting sqref="C162">
    <cfRule type="cellIs" dxfId="64" priority="853" operator="equal">
      <formula>$U$1</formula>
    </cfRule>
    <cfRule type="cellIs" dxfId="63" priority="854" operator="equal">
      <formula>$S$1</formula>
    </cfRule>
  </conditionalFormatting>
  <conditionalFormatting sqref="D162">
    <cfRule type="cellIs" dxfId="62" priority="851" operator="equal">
      <formula>$S$1</formula>
    </cfRule>
    <cfRule type="cellIs" dxfId="61" priority="852" operator="equal">
      <formula>$U$1</formula>
    </cfRule>
  </conditionalFormatting>
  <conditionalFormatting sqref="C187">
    <cfRule type="cellIs" dxfId="60" priority="849" operator="equal">
      <formula>$U$1</formula>
    </cfRule>
    <cfRule type="cellIs" dxfId="59" priority="850" operator="equal">
      <formula>$S$1</formula>
    </cfRule>
  </conditionalFormatting>
  <conditionalFormatting sqref="D187">
    <cfRule type="cellIs" dxfId="58" priority="847" operator="equal">
      <formula>$S$1</formula>
    </cfRule>
    <cfRule type="cellIs" dxfId="57" priority="848" operator="equal">
      <formula>$U$1</formula>
    </cfRule>
  </conditionalFormatting>
  <conditionalFormatting sqref="C212">
    <cfRule type="cellIs" dxfId="56" priority="845" operator="equal">
      <formula>$U$1</formula>
    </cfRule>
    <cfRule type="cellIs" dxfId="55" priority="846" operator="equal">
      <formula>$S$1</formula>
    </cfRule>
  </conditionalFormatting>
  <conditionalFormatting sqref="D212">
    <cfRule type="cellIs" dxfId="54" priority="843" operator="equal">
      <formula>$S$1</formula>
    </cfRule>
    <cfRule type="cellIs" dxfId="53" priority="844" operator="equal">
      <formula>$U$1</formula>
    </cfRule>
  </conditionalFormatting>
  <conditionalFormatting sqref="C237">
    <cfRule type="cellIs" dxfId="52" priority="841" operator="equal">
      <formula>$U$1</formula>
    </cfRule>
    <cfRule type="cellIs" dxfId="51" priority="842" operator="equal">
      <formula>$S$1</formula>
    </cfRule>
  </conditionalFormatting>
  <conditionalFormatting sqref="D237">
    <cfRule type="cellIs" dxfId="50" priority="839" operator="equal">
      <formula>$S$1</formula>
    </cfRule>
    <cfRule type="cellIs" dxfId="49" priority="840" operator="equal">
      <formula>$U$1</formula>
    </cfRule>
  </conditionalFormatting>
  <conditionalFormatting sqref="C106">
    <cfRule type="cellIs" dxfId="48" priority="837" operator="equal">
      <formula>$U$1</formula>
    </cfRule>
    <cfRule type="cellIs" dxfId="47" priority="838" operator="equal">
      <formula>$S$1</formula>
    </cfRule>
  </conditionalFormatting>
  <conditionalFormatting sqref="D106">
    <cfRule type="cellIs" dxfId="46" priority="835" operator="equal">
      <formula>$S$1</formula>
    </cfRule>
    <cfRule type="cellIs" dxfId="45" priority="836" operator="equal">
      <formula>$U$1</formula>
    </cfRule>
  </conditionalFormatting>
  <conditionalFormatting sqref="C81">
    <cfRule type="cellIs" dxfId="44" priority="833" operator="equal">
      <formula>$U$1</formula>
    </cfRule>
    <cfRule type="cellIs" dxfId="43" priority="834" operator="equal">
      <formula>$S$1</formula>
    </cfRule>
  </conditionalFormatting>
  <conditionalFormatting sqref="D81">
    <cfRule type="cellIs" dxfId="42" priority="831" operator="equal">
      <formula>$S$1</formula>
    </cfRule>
    <cfRule type="cellIs" dxfId="41" priority="832" operator="equal">
      <formula>$U$1</formula>
    </cfRule>
  </conditionalFormatting>
  <conditionalFormatting sqref="C56">
    <cfRule type="cellIs" dxfId="40" priority="829" operator="equal">
      <formula>$U$1</formula>
    </cfRule>
    <cfRule type="cellIs" dxfId="39" priority="830" operator="equal">
      <formula>$S$1</formula>
    </cfRule>
  </conditionalFormatting>
  <conditionalFormatting sqref="D56">
    <cfRule type="cellIs" dxfId="38" priority="827" operator="equal">
      <formula>$S$1</formula>
    </cfRule>
    <cfRule type="cellIs" dxfId="37" priority="828" operator="equal">
      <formula>$U$1</formula>
    </cfRule>
  </conditionalFormatting>
  <conditionalFormatting sqref="C31">
    <cfRule type="cellIs" dxfId="36" priority="825" operator="equal">
      <formula>$U$1</formula>
    </cfRule>
    <cfRule type="cellIs" dxfId="35" priority="826" operator="equal">
      <formula>$S$1</formula>
    </cfRule>
  </conditionalFormatting>
  <conditionalFormatting sqref="D31">
    <cfRule type="cellIs" dxfId="34" priority="823" operator="equal">
      <formula>$S$1</formula>
    </cfRule>
    <cfRule type="cellIs" dxfId="33" priority="82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B155" sqref="BB15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$A$154</v>
      </c>
      <c r="D111" s="1" t="str">
        <f>ADDRESS(C121-1,D121,1,1)</f>
        <v>$BB$154</v>
      </c>
      <c r="E111"/>
    </row>
    <row r="112" spans="1:5" x14ac:dyDescent="0.25">
      <c r="A112" s="30">
        <v>2.3579476910000019</v>
      </c>
      <c r="C112" s="1" t="str">
        <f>ADDRESS(C121,1,1,1)</f>
        <v>$A$155</v>
      </c>
      <c r="D112" s="1" t="str">
        <f>ADDRESS(C121,D121-1,1,1)</f>
        <v>$BA$155</v>
      </c>
      <c r="E112"/>
    </row>
    <row r="113" spans="1:6" x14ac:dyDescent="0.25">
      <c r="A113" s="30">
        <v>2.1435888100000016</v>
      </c>
      <c r="C113" s="1" t="str">
        <f>ADDRESS(C121+1,1,1,1)</f>
        <v>$A$156</v>
      </c>
      <c r="D113" s="1" t="str">
        <f>ADDRESS(C121-1,D121+1,1,1)</f>
        <v>$BC$154</v>
      </c>
    </row>
    <row r="114" spans="1:6" x14ac:dyDescent="0.25">
      <c r="A114" s="30">
        <v>1.9487171000000014</v>
      </c>
      <c r="C114" s="1" t="str">
        <f>ADDRESS(C121,D121,1,1)</f>
        <v>$BB$155</v>
      </c>
      <c r="D114" s="1" t="str">
        <f>ADDRESS(C121+1,D121+1,1,1)</f>
        <v>$BC$156</v>
      </c>
    </row>
    <row r="115" spans="1:6" x14ac:dyDescent="0.25">
      <c r="A115" s="30">
        <v>1.7715610000000011</v>
      </c>
      <c r="C115" s="1" t="str">
        <f>ADDRESS(C121+1,D121,1,1)</f>
        <v>$BB$156</v>
      </c>
    </row>
    <row r="116" spans="1:6" x14ac:dyDescent="0.25">
      <c r="A116" s="30">
        <v>1.6105100000000008</v>
      </c>
      <c r="C116" s="1">
        <f>C117-1</f>
        <v>154</v>
      </c>
    </row>
    <row r="117" spans="1:6" x14ac:dyDescent="0.25">
      <c r="A117" s="30">
        <v>1.4641000000000006</v>
      </c>
      <c r="C117" s="1">
        <f>C121</f>
        <v>155</v>
      </c>
      <c r="D117" s="1">
        <f>D121</f>
        <v>54</v>
      </c>
    </row>
    <row r="118" spans="1:6" x14ac:dyDescent="0.25">
      <c r="A118" s="30">
        <v>1.3310000000000004</v>
      </c>
      <c r="C118" s="1">
        <f>C117+1</f>
        <v>156</v>
      </c>
      <c r="D118" s="1">
        <f>D117+1</f>
        <v>55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155</v>
      </c>
      <c r="D121" s="19">
        <v>54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R155</v>
      </c>
      <c r="D123" s="1" t="str">
        <f>"C"&amp;D121</f>
        <v>C54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3.9142513012203929E-2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4" x14ac:dyDescent="0.25">
      <c r="A130" s="30">
        <v>0.42409761837248428</v>
      </c>
      <c r="C130" s="6"/>
      <c r="D130" s="6"/>
      <c r="E130"/>
      <c r="F130" s="27" t="s">
        <v>7</v>
      </c>
    </row>
    <row r="131" spans="1:54" x14ac:dyDescent="0.25">
      <c r="A131" s="30">
        <v>0.38554328942953109</v>
      </c>
      <c r="E131"/>
      <c r="F131" s="27" t="s">
        <v>7</v>
      </c>
    </row>
    <row r="132" spans="1:54" x14ac:dyDescent="0.25">
      <c r="A132" s="30">
        <v>0.35049389948139187</v>
      </c>
      <c r="C132" s="1" t="s">
        <v>13</v>
      </c>
      <c r="E132"/>
      <c r="F132" s="27" t="s">
        <v>7</v>
      </c>
    </row>
    <row r="133" spans="1:54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54" x14ac:dyDescent="0.25">
      <c r="A134" s="30">
        <v>0.28966437973668741</v>
      </c>
      <c r="C134"/>
      <c r="D134"/>
      <c r="E134"/>
      <c r="F134" s="27" t="s">
        <v>7</v>
      </c>
    </row>
    <row r="135" spans="1:54" x14ac:dyDescent="0.25">
      <c r="A135" s="30">
        <v>0.2633312543060794</v>
      </c>
      <c r="C135" s="1" t="s">
        <v>14</v>
      </c>
      <c r="E135"/>
      <c r="F135" s="27" t="s">
        <v>7</v>
      </c>
    </row>
    <row r="136" spans="1:5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54" x14ac:dyDescent="0.25">
      <c r="A137" s="30">
        <v>0.2176291357901482</v>
      </c>
      <c r="E137"/>
      <c r="F137" s="27" t="s">
        <v>7</v>
      </c>
    </row>
    <row r="138" spans="1:5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54" x14ac:dyDescent="0.25">
      <c r="A139" s="30">
        <v>0.17985878990921333</v>
      </c>
      <c r="E139"/>
      <c r="F139" s="27" t="s">
        <v>7</v>
      </c>
    </row>
    <row r="140" spans="1:54" x14ac:dyDescent="0.25">
      <c r="A140" s="30">
        <v>0.16350799082655756</v>
      </c>
      <c r="C140" s="1">
        <v>0</v>
      </c>
      <c r="E140"/>
      <c r="F140" s="27" t="s">
        <v>7</v>
      </c>
      <c r="AA140" s="27" t="s">
        <v>8</v>
      </c>
    </row>
    <row r="141" spans="1:54" x14ac:dyDescent="0.25">
      <c r="A141" s="30">
        <v>0.14864362802414322</v>
      </c>
      <c r="C141" s="1">
        <v>1</v>
      </c>
      <c r="E141"/>
      <c r="F141" s="27" t="s">
        <v>7</v>
      </c>
      <c r="AA141" s="27" t="s">
        <v>8</v>
      </c>
      <c r="AB141" s="27" t="s">
        <v>7</v>
      </c>
    </row>
    <row r="142" spans="1:54" x14ac:dyDescent="0.25">
      <c r="A142" s="30">
        <v>0.13513057093103928</v>
      </c>
      <c r="C142" s="1">
        <v>2</v>
      </c>
      <c r="E142"/>
      <c r="F142" s="27" t="s">
        <v>7</v>
      </c>
      <c r="AA142" s="27" t="s">
        <v>8</v>
      </c>
      <c r="AB142" s="27" t="s">
        <v>7</v>
      </c>
      <c r="AQ142" s="27" t="s">
        <v>8</v>
      </c>
      <c r="AU142" s="27" t="s">
        <v>8</v>
      </c>
      <c r="BA142" s="27" t="s">
        <v>8</v>
      </c>
    </row>
    <row r="143" spans="1:54" x14ac:dyDescent="0.25">
      <c r="A143" s="30">
        <v>0.12284597357367205</v>
      </c>
      <c r="C143" s="1">
        <v>3</v>
      </c>
      <c r="E143"/>
      <c r="F143" s="27" t="s">
        <v>7</v>
      </c>
      <c r="AA143" s="27" t="s">
        <v>8</v>
      </c>
      <c r="AB143" s="27" t="s">
        <v>7</v>
      </c>
      <c r="AC143" s="27" t="s">
        <v>8</v>
      </c>
      <c r="AE143" s="27" t="s">
        <v>8</v>
      </c>
      <c r="AG143" s="27" t="s">
        <v>8</v>
      </c>
      <c r="AQ143" s="27" t="s">
        <v>8</v>
      </c>
      <c r="AR143" s="27" t="s">
        <v>7</v>
      </c>
      <c r="AU143" s="27" t="s">
        <v>8</v>
      </c>
      <c r="AV143" s="27" t="s">
        <v>7</v>
      </c>
      <c r="BA143" s="27" t="s">
        <v>8</v>
      </c>
      <c r="BB143" s="27" t="s">
        <v>7</v>
      </c>
    </row>
    <row r="144" spans="1:54" x14ac:dyDescent="0.25">
      <c r="A144" s="30">
        <v>0.11167815779424731</v>
      </c>
      <c r="C144" s="1">
        <v>4</v>
      </c>
      <c r="E144"/>
      <c r="F144" s="27" t="s">
        <v>7</v>
      </c>
      <c r="AA144" s="27" t="s">
        <v>8</v>
      </c>
      <c r="AB144" s="27" t="s">
        <v>7</v>
      </c>
      <c r="AC144" s="27" t="s">
        <v>8</v>
      </c>
      <c r="AD144" s="27" t="s">
        <v>7</v>
      </c>
      <c r="AE144" s="27" t="s">
        <v>8</v>
      </c>
      <c r="AF144" s="27" t="s">
        <v>7</v>
      </c>
      <c r="AG144" s="27" t="s">
        <v>8</v>
      </c>
      <c r="AH144" s="27" t="s">
        <v>7</v>
      </c>
      <c r="AQ144" s="27" t="s">
        <v>8</v>
      </c>
      <c r="AR144" s="27" t="s">
        <v>7</v>
      </c>
      <c r="AU144" s="27" t="s">
        <v>8</v>
      </c>
      <c r="AV144" s="27" t="s">
        <v>7</v>
      </c>
      <c r="AW144" s="27" t="s">
        <v>8</v>
      </c>
      <c r="BA144" s="27" t="s">
        <v>8</v>
      </c>
      <c r="BB144" s="27" t="s">
        <v>7</v>
      </c>
    </row>
    <row r="145" spans="1:54" x14ac:dyDescent="0.25">
      <c r="A145" s="30">
        <v>0.10152559799477026</v>
      </c>
      <c r="B145"/>
      <c r="C145"/>
      <c r="D145"/>
      <c r="E145"/>
      <c r="F145" s="27" t="s">
        <v>7</v>
      </c>
      <c r="Y145" s="27" t="s">
        <v>8</v>
      </c>
      <c r="AA145" s="27" t="s">
        <v>8</v>
      </c>
      <c r="AB145" s="27" t="s">
        <v>7</v>
      </c>
      <c r="AC145" s="27" t="s">
        <v>8</v>
      </c>
      <c r="AD145" s="27" t="s">
        <v>7</v>
      </c>
      <c r="AE145" s="27" t="s">
        <v>8</v>
      </c>
      <c r="AF145" s="27" t="s">
        <v>7</v>
      </c>
      <c r="AG145" s="27" t="s">
        <v>8</v>
      </c>
      <c r="AH145" s="27" t="s">
        <v>7</v>
      </c>
      <c r="AQ145" s="27" t="s">
        <v>8</v>
      </c>
      <c r="AR145" s="27" t="s">
        <v>7</v>
      </c>
      <c r="AS145" s="27" t="s">
        <v>8</v>
      </c>
      <c r="AU145" s="27" t="s">
        <v>8</v>
      </c>
      <c r="AV145" s="27" t="s">
        <v>7</v>
      </c>
      <c r="AW145" s="27" t="s">
        <v>8</v>
      </c>
      <c r="AX145" s="27" t="s">
        <v>7</v>
      </c>
      <c r="BA145" s="27" t="s">
        <v>8</v>
      </c>
      <c r="BB145" s="27" t="s">
        <v>7</v>
      </c>
    </row>
    <row r="146" spans="1:54" x14ac:dyDescent="0.25">
      <c r="A146" s="30">
        <v>9.2295998177063854E-2</v>
      </c>
      <c r="B146"/>
      <c r="C146"/>
      <c r="D146"/>
      <c r="E146"/>
      <c r="F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D146" s="27" t="s">
        <v>7</v>
      </c>
      <c r="AE146" s="27" t="s">
        <v>8</v>
      </c>
      <c r="AF146" s="27" t="s">
        <v>7</v>
      </c>
      <c r="AH146" s="27" t="s">
        <v>7</v>
      </c>
      <c r="AQ146" s="27" t="s">
        <v>8</v>
      </c>
      <c r="AR146" s="27" t="s">
        <v>7</v>
      </c>
      <c r="AS146" s="27" t="s">
        <v>8</v>
      </c>
      <c r="AT146" s="27" t="s">
        <v>7</v>
      </c>
      <c r="AU146" s="27" t="s">
        <v>8</v>
      </c>
      <c r="AV146" s="27" t="s">
        <v>7</v>
      </c>
      <c r="AW146" s="27" t="s">
        <v>8</v>
      </c>
      <c r="AX146" s="27" t="s">
        <v>7</v>
      </c>
      <c r="BA146" s="27" t="s">
        <v>8</v>
      </c>
      <c r="BB146" s="27" t="s">
        <v>7</v>
      </c>
    </row>
    <row r="147" spans="1:54" x14ac:dyDescent="0.25">
      <c r="A147" s="30">
        <v>8.3905452888239848E-2</v>
      </c>
      <c r="B147"/>
      <c r="C147"/>
      <c r="D147"/>
      <c r="E147"/>
      <c r="F147" s="27" t="s">
        <v>7</v>
      </c>
      <c r="Q147" s="27" t="s">
        <v>8</v>
      </c>
      <c r="Y147" s="27" t="s">
        <v>8</v>
      </c>
      <c r="Z147" s="27" t="s">
        <v>7</v>
      </c>
      <c r="AA147" s="27" t="s">
        <v>8</v>
      </c>
      <c r="AD147" s="27" t="s">
        <v>7</v>
      </c>
      <c r="AE147" s="27" t="s">
        <v>8</v>
      </c>
      <c r="AH147" s="27" t="s">
        <v>7</v>
      </c>
      <c r="AQ147" s="27" t="s">
        <v>8</v>
      </c>
      <c r="AR147" s="27" t="s">
        <v>7</v>
      </c>
      <c r="AS147" s="27" t="s">
        <v>8</v>
      </c>
      <c r="AT147" s="27" t="s">
        <v>7</v>
      </c>
      <c r="AU147" s="27" t="s">
        <v>8</v>
      </c>
      <c r="AV147" s="27" t="s">
        <v>7</v>
      </c>
      <c r="AW147" s="27" t="s">
        <v>8</v>
      </c>
      <c r="AX147" s="27" t="s">
        <v>7</v>
      </c>
      <c r="AY147" s="27" t="s">
        <v>8</v>
      </c>
      <c r="BA147" s="27" t="s">
        <v>8</v>
      </c>
      <c r="BB147" s="27" t="s">
        <v>7</v>
      </c>
    </row>
    <row r="148" spans="1:54" x14ac:dyDescent="0.25">
      <c r="A148" s="30">
        <v>7.6277684443854396E-2</v>
      </c>
      <c r="B148"/>
      <c r="C148"/>
      <c r="D148"/>
      <c r="E148"/>
      <c r="F148" s="27" t="s">
        <v>7</v>
      </c>
      <c r="Q148" s="27" t="s">
        <v>8</v>
      </c>
      <c r="R148" s="27" t="s">
        <v>7</v>
      </c>
      <c r="W148" s="27" t="s">
        <v>8</v>
      </c>
      <c r="Y148" s="27" t="s">
        <v>8</v>
      </c>
      <c r="Z148" s="27" t="s">
        <v>7</v>
      </c>
      <c r="AD148" s="27" t="s">
        <v>7</v>
      </c>
      <c r="AE148" s="27" t="s">
        <v>8</v>
      </c>
      <c r="AH148" s="27" t="s">
        <v>7</v>
      </c>
      <c r="AQ148" s="27" t="s">
        <v>8</v>
      </c>
      <c r="AR148" s="27" t="s">
        <v>7</v>
      </c>
      <c r="AS148" s="27" t="s">
        <v>8</v>
      </c>
      <c r="AT148" s="27" t="s">
        <v>7</v>
      </c>
      <c r="AU148" s="27" t="s">
        <v>8</v>
      </c>
      <c r="AV148" s="27" t="s">
        <v>7</v>
      </c>
      <c r="AX148" s="27" t="s">
        <v>7</v>
      </c>
      <c r="AY148" s="27" t="s">
        <v>8</v>
      </c>
      <c r="AZ148" s="27" t="s">
        <v>7</v>
      </c>
      <c r="BA148" s="27" t="s">
        <v>8</v>
      </c>
      <c r="BB148" s="27" t="s">
        <v>7</v>
      </c>
    </row>
    <row r="149" spans="1:54" x14ac:dyDescent="0.25">
      <c r="A149" s="30">
        <v>6.9343349494413078E-2</v>
      </c>
      <c r="B149"/>
      <c r="C149"/>
      <c r="D149"/>
      <c r="E149"/>
      <c r="F149" s="27" t="s">
        <v>7</v>
      </c>
      <c r="Q149" s="27" t="s">
        <v>8</v>
      </c>
      <c r="R149" s="27" t="s">
        <v>7</v>
      </c>
      <c r="W149" s="27" t="s">
        <v>8</v>
      </c>
      <c r="X149" s="27" t="s">
        <v>7</v>
      </c>
      <c r="Y149" s="27" t="s">
        <v>8</v>
      </c>
      <c r="AD149" s="27" t="s">
        <v>7</v>
      </c>
      <c r="AE149" s="27" t="s">
        <v>8</v>
      </c>
      <c r="AH149" s="27" t="s">
        <v>7</v>
      </c>
      <c r="AO149" s="27" t="s">
        <v>8</v>
      </c>
      <c r="AQ149" s="27" t="s">
        <v>8</v>
      </c>
      <c r="AR149" s="27" t="s">
        <v>7</v>
      </c>
      <c r="AS149" s="27" t="s">
        <v>8</v>
      </c>
      <c r="AT149" s="27" t="s">
        <v>7</v>
      </c>
      <c r="AU149" s="27" t="s">
        <v>8</v>
      </c>
      <c r="AX149" s="27" t="s">
        <v>7</v>
      </c>
      <c r="AY149" s="27" t="s">
        <v>8</v>
      </c>
      <c r="AZ149" s="27" t="s">
        <v>7</v>
      </c>
      <c r="BA149" s="27" t="s">
        <v>8</v>
      </c>
      <c r="BB149" s="27" t="s">
        <v>7</v>
      </c>
    </row>
    <row r="150" spans="1:54" x14ac:dyDescent="0.25">
      <c r="A150" s="30">
        <v>6.3039408631284613E-2</v>
      </c>
      <c r="B150"/>
      <c r="C150"/>
      <c r="D150"/>
      <c r="E150"/>
      <c r="F150" s="27" t="s">
        <v>7</v>
      </c>
      <c r="Q150" s="27" t="s">
        <v>8</v>
      </c>
      <c r="R150" s="27" t="s">
        <v>7</v>
      </c>
      <c r="S150" s="27" t="s">
        <v>8</v>
      </c>
      <c r="U150" s="27" t="s">
        <v>8</v>
      </c>
      <c r="W150" s="27" t="s">
        <v>8</v>
      </c>
      <c r="X150" s="27" t="s">
        <v>7</v>
      </c>
      <c r="Y150" s="27" t="s">
        <v>8</v>
      </c>
      <c r="AD150" s="27" t="s">
        <v>7</v>
      </c>
      <c r="AH150" s="27" t="s">
        <v>7</v>
      </c>
      <c r="AO150" s="27" t="s">
        <v>8</v>
      </c>
      <c r="AP150" s="27" t="s">
        <v>7</v>
      </c>
      <c r="AQ150" s="27" t="s">
        <v>8</v>
      </c>
      <c r="AR150" s="27" t="s">
        <v>7</v>
      </c>
      <c r="AT150" s="27" t="s">
        <v>7</v>
      </c>
      <c r="AU150" s="27" t="s">
        <v>8</v>
      </c>
      <c r="AX150" s="27" t="s">
        <v>7</v>
      </c>
      <c r="AZ150" s="27" t="s">
        <v>7</v>
      </c>
      <c r="BA150" s="27" t="s">
        <v>8</v>
      </c>
      <c r="BB150" s="27" t="s">
        <v>7</v>
      </c>
    </row>
    <row r="151" spans="1:54" x14ac:dyDescent="0.25">
      <c r="A151" s="30">
        <v>5.7308553301167818E-2</v>
      </c>
      <c r="B151"/>
      <c r="C151"/>
      <c r="D151"/>
      <c r="E151"/>
      <c r="F151" s="27" t="s">
        <v>7</v>
      </c>
      <c r="O151" s="27" t="s">
        <v>8</v>
      </c>
      <c r="Q151" s="27" t="s">
        <v>8</v>
      </c>
      <c r="R151" s="27" t="s">
        <v>7</v>
      </c>
      <c r="S151" s="27" t="s">
        <v>8</v>
      </c>
      <c r="T151" s="27" t="s">
        <v>7</v>
      </c>
      <c r="U151" s="27" t="s">
        <v>8</v>
      </c>
      <c r="V151" s="27" t="s">
        <v>7</v>
      </c>
      <c r="W151" s="27" t="s">
        <v>8</v>
      </c>
      <c r="X151" s="27" t="s">
        <v>7</v>
      </c>
      <c r="AH151" s="27" t="s">
        <v>7</v>
      </c>
      <c r="AK151" s="27" t="s">
        <v>8</v>
      </c>
      <c r="AO151" s="27" t="s">
        <v>8</v>
      </c>
      <c r="AP151" s="27" t="s">
        <v>7</v>
      </c>
      <c r="AQ151" s="27" t="s">
        <v>8</v>
      </c>
      <c r="AT151" s="27" t="s">
        <v>7</v>
      </c>
      <c r="AZ151" s="27" t="s">
        <v>7</v>
      </c>
      <c r="BB151" s="27" t="s">
        <v>7</v>
      </c>
    </row>
    <row r="152" spans="1:54" x14ac:dyDescent="0.25">
      <c r="A152" s="30">
        <v>5.2098684819243464E-2</v>
      </c>
      <c r="B152"/>
      <c r="C152"/>
      <c r="D152"/>
      <c r="E152"/>
      <c r="F152" s="27" t="s">
        <v>7</v>
      </c>
      <c r="M152" s="27" t="s">
        <v>8</v>
      </c>
      <c r="O152" s="27" t="s">
        <v>8</v>
      </c>
      <c r="P152" s="27" t="s">
        <v>7</v>
      </c>
      <c r="Q152" s="27" t="s">
        <v>8</v>
      </c>
      <c r="R152" s="27" t="s">
        <v>7</v>
      </c>
      <c r="S152" s="27" t="s">
        <v>8</v>
      </c>
      <c r="T152" s="27" t="s">
        <v>7</v>
      </c>
      <c r="U152" s="27" t="s">
        <v>8</v>
      </c>
      <c r="V152" s="27" t="s">
        <v>7</v>
      </c>
      <c r="W152" s="27" t="s">
        <v>8</v>
      </c>
      <c r="AH152" s="27" t="s">
        <v>7</v>
      </c>
      <c r="AK152" s="27" t="s">
        <v>8</v>
      </c>
      <c r="AL152" s="27" t="s">
        <v>7</v>
      </c>
      <c r="AO152" s="27" t="s">
        <v>8</v>
      </c>
      <c r="AP152" s="27" t="s">
        <v>7</v>
      </c>
      <c r="AQ152" s="27" t="s">
        <v>8</v>
      </c>
      <c r="BB152" s="27" t="s">
        <v>7</v>
      </c>
    </row>
    <row r="153" spans="1:54" x14ac:dyDescent="0.25">
      <c r="A153" s="30">
        <v>4.7362440744766775E-2</v>
      </c>
      <c r="B153"/>
      <c r="C153"/>
      <c r="D153"/>
      <c r="E153"/>
      <c r="F153" s="27" t="s">
        <v>7</v>
      </c>
      <c r="M153" s="27" t="s">
        <v>8</v>
      </c>
      <c r="N153" s="27" t="s">
        <v>7</v>
      </c>
      <c r="O153" s="27" t="s">
        <v>8</v>
      </c>
      <c r="P153" s="27" t="s">
        <v>7</v>
      </c>
      <c r="Q153" s="27" t="s">
        <v>8</v>
      </c>
      <c r="R153" s="27" t="s">
        <v>7</v>
      </c>
      <c r="S153" s="27" t="s">
        <v>8</v>
      </c>
      <c r="T153" s="27" t="s">
        <v>7</v>
      </c>
      <c r="U153" s="27" t="s">
        <v>8</v>
      </c>
      <c r="V153" s="27" t="s">
        <v>7</v>
      </c>
      <c r="AH153" s="27" t="s">
        <v>7</v>
      </c>
      <c r="AK153" s="27" t="s">
        <v>8</v>
      </c>
      <c r="AL153" s="27" t="s">
        <v>7</v>
      </c>
      <c r="AO153" s="27" t="s">
        <v>8</v>
      </c>
      <c r="AP153" s="27" t="s">
        <v>7</v>
      </c>
      <c r="BB153" s="27" t="s">
        <v>7</v>
      </c>
    </row>
    <row r="154" spans="1:54" x14ac:dyDescent="0.25">
      <c r="A154" s="30">
        <v>4.3056764313424332E-2</v>
      </c>
      <c r="B154"/>
      <c r="C154"/>
      <c r="D154"/>
      <c r="E154"/>
      <c r="F154" s="27" t="s">
        <v>7</v>
      </c>
      <c r="M154" s="27" t="s">
        <v>8</v>
      </c>
      <c r="N154" s="27" t="s">
        <v>7</v>
      </c>
      <c r="O154" s="27" t="s">
        <v>8</v>
      </c>
      <c r="P154" s="27" t="s">
        <v>7</v>
      </c>
      <c r="Q154" s="27" t="s">
        <v>8</v>
      </c>
      <c r="R154" s="27" t="s">
        <v>7</v>
      </c>
      <c r="S154" s="27" t="s">
        <v>8</v>
      </c>
      <c r="T154" s="27" t="s">
        <v>7</v>
      </c>
      <c r="U154" s="27" t="s">
        <v>8</v>
      </c>
      <c r="AH154" s="27" t="s">
        <v>7</v>
      </c>
      <c r="AI154" s="27" t="s">
        <v>8</v>
      </c>
      <c r="AK154" s="27" t="s">
        <v>8</v>
      </c>
      <c r="AL154" s="27" t="s">
        <v>7</v>
      </c>
      <c r="AO154" s="27" t="s">
        <v>8</v>
      </c>
      <c r="BB154" s="27" t="s">
        <v>7</v>
      </c>
    </row>
    <row r="155" spans="1:54" x14ac:dyDescent="0.25">
      <c r="A155" s="30">
        <v>3.9142513012203929E-2</v>
      </c>
      <c r="B155"/>
      <c r="C155"/>
      <c r="D155"/>
      <c r="E155"/>
      <c r="F155" s="27" t="s">
        <v>7</v>
      </c>
      <c r="M155" s="27" t="s">
        <v>8</v>
      </c>
      <c r="N155" s="27" t="s">
        <v>7</v>
      </c>
      <c r="O155" s="27" t="s">
        <v>8</v>
      </c>
      <c r="P155" s="27" t="s">
        <v>7</v>
      </c>
      <c r="R155" s="27" t="s">
        <v>7</v>
      </c>
      <c r="T155" s="27" t="s">
        <v>7</v>
      </c>
      <c r="AH155" s="27" t="s">
        <v>7</v>
      </c>
      <c r="AI155" s="27" t="s">
        <v>8</v>
      </c>
      <c r="AJ155" s="27" t="s">
        <v>7</v>
      </c>
      <c r="AK155" s="27" t="s">
        <v>8</v>
      </c>
      <c r="AL155" s="27" t="s">
        <v>7</v>
      </c>
      <c r="AO155" s="27" t="s">
        <v>8</v>
      </c>
      <c r="BB155" s="27" t="s">
        <v>7</v>
      </c>
    </row>
    <row r="156" spans="1:54" x14ac:dyDescent="0.25">
      <c r="A156" s="30">
        <v>3.55841027383672E-2</v>
      </c>
      <c r="B156"/>
      <c r="C156"/>
      <c r="D156"/>
      <c r="E156"/>
      <c r="F156" s="27" t="s">
        <v>7</v>
      </c>
      <c r="M156" s="27" t="s">
        <v>8</v>
      </c>
      <c r="N156" s="27" t="s">
        <v>7</v>
      </c>
      <c r="AH156" s="27" t="s">
        <v>7</v>
      </c>
      <c r="AI156" s="27" t="s">
        <v>8</v>
      </c>
      <c r="AJ156" s="27" t="s">
        <v>7</v>
      </c>
      <c r="AK156" s="27" t="s">
        <v>8</v>
      </c>
      <c r="AL156" s="27" t="s">
        <v>7</v>
      </c>
      <c r="AO156" s="27" t="s">
        <v>8</v>
      </c>
    </row>
    <row r="157" spans="1:54" x14ac:dyDescent="0.25">
      <c r="A157" s="30">
        <v>3.2349184307606541E-2</v>
      </c>
      <c r="B157"/>
      <c r="C157"/>
      <c r="D157"/>
      <c r="E157"/>
      <c r="F157" s="27" t="s">
        <v>7</v>
      </c>
      <c r="M157" s="27" t="s">
        <v>8</v>
      </c>
      <c r="AH157" s="27" t="s">
        <v>7</v>
      </c>
      <c r="AI157" s="27" t="s">
        <v>8</v>
      </c>
      <c r="AJ157" s="27" t="s">
        <v>7</v>
      </c>
      <c r="AL157" s="27" t="s">
        <v>7</v>
      </c>
      <c r="AM157" s="27" t="s">
        <v>8</v>
      </c>
      <c r="AO157" s="27" t="s">
        <v>8</v>
      </c>
    </row>
    <row r="158" spans="1:54" x14ac:dyDescent="0.25">
      <c r="A158" s="30">
        <v>2.9408349370551395E-2</v>
      </c>
      <c r="B158"/>
      <c r="C158"/>
      <c r="D158"/>
      <c r="E158"/>
      <c r="F158" s="27" t="s">
        <v>7</v>
      </c>
      <c r="M158" s="27" t="s">
        <v>8</v>
      </c>
      <c r="AH158" s="27" t="s">
        <v>7</v>
      </c>
      <c r="AL158" s="27" t="s">
        <v>7</v>
      </c>
      <c r="AM158" s="27" t="s">
        <v>8</v>
      </c>
      <c r="AN158" s="27" t="s">
        <v>7</v>
      </c>
      <c r="AO158" s="27" t="s">
        <v>8</v>
      </c>
    </row>
    <row r="159" spans="1:54" x14ac:dyDescent="0.25">
      <c r="A159" s="30">
        <v>2.6734863064137627E-2</v>
      </c>
      <c r="B159"/>
      <c r="C159"/>
      <c r="D159"/>
      <c r="E159"/>
      <c r="F159" s="27" t="s">
        <v>7</v>
      </c>
      <c r="K159" s="27" t="s">
        <v>8</v>
      </c>
      <c r="M159" s="27" t="s">
        <v>8</v>
      </c>
      <c r="AL159" s="27" t="s">
        <v>7</v>
      </c>
      <c r="AM159" s="27" t="s">
        <v>8</v>
      </c>
      <c r="AN159" s="27" t="s">
        <v>7</v>
      </c>
      <c r="AO159" s="27" t="s">
        <v>8</v>
      </c>
    </row>
    <row r="160" spans="1:54" x14ac:dyDescent="0.25">
      <c r="A160" s="30">
        <v>2.4304420967397839E-2</v>
      </c>
      <c r="B160"/>
      <c r="C160"/>
      <c r="D160"/>
      <c r="E160"/>
      <c r="F160" s="27" t="s">
        <v>7</v>
      </c>
      <c r="K160" s="27" t="s">
        <v>8</v>
      </c>
      <c r="L160" s="27" t="s">
        <v>7</v>
      </c>
      <c r="M160" s="27" t="s">
        <v>8</v>
      </c>
      <c r="AL160" s="27" t="s">
        <v>7</v>
      </c>
      <c r="AM160" s="27" t="s">
        <v>8</v>
      </c>
      <c r="AN160" s="18" t="s">
        <v>7</v>
      </c>
      <c r="AO160" s="27" t="s">
        <v>8</v>
      </c>
    </row>
    <row r="161" spans="1:41" x14ac:dyDescent="0.25">
      <c r="A161" s="30">
        <v>2.2094928152179852E-2</v>
      </c>
      <c r="B161"/>
      <c r="C161"/>
      <c r="D161"/>
      <c r="E161"/>
      <c r="F161" s="27" t="s">
        <v>7</v>
      </c>
      <c r="I161" s="27" t="s">
        <v>8</v>
      </c>
      <c r="K161" s="27" t="s">
        <v>8</v>
      </c>
      <c r="L161" s="27" t="s">
        <v>7</v>
      </c>
      <c r="M161" s="27" t="s">
        <v>8</v>
      </c>
      <c r="AL161" s="27" t="s">
        <v>7</v>
      </c>
      <c r="AM161" s="27" t="s">
        <v>8</v>
      </c>
      <c r="AN161" s="27" t="s">
        <v>7</v>
      </c>
      <c r="AO161" s="27" t="s">
        <v>8</v>
      </c>
    </row>
    <row r="162" spans="1:41" x14ac:dyDescent="0.25">
      <c r="A162" s="30">
        <v>2.0086298320163499E-2</v>
      </c>
      <c r="B162"/>
      <c r="C162"/>
      <c r="D162"/>
      <c r="E162"/>
      <c r="F162" s="27" t="s">
        <v>7</v>
      </c>
      <c r="I162" s="27" t="s">
        <v>8</v>
      </c>
      <c r="J162" s="27" t="s">
        <v>7</v>
      </c>
      <c r="K162" s="27" t="s">
        <v>8</v>
      </c>
      <c r="L162" s="27" t="s">
        <v>7</v>
      </c>
      <c r="AL162" s="27" t="s">
        <v>7</v>
      </c>
      <c r="AN162" s="27" t="s">
        <v>7</v>
      </c>
    </row>
    <row r="163" spans="1:41" x14ac:dyDescent="0.25">
      <c r="A163" s="30">
        <v>1.8260271200148632E-2</v>
      </c>
      <c r="B163"/>
      <c r="C163"/>
      <c r="D163"/>
      <c r="E163"/>
      <c r="F163" s="27" t="s">
        <v>7</v>
      </c>
      <c r="I163" s="27" t="s">
        <v>8</v>
      </c>
      <c r="J163" s="27" t="s">
        <v>7</v>
      </c>
      <c r="K163" s="27" t="s">
        <v>8</v>
      </c>
    </row>
    <row r="164" spans="1:41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I164" s="27" t="s">
        <v>8</v>
      </c>
      <c r="J164" s="27" t="s">
        <v>7</v>
      </c>
    </row>
    <row r="165" spans="1:41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I165" s="27" t="s">
        <v>8</v>
      </c>
    </row>
    <row r="166" spans="1:41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</row>
    <row r="167" spans="1:41" x14ac:dyDescent="0.25">
      <c r="A167" s="30">
        <v>1.2472010928316795E-2</v>
      </c>
      <c r="B167"/>
      <c r="C167"/>
      <c r="D167"/>
      <c r="E167"/>
      <c r="F167" s="27" t="s">
        <v>7</v>
      </c>
      <c r="H167" s="27" t="s">
        <v>7</v>
      </c>
      <c r="I167" s="27" t="s">
        <v>8</v>
      </c>
    </row>
    <row r="168" spans="1:41" x14ac:dyDescent="0.25">
      <c r="A168" s="30">
        <v>1.1338191753015267E-2</v>
      </c>
      <c r="B168"/>
      <c r="C168"/>
      <c r="D168"/>
      <c r="E168"/>
      <c r="H168" s="27" t="s">
        <v>7</v>
      </c>
    </row>
    <row r="169" spans="1:41" x14ac:dyDescent="0.25">
      <c r="A169" s="30">
        <v>1.0307447048195697E-2</v>
      </c>
      <c r="B169"/>
      <c r="C169"/>
      <c r="D169"/>
      <c r="E169"/>
    </row>
    <row r="170" spans="1:41" x14ac:dyDescent="0.25">
      <c r="A170" s="30">
        <v>9.3704064074506318E-3</v>
      </c>
      <c r="B170"/>
      <c r="C170"/>
      <c r="D170"/>
      <c r="E170"/>
    </row>
    <row r="171" spans="1:41" x14ac:dyDescent="0.25">
      <c r="A171" s="30">
        <v>8.5185512795005747E-3</v>
      </c>
    </row>
    <row r="172" spans="1:41" x14ac:dyDescent="0.25">
      <c r="A172" s="30">
        <v>7.744137526818704E-3</v>
      </c>
    </row>
    <row r="173" spans="1:41" x14ac:dyDescent="0.25">
      <c r="A173" s="30">
        <v>7.0401250243806394E-3</v>
      </c>
    </row>
    <row r="174" spans="1:41" x14ac:dyDescent="0.25">
      <c r="A174" s="30">
        <v>6.4001136585278536E-3</v>
      </c>
    </row>
    <row r="175" spans="1:41" x14ac:dyDescent="0.25">
      <c r="A175" s="30">
        <v>5.8182851441162305E-3</v>
      </c>
    </row>
    <row r="176" spans="1:41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41" operator="equal">
      <formula>$U$1</formula>
    </cfRule>
    <cfRule type="cellIs" dxfId="30" priority="842" operator="equal">
      <formula>$S$1</formula>
    </cfRule>
  </conditionalFormatting>
  <conditionalFormatting sqref="D136">
    <cfRule type="cellIs" dxfId="29" priority="839" operator="equal">
      <formula>$S$1</formula>
    </cfRule>
    <cfRule type="cellIs" dxfId="28" priority="840" operator="equal">
      <formula>$U$1</formula>
    </cfRule>
  </conditionalFormatting>
  <conditionalFormatting sqref="C102">
    <cfRule type="cellIs" dxfId="27" priority="837" operator="equal">
      <formula>$U$1</formula>
    </cfRule>
    <cfRule type="cellIs" dxfId="26" priority="838" operator="equal">
      <formula>$S$1</formula>
    </cfRule>
  </conditionalFormatting>
  <conditionalFormatting sqref="D102">
    <cfRule type="cellIs" dxfId="25" priority="835" operator="equal">
      <formula>$S$1</formula>
    </cfRule>
    <cfRule type="cellIs" dxfId="24" priority="836" operator="equal">
      <formula>$U$1</formula>
    </cfRule>
  </conditionalFormatting>
  <conditionalFormatting sqref="C77">
    <cfRule type="cellIs" dxfId="23" priority="833" operator="equal">
      <formula>$U$1</formula>
    </cfRule>
    <cfRule type="cellIs" dxfId="22" priority="834" operator="equal">
      <formula>$S$1</formula>
    </cfRule>
  </conditionalFormatting>
  <conditionalFormatting sqref="D77">
    <cfRule type="cellIs" dxfId="21" priority="831" operator="equal">
      <formula>$S$1</formula>
    </cfRule>
    <cfRule type="cellIs" dxfId="20" priority="832" operator="equal">
      <formula>$U$1</formula>
    </cfRule>
  </conditionalFormatting>
  <conditionalFormatting sqref="C52">
    <cfRule type="cellIs" dxfId="19" priority="829" operator="equal">
      <formula>$U$1</formula>
    </cfRule>
    <cfRule type="cellIs" dxfId="18" priority="830" operator="equal">
      <formula>$S$1</formula>
    </cfRule>
  </conditionalFormatting>
  <conditionalFormatting sqref="D52">
    <cfRule type="cellIs" dxfId="17" priority="827" operator="equal">
      <formula>$S$1</formula>
    </cfRule>
    <cfRule type="cellIs" dxfId="16" priority="828" operator="equal">
      <formula>$U$1</formula>
    </cfRule>
  </conditionalFormatting>
  <conditionalFormatting sqref="C26">
    <cfRule type="cellIs" dxfId="15" priority="825" operator="equal">
      <formula>$U$1</formula>
    </cfRule>
    <cfRule type="cellIs" dxfId="14" priority="826" operator="equal">
      <formula>$S$1</formula>
    </cfRule>
  </conditionalFormatting>
  <conditionalFormatting sqref="D26">
    <cfRule type="cellIs" dxfId="13" priority="823" operator="equal">
      <formula>$S$1</formula>
    </cfRule>
    <cfRule type="cellIs" dxfId="12" priority="82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2022-01-28T01:16:47Z</dcterms:modified>
</cp:coreProperties>
</file>