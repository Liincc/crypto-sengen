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EF495185-FD05-43EC-BE0B-B7198ED1E891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6" i="5"/>
  <c r="C122" i="5"/>
  <c r="C133" i="5" s="1"/>
  <c r="D136" i="5" s="1"/>
  <c r="C116" i="4"/>
  <c r="C122" i="3"/>
  <c r="C133" i="3" s="1"/>
  <c r="C136" i="3" s="1"/>
  <c r="C118" i="3"/>
  <c r="C122" i="4"/>
  <c r="C133" i="4" s="1"/>
  <c r="C136" i="4" s="1"/>
  <c r="R765" i="1"/>
  <c r="S765" i="1" s="1"/>
  <c r="T765" i="1" s="1"/>
  <c r="C136" i="5" l="1"/>
  <c r="C138" i="5" s="1"/>
  <c r="R764" i="1"/>
  <c r="R763" i="1" s="1"/>
  <c r="D136" i="3"/>
  <c r="C138" i="3" s="1"/>
  <c r="D136" i="4"/>
  <c r="C138" i="4" s="1"/>
  <c r="S764" i="1" l="1"/>
  <c r="T764" i="1" s="1"/>
  <c r="R762" i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S164" i="1" l="1"/>
  <c r="T164" i="1" s="1"/>
  <c r="R163" i="1"/>
  <c r="S163" i="1" l="1"/>
  <c r="T163" i="1" s="1"/>
  <c r="R162" i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S151" i="1" l="1"/>
  <c r="T151" i="1" s="1"/>
  <c r="R150" i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S140" i="1" l="1"/>
  <c r="T140" i="1" s="1"/>
  <c r="R139" i="1"/>
  <c r="S139" i="1" l="1"/>
  <c r="T139" i="1" s="1"/>
  <c r="R138" i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S127" i="1" l="1"/>
  <c r="T127" i="1" s="1"/>
  <c r="R126" i="1"/>
  <c r="R125" i="1" l="1"/>
  <c r="S126" i="1"/>
  <c r="T126" i="1" s="1"/>
  <c r="R124" i="1" l="1"/>
  <c r="S125" i="1"/>
  <c r="T125" i="1" s="1"/>
  <c r="S124" i="1" l="1"/>
  <c r="T124" i="1" s="1"/>
  <c r="R123" i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S116" i="1" l="1"/>
  <c r="T116" i="1" s="1"/>
  <c r="R115" i="1"/>
  <c r="S115" i="1" l="1"/>
  <c r="T115" i="1" s="1"/>
  <c r="R114" i="1"/>
  <c r="R113" i="1" l="1"/>
  <c r="S114" i="1"/>
  <c r="T114" i="1" s="1"/>
  <c r="R112" i="1" l="1"/>
  <c r="S113" i="1"/>
  <c r="T113" i="1" s="1"/>
  <c r="R111" i="1" l="1"/>
  <c r="S112" i="1"/>
  <c r="T112" i="1" s="1"/>
  <c r="S111" i="1" l="1"/>
  <c r="T111" i="1" s="1"/>
  <c r="R110" i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S103" i="1" l="1"/>
  <c r="T103" i="1" s="1"/>
  <c r="R102" i="1"/>
  <c r="R101" i="1" l="1"/>
  <c r="S102" i="1"/>
  <c r="T102" i="1" s="1"/>
  <c r="R100" i="1" l="1"/>
  <c r="S101" i="1"/>
  <c r="T101" i="1" s="1"/>
  <c r="S100" i="1" l="1"/>
  <c r="T100" i="1" s="1"/>
  <c r="R99" i="1"/>
  <c r="S99" i="1" l="1"/>
  <c r="T99" i="1" s="1"/>
  <c r="R98" i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S92" i="1" l="1"/>
  <c r="T92" i="1" s="1"/>
  <c r="R91" i="1"/>
  <c r="S91" i="1" l="1"/>
  <c r="T91" i="1" s="1"/>
  <c r="R90" i="1"/>
  <c r="S90" i="1" l="1"/>
  <c r="T90" i="1" s="1"/>
  <c r="R89" i="1"/>
  <c r="S89" i="1" l="1"/>
  <c r="T89" i="1" s="1"/>
  <c r="R88" i="1"/>
  <c r="S88" i="1" l="1"/>
  <c r="T88" i="1" s="1"/>
  <c r="R87" i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S82" i="1" l="1"/>
  <c r="T82" i="1" s="1"/>
  <c r="R81" i="1"/>
  <c r="S81" i="1" l="1"/>
  <c r="T81" i="1" s="1"/>
  <c r="R80" i="1"/>
  <c r="S80" i="1" l="1"/>
  <c r="T80" i="1" s="1"/>
  <c r="R79" i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R70" i="1" l="1"/>
  <c r="S71" i="1"/>
  <c r="T71" i="1" s="1"/>
  <c r="S70" i="1" l="1"/>
  <c r="T70" i="1" s="1"/>
  <c r="R69" i="1"/>
  <c r="S69" i="1" l="1"/>
  <c r="T69" i="1" s="1"/>
  <c r="R68" i="1"/>
  <c r="S68" i="1" l="1"/>
  <c r="T68" i="1" s="1"/>
  <c r="R67" i="1"/>
  <c r="S67" i="1" l="1"/>
  <c r="T67" i="1" s="1"/>
  <c r="R66" i="1"/>
  <c r="S66" i="1" l="1"/>
  <c r="T66" i="1" s="1"/>
  <c r="R65" i="1"/>
  <c r="S65" i="1" l="1"/>
  <c r="T65" i="1" s="1"/>
  <c r="R64" i="1"/>
  <c r="S64" i="1" l="1"/>
  <c r="T64" i="1" s="1"/>
  <c r="R63" i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S58" i="1" l="1"/>
  <c r="T58" i="1" s="1"/>
  <c r="R57" i="1"/>
  <c r="S57" i="1" l="1"/>
  <c r="T57" i="1" s="1"/>
  <c r="R56" i="1"/>
  <c r="S56" i="1" l="1"/>
  <c r="T56" i="1" s="1"/>
  <c r="R55" i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R46" i="1" l="1"/>
  <c r="S47" i="1"/>
  <c r="T47" i="1" s="1"/>
  <c r="S46" i="1" l="1"/>
  <c r="T46" i="1" s="1"/>
  <c r="R45" i="1"/>
  <c r="S45" i="1" l="1"/>
  <c r="T45" i="1" s="1"/>
  <c r="R44" i="1"/>
  <c r="S44" i="1" l="1"/>
  <c r="T44" i="1" s="1"/>
  <c r="R43" i="1"/>
  <c r="R42" i="1" l="1"/>
  <c r="S43" i="1"/>
  <c r="T43" i="1" s="1"/>
  <c r="S42" i="1" l="1"/>
  <c r="T42" i="1" s="1"/>
  <c r="R41" i="1"/>
  <c r="S41" i="1" l="1"/>
  <c r="T41" i="1" s="1"/>
  <c r="R40" i="1"/>
  <c r="S40" i="1" l="1"/>
  <c r="T40" i="1" s="1"/>
  <c r="R39" i="1"/>
  <c r="R38" i="1" l="1"/>
  <c r="S39" i="1"/>
  <c r="T39" i="1" s="1"/>
  <c r="S38" i="1" l="1"/>
  <c r="T38" i="1" s="1"/>
  <c r="R37" i="1"/>
  <c r="S37" i="1" l="1"/>
  <c r="T37" i="1" s="1"/>
  <c r="R36" i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S26" i="1" l="1"/>
  <c r="T26" i="1" s="1"/>
  <c r="R25" i="1"/>
  <c r="S25" i="1" l="1"/>
  <c r="T25" i="1" s="1"/>
  <c r="R24" i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<sst xmlns="http://schemas.openxmlformats.org/spreadsheetml/2006/main" count="5651" uniqueCount="34">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</sst>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  <font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3" fillId="9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0.52990000000000004</c:v>
                </c:pt>
                <c:pt idx="1">
                  <c:v>0.53759999999999997</c:v>
                </c:pt>
                <c:pt idx="2">
                  <c:v>0.54259999999999997</c:v>
                </c:pt>
                <c:pt idx="3">
                  <c:v>0.52590000000000003</c:v>
                </c:pt>
                <c:pt idx="4">
                  <c:v>0.54659999999999997</c:v>
                </c:pt>
                <c:pt idx="5">
                  <c:v>0.52259999999999995</c:v>
                </c:pt>
                <c:pt idx="6">
                  <c:v>0.58450000000000002</c:v>
                </c:pt>
                <c:pt idx="7">
                  <c:v>0.6492</c:v>
                </c:pt>
                <c:pt idx="8">
                  <c:v>0.69589999999999996</c:v>
                </c:pt>
                <c:pt idx="9">
                  <c:v>0.77969999999999995</c:v>
                </c:pt>
                <c:pt idx="10">
                  <c:v>0.70830000000000004</c:v>
                </c:pt>
                <c:pt idx="11">
                  <c:v>0.73360000000000003</c:v>
                </c:pt>
                <c:pt idx="12">
                  <c:v>0.74429999999999996</c:v>
                </c:pt>
                <c:pt idx="13">
                  <c:v>0.73529999999999995</c:v>
                </c:pt>
                <c:pt idx="14">
                  <c:v>0.7006</c:v>
                </c:pt>
                <c:pt idx="15">
                  <c:v>0.73819999999999997</c:v>
                </c:pt>
                <c:pt idx="16">
                  <c:v>0.7016</c:v>
                </c:pt>
                <c:pt idx="17">
                  <c:v>0.67449999999999999</c:v>
                </c:pt>
                <c:pt idx="18">
                  <c:v>0.70299999999999996</c:v>
                </c:pt>
                <c:pt idx="19">
                  <c:v>0.70440000000000003</c:v>
                </c:pt>
                <c:pt idx="20">
                  <c:v>0.71279999999999999</c:v>
                </c:pt>
                <c:pt idx="21">
                  <c:v>0.75960000000000005</c:v>
                </c:pt>
                <c:pt idx="22">
                  <c:v>0.75990000000000002</c:v>
                </c:pt>
                <c:pt idx="23">
                  <c:v>0.82769999999999999</c:v>
                </c:pt>
                <c:pt idx="24">
                  <c:v>0.80230000000000001</c:v>
                </c:pt>
                <c:pt idx="25">
                  <c:v>0.81589999999999996</c:v>
                </c:pt>
                <c:pt idx="26">
                  <c:v>0.84399999999999997</c:v>
                </c:pt>
                <c:pt idx="27">
                  <c:v>0.78690000000000004</c:v>
                </c:pt>
                <c:pt idx="28">
                  <c:v>0.80730000000000002</c:v>
                </c:pt>
                <c:pt idx="29">
                  <c:v>0.81679999999999997</c:v>
                </c:pt>
                <c:pt idx="30">
                  <c:v>0.85429999999999995</c:v>
                </c:pt>
                <c:pt idx="31">
                  <c:v>1.0399</c:v>
                </c:pt>
                <c:pt idx="32">
                  <c:v>0.7631</c:v>
                </c:pt>
                <c:pt idx="33">
                  <c:v>0.76539999999999997</c:v>
                </c:pt>
                <c:pt idx="34">
                  <c:v>0.74770000000000003</c:v>
                </c:pt>
                <c:pt idx="35">
                  <c:v>0.73570000000000002</c:v>
                </c:pt>
                <c:pt idx="36">
                  <c:v>0.68930000000000002</c:v>
                </c:pt>
                <c:pt idx="37">
                  <c:v>0.69479999999999997</c:v>
                </c:pt>
                <c:pt idx="38">
                  <c:v>0.67310000000000003</c:v>
                </c:pt>
                <c:pt idx="39">
                  <c:v>0.70299999999999996</c:v>
                </c:pt>
                <c:pt idx="40">
                  <c:v>0.71309999999999996</c:v>
                </c:pt>
                <c:pt idx="41">
                  <c:v>0.68030000000000002</c:v>
                </c:pt>
                <c:pt idx="42">
                  <c:v>0.71679999999999999</c:v>
                </c:pt>
                <c:pt idx="43">
                  <c:v>0.72299999999999998</c:v>
                </c:pt>
                <c:pt idx="44">
                  <c:v>0.7369</c:v>
                </c:pt>
                <c:pt idx="45">
                  <c:v>0.69850000000000001</c:v>
                </c:pt>
                <c:pt idx="46">
                  <c:v>0.77669999999999995</c:v>
                </c:pt>
                <c:pt idx="47">
                  <c:v>0.7369</c:v>
                </c:pt>
                <c:pt idx="48">
                  <c:v>0.72560000000000002</c:v>
                </c:pt>
                <c:pt idx="49">
                  <c:v>0.8034</c:v>
                </c:pt>
                <c:pt idx="50">
                  <c:v>0.93479999999999996</c:v>
                </c:pt>
                <c:pt idx="51">
                  <c:v>0.8226</c:v>
                </c:pt>
                <c:pt idx="52">
                  <c:v>0.84099999999999997</c:v>
                </c:pt>
                <c:pt idx="53">
                  <c:v>0.86919999999999997</c:v>
                </c:pt>
                <c:pt idx="54">
                  <c:v>0.90259999999999996</c:v>
                </c:pt>
                <c:pt idx="55">
                  <c:v>1.1079000000000001</c:v>
                </c:pt>
                <c:pt idx="56">
                  <c:v>1.0430999999999999</c:v>
                </c:pt>
                <c:pt idx="57">
                  <c:v>1.0152000000000001</c:v>
                </c:pt>
                <c:pt idx="58">
                  <c:v>1.0683</c:v>
                </c:pt>
                <c:pt idx="59">
                  <c:v>1.0218</c:v>
                </c:pt>
                <c:pt idx="60">
                  <c:v>1.0243</c:v>
                </c:pt>
                <c:pt idx="61">
                  <c:v>1.0003</c:v>
                </c:pt>
                <c:pt idx="62">
                  <c:v>0.9728</c:v>
                </c:pt>
                <c:pt idx="63">
                  <c:v>1.0373000000000001</c:v>
                </c:pt>
                <c:pt idx="64">
                  <c:v>1.0278</c:v>
                </c:pt>
                <c:pt idx="65">
                  <c:v>1.0405</c:v>
                </c:pt>
                <c:pt idx="66">
                  <c:v>1.1261000000000001</c:v>
                </c:pt>
                <c:pt idx="67">
                  <c:v>1.0277000000000001</c:v>
                </c:pt>
                <c:pt idx="68">
                  <c:v>1.022</c:v>
                </c:pt>
                <c:pt idx="69">
                  <c:v>0.99939999999999996</c:v>
                </c:pt>
                <c:pt idx="70">
                  <c:v>0.91020000000000001</c:v>
                </c:pt>
                <c:pt idx="71">
                  <c:v>1.0006999999999999</c:v>
                </c:pt>
                <c:pt idx="72">
                  <c:v>0.99160000000000004</c:v>
                </c:pt>
                <c:pt idx="73">
                  <c:v>1.0435000000000001</c:v>
                </c:pt>
                <c:pt idx="74">
                  <c:v>1.0487</c:v>
                </c:pt>
                <c:pt idx="75">
                  <c:v>1.0677000000000001</c:v>
                </c:pt>
                <c:pt idx="76">
                  <c:v>1.054</c:v>
                </c:pt>
                <c:pt idx="77">
                  <c:v>1.0449999999999999</c:v>
                </c:pt>
                <c:pt idx="78">
                  <c:v>1.0165</c:v>
                </c:pt>
                <c:pt idx="79">
                  <c:v>1.0590999999999999</c:v>
                </c:pt>
                <c:pt idx="80">
                  <c:v>1.1216999999999999</c:v>
                </c:pt>
                <c:pt idx="81">
                  <c:v>1.0307999999999999</c:v>
                </c:pt>
                <c:pt idx="82">
                  <c:v>1.0045999999999999</c:v>
                </c:pt>
                <c:pt idx="83">
                  <c:v>1.0013000000000001</c:v>
                </c:pt>
                <c:pt idx="84">
                  <c:v>1.0144</c:v>
                </c:pt>
                <c:pt idx="85">
                  <c:v>1.0634999999999999</c:v>
                </c:pt>
                <c:pt idx="86">
                  <c:v>1.0724</c:v>
                </c:pt>
                <c:pt idx="87">
                  <c:v>1.0368999999999999</c:v>
                </c:pt>
                <c:pt idx="88">
                  <c:v>1.0091000000000001</c:v>
                </c:pt>
                <c:pt idx="89">
                  <c:v>0.95750000000000002</c:v>
                </c:pt>
                <c:pt idx="90">
                  <c:v>0.95009999999999994</c:v>
                </c:pt>
                <c:pt idx="91">
                  <c:v>0.91190000000000004</c:v>
                </c:pt>
                <c:pt idx="92">
                  <c:v>0.90780000000000005</c:v>
                </c:pt>
                <c:pt idx="93">
                  <c:v>0.99050000000000005</c:v>
                </c:pt>
                <c:pt idx="94">
                  <c:v>1.0195000000000001</c:v>
                </c:pt>
                <c:pt idx="95">
                  <c:v>1.0082</c:v>
                </c:pt>
                <c:pt idx="96">
                  <c:v>1.0441</c:v>
                </c:pt>
                <c:pt idx="97">
                  <c:v>1.0311999999999999</c:v>
                </c:pt>
                <c:pt idx="98">
                  <c:v>1.0334000000000001</c:v>
                </c:pt>
                <c:pt idx="99">
                  <c:v>1.0548999999999999</c:v>
                </c:pt>
                <c:pt idx="100">
                  <c:v>1.0074000000000001</c:v>
                </c:pt>
                <c:pt idx="101">
                  <c:v>1.0065999999999999</c:v>
                </c:pt>
                <c:pt idx="102">
                  <c:v>1.0265</c:v>
                </c:pt>
                <c:pt idx="103">
                  <c:v>1.0457000000000001</c:v>
                </c:pt>
                <c:pt idx="104">
                  <c:v>1.0264</c:v>
                </c:pt>
                <c:pt idx="105">
                  <c:v>0.98299999999999998</c:v>
                </c:pt>
                <c:pt idx="106">
                  <c:v>0.94169999999999998</c:v>
                </c:pt>
                <c:pt idx="107">
                  <c:v>0.92549999999999999</c:v>
                </c:pt>
                <c:pt idx="108">
                  <c:v>0.92779999999999996</c:v>
                </c:pt>
                <c:pt idx="109">
                  <c:v>0.95830000000000004</c:v>
                </c:pt>
                <c:pt idx="110">
                  <c:v>0.95960000000000001</c:v>
                </c:pt>
                <c:pt idx="111">
                  <c:v>0.93610000000000004</c:v>
                </c:pt>
                <c:pt idx="112">
                  <c:v>0.92549999999999999</c:v>
                </c:pt>
                <c:pt idx="113">
                  <c:v>0.91359999999999997</c:v>
                </c:pt>
                <c:pt idx="114">
                  <c:v>0.94569999999999999</c:v>
                </c:pt>
                <c:pt idx="115">
                  <c:v>0.97240000000000004</c:v>
                </c:pt>
                <c:pt idx="116">
                  <c:v>1.0006999999999999</c:v>
                </c:pt>
                <c:pt idx="117">
                  <c:v>0.99380000000000002</c:v>
                </c:pt>
                <c:pt idx="118">
                  <c:v>0.9758</c:v>
                </c:pt>
                <c:pt idx="119">
                  <c:v>0.91590000000000005</c:v>
                </c:pt>
                <c:pt idx="120">
                  <c:v>0.88190000000000002</c:v>
                </c:pt>
                <c:pt idx="121">
                  <c:v>0.85809999999999997</c:v>
                </c:pt>
                <c:pt idx="122">
                  <c:v>0.88290000000000002</c:v>
                </c:pt>
                <c:pt idx="123">
                  <c:v>0.91439999999999999</c:v>
                </c:pt>
                <c:pt idx="124">
                  <c:v>0.98080000000000001</c:v>
                </c:pt>
                <c:pt idx="125">
                  <c:v>1.1048</c:v>
                </c:pt>
                <c:pt idx="126">
                  <c:v>0.98209999999999997</c:v>
                </c:pt>
                <c:pt idx="127">
                  <c:v>0.93889999999999996</c:v>
                </c:pt>
                <c:pt idx="128">
                  <c:v>0.86580000000000001</c:v>
                </c:pt>
                <c:pt idx="129">
                  <c:v>0.9425</c:v>
                </c:pt>
                <c:pt idx="130">
                  <c:v>1.0170999999999999</c:v>
                </c:pt>
                <c:pt idx="131">
                  <c:v>1.0452999999999999</c:v>
                </c:pt>
                <c:pt idx="132">
                  <c:v>1.0916999999999999</c:v>
                </c:pt>
                <c:pt idx="133">
                  <c:v>0.98</c:v>
                </c:pt>
                <c:pt idx="134">
                  <c:v>1.012</c:v>
                </c:pt>
                <c:pt idx="135">
                  <c:v>0.9496</c:v>
                </c:pt>
                <c:pt idx="136">
                  <c:v>0.92390000000000005</c:v>
                </c:pt>
                <c:pt idx="137">
                  <c:v>0.98729999999999996</c:v>
                </c:pt>
                <c:pt idx="138">
                  <c:v>0.98009999999999997</c:v>
                </c:pt>
                <c:pt idx="139">
                  <c:v>0.998</c:v>
                </c:pt>
                <c:pt idx="140">
                  <c:v>1.0637000000000001</c:v>
                </c:pt>
                <c:pt idx="141">
                  <c:v>1.0497000000000001</c:v>
                </c:pt>
                <c:pt idx="142">
                  <c:v>1.1123000000000001</c:v>
                </c:pt>
                <c:pt idx="143">
                  <c:v>1.3065</c:v>
                </c:pt>
                <c:pt idx="144">
                  <c:v>1.3015000000000001</c:v>
                </c:pt>
                <c:pt idx="145">
                  <c:v>1.1606000000000001</c:v>
                </c:pt>
                <c:pt idx="146">
                  <c:v>1.1651</c:v>
                </c:pt>
                <c:pt idx="147">
                  <c:v>1.1711</c:v>
                </c:pt>
                <c:pt idx="148">
                  <c:v>1.1597999999999999</c:v>
                </c:pt>
                <c:pt idx="149">
                  <c:v>1.1221000000000001</c:v>
                </c:pt>
                <c:pt idx="150">
                  <c:v>1.1516</c:v>
                </c:pt>
                <c:pt idx="151">
                  <c:v>1.1638999999999999</c:v>
                </c:pt>
                <c:pt idx="152">
                  <c:v>1.214</c:v>
                </c:pt>
                <c:pt idx="153">
                  <c:v>1.1673</c:v>
                </c:pt>
                <c:pt idx="154">
                  <c:v>1.1168</c:v>
                </c:pt>
                <c:pt idx="155">
                  <c:v>1.1933</c:v>
                </c:pt>
                <c:pt idx="156">
                  <c:v>1.1245000000000001</c:v>
                </c:pt>
                <c:pt idx="157">
                  <c:v>1.1992</c:v>
                </c:pt>
                <c:pt idx="158">
                  <c:v>1.3131999999999999</c:v>
                </c:pt>
                <c:pt idx="159">
                  <c:v>1.2942</c:v>
                </c:pt>
                <c:pt idx="160">
                  <c:v>1.1259999999999999</c:v>
                </c:pt>
                <c:pt idx="161">
                  <c:v>1.1087</c:v>
                </c:pt>
                <c:pt idx="162">
                  <c:v>0.95289999999999997</c:v>
                </c:pt>
                <c:pt idx="163">
                  <c:v>0.97519999999999996</c:v>
                </c:pt>
                <c:pt idx="164">
                  <c:v>0.99770000000000003</c:v>
                </c:pt>
                <c:pt idx="165">
                  <c:v>1.0533999999999999</c:v>
                </c:pt>
                <c:pt idx="166">
                  <c:v>1.0158</c:v>
                </c:pt>
                <c:pt idx="167">
                  <c:v>0.98570000000000002</c:v>
                </c:pt>
                <c:pt idx="168">
                  <c:v>0.85819999999999996</c:v>
                </c:pt>
                <c:pt idx="169">
                  <c:v>0.87590000000000001</c:v>
                </c:pt>
                <c:pt idx="170">
                  <c:v>0.86909999999999998</c:v>
                </c:pt>
                <c:pt idx="171">
                  <c:v>0.86550000000000005</c:v>
                </c:pt>
                <c:pt idx="172">
                  <c:v>0.82440000000000002</c:v>
                </c:pt>
                <c:pt idx="173">
                  <c:v>0.89059999999999995</c:v>
                </c:pt>
                <c:pt idx="174">
                  <c:v>0.87409999999999999</c:v>
                </c:pt>
                <c:pt idx="175">
                  <c:v>0.81130000000000002</c:v>
                </c:pt>
                <c:pt idx="176">
                  <c:v>0.82150000000000001</c:v>
                </c:pt>
                <c:pt idx="177">
                  <c:v>0.84870000000000001</c:v>
                </c:pt>
                <c:pt idx="178">
                  <c:v>0.73419999999999996</c:v>
                </c:pt>
                <c:pt idx="179">
                  <c:v>0.71</c:v>
                </c:pt>
                <c:pt idx="180">
                  <c:v>0.72619999999999996</c:v>
                </c:pt>
                <c:pt idx="181">
                  <c:v>0.72150000000000003</c:v>
                </c:pt>
                <c:pt idx="182">
                  <c:v>0.72650000000000003</c:v>
                </c:pt>
                <c:pt idx="183">
                  <c:v>0.69279999999999997</c:v>
                </c:pt>
                <c:pt idx="184">
                  <c:v>0.7198</c:v>
                </c:pt>
                <c:pt idx="185">
                  <c:v>0.67010000000000003</c:v>
                </c:pt>
                <c:pt idx="186">
                  <c:v>0.6774</c:v>
                </c:pt>
                <c:pt idx="187">
                  <c:v>0.64829999999999999</c:v>
                </c:pt>
                <c:pt idx="188">
                  <c:v>0.62470000000000003</c:v>
                </c:pt>
                <c:pt idx="189">
                  <c:v>0.61140000000000005</c:v>
                </c:pt>
                <c:pt idx="190">
                  <c:v>0.62290000000000001</c:v>
                </c:pt>
                <c:pt idx="191">
                  <c:v>0.58230000000000004</c:v>
                </c:pt>
                <c:pt idx="192">
                  <c:v>0.61960000000000004</c:v>
                </c:pt>
                <c:pt idx="193">
                  <c:v>0.67969999999999997</c:v>
                </c:pt>
                <c:pt idx="194">
                  <c:v>0.67449999999999999</c:v>
                </c:pt>
                <c:pt idx="195">
                  <c:v>0.67520000000000002</c:v>
                </c:pt>
                <c:pt idx="196">
                  <c:v>0.66610000000000003</c:v>
                </c:pt>
                <c:pt idx="197">
                  <c:v>0.69389999999999996</c:v>
                </c:pt>
                <c:pt idx="198">
                  <c:v>0.72629999999999995</c:v>
                </c:pt>
                <c:pt idx="199">
                  <c:v>0.70120000000000005</c:v>
                </c:pt>
                <c:pt idx="200">
                  <c:v>0.72599999999999998</c:v>
                </c:pt>
                <c:pt idx="201">
                  <c:v>0.67120000000000002</c:v>
                </c:pt>
                <c:pt idx="202">
                  <c:v>0.69669999999999999</c:v>
                </c:pt>
                <c:pt idx="203">
                  <c:v>0.69569999999999999</c:v>
                </c:pt>
                <c:pt idx="204">
                  <c:v>0.71989999999999998</c:v>
                </c:pt>
                <c:pt idx="205">
                  <c:v>0.71360000000000001</c:v>
                </c:pt>
                <c:pt idx="206">
                  <c:v>0.71</c:v>
                </c:pt>
                <c:pt idx="207">
                  <c:v>0.72850000000000004</c:v>
                </c:pt>
                <c:pt idx="208">
                  <c:v>0.71509999999999996</c:v>
                </c:pt>
                <c:pt idx="209">
                  <c:v>0.71779999999999999</c:v>
                </c:pt>
                <c:pt idx="210">
                  <c:v>0.70189999999999997</c:v>
                </c:pt>
                <c:pt idx="211">
                  <c:v>0.74770000000000003</c:v>
                </c:pt>
                <c:pt idx="212">
                  <c:v>0.7671</c:v>
                </c:pt>
                <c:pt idx="213">
                  <c:v>0.7611</c:v>
                </c:pt>
                <c:pt idx="214">
                  <c:v>0.76500000000000001</c:v>
                </c:pt>
                <c:pt idx="215">
                  <c:v>0.67400000000000004</c:v>
                </c:pt>
                <c:pt idx="216">
                  <c:v>0.70309999999999995</c:v>
                </c:pt>
                <c:pt idx="217">
                  <c:v>0.80310000000000004</c:v>
                </c:pt>
                <c:pt idx="218">
                  <c:v>0.80120000000000002</c:v>
                </c:pt>
                <c:pt idx="219">
                  <c:v>0.74480000000000002</c:v>
                </c:pt>
                <c:pt idx="220">
                  <c:v>0.81659999999999999</c:v>
                </c:pt>
                <c:pt idx="221">
                  <c:v>1.0185999999999999</c:v>
                </c:pt>
                <c:pt idx="222">
                  <c:v>0.95799999999999996</c:v>
                </c:pt>
                <c:pt idx="223">
                  <c:v>0.871</c:v>
                </c:pt>
                <c:pt idx="224">
                  <c:v>0.95189999999999997</c:v>
                </c:pt>
                <c:pt idx="225">
                  <c:v>0.99770000000000003</c:v>
                </c:pt>
                <c:pt idx="226">
                  <c:v>1.073</c:v>
                </c:pt>
                <c:pt idx="227">
                  <c:v>1.0002</c:v>
                </c:pt>
                <c:pt idx="228">
                  <c:v>0.81269999999999998</c:v>
                </c:pt>
                <c:pt idx="229">
                  <c:v>0.79679999999999995</c:v>
                </c:pt>
                <c:pt idx="230">
                  <c:v>0.8972</c:v>
                </c:pt>
                <c:pt idx="231">
                  <c:v>1.21</c:v>
                </c:pt>
                <c:pt idx="232">
                  <c:v>0.65859999999999996</c:v>
                </c:pt>
                <c:pt idx="233">
                  <c:v>0.59870000000000001</c:v>
                </c:pt>
                <c:pt idx="234">
                  <c:v>0.62539999999999996</c:v>
                </c:pt>
                <c:pt idx="235">
                  <c:v>0.71419999999999995</c:v>
                </c:pt>
                <c:pt idx="236">
                  <c:v>0.64929999999999999</c:v>
                </c:pt>
                <c:pt idx="237">
                  <c:v>0.69269999999999998</c:v>
                </c:pt>
                <c:pt idx="238">
                  <c:v>0.79</c:v>
                </c:pt>
                <c:pt idx="239">
                  <c:v>0.7661</c:v>
                </c:pt>
                <c:pt idx="240">
                  <c:v>0.65539999999999998</c:v>
                </c:pt>
                <c:pt idx="241">
                  <c:v>0.67190000000000005</c:v>
                </c:pt>
                <c:pt idx="242">
                  <c:v>0.62480000000000002</c:v>
                </c:pt>
                <c:pt idx="243">
                  <c:v>0.60170000000000001</c:v>
                </c:pt>
                <c:pt idx="244">
                  <c:v>0.68010000000000004</c:v>
                </c:pt>
                <c:pt idx="245">
                  <c:v>0.77949999999999997</c:v>
                </c:pt>
                <c:pt idx="246">
                  <c:v>0.82609999999999995</c:v>
                </c:pt>
                <c:pt idx="247">
                  <c:v>0.80589999999999995</c:v>
                </c:pt>
                <c:pt idx="248">
                  <c:v>0.61170000000000002</c:v>
                </c:pt>
                <c:pt idx="249">
                  <c:v>0.50739999999999996</c:v>
                </c:pt>
                <c:pt idx="250">
                  <c:v>0.63339999999999996</c:v>
                </c:pt>
                <c:pt idx="251">
                  <c:v>0.68279999999999996</c:v>
                </c:pt>
                <c:pt idx="252">
                  <c:v>0.79530000000000001</c:v>
                </c:pt>
                <c:pt idx="253">
                  <c:v>0.7944</c:v>
                </c:pt>
                <c:pt idx="254">
                  <c:v>1.1700999999999999</c:v>
                </c:pt>
                <c:pt idx="255">
                  <c:v>1.1436999999999999</c:v>
                </c:pt>
                <c:pt idx="256">
                  <c:v>1.2343999999999999</c:v>
                </c:pt>
                <c:pt idx="257">
                  <c:v>1.2329000000000001</c:v>
                </c:pt>
                <c:pt idx="258">
                  <c:v>1.2992999999999999</c:v>
                </c:pt>
                <c:pt idx="259">
                  <c:v>1.2593000000000001</c:v>
                </c:pt>
                <c:pt idx="260">
                  <c:v>1.2316</c:v>
                </c:pt>
                <c:pt idx="261">
                  <c:v>1.4503999999999999</c:v>
                </c:pt>
                <c:pt idx="262">
                  <c:v>1.41</c:v>
                </c:pt>
                <c:pt idx="263">
                  <c:v>1.534</c:v>
                </c:pt>
                <c:pt idx="264">
                  <c:v>1.5465</c:v>
                </c:pt>
                <c:pt idx="265">
                  <c:v>1.5508999999999999</c:v>
                </c:pt>
                <c:pt idx="266">
                  <c:v>1.5822000000000001</c:v>
                </c:pt>
                <c:pt idx="267">
                  <c:v>1.6544000000000001</c:v>
                </c:pt>
                <c:pt idx="268">
                  <c:v>1.5867</c:v>
                </c:pt>
                <c:pt idx="269">
                  <c:v>1.8</c:v>
                </c:pt>
                <c:pt idx="270">
                  <c:v>1.6994</c:v>
                </c:pt>
                <c:pt idx="271">
                  <c:v>1.7524</c:v>
                </c:pt>
                <c:pt idx="272">
                  <c:v>1.8399000000000001</c:v>
                </c:pt>
                <c:pt idx="273">
                  <c:v>1.7017</c:v>
                </c:pt>
                <c:pt idx="274">
                  <c:v>1.6395999999999999</c:v>
                </c:pt>
                <c:pt idx="275">
                  <c:v>1.7325999999999999</c:v>
                </c:pt>
                <c:pt idx="276">
                  <c:v>1.4762999999999999</c:v>
                </c:pt>
                <c:pt idx="277">
                  <c:v>1.3027</c:v>
                </c:pt>
                <c:pt idx="278">
                  <c:v>1.4339999999999999</c:v>
                </c:pt>
                <c:pt idx="279">
                  <c:v>1.3716999999999999</c:v>
                </c:pt>
                <c:pt idx="280">
                  <c:v>1.4128000000000001</c:v>
                </c:pt>
                <c:pt idx="281">
                  <c:v>1.4583999999999999</c:v>
                </c:pt>
                <c:pt idx="282">
                  <c:v>1.6382000000000001</c:v>
                </c:pt>
                <c:pt idx="283">
                  <c:v>1.5835999999999999</c:v>
                </c:pt>
                <c:pt idx="284">
                  <c:v>1.6393</c:v>
                </c:pt>
                <c:pt idx="285">
                  <c:v>1.9883</c:v>
                </c:pt>
                <c:pt idx="286">
                  <c:v>2.0722</c:v>
                </c:pt>
                <c:pt idx="287">
                  <c:v>2.3157999999999999</c:v>
                </c:pt>
                <c:pt idx="288">
                  <c:v>2.1678000000000002</c:v>
                </c:pt>
                <c:pt idx="289">
                  <c:v>2.0884</c:v>
                </c:pt>
                <c:pt idx="290">
                  <c:v>2.1800999999999999</c:v>
                </c:pt>
                <c:pt idx="291">
                  <c:v>2.3201999999999998</c:v>
                </c:pt>
                <c:pt idx="292">
                  <c:v>2.2042000000000002</c:v>
                </c:pt>
                <c:pt idx="293">
                  <c:v>2.2799999999999998</c:v>
                </c:pt>
                <c:pt idx="294">
                  <c:v>2.2601</c:v>
                </c:pt>
                <c:pt idx="295">
                  <c:v>2.1433</c:v>
                </c:pt>
                <c:pt idx="296">
                  <c:v>2.593</c:v>
                </c:pt>
                <c:pt idx="297">
                  <c:v>2.4693000000000001</c:v>
                </c:pt>
                <c:pt idx="298">
                  <c:v>2.2075</c:v>
                </c:pt>
                <c:pt idx="299">
                  <c:v>2.0937999999999999</c:v>
                </c:pt>
                <c:pt idx="300">
                  <c:v>2.1869000000000001</c:v>
                </c:pt>
                <c:pt idx="301">
                  <c:v>2.1861999999999999</c:v>
                </c:pt>
                <c:pt idx="302">
                  <c:v>2.1076000000000001</c:v>
                </c:pt>
                <c:pt idx="303">
                  <c:v>2.2608999999999999</c:v>
                </c:pt>
                <c:pt idx="304">
                  <c:v>2.3121</c:v>
                </c:pt>
                <c:pt idx="305">
                  <c:v>2.2841999999999998</c:v>
                </c:pt>
                <c:pt idx="306">
                  <c:v>2.1543999999999999</c:v>
                </c:pt>
                <c:pt idx="307">
                  <c:v>2.0888</c:v>
                </c:pt>
                <c:pt idx="308">
                  <c:v>1.7605999999999999</c:v>
                </c:pt>
                <c:pt idx="309">
                  <c:v>1.8164</c:v>
                </c:pt>
                <c:pt idx="310">
                  <c:v>2.0101</c:v>
                </c:pt>
                <c:pt idx="311">
                  <c:v>2.1107</c:v>
                </c:pt>
                <c:pt idx="312">
                  <c:v>2.2105999999999999</c:v>
                </c:pt>
                <c:pt idx="313">
                  <c:v>2.1025999999999998</c:v>
                </c:pt>
                <c:pt idx="314">
                  <c:v>2.2850000000000001</c:v>
                </c:pt>
                <c:pt idx="315">
                  <c:v>2.3599000000000001</c:v>
                </c:pt>
                <c:pt idx="316">
                  <c:v>2.6240999999999999</c:v>
                </c:pt>
                <c:pt idx="317">
                  <c:v>2.5916000000000001</c:v>
                </c:pt>
                <c:pt idx="318">
                  <c:v>2.1341000000000001</c:v>
                </c:pt>
                <c:pt idx="319">
                  <c:v>2.0518000000000001</c:v>
                </c:pt>
                <c:pt idx="320">
                  <c:v>2.1724999999999999</c:v>
                </c:pt>
                <c:pt idx="321">
                  <c:v>1.9332</c:v>
                </c:pt>
                <c:pt idx="322">
                  <c:v>1.6759999999999999</c:v>
                </c:pt>
                <c:pt idx="323">
                  <c:v>1.5913999999999999</c:v>
                </c:pt>
                <c:pt idx="324">
                  <c:v>1.4994000000000001</c:v>
                </c:pt>
                <c:pt idx="325">
                  <c:v>1.3665</c:v>
                </c:pt>
                <c:pt idx="326">
                  <c:v>1.4025000000000001</c:v>
                </c:pt>
                <c:pt idx="327">
                  <c:v>1.3917999999999999</c:v>
                </c:pt>
                <c:pt idx="328">
                  <c:v>1.4017999999999999</c:v>
                </c:pt>
                <c:pt idx="329">
                  <c:v>1.4913000000000001</c:v>
                </c:pt>
                <c:pt idx="330">
                  <c:v>1.7624</c:v>
                </c:pt>
                <c:pt idx="331">
                  <c:v>1.4891000000000001</c:v>
                </c:pt>
                <c:pt idx="332">
                  <c:v>1.4396</c:v>
                </c:pt>
                <c:pt idx="333">
                  <c:v>1.2827</c:v>
                </c:pt>
                <c:pt idx="334">
                  <c:v>1.4139999999999999</c:v>
                </c:pt>
                <c:pt idx="335">
                  <c:v>1.3414999999999999</c:v>
                </c:pt>
                <c:pt idx="336">
                  <c:v>1.5206</c:v>
                </c:pt>
                <c:pt idx="337">
                  <c:v>1.577</c:v>
                </c:pt>
                <c:pt idx="338">
                  <c:v>1.5091000000000001</c:v>
                </c:pt>
                <c:pt idx="339">
                  <c:v>1.786</c:v>
                </c:pt>
                <c:pt idx="340">
                  <c:v>1.9598</c:v>
                </c:pt>
                <c:pt idx="341">
                  <c:v>1.9015</c:v>
                </c:pt>
                <c:pt idx="342">
                  <c:v>2.35</c:v>
                </c:pt>
                <c:pt idx="343">
                  <c:v>2.0480999999999998</c:v>
                </c:pt>
                <c:pt idx="344">
                  <c:v>1.7795000000000001</c:v>
                </c:pt>
                <c:pt idx="345">
                  <c:v>1.4438</c:v>
                </c:pt>
                <c:pt idx="346">
                  <c:v>1.4547000000000001</c:v>
                </c:pt>
                <c:pt idx="347">
                  <c:v>1.62</c:v>
                </c:pt>
                <c:pt idx="348">
                  <c:v>1.8929</c:v>
                </c:pt>
                <c:pt idx="349">
                  <c:v>1.8467</c:v>
                </c:pt>
                <c:pt idx="350">
                  <c:v>1.8273999999999999</c:v>
                </c:pt>
                <c:pt idx="351">
                  <c:v>1.6820999999999999</c:v>
                </c:pt>
                <c:pt idx="352">
                  <c:v>1.6053999999999999</c:v>
                </c:pt>
                <c:pt idx="353">
                  <c:v>1.4887999999999999</c:v>
                </c:pt>
                <c:pt idx="354">
                  <c:v>1.377</c:v>
                </c:pt>
                <c:pt idx="355">
                  <c:v>1.2616000000000001</c:v>
                </c:pt>
                <c:pt idx="356">
                  <c:v>1.2142999999999999</c:v>
                </c:pt>
                <c:pt idx="357">
                  <c:v>0.92759999999999998</c:v>
                </c:pt>
                <c:pt idx="358">
                  <c:v>0.88970000000000005</c:v>
                </c:pt>
                <c:pt idx="359">
                  <c:v>0.82550000000000001</c:v>
                </c:pt>
                <c:pt idx="360">
                  <c:v>0.8599</c:v>
                </c:pt>
                <c:pt idx="361">
                  <c:v>0.79069999999999996</c:v>
                </c:pt>
                <c:pt idx="362">
                  <c:v>0.8004</c:v>
                </c:pt>
                <c:pt idx="363">
                  <c:v>0.77949999999999997</c:v>
                </c:pt>
                <c:pt idx="364">
                  <c:v>0.80220000000000002</c:v>
                </c:pt>
                <c:pt idx="365">
                  <c:v>0.83130000000000004</c:v>
                </c:pt>
                <c:pt idx="366">
                  <c:v>0.88239999999999996</c:v>
                </c:pt>
                <c:pt idx="367">
                  <c:v>0.75719999999999998</c:v>
                </c:pt>
                <c:pt idx="368">
                  <c:v>0.68259999999999998</c:v>
                </c:pt>
                <c:pt idx="369">
                  <c:v>0.68369999999999997</c:v>
                </c:pt>
                <c:pt idx="370">
                  <c:v>0.71619999999999995</c:v>
                </c:pt>
                <c:pt idx="371">
                  <c:v>0.60660000000000003</c:v>
                </c:pt>
                <c:pt idx="372">
                  <c:v>0.62880000000000003</c:v>
                </c:pt>
                <c:pt idx="373">
                  <c:v>0.62</c:v>
                </c:pt>
                <c:pt idx="374">
                  <c:v>0.72260000000000002</c:v>
                </c:pt>
                <c:pt idx="375">
                  <c:v>0.59460000000000002</c:v>
                </c:pt>
                <c:pt idx="376">
                  <c:v>0.60629999999999995</c:v>
                </c:pt>
                <c:pt idx="377">
                  <c:v>0.54559999999999997</c:v>
                </c:pt>
                <c:pt idx="378">
                  <c:v>0.51549999999999996</c:v>
                </c:pt>
                <c:pt idx="379">
                  <c:v>0.52239999999999998</c:v>
                </c:pt>
                <c:pt idx="380">
                  <c:v>0.4748</c:v>
                </c:pt>
                <c:pt idx="381">
                  <c:v>0.4753</c:v>
                </c:pt>
                <c:pt idx="382">
                  <c:v>0.56299999999999994</c:v>
                </c:pt>
                <c:pt idx="383">
                  <c:v>0.59599999999999997</c:v>
                </c:pt>
                <c:pt idx="384">
                  <c:v>0.53639999999999999</c:v>
                </c:pt>
                <c:pt idx="385">
                  <c:v>0.55969999999999998</c:v>
                </c:pt>
                <c:pt idx="386">
                  <c:v>0.52959999999999996</c:v>
                </c:pt>
                <c:pt idx="387">
                  <c:v>0.48499999999999999</c:v>
                </c:pt>
                <c:pt idx="388">
                  <c:v>0.45679999999999998</c:v>
                </c:pt>
                <c:pt idx="389">
                  <c:v>0.4894</c:v>
                </c:pt>
                <c:pt idx="390">
                  <c:v>0.46139999999999998</c:v>
                </c:pt>
                <c:pt idx="391">
                  <c:v>0.4844</c:v>
                </c:pt>
                <c:pt idx="392">
                  <c:v>0.4446</c:v>
                </c:pt>
                <c:pt idx="393">
                  <c:v>0.46260000000000001</c:v>
                </c:pt>
                <c:pt idx="394">
                  <c:v>0.49080000000000001</c:v>
                </c:pt>
                <c:pt idx="395">
                  <c:v>0.52559999999999996</c:v>
                </c:pt>
                <c:pt idx="396">
                  <c:v>0.55230000000000001</c:v>
                </c:pt>
                <c:pt idx="397">
                  <c:v>0.52370000000000005</c:v>
                </c:pt>
                <c:pt idx="398">
                  <c:v>0.5675</c:v>
                </c:pt>
                <c:pt idx="399">
                  <c:v>0.58840000000000003</c:v>
                </c:pt>
                <c:pt idx="400">
                  <c:v>0.52880000000000005</c:v>
                </c:pt>
                <c:pt idx="401">
                  <c:v>0.64400000000000002</c:v>
                </c:pt>
                <c:pt idx="402">
                  <c:v>0.69</c:v>
                </c:pt>
                <c:pt idx="403">
                  <c:v>0.75349999999999995</c:v>
                </c:pt>
                <c:pt idx="404">
                  <c:v>0.85419999999999996</c:v>
                </c:pt>
                <c:pt idx="405">
                  <c:v>0.8548</c:v>
                </c:pt>
                <c:pt idx="406">
                  <c:v>0.92620000000000002</c:v>
                </c:pt>
                <c:pt idx="407">
                  <c:v>0.83740000000000003</c:v>
                </c:pt>
                <c:pt idx="408">
                  <c:v>0.86470000000000002</c:v>
                </c:pt>
                <c:pt idx="409">
                  <c:v>0.87519999999999998</c:v>
                </c:pt>
                <c:pt idx="410">
                  <c:v>0.90820000000000001</c:v>
                </c:pt>
                <c:pt idx="411">
                  <c:v>0.96599999999999997</c:v>
                </c:pt>
                <c:pt idx="412">
                  <c:v>0.875</c:v>
                </c:pt>
                <c:pt idx="413">
                  <c:v>0.7944</c:v>
                </c:pt>
                <c:pt idx="414">
                  <c:v>0.96399999999999997</c:v>
                </c:pt>
                <c:pt idx="415">
                  <c:v>0.8891</c:v>
                </c:pt>
                <c:pt idx="416">
                  <c:v>1.0254000000000001</c:v>
                </c:pt>
                <c:pt idx="417">
                  <c:v>0.7671</c:v>
                </c:pt>
                <c:pt idx="418">
                  <c:v>0.73760000000000003</c:v>
                </c:pt>
                <c:pt idx="419">
                  <c:v>0.58120000000000005</c:v>
                </c:pt>
                <c:pt idx="420">
                  <c:v>0.61639999999999995</c:v>
                </c:pt>
                <c:pt idx="421">
                  <c:v>0.54779999999999995</c:v>
                </c:pt>
                <c:pt idx="422">
                  <c:v>0.49130000000000001</c:v>
                </c:pt>
                <c:pt idx="423">
                  <c:v>0.53790000000000004</c:v>
                </c:pt>
                <c:pt idx="424">
                  <c:v>0.49619999999999997</c:v>
                </c:pt>
                <c:pt idx="425">
                  <c:v>0.51370000000000005</c:v>
                </c:pt>
                <c:pt idx="426">
                  <c:v>0.48649999999999999</c:v>
                </c:pt>
                <c:pt idx="427">
                  <c:v>0.42070000000000002</c:v>
                </c:pt>
                <c:pt idx="428">
                  <c:v>0.47860000000000003</c:v>
                </c:pt>
                <c:pt idx="429">
                  <c:v>0.49969999999999998</c:v>
                </c:pt>
                <c:pt idx="430">
                  <c:v>0.49309999999999998</c:v>
                </c:pt>
                <c:pt idx="431">
                  <c:v>0.47120000000000001</c:v>
                </c:pt>
                <c:pt idx="432">
                  <c:v>0.51770000000000005</c:v>
                </c:pt>
                <c:pt idx="433">
                  <c:v>0.51339999999999997</c:v>
                </c:pt>
                <c:pt idx="434">
                  <c:v>0.4955</c:v>
                </c:pt>
                <c:pt idx="435">
                  <c:v>0.52190000000000003</c:v>
                </c:pt>
                <c:pt idx="436">
                  <c:v>0.62170000000000003</c:v>
                </c:pt>
                <c:pt idx="437">
                  <c:v>0.69199999999999995</c:v>
                </c:pt>
                <c:pt idx="438">
                  <c:v>0.442</c:v>
                </c:pt>
                <c:pt idx="439">
                  <c:v>0.4108</c:v>
                </c:pt>
                <c:pt idx="440">
                  <c:v>0.43070000000000003</c:v>
                </c:pt>
                <c:pt idx="441">
                  <c:v>0.40799999999999997</c:v>
                </c:pt>
                <c:pt idx="442">
                  <c:v>0.50049999999999994</c:v>
                </c:pt>
                <c:pt idx="443">
                  <c:v>0.59870000000000001</c:v>
                </c:pt>
                <c:pt idx="444">
                  <c:v>0.57950000000000002</c:v>
                </c:pt>
                <c:pt idx="445">
                  <c:v>0.68630000000000002</c:v>
                </c:pt>
                <c:pt idx="446">
                  <c:v>0.67800000000000005</c:v>
                </c:pt>
                <c:pt idx="447">
                  <c:v>0.84399999999999997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96-4E49-81A9-7D348D312CDF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-7.7763563725758971</c:v>
                </c:pt>
                <c:pt idx="1">
                  <c:v>-7.7750547930723517</c:v>
                </c:pt>
                <c:pt idx="2">
                  <c:v>-7.7192187602945737</c:v>
                </c:pt>
                <c:pt idx="3">
                  <c:v>-7.701018168400199</c:v>
                </c:pt>
                <c:pt idx="4">
                  <c:v>-7.7245125001590651</c:v>
                </c:pt>
                <c:pt idx="5">
                  <c:v>-7.7200816613019212</c:v>
                </c:pt>
                <c:pt idx="6">
                  <c:v>-7.6957188259688962</c:v>
                </c:pt>
                <c:pt idx="7">
                  <c:v>-7.6088671690829894</c:v>
                </c:pt>
                <c:pt idx="8">
                  <c:v>-7.5685287035856081</c:v>
                </c:pt>
                <c:pt idx="9">
                  <c:v>-7.4861364442845924</c:v>
                </c:pt>
                <c:pt idx="10">
                  <c:v>-7.3244857288482281</c:v>
                </c:pt>
                <c:pt idx="11">
                  <c:v>-7.3028380547741545</c:v>
                </c:pt>
                <c:pt idx="12">
                  <c:v>-7.2934866892884402</c:v>
                </c:pt>
                <c:pt idx="13">
                  <c:v>-7.295276863530864</c:v>
                </c:pt>
                <c:pt idx="14">
                  <c:v>-7.3057915925631214</c:v>
                </c:pt>
                <c:pt idx="15">
                  <c:v>-7.2685726153342056</c:v>
                </c:pt>
                <c:pt idx="16">
                  <c:v>-7.2833772097177674</c:v>
                </c:pt>
                <c:pt idx="17">
                  <c:v>-7.3141257548377672</c:v>
                </c:pt>
                <c:pt idx="18">
                  <c:v>-7.3108537294234033</c:v>
                </c:pt>
                <c:pt idx="19">
                  <c:v>-7.2985627170173872</c:v>
                </c:pt>
                <c:pt idx="20">
                  <c:v>-7.2815469028997395</c:v>
                </c:pt>
                <c:pt idx="21">
                  <c:v>-7.2600332353672723</c:v>
                </c:pt>
                <c:pt idx="22">
                  <c:v>-7.2719561205662107</c:v>
                </c:pt>
                <c:pt idx="23">
                  <c:v>-7.2448020927278058</c:v>
                </c:pt>
                <c:pt idx="24">
                  <c:v>-7.225464800815236</c:v>
                </c:pt>
                <c:pt idx="25">
                  <c:v>-7.2059289489284444</c:v>
                </c:pt>
                <c:pt idx="26">
                  <c:v>-7.1856876207802962</c:v>
                </c:pt>
                <c:pt idx="27">
                  <c:v>-7.1883252665008204</c:v>
                </c:pt>
                <c:pt idx="28">
                  <c:v>-7.1852712256057583</c:v>
                </c:pt>
                <c:pt idx="29">
                  <c:v>-7.1505099796553457</c:v>
                </c:pt>
                <c:pt idx="30">
                  <c:v>-7.0143638405297501</c:v>
                </c:pt>
                <c:pt idx="31">
                  <c:v>-6.8173919505214098</c:v>
                </c:pt>
                <c:pt idx="32">
                  <c:v>-6.7473755662121047</c:v>
                </c:pt>
                <c:pt idx="33">
                  <c:v>-6.7439503652787707</c:v>
                </c:pt>
                <c:pt idx="34">
                  <c:v>-6.7236369480617899</c:v>
                </c:pt>
                <c:pt idx="35">
                  <c:v>-6.7385057532998847</c:v>
                </c:pt>
                <c:pt idx="36">
                  <c:v>-6.7619083380087455</c:v>
                </c:pt>
                <c:pt idx="37">
                  <c:v>-6.7172608557170799</c:v>
                </c:pt>
                <c:pt idx="38">
                  <c:v>-6.7163273407018815</c:v>
                </c:pt>
                <c:pt idx="39">
                  <c:v>-6.7172197993395626</c:v>
                </c:pt>
                <c:pt idx="40">
                  <c:v>-6.7061141659467056</c:v>
                </c:pt>
                <c:pt idx="41">
                  <c:v>-6.6887567535380672</c:v>
                </c:pt>
                <c:pt idx="42">
                  <c:v>-6.679246884543959</c:v>
                </c:pt>
                <c:pt idx="43">
                  <c:v>-6.6703706600541626</c:v>
                </c:pt>
                <c:pt idx="44">
                  <c:v>-6.677524554623699</c:v>
                </c:pt>
                <c:pt idx="45">
                  <c:v>-6.6885006651577452</c:v>
                </c:pt>
                <c:pt idx="46">
                  <c:v>-6.6705655169726574</c:v>
                </c:pt>
                <c:pt idx="47">
                  <c:v>-6.666718926119457</c:v>
                </c:pt>
                <c:pt idx="48">
                  <c:v>-6.6677588454180006</c:v>
                </c:pt>
                <c:pt idx="49">
                  <c:v>-6.6345965467877681</c:v>
                </c:pt>
                <c:pt idx="50">
                  <c:v>-6.593499187587768</c:v>
                </c:pt>
                <c:pt idx="51">
                  <c:v>-6.6351527005298037</c:v>
                </c:pt>
                <c:pt idx="52">
                  <c:v>-6.6224344477537791</c:v>
                </c:pt>
                <c:pt idx="53">
                  <c:v>-6.6396484445963209</c:v>
                </c:pt>
                <c:pt idx="54">
                  <c:v>-6.5740304400860561</c:v>
                </c:pt>
                <c:pt idx="55">
                  <c:v>-6.3654859291355894</c:v>
                </c:pt>
                <c:pt idx="56">
                  <c:v>-6.3130902897078656</c:v>
                </c:pt>
                <c:pt idx="57">
                  <c:v>-6.3208296712147147</c:v>
                </c:pt>
                <c:pt idx="58">
                  <c:v>-6.2741366179419877</c:v>
                </c:pt>
                <c:pt idx="59">
                  <c:v>-6.3040666206503211</c:v>
                </c:pt>
                <c:pt idx="60">
                  <c:v>-6.2867362973083178</c:v>
                </c:pt>
                <c:pt idx="61">
                  <c:v>-6.3009388259508521</c:v>
                </c:pt>
                <c:pt idx="62">
                  <c:v>-6.2876228716875566</c:v>
                </c:pt>
                <c:pt idx="63">
                  <c:v>-6.2769297782687534</c:v>
                </c:pt>
                <c:pt idx="64">
                  <c:v>-6.2510397559221831</c:v>
                </c:pt>
                <c:pt idx="65">
                  <c:v>-6.2531845283388492</c:v>
                </c:pt>
                <c:pt idx="66">
                  <c:v>-6.1264653900045483</c:v>
                </c:pt>
                <c:pt idx="67">
                  <c:v>-6.1763846155855271</c:v>
                </c:pt>
                <c:pt idx="68">
                  <c:v>-6.1556927239206063</c:v>
                </c:pt>
                <c:pt idx="69">
                  <c:v>-6.1704056624920343</c:v>
                </c:pt>
                <c:pt idx="70">
                  <c:v>-6.192437909931388</c:v>
                </c:pt>
                <c:pt idx="71">
                  <c:v>-6.1806543695708864</c:v>
                </c:pt>
                <c:pt idx="72">
                  <c:v>-6.1765575250738438</c:v>
                </c:pt>
                <c:pt idx="73">
                  <c:v>-6.1702087698066688</c:v>
                </c:pt>
                <c:pt idx="74">
                  <c:v>-6.1618397429963245</c:v>
                </c:pt>
                <c:pt idx="75">
                  <c:v>-6.1603653979865394</c:v>
                </c:pt>
                <c:pt idx="76">
                  <c:v>-6.1677337541488502</c:v>
                </c:pt>
                <c:pt idx="77">
                  <c:v>-6.0356232001470964</c:v>
                </c:pt>
                <c:pt idx="78">
                  <c:v>-6.0486705401978575</c:v>
                </c:pt>
                <c:pt idx="79">
                  <c:v>-6.0414674852879955</c:v>
                </c:pt>
                <c:pt idx="80">
                  <c:v>-5.961483543722955</c:v>
                </c:pt>
                <c:pt idx="81">
                  <c:v>-5.8891573604520033</c:v>
                </c:pt>
                <c:pt idx="82">
                  <c:v>-5.892333834355969</c:v>
                </c:pt>
                <c:pt idx="83">
                  <c:v>-5.9004059568330343</c:v>
                </c:pt>
                <c:pt idx="84">
                  <c:v>-5.8866650801663676</c:v>
                </c:pt>
                <c:pt idx="85">
                  <c:v>-5.8756845187118225</c:v>
                </c:pt>
                <c:pt idx="86">
                  <c:v>-5.8677325378919729</c:v>
                </c:pt>
                <c:pt idx="87">
                  <c:v>-5.8720820412952719</c:v>
                </c:pt>
                <c:pt idx="88">
                  <c:v>-5.8462811663947489</c:v>
                </c:pt>
                <c:pt idx="89">
                  <c:v>-5.9036822791115116</c:v>
                </c:pt>
                <c:pt idx="90">
                  <c:v>-5.9026992527285325</c:v>
                </c:pt>
                <c:pt idx="91">
                  <c:v>-5.8915452510058008</c:v>
                </c:pt>
                <c:pt idx="92">
                  <c:v>-5.9157965278006728</c:v>
                </c:pt>
                <c:pt idx="93">
                  <c:v>-5.8282277504882822</c:v>
                </c:pt>
                <c:pt idx="94">
                  <c:v>-5.7451932024402339</c:v>
                </c:pt>
                <c:pt idx="95">
                  <c:v>-5.7602589410229124</c:v>
                </c:pt>
                <c:pt idx="96">
                  <c:v>-5.6844524773592484</c:v>
                </c:pt>
                <c:pt idx="97">
                  <c:v>-5.6439110125491219</c:v>
                </c:pt>
                <c:pt idx="98">
                  <c:v>-5.6158733442892599</c:v>
                </c:pt>
                <c:pt idx="99">
                  <c:v>-5.5652017162892609</c:v>
                </c:pt>
                <c:pt idx="100">
                  <c:v>-5.582841885496264</c:v>
                </c:pt>
                <c:pt idx="101">
                  <c:v>-5.5265798593945696</c:v>
                </c:pt>
                <c:pt idx="102">
                  <c:v>-5.3718222663812032</c:v>
                </c:pt>
                <c:pt idx="103">
                  <c:v>-5.2849355001459086</c:v>
                </c:pt>
                <c:pt idx="104">
                  <c:v>-5.2048484768393646</c:v>
                </c:pt>
                <c:pt idx="105">
                  <c:v>-5.2291979318481525</c:v>
                </c:pt>
                <c:pt idx="106">
                  <c:v>-5.2089565251142425</c:v>
                </c:pt>
                <c:pt idx="107">
                  <c:v>-5.2471630937889415</c:v>
                </c:pt>
                <c:pt idx="108">
                  <c:v>-5.2250519582665529</c:v>
                </c:pt>
                <c:pt idx="109">
                  <c:v>-5.1673102668299329</c:v>
                </c:pt>
                <c:pt idx="110">
                  <c:v>-4.989929586547917</c:v>
                </c:pt>
                <c:pt idx="111">
                  <c:v>-4.7862247479721285</c:v>
                </c:pt>
                <c:pt idx="112">
                  <c:v>-4.7874196051410784</c:v>
                </c:pt>
                <c:pt idx="113">
                  <c:v>-4.7580351035785782</c:v>
                </c:pt>
                <c:pt idx="114">
                  <c:v>-4.7324593893019484</c:v>
                </c:pt>
                <c:pt idx="115">
                  <c:v>-4.6831371065878926</c:v>
                </c:pt>
                <c:pt idx="116">
                  <c:v>-4.6688670815519213</c:v>
                </c:pt>
                <c:pt idx="117">
                  <c:v>-4.6567668249587362</c:v>
                </c:pt>
                <c:pt idx="118">
                  <c:v>-4.6550618922758096</c:v>
                </c:pt>
                <c:pt idx="119">
                  <c:v>-4.6790104995268056</c:v>
                </c:pt>
                <c:pt idx="120">
                  <c:v>-4.6794164544861552</c:v>
                </c:pt>
                <c:pt idx="121">
                  <c:v>-4.6509206062188895</c:v>
                </c:pt>
                <c:pt idx="122">
                  <c:v>-4.5628195503511213</c:v>
                </c:pt>
                <c:pt idx="123">
                  <c:v>-4.4703743402861864</c:v>
                </c:pt>
                <c:pt idx="124">
                  <c:v>-4.4200954876126026</c:v>
                </c:pt>
                <c:pt idx="125">
                  <c:v>-4.3021212456520956</c:v>
                </c:pt>
                <c:pt idx="126">
                  <c:v>-4.3825946716454389</c:v>
                </c:pt>
                <c:pt idx="127">
                  <c:v>-4.4493666287770184</c:v>
                </c:pt>
                <c:pt idx="128">
                  <c:v>-4.4874976416802435</c:v>
                </c:pt>
                <c:pt idx="129">
                  <c:v>-4.3411332836965917</c:v>
                </c:pt>
                <c:pt idx="130">
                  <c:v>-4.3134285663708898</c:v>
                </c:pt>
                <c:pt idx="131">
                  <c:v>-4.2493035136377708</c:v>
                </c:pt>
                <c:pt idx="132">
                  <c:v>-4.1840312921089096</c:v>
                </c:pt>
                <c:pt idx="133">
                  <c:v>-4.1079257661688393</c:v>
                </c:pt>
                <c:pt idx="134">
                  <c:v>-4.0674963099693775</c:v>
                </c:pt>
                <c:pt idx="135">
                  <c:v>-4.0838930304530532</c:v>
                </c:pt>
                <c:pt idx="136">
                  <c:v>-4.0915157411707561</c:v>
                </c:pt>
                <c:pt idx="137">
                  <c:v>-4.0836939602879667</c:v>
                </c:pt>
                <c:pt idx="138">
                  <c:v>-4.0798856792080231</c:v>
                </c:pt>
                <c:pt idx="139">
                  <c:v>-4.0707107617585674</c:v>
                </c:pt>
                <c:pt idx="140">
                  <c:v>-4.0549571228271386</c:v>
                </c:pt>
                <c:pt idx="141">
                  <c:v>-4.0524102353142917</c:v>
                </c:pt>
                <c:pt idx="142">
                  <c:v>-4.0560004646850567</c:v>
                </c:pt>
                <c:pt idx="143">
                  <c:v>-3.9836270649754923</c:v>
                </c:pt>
                <c:pt idx="144">
                  <c:v>-3.967624207138952</c:v>
                </c:pt>
                <c:pt idx="145">
                  <c:v>-4.0185713381478338</c:v>
                </c:pt>
                <c:pt idx="146">
                  <c:v>-4.002696708068938</c:v>
                </c:pt>
                <c:pt idx="147">
                  <c:v>-3.9364621366245958</c:v>
                </c:pt>
                <c:pt idx="148">
                  <c:v>-3.9261031491143914</c:v>
                </c:pt>
                <c:pt idx="149">
                  <c:v>-4.0007558729919417</c:v>
                </c:pt>
                <c:pt idx="150">
                  <c:v>-3.9515622844773537</c:v>
                </c:pt>
                <c:pt idx="151">
                  <c:v>-3.9155516084773536</c:v>
                </c:pt>
                <c:pt idx="152">
                  <c:v>-3.9019154198528612</c:v>
                </c:pt>
                <c:pt idx="153">
                  <c:v>-3.9130675049485437</c:v>
                </c:pt>
                <c:pt idx="154">
                  <c:v>-3.9502835312895397</c:v>
                </c:pt>
                <c:pt idx="155">
                  <c:v>-3.9044679754735014</c:v>
                </c:pt>
                <c:pt idx="156">
                  <c:v>-3.9477712547160348</c:v>
                </c:pt>
                <c:pt idx="157">
                  <c:v>-3.8846487969733374</c:v>
                </c:pt>
                <c:pt idx="158">
                  <c:v>-3.8485972526664995</c:v>
                </c:pt>
                <c:pt idx="159">
                  <c:v>-3.8161396573575694</c:v>
                </c:pt>
                <c:pt idx="160">
                  <c:v>-3.8376766105801714</c:v>
                </c:pt>
                <c:pt idx="161">
                  <c:v>-3.858585888149181</c:v>
                </c:pt>
                <c:pt idx="162">
                  <c:v>-3.889954685604478</c:v>
                </c:pt>
                <c:pt idx="163">
                  <c:v>-3.8541751181772712</c:v>
                </c:pt>
                <c:pt idx="164">
                  <c:v>-3.7696305171344981</c:v>
                </c:pt>
                <c:pt idx="165">
                  <c:v>-3.6700456571456397</c:v>
                </c:pt>
                <c:pt idx="166">
                  <c:v>-3.5678784214824244</c:v>
                </c:pt>
                <c:pt idx="167">
                  <c:v>-3.6026279561402359</c:v>
                </c:pt>
                <c:pt idx="168">
                  <c:v>-3.7153393878248862</c:v>
                </c:pt>
                <c:pt idx="169">
                  <c:v>-3.6324400090448861</c:v>
                </c:pt>
                <c:pt idx="170">
                  <c:v>-3.5364382772681076</c:v>
                </c:pt>
                <c:pt idx="171">
                  <c:v>-3.4485600344174561</c:v>
                </c:pt>
                <c:pt idx="172">
                  <c:v>-3.5243330116518488</c:v>
                </c:pt>
                <c:pt idx="173">
                  <c:v>-3.4381090664100689</c:v>
                </c:pt>
                <c:pt idx="174">
                  <c:v>-3.4640233553203901</c:v>
                </c:pt>
                <c:pt idx="175">
                  <c:v>-3.5490096908080062</c:v>
                </c:pt>
                <c:pt idx="176">
                  <c:v>-3.5010220058869961</c:v>
                </c:pt>
                <c:pt idx="177">
                  <c:v>-3.4970086911806262</c:v>
                </c:pt>
                <c:pt idx="178">
                  <c:v>-3.4760431220182268</c:v>
                </c:pt>
                <c:pt idx="179">
                  <c:v>-3.5225540041625099</c:v>
                </c:pt>
                <c:pt idx="180">
                  <c:v>-3.4207318949029935</c:v>
                </c:pt>
                <c:pt idx="181">
                  <c:v>-3.4405721767926254</c:v>
                </c:pt>
                <c:pt idx="182">
                  <c:v>-3.558568398398716</c:v>
                </c:pt>
                <c:pt idx="183">
                  <c:v>-3.6171986868772437</c:v>
                </c:pt>
                <c:pt idx="184">
                  <c:v>-3.5392059721428688</c:v>
                </c:pt>
                <c:pt idx="185">
                  <c:v>-3.5944668844816596</c:v>
                </c:pt>
                <c:pt idx="186">
                  <c:v>-3.4485796768191026</c:v>
                </c:pt>
                <c:pt idx="187">
                  <c:v>-3.5551193265711691</c:v>
                </c:pt>
                <c:pt idx="188">
                  <c:v>-3.5452539494483815</c:v>
                </c:pt>
                <c:pt idx="189">
                  <c:v>-3.6093167696769966</c:v>
                </c:pt>
                <c:pt idx="190">
                  <c:v>-3.57953624936945</c:v>
                </c:pt>
                <c:pt idx="191">
                  <c:v>-3.7130873278526182</c:v>
                </c:pt>
                <c:pt idx="192">
                  <c:v>-3.7098964947941768</c:v>
                </c:pt>
                <c:pt idx="193">
                  <c:v>-3.6968369637728657</c:v>
                </c:pt>
                <c:pt idx="194">
                  <c:v>-3.6906079613017315</c:v>
                </c:pt>
                <c:pt idx="195">
                  <c:v>-3.6817829264994968</c:v>
                </c:pt>
                <c:pt idx="196">
                  <c:v>-3.6224815003812743</c:v>
                </c:pt>
                <c:pt idx="197">
                  <c:v>-3.6061903023504231</c:v>
                </c:pt>
                <c:pt idx="198">
                  <c:v>-3.6054807799855659</c:v>
                </c:pt>
                <c:pt idx="199">
                  <c:v>-3.6059487897489801</c:v>
                </c:pt>
                <c:pt idx="200">
                  <c:v>-3.556945222853408</c:v>
                </c:pt>
                <c:pt idx="201">
                  <c:v>-3.5821914438248368</c:v>
                </c:pt>
                <c:pt idx="202">
                  <c:v>-3.5756497202065369</c:v>
                </c:pt>
                <c:pt idx="203">
                  <c:v>-3.5782500143010099</c:v>
                </c:pt>
                <c:pt idx="204">
                  <c:v>-3.5679754330979563</c:v>
                </c:pt>
                <c:pt idx="205">
                  <c:v>-3.5358424123910468</c:v>
                </c:pt>
                <c:pt idx="206">
                  <c:v>-3.5132291585220816</c:v>
                </c:pt>
                <c:pt idx="207">
                  <c:v>-3.4806727840132816</c:v>
                </c:pt>
                <c:pt idx="208">
                  <c:v>-3.4796403745964275</c:v>
                </c:pt>
                <c:pt idx="209">
                  <c:v>-3.4740372321258768</c:v>
                </c:pt>
                <c:pt idx="210">
                  <c:v>-3.5249308431211346</c:v>
                </c:pt>
                <c:pt idx="211">
                  <c:v>-3.4869641169047707</c:v>
                </c:pt>
                <c:pt idx="212">
                  <c:v>-3.4967181113129806</c:v>
                </c:pt>
                <c:pt idx="213">
                  <c:v>-3.4316498186475557</c:v>
                </c:pt>
                <c:pt idx="214">
                  <c:v>-3.4148836208151807</c:v>
                </c:pt>
                <c:pt idx="215">
                  <c:v>-3.4384253067690751</c:v>
                </c:pt>
                <c:pt idx="216">
                  <c:v>-3.4193905188301446</c:v>
                </c:pt>
                <c:pt idx="217">
                  <c:v>-3.2185111342429167</c:v>
                </c:pt>
                <c:pt idx="218">
                  <c:v>-3.4615644231933844</c:v>
                </c:pt>
                <c:pt idx="219">
                  <c:v>-3.5013711523570645</c:v>
                </c:pt>
                <c:pt idx="220">
                  <c:v>-3.3959156048443369</c:v>
                </c:pt>
                <c:pt idx="221">
                  <c:v>-2.9391278561588621</c:v>
                </c:pt>
                <c:pt idx="222">
                  <c:v>-3.0867118676788623</c:v>
                </c:pt>
                <c:pt idx="223">
                  <c:v>-2.9363348266155427</c:v>
                </c:pt>
                <c:pt idx="224">
                  <c:v>-2.8795241430487795</c:v>
                </c:pt>
                <c:pt idx="225">
                  <c:v>-2.7175269957383512</c:v>
                </c:pt>
                <c:pt idx="226">
                  <c:v>-2.3652284528312388</c:v>
                </c:pt>
                <c:pt idx="227">
                  <c:v>-1.7957480173375453</c:v>
                </c:pt>
                <c:pt idx="228">
                  <c:v>-1.9733366597539321</c:v>
                </c:pt>
                <c:pt idx="229">
                  <c:v>-1.9463450311199288</c:v>
                </c:pt>
                <c:pt idx="230">
                  <c:v>-1.6910435549583762</c:v>
                </c:pt>
                <c:pt idx="231">
                  <c:v>-1.2320651019453548</c:v>
                </c:pt>
                <c:pt idx="232">
                  <c:v>-1.8355731266177349</c:v>
                </c:pt>
                <c:pt idx="233">
                  <c:v>-1.8822268922545187</c:v>
                </c:pt>
                <c:pt idx="234">
                  <c:v>-1.9123231318192246</c:v>
                </c:pt>
                <c:pt idx="235">
                  <c:v>-1.7570613638793802</c:v>
                </c:pt>
                <c:pt idx="236">
                  <c:v>-1.7317542594253164</c:v>
                </c:pt>
                <c:pt idx="237">
                  <c:v>-1.7164201084922006</c:v>
                </c:pt>
                <c:pt idx="238">
                  <c:v>-1.7030875187765904</c:v>
                </c:pt>
                <c:pt idx="239">
                  <c:v>-1.6777865367492952</c:v>
                </c:pt>
                <c:pt idx="240">
                  <c:v>-1.6937991647594142</c:v>
                </c:pt>
                <c:pt idx="241">
                  <c:v>-1.7146449589787738</c:v>
                </c:pt>
                <c:pt idx="242">
                  <c:v>-1.7800460136409662</c:v>
                </c:pt>
                <c:pt idx="243">
                  <c:v>-1.7888429918765261</c:v>
                </c:pt>
                <c:pt idx="244">
                  <c:v>-1.7347194801807895</c:v>
                </c:pt>
                <c:pt idx="245">
                  <c:v>-1.6493764595890277</c:v>
                </c:pt>
                <c:pt idx="246">
                  <c:v>-1.5912471695864039</c:v>
                </c:pt>
                <c:pt idx="247">
                  <c:v>-1.6401118906719327</c:v>
                </c:pt>
                <c:pt idx="248">
                  <c:v>-1.6732601945037002</c:v>
                </c:pt>
                <c:pt idx="249">
                  <c:v>-1.7628496352647789</c:v>
                </c:pt>
                <c:pt idx="250">
                  <c:v>-1.6938660089772031</c:v>
                </c:pt>
                <c:pt idx="251">
                  <c:v>-1.6489414656362418</c:v>
                </c:pt>
                <c:pt idx="252">
                  <c:v>-1.5642883855818825</c:v>
                </c:pt>
                <c:pt idx="253">
                  <c:v>-1.6471754181189777</c:v>
                </c:pt>
                <c:pt idx="254">
                  <c:v>-1.5717794341549889</c:v>
                </c:pt>
                <c:pt idx="255">
                  <c:v>-1.5922389709227738</c:v>
                </c:pt>
                <c:pt idx="256">
                  <c:v>-1.4209264344942296</c:v>
                </c:pt>
                <c:pt idx="257">
                  <c:v>-1.3050956484088905</c:v>
                </c:pt>
                <c:pt idx="258">
                  <c:v>-1.1517295523240494</c:v>
                </c:pt>
                <c:pt idx="259">
                  <c:v>-1.130481280094797</c:v>
                </c:pt>
                <c:pt idx="260">
                  <c:v>-1.1509273158752291</c:v>
                </c:pt>
                <c:pt idx="261">
                  <c:v>-1.0476007814592689</c:v>
                </c:pt>
                <c:pt idx="262">
                  <c:v>-1.117655256708536</c:v>
                </c:pt>
                <c:pt idx="263">
                  <c:v>-1.1118013193948271</c:v>
                </c:pt>
                <c:pt idx="264">
                  <c:v>-1.1103099323255128</c:v>
                </c:pt>
                <c:pt idx="265">
                  <c:v>-1.1034950788734683</c:v>
                </c:pt>
                <c:pt idx="266">
                  <c:v>-1.0801770561295991</c:v>
                </c:pt>
                <c:pt idx="267">
                  <c:v>-1.0644266019557038</c:v>
                </c:pt>
                <c:pt idx="268">
                  <c:v>-1.0818122780292614</c:v>
                </c:pt>
                <c:pt idx="269">
                  <c:v>-1.0572214372105773</c:v>
                </c:pt>
                <c:pt idx="270">
                  <c:v>-1.0605133812744432</c:v>
                </c:pt>
                <c:pt idx="271">
                  <c:v>-1.0560387067262953</c:v>
                </c:pt>
                <c:pt idx="272">
                  <c:v>-1.0035289575897965</c:v>
                </c:pt>
                <c:pt idx="273">
                  <c:v>-1.1074679843425916</c:v>
                </c:pt>
                <c:pt idx="274">
                  <c:v>-1.1033059349961223</c:v>
                </c:pt>
                <c:pt idx="275">
                  <c:v>-1.1035130821056809</c:v>
                </c:pt>
                <c:pt idx="276">
                  <c:v>-1.1388497783622182</c:v>
                </c:pt>
                <c:pt idx="277">
                  <c:v>-1.2038903759653854</c:v>
                </c:pt>
                <c:pt idx="278">
                  <c:v>-1.1853403643788585</c:v>
                </c:pt>
                <c:pt idx="279">
                  <c:v>-1.2077864490254246</c:v>
                </c:pt>
                <c:pt idx="280">
                  <c:v>-1.2579480796107851</c:v>
                </c:pt>
                <c:pt idx="281">
                  <c:v>-1.1182209405699559</c:v>
                </c:pt>
                <c:pt idx="282">
                  <c:v>-1.0463593760386622</c:v>
                </c:pt>
                <c:pt idx="283">
                  <c:v>-1.1064973732945651</c:v>
                </c:pt>
                <c:pt idx="284">
                  <c:v>-1.0726314302982269</c:v>
                </c:pt>
                <c:pt idx="285">
                  <c:v>-1.047439104026159</c:v>
                </c:pt>
                <c:pt idx="286">
                  <c:v>-1.0041455412120299</c:v>
                </c:pt>
                <c:pt idx="287">
                  <c:v>-0.97823452801618305</c:v>
                </c:pt>
                <c:pt idx="288">
                  <c:v>-1.0204745100201063</c:v>
                </c:pt>
                <c:pt idx="289">
                  <c:v>-1.0247862549153162</c:v>
                </c:pt>
                <c:pt idx="290">
                  <c:v>-1.0169235432751038</c:v>
                </c:pt>
                <c:pt idx="291">
                  <c:v>-0.99701564551910715</c:v>
                </c:pt>
                <c:pt idx="292">
                  <c:v>-1.051622821849669</c:v>
                </c:pt>
                <c:pt idx="293">
                  <c:v>-1.0148817494194236</c:v>
                </c:pt>
                <c:pt idx="294">
                  <c:v>-0.9912841926367173</c:v>
                </c:pt>
                <c:pt idx="295">
                  <c:v>-1.0206772929547516</c:v>
                </c:pt>
                <c:pt idx="296">
                  <c:v>-0.98210595089365316</c:v>
                </c:pt>
                <c:pt idx="297">
                  <c:v>-1.0347558464557309</c:v>
                </c:pt>
                <c:pt idx="298">
                  <c:v>-1.0571322116812483</c:v>
                </c:pt>
                <c:pt idx="299">
                  <c:v>-1.0542223925886072</c:v>
                </c:pt>
                <c:pt idx="300">
                  <c:v>-1.0061132020231855</c:v>
                </c:pt>
                <c:pt idx="301">
                  <c:v>-0.95974828791964695</c:v>
                </c:pt>
                <c:pt idx="302">
                  <c:v>-0.9645556274643623</c:v>
                </c:pt>
                <c:pt idx="303">
                  <c:v>-0.93505567509637788</c:v>
                </c:pt>
                <c:pt idx="304">
                  <c:v>-0.89766167043224365</c:v>
                </c:pt>
                <c:pt idx="305">
                  <c:v>-0.88665374008882258</c:v>
                </c:pt>
                <c:pt idx="306">
                  <c:v>-0.88293844609682237</c:v>
                </c:pt>
                <c:pt idx="307">
                  <c:v>-0.91719843289682235</c:v>
                </c:pt>
                <c:pt idx="308">
                  <c:v>-0.97621016717535514</c:v>
                </c:pt>
                <c:pt idx="309">
                  <c:v>-0.97159490995607301</c:v>
                </c:pt>
                <c:pt idx="310">
                  <c:v>-0.92004654120048046</c:v>
                </c:pt>
                <c:pt idx="311">
                  <c:v>-0.90568882927320782</c:v>
                </c:pt>
                <c:pt idx="312">
                  <c:v>-0.86339370838534113</c:v>
                </c:pt>
                <c:pt idx="313">
                  <c:v>-0.85418500047310819</c:v>
                </c:pt>
                <c:pt idx="314">
                  <c:v>-0.81414113157310819</c:v>
                </c:pt>
                <c:pt idx="315">
                  <c:v>-0.77705671867040538</c:v>
                </c:pt>
                <c:pt idx="316">
                  <c:v>-0.69864076975235267</c:v>
                </c:pt>
                <c:pt idx="317">
                  <c:v>-0.699155993010667</c:v>
                </c:pt>
                <c:pt idx="318">
                  <c:v>-0.79511303844686454</c:v>
                </c:pt>
                <c:pt idx="319">
                  <c:v>-0.77138176803470582</c:v>
                </c:pt>
                <c:pt idx="320">
                  <c:v>-0.76137141816287024</c:v>
                </c:pt>
                <c:pt idx="321">
                  <c:v>-0.86470157055933661</c:v>
                </c:pt>
                <c:pt idx="322">
                  <c:v>-0.95021284180735632</c:v>
                </c:pt>
                <c:pt idx="323">
                  <c:v>-0.97651126148612721</c:v>
                </c:pt>
                <c:pt idx="324">
                  <c:v>-1.0277242675349421</c:v>
                </c:pt>
                <c:pt idx="325">
                  <c:v>-1.0562103000539651</c:v>
                </c:pt>
                <c:pt idx="326">
                  <c:v>-1.0475471607992364</c:v>
                </c:pt>
                <c:pt idx="327">
                  <c:v>-1.0541534379345898</c:v>
                </c:pt>
                <c:pt idx="328">
                  <c:v>-1.0574424864689398</c:v>
                </c:pt>
                <c:pt idx="329">
                  <c:v>-1.0390389072552888</c:v>
                </c:pt>
                <c:pt idx="330">
                  <c:v>-0.91824236757380751</c:v>
                </c:pt>
                <c:pt idx="331">
                  <c:v>-1.004015300277961</c:v>
                </c:pt>
                <c:pt idx="332">
                  <c:v>-0.98068368387111038</c:v>
                </c:pt>
                <c:pt idx="333">
                  <c:v>-1.1310127575431594</c:v>
                </c:pt>
                <c:pt idx="334">
                  <c:v>-1.1224237413733997</c:v>
                </c:pt>
                <c:pt idx="335">
                  <c:v>-1.1219021179079665</c:v>
                </c:pt>
                <c:pt idx="336">
                  <c:v>-1.1039881673052359</c:v>
                </c:pt>
                <c:pt idx="337">
                  <c:v>-1.0787289197789027</c:v>
                </c:pt>
                <c:pt idx="338">
                  <c:v>-1.08076171275578</c:v>
                </c:pt>
                <c:pt idx="339">
                  <c:v>-1.0844441402386928</c:v>
                </c:pt>
                <c:pt idx="340">
                  <c:v>-1.0978164064509643</c:v>
                </c:pt>
                <c:pt idx="341">
                  <c:v>-1.0689762769273639</c:v>
                </c:pt>
                <c:pt idx="342">
                  <c:v>-1.0326242008172384</c:v>
                </c:pt>
                <c:pt idx="343">
                  <c:v>-1.0478525266933596</c:v>
                </c:pt>
                <c:pt idx="344">
                  <c:v>-1.0900513082255565</c:v>
                </c:pt>
                <c:pt idx="345">
                  <c:v>-1.130345669504957</c:v>
                </c:pt>
                <c:pt idx="346">
                  <c:v>-1.1184074234323111</c:v>
                </c:pt>
                <c:pt idx="347">
                  <c:v>-1.1016711216266843</c:v>
                </c:pt>
                <c:pt idx="348">
                  <c:v>-1.0679407345865077</c:v>
                </c:pt>
                <c:pt idx="349">
                  <c:v>-1.0989842287631972</c:v>
                </c:pt>
                <c:pt idx="350">
                  <c:v>-1.1006935892902794</c:v>
                </c:pt>
                <c:pt idx="351">
                  <c:v>-1.0893914833490903</c:v>
                </c:pt>
                <c:pt idx="352">
                  <c:v>-1.083285289043791</c:v>
                </c:pt>
                <c:pt idx="353">
                  <c:v>-1.0961750759272111</c:v>
                </c:pt>
                <c:pt idx="354">
                  <c:v>-1.1070767611457346</c:v>
                </c:pt>
                <c:pt idx="355">
                  <c:v>-1.1210781981030022</c:v>
                </c:pt>
                <c:pt idx="356">
                  <c:v>-0.99423578534823398</c:v>
                </c:pt>
                <c:pt idx="357">
                  <c:v>-1.1906937355672815</c:v>
                </c:pt>
                <c:pt idx="358">
                  <c:v>-1.2565138494343475</c:v>
                </c:pt>
                <c:pt idx="359">
                  <c:v>-1.3775353389567477</c:v>
                </c:pt>
                <c:pt idx="360">
                  <c:v>-1.3510026153137509</c:v>
                </c:pt>
                <c:pt idx="361">
                  <c:v>-1.4392504515622471</c:v>
                </c:pt>
                <c:pt idx="362">
                  <c:v>-1.4086482892114831</c:v>
                </c:pt>
                <c:pt idx="363">
                  <c:v>-1.2994261004069512</c:v>
                </c:pt>
                <c:pt idx="364">
                  <c:v>-1.2971391209177454</c:v>
                </c:pt>
                <c:pt idx="365">
                  <c:v>-1.1635386611061675</c:v>
                </c:pt>
                <c:pt idx="366">
                  <c:v>-1.1295080711110017</c:v>
                </c:pt>
                <c:pt idx="367">
                  <c:v>-1.2461164950656682</c:v>
                </c:pt>
                <c:pt idx="368">
                  <c:v>-1.2315346225949508</c:v>
                </c:pt>
                <c:pt idx="369">
                  <c:v>-1.2362623817587306</c:v>
                </c:pt>
                <c:pt idx="370">
                  <c:v>-1.2067527300451366</c:v>
                </c:pt>
                <c:pt idx="371">
                  <c:v>-1.2535543647654652</c:v>
                </c:pt>
                <c:pt idx="372">
                  <c:v>-1.2405857144427164</c:v>
                </c:pt>
                <c:pt idx="373">
                  <c:v>-1.2500178060675684</c:v>
                </c:pt>
                <c:pt idx="374">
                  <c:v>-1.1652511635867033</c:v>
                </c:pt>
                <c:pt idx="375">
                  <c:v>-1.2604283137833385</c:v>
                </c:pt>
                <c:pt idx="376">
                  <c:v>-1.2777570930963609</c:v>
                </c:pt>
                <c:pt idx="377">
                  <c:v>-1.3261052505963606</c:v>
                </c:pt>
                <c:pt idx="378">
                  <c:v>-1.3550238548391194</c:v>
                </c:pt>
                <c:pt idx="379">
                  <c:v>-1.2815194387333499</c:v>
                </c:pt>
                <c:pt idx="380">
                  <c:v>-1.396161798802072</c:v>
                </c:pt>
                <c:pt idx="381">
                  <c:v>-1.3692372505778889</c:v>
                </c:pt>
                <c:pt idx="382">
                  <c:v>-1.3225486125708854</c:v>
                </c:pt>
                <c:pt idx="383">
                  <c:v>-1.242723533340202</c:v>
                </c:pt>
                <c:pt idx="384">
                  <c:v>-1.2652512122232857</c:v>
                </c:pt>
                <c:pt idx="385">
                  <c:v>-1.2642238051121413</c:v>
                </c:pt>
                <c:pt idx="386">
                  <c:v>-1.3183132287040173</c:v>
                </c:pt>
                <c:pt idx="387">
                  <c:v>-1.326402556495327</c:v>
                </c:pt>
                <c:pt idx="388">
                  <c:v>-1.3265936885394263</c:v>
                </c:pt>
                <c:pt idx="389">
                  <c:v>-1.3043969982383341</c:v>
                </c:pt>
                <c:pt idx="390">
                  <c:v>-1.3246064319242237</c:v>
                </c:pt>
                <c:pt idx="391">
                  <c:v>-1.3211880496548565</c:v>
                </c:pt>
                <c:pt idx="392">
                  <c:v>-1.3229318597399313</c:v>
                </c:pt>
                <c:pt idx="393">
                  <c:v>-1.3172473469159314</c:v>
                </c:pt>
                <c:pt idx="394">
                  <c:v>-1.3176176945089546</c:v>
                </c:pt>
                <c:pt idx="395">
                  <c:v>-1.3146931861799389</c:v>
                </c:pt>
                <c:pt idx="396">
                  <c:v>-1.2890992544789868</c:v>
                </c:pt>
                <c:pt idx="397">
                  <c:v>-1.2883218009884263</c:v>
                </c:pt>
                <c:pt idx="398">
                  <c:v>-1.2672746990108261</c:v>
                </c:pt>
                <c:pt idx="399">
                  <c:v>-1.2465344080834908</c:v>
                </c:pt>
                <c:pt idx="400">
                  <c:v>-1.2698788644222652</c:v>
                </c:pt>
                <c:pt idx="401">
                  <c:v>-1.2327914527700079</c:v>
                </c:pt>
                <c:pt idx="402">
                  <c:v>-1.2246134702082785</c:v>
                </c:pt>
                <c:pt idx="403">
                  <c:v>-1.1972843208854933</c:v>
                </c:pt>
                <c:pt idx="404">
                  <c:v>-1.1475607216498107</c:v>
                </c:pt>
                <c:pt idx="405">
                  <c:v>-1.0963713742385954</c:v>
                </c:pt>
                <c:pt idx="406">
                  <c:v>-1.0550650181498111</c:v>
                </c:pt>
                <c:pt idx="407">
                  <c:v>-1.0821371259529819</c:v>
                </c:pt>
                <c:pt idx="408">
                  <c:v>-1.0372012680789335</c:v>
                </c:pt>
                <c:pt idx="409">
                  <c:v>-0.98194931870149449</c:v>
                </c:pt>
                <c:pt idx="410">
                  <c:v>-0.96674857839943262</c:v>
                </c:pt>
                <c:pt idx="411">
                  <c:v>-0.91478102734619127</c:v>
                </c:pt>
                <c:pt idx="412">
                  <c:v>-0.93316536838866915</c:v>
                </c:pt>
                <c:pt idx="413">
                  <c:v>-1.0055750179835774</c:v>
                </c:pt>
                <c:pt idx="414">
                  <c:v>-0.93115271645507336</c:v>
                </c:pt>
                <c:pt idx="415">
                  <c:v>-1.03125918360785</c:v>
                </c:pt>
                <c:pt idx="416">
                  <c:v>-0.8003093322464806</c:v>
                </c:pt>
                <c:pt idx="417">
                  <c:v>-0.9308568086964164</c:v>
                </c:pt>
                <c:pt idx="418">
                  <c:v>-0.87306039961070214</c:v>
                </c:pt>
                <c:pt idx="419">
                  <c:v>-0.93646334186272473</c:v>
                </c:pt>
                <c:pt idx="420">
                  <c:v>-0.88711492917834978</c:v>
                </c:pt>
                <c:pt idx="421">
                  <c:v>-0.88512609614759152</c:v>
                </c:pt>
                <c:pt idx="422">
                  <c:v>-0.91399863049924845</c:v>
                </c:pt>
                <c:pt idx="423">
                  <c:v>-0.88378017489264937</c:v>
                </c:pt>
                <c:pt idx="424">
                  <c:v>-0.91387654470611102</c:v>
                </c:pt>
                <c:pt idx="425">
                  <c:v>-0.87433432073202177</c:v>
                </c:pt>
                <c:pt idx="426">
                  <c:v>-0.90179201350681015</c:v>
                </c:pt>
                <c:pt idx="427">
                  <c:v>-0.96262303770681013</c:v>
                </c:pt>
                <c:pt idx="428">
                  <c:v>-0.94061401343456919</c:v>
                </c:pt>
                <c:pt idx="429">
                  <c:v>-0.9281711461276726</c:v>
                </c:pt>
                <c:pt idx="430">
                  <c:v>-0.95297821696229545</c:v>
                </c:pt>
                <c:pt idx="431">
                  <c:v>-0.94302571108548938</c:v>
                </c:pt>
                <c:pt idx="432">
                  <c:v>-0.91474956156898457</c:v>
                </c:pt>
                <c:pt idx="433">
                  <c:v>-0.85714116258427187</c:v>
                </c:pt>
                <c:pt idx="434">
                  <c:v>-0.88962894401924086</c:v>
                </c:pt>
                <c:pt idx="435">
                  <c:v>-0.79944889741662428</c:v>
                </c:pt>
                <c:pt idx="436">
                  <c:v>-0.73553723421168093</c:v>
                </c:pt>
                <c:pt idx="437">
                  <c:v>-0.67222287099103661</c:v>
                </c:pt>
                <c:pt idx="438">
                  <c:v>-0.84864248279941212</c:v>
                </c:pt>
                <c:pt idx="439">
                  <c:v>-0.74744829820096381</c:v>
                </c:pt>
                <c:pt idx="440">
                  <c:v>-0.76187494745606588</c:v>
                </c:pt>
                <c:pt idx="441">
                  <c:v>-0.77980139082736399</c:v>
                </c:pt>
                <c:pt idx="442">
                  <c:v>-0.54196322729281821</c:v>
                </c:pt>
                <c:pt idx="443">
                  <c:v>-0.3953287034398027</c:v>
                </c:pt>
                <c:pt idx="444">
                  <c:v>-0.26476573615474486</c:v>
                </c:pt>
                <c:pt idx="445">
                  <c:v>-0.15863068865847069</c:v>
                </c:pt>
                <c:pt idx="446">
                  <c:v>-0.15426150248317377</c:v>
                </c:pt>
                <c:pt idx="447">
                  <c:v>-0.10607467008014679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96-4E49-81A9-7D348D312C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4827040"/>
        <c:axId val="454826208"/>
      </c:lineChart>
      <c:dateAx>
        <c:axId val="4548270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826208"/>
        <c:crosses val="autoZero"/>
        <c:auto val="1"/>
        <c:lblOffset val="100"/>
        <c:baseTimeUnit val="days"/>
      </c:dateAx>
      <c:valAx>
        <c:axId val="45482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827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BCDE7F4-7F5A-466C-A408-1302A7B143EC}">
  <sheetPr codeName="Chart1"/>
  <sheetViews>
    <sheetView zoomScale="9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4725" cy="607087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389D19C-9E37-46CC-8AC9-67700DEF209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6</v>
      </c>
      <c r="D2" s="4">
        <f>MIN(D3:D1912)</f>
        <v>0.38109999999999999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44588</v>
      </c>
      <c r="B5">
        <v>0.53749999999999998</v>
      </c>
      <c r="C5">
        <v>0.54359999999999997</v>
      </c>
      <c r="D5">
        <v>0.52949999999999997</v>
      </c>
      <c r="E5">
        <v>0.52990000000000004</v>
      </c>
      <c r="F5">
        <v>137987</v>
      </c>
      <c r="G5">
        <v>0.52990000000000004</v>
      </c>
      <c r="L5" t="s">
        <v>7</v>
      </c>
      <c r="M5" t="s">
        <v>7</v>
      </c>
      <c r="N5" t="s">
        <v>7</v>
      </c>
      <c r="P5">
        <f t="shared" ref="P5" si="0">IF(C5=D5,0,((E5-D5)-(C5-E5))/(C5-D5))</f>
        <v>-0.94326241134750821</v>
      </c>
      <c r="Q5">
        <f t="shared" ref="Q5" si="1">F5*P5</f>
        <v>-130157.95035460862</v>
      </c>
      <c r="R5">
        <f t="shared" ref="R5" si="2">R6+Q5</f>
        <v>-777635637.2575897</v>
      </c>
      <c r="S5">
        <f t="shared" ref="S5" si="3">R5/100000</f>
        <v>-7776.3563725758968</v>
      </c>
      <c r="T5">
        <f t="shared" ref="T5" si="4">S5/1000</f>
        <v>-7.7763563725758971</v>
      </c>
    </row>
    <row r="6" spans="1:20" x14ac:dyDescent="0.25">
      <c r="A6" s="5">
        <v>44587</v>
      </c>
      <c r="B6">
        <v>0.54239999999999999</v>
      </c>
      <c r="C6">
        <v>0.6371</v>
      </c>
      <c r="D6">
        <v>0.52910000000000001</v>
      </c>
      <c r="E6">
        <v>0.53759999999999997</v>
      </c>
      <c r="F6">
        <v>6626694</v>
      </c>
      <c r="G6">
        <v>0.53759999999999997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-0.84259259259259345</v>
      </c>
      <c r="Q6">
        <f t="shared" ref="Q6" si="6">F6*P6</f>
        <v>-5583603.2777777836</v>
      </c>
      <c r="R6">
        <f t="shared" ref="R6" si="7">R7+Q6</f>
        <v>-777505479.30723512</v>
      </c>
      <c r="S6">
        <f t="shared" ref="S6" si="8">R6/100000</f>
        <v>-7775.0547930723515</v>
      </c>
      <c r="T6">
        <f t="shared" ref="T6" si="9">S6/1000</f>
        <v>-7.7750547930723517</v>
      </c>
    </row>
    <row r="7" spans="1:20" x14ac:dyDescent="0.25">
      <c r="A7" s="5">
        <v>44586</v>
      </c>
      <c r="B7">
        <v>0.52580000000000005</v>
      </c>
      <c r="C7">
        <v>0.6</v>
      </c>
      <c r="D7">
        <v>0.51290000000000002</v>
      </c>
      <c r="E7">
        <v>0.54259999999999997</v>
      </c>
      <c r="F7">
        <v>5723002</v>
      </c>
      <c r="G7">
        <v>0.54259999999999997</v>
      </c>
      <c r="L7" t="s">
        <v>8</v>
      </c>
      <c r="M7" t="s">
        <v>8</v>
      </c>
      <c r="N7" t="s">
        <v>7</v>
      </c>
      <c r="P7">
        <f t="shared" ref="P7" si="10">IF(C7=D7,0,((E7-D7)-(C7-E7))/(C7-D7))</f>
        <v>-0.3180252583237666</v>
      </c>
      <c r="Q7">
        <f t="shared" ref="Q7" si="11">F7*P7</f>
        <v>-1820059.1894374329</v>
      </c>
      <c r="R7">
        <f t="shared" ref="R7" si="12">R8+Q7</f>
        <v>-771921876.02945733</v>
      </c>
      <c r="S7">
        <f t="shared" ref="S7" si="13">R7/100000</f>
        <v>-7719.2187602945733</v>
      </c>
      <c r="T7">
        <f t="shared" ref="T7" si="14">S7/1000</f>
        <v>-7.7192187602945737</v>
      </c>
    </row>
    <row r="8" spans="1:20" x14ac:dyDescent="0.25">
      <c r="A8" s="5">
        <v>44585</v>
      </c>
      <c r="B8">
        <v>0.54649999999999999</v>
      </c>
      <c r="C8">
        <v>0.54649999999999999</v>
      </c>
      <c r="D8">
        <v>0.47599999999999998</v>
      </c>
      <c r="E8">
        <v>0.52590000000000003</v>
      </c>
      <c r="F8">
        <v>5653073</v>
      </c>
      <c r="G8">
        <v>0.52590000000000003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0.41560283687943406</v>
      </c>
      <c r="Q8">
        <f t="shared" ref="Q8" si="16">F8*P8</f>
        <v>2349433.1758865328</v>
      </c>
      <c r="R8">
        <f t="shared" ref="R8" si="17">R9+Q8</f>
        <v>-770101816.84001994</v>
      </c>
      <c r="S8">
        <f t="shared" ref="S8" si="18">R8/100000</f>
        <v>-7701.0181684001991</v>
      </c>
      <c r="T8">
        <f t="shared" ref="T8" si="19">S8/1000</f>
        <v>-7.701018168400199</v>
      </c>
    </row>
    <row r="9" spans="1:20" x14ac:dyDescent="0.25">
      <c r="A9" s="5">
        <v>44584</v>
      </c>
      <c r="B9">
        <v>0.52300000000000002</v>
      </c>
      <c r="C9">
        <v>0.58079999999999998</v>
      </c>
      <c r="D9">
        <v>0.51780000000000004</v>
      </c>
      <c r="E9">
        <v>0.54659999999999997</v>
      </c>
      <c r="F9">
        <v>5169312</v>
      </c>
      <c r="G9">
        <v>0.54659999999999997</v>
      </c>
      <c r="L9" t="s">
        <v>8</v>
      </c>
      <c r="M9" t="s">
        <v>7</v>
      </c>
      <c r="N9" t="s">
        <v>7</v>
      </c>
      <c r="P9">
        <f t="shared" ref="P9" si="20">IF(C9=D9,0,((E9-D9)-(C9-E9))/(C9-D9))</f>
        <v>-8.5714285714286922E-2</v>
      </c>
      <c r="Q9">
        <f t="shared" ref="Q9" si="21">F9*P9</f>
        <v>-443083.88571429194</v>
      </c>
      <c r="R9">
        <f t="shared" ref="R9" si="22">R10+Q9</f>
        <v>-772451250.01590645</v>
      </c>
      <c r="S9">
        <f t="shared" ref="S9" si="23">R9/100000</f>
        <v>-7724.512500159065</v>
      </c>
      <c r="T9">
        <f t="shared" ref="T9" si="24">S9/1000</f>
        <v>-7.7245125001590651</v>
      </c>
    </row>
    <row r="10" spans="1:20" x14ac:dyDescent="0.25">
      <c r="A10" s="5">
        <v>44583</v>
      </c>
      <c r="B10">
        <v>0.58450000000000002</v>
      </c>
      <c r="C10">
        <v>0.59989999999999999</v>
      </c>
      <c r="D10">
        <v>0.49180000000000001</v>
      </c>
      <c r="E10">
        <v>0.52259999999999995</v>
      </c>
      <c r="F10">
        <v>5663704.2999999998</v>
      </c>
      <c r="G10">
        <v>0.52259999999999995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-0.43015726179463559</v>
      </c>
      <c r="Q10">
        <f t="shared" ref="Q10" si="26">F10*P10</f>
        <v>-2436283.5333025032</v>
      </c>
      <c r="R10">
        <f t="shared" ref="R10" si="27">R11+Q10</f>
        <v>-772008166.13019216</v>
      </c>
      <c r="S10">
        <f t="shared" ref="S10" si="28">R10/100000</f>
        <v>-7720.0816613019215</v>
      </c>
      <c r="T10">
        <f t="shared" ref="T10" si="29">S10/1000</f>
        <v>-7.7200816613019212</v>
      </c>
    </row>
    <row r="11" spans="1:20" x14ac:dyDescent="0.25">
      <c r="A11" s="5">
        <v>44582</v>
      </c>
      <c r="B11">
        <v>0.64880000000000004</v>
      </c>
      <c r="C11">
        <v>0.71</v>
      </c>
      <c r="D11">
        <v>0.56100000000000005</v>
      </c>
      <c r="E11">
        <v>0.58450000000000002</v>
      </c>
      <c r="F11">
        <v>12687153.800000001</v>
      </c>
      <c r="G11">
        <v>0.58450000000000002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-0.68456375838926198</v>
      </c>
      <c r="Q11">
        <f t="shared" ref="Q11" si="31">F11*P11</f>
        <v>-8685165.6885906067</v>
      </c>
      <c r="R11">
        <f t="shared" ref="R11" si="32">R12+Q11</f>
        <v>-769571882.59688962</v>
      </c>
      <c r="S11">
        <f t="shared" ref="S11" si="33">R11/100000</f>
        <v>-7695.7188259688965</v>
      </c>
      <c r="T11">
        <f t="shared" ref="T11" si="34">S11/1000</f>
        <v>-7.6957188259688962</v>
      </c>
    </row>
    <row r="12" spans="1:20" x14ac:dyDescent="0.25">
      <c r="A12" s="5">
        <v>44581</v>
      </c>
      <c r="B12">
        <v>0.69610000000000005</v>
      </c>
      <c r="C12">
        <v>0.70499999999999996</v>
      </c>
      <c r="D12">
        <v>0.64770000000000005</v>
      </c>
      <c r="E12">
        <v>0.6492</v>
      </c>
      <c r="F12">
        <v>4256711</v>
      </c>
      <c r="G12">
        <v>0.6492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-0.94764397905759346</v>
      </c>
      <c r="Q12">
        <f t="shared" ref="Q12" si="36">F12*P12</f>
        <v>-4033846.5497382279</v>
      </c>
      <c r="R12">
        <f t="shared" ref="R12" si="37">R13+Q12</f>
        <v>-760886716.90829897</v>
      </c>
      <c r="S12">
        <f t="shared" ref="S12" si="38">R12/100000</f>
        <v>-7608.8671690829897</v>
      </c>
      <c r="T12">
        <f t="shared" ref="T12" si="39">S12/1000</f>
        <v>-7.6088671690829894</v>
      </c>
    </row>
    <row r="13" spans="1:20" x14ac:dyDescent="0.25">
      <c r="A13" s="5">
        <v>44580</v>
      </c>
      <c r="B13">
        <v>0.7802</v>
      </c>
      <c r="C13">
        <v>0.78220000000000001</v>
      </c>
      <c r="D13">
        <v>0.69350000000000001</v>
      </c>
      <c r="E13">
        <v>0.69589999999999996</v>
      </c>
      <c r="F13">
        <v>8710600</v>
      </c>
      <c r="G13">
        <v>0.69589999999999996</v>
      </c>
      <c r="L13" t="s">
        <v>7</v>
      </c>
      <c r="M13" t="s">
        <v>7</v>
      </c>
      <c r="N13" t="s">
        <v>8</v>
      </c>
      <c r="P13">
        <f t="shared" ref="P13" si="40">IF(C13=D13,0,((E13-D13)-(C13-E13))/(C13-D13))</f>
        <v>-0.94588500563697953</v>
      </c>
      <c r="Q13">
        <f t="shared" ref="Q13" si="41">F13*P13</f>
        <v>-8239225.9301014738</v>
      </c>
      <c r="R13">
        <f t="shared" ref="R13" si="42">R14+Q13</f>
        <v>-756852870.3585608</v>
      </c>
      <c r="S13">
        <f t="shared" ref="S13" si="43">R13/100000</f>
        <v>-7568.5287035856081</v>
      </c>
      <c r="T13">
        <f t="shared" ref="T13" si="44">S13/1000</f>
        <v>-7.5685287035856081</v>
      </c>
    </row>
    <row r="14" spans="1:20" x14ac:dyDescent="0.25">
      <c r="A14" s="5">
        <v>44579</v>
      </c>
      <c r="B14">
        <v>0.70830000000000004</v>
      </c>
      <c r="C14">
        <v>0.92349999999999999</v>
      </c>
      <c r="D14">
        <v>0.70350000000000001</v>
      </c>
      <c r="E14">
        <v>0.77969999999999995</v>
      </c>
      <c r="F14">
        <v>52608221</v>
      </c>
      <c r="G14">
        <v>0.77969999999999995</v>
      </c>
      <c r="L14" t="s">
        <v>8</v>
      </c>
      <c r="M14" t="s">
        <v>8</v>
      </c>
      <c r="N14" t="s">
        <v>8</v>
      </c>
      <c r="P14">
        <f t="shared" ref="P14" si="45">IF(C14=D14,0,((E14-D14)-(C14-E14))/(C14-D14))</f>
        <v>-0.30727272727272781</v>
      </c>
      <c r="Q14">
        <f t="shared" ref="Q14" si="46">F14*P14</f>
        <v>-16165071.543636391</v>
      </c>
      <c r="R14">
        <f t="shared" ref="R14" si="47">R15+Q14</f>
        <v>-748613644.42845929</v>
      </c>
      <c r="S14">
        <f t="shared" ref="S14" si="48">R14/100000</f>
        <v>-7486.1364442845925</v>
      </c>
      <c r="T14">
        <f t="shared" ref="T14" si="49">S14/1000</f>
        <v>-7.4861364442845924</v>
      </c>
    </row>
    <row r="15" spans="1:20" x14ac:dyDescent="0.25">
      <c r="A15" s="5">
        <v>44578</v>
      </c>
      <c r="B15">
        <v>0.73360000000000003</v>
      </c>
      <c r="C15">
        <v>0.73470000000000002</v>
      </c>
      <c r="D15">
        <v>0.70230000000000004</v>
      </c>
      <c r="E15">
        <v>0.70830000000000004</v>
      </c>
      <c r="F15">
        <v>3438160</v>
      </c>
      <c r="G15">
        <v>0.70830000000000004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-0.6296296296296291</v>
      </c>
      <c r="Q15">
        <f t="shared" ref="Q15" si="51">F15*P15</f>
        <v>-2164767.4074074058</v>
      </c>
      <c r="R15">
        <f t="shared" ref="R15" si="52">R16+Q15</f>
        <v>-732448572.88482285</v>
      </c>
      <c r="S15">
        <f t="shared" ref="S15" si="53">R15/100000</f>
        <v>-7324.4857288482281</v>
      </c>
      <c r="T15">
        <f t="shared" ref="T15" si="54">S15/1000</f>
        <v>-7.3244857288482281</v>
      </c>
    </row>
    <row r="16" spans="1:20" x14ac:dyDescent="0.25">
      <c r="A16" s="5">
        <v>44577</v>
      </c>
      <c r="B16">
        <v>0.74470000000000003</v>
      </c>
      <c r="C16">
        <v>0.75590000000000002</v>
      </c>
      <c r="D16">
        <v>0.72089999999999999</v>
      </c>
      <c r="E16">
        <v>0.73360000000000003</v>
      </c>
      <c r="F16">
        <v>3409352</v>
      </c>
      <c r="G16">
        <v>0.73360000000000003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-0.27428571428571236</v>
      </c>
      <c r="Q16">
        <f t="shared" ref="Q16" si="56">F16*P16</f>
        <v>-935136.548571422</v>
      </c>
      <c r="R16">
        <f t="shared" ref="R16" si="57">R17+Q16</f>
        <v>-730283805.47741544</v>
      </c>
      <c r="S16">
        <f t="shared" ref="S16" si="58">R16/100000</f>
        <v>-7302.8380547741544</v>
      </c>
      <c r="T16">
        <f t="shared" ref="T16" si="59">S16/1000</f>
        <v>-7.3028380547741545</v>
      </c>
    </row>
    <row r="17" spans="1:20" x14ac:dyDescent="0.25">
      <c r="A17" s="5">
        <v>44576</v>
      </c>
      <c r="B17">
        <v>0.73519999999999996</v>
      </c>
      <c r="C17">
        <v>0.75839999999999996</v>
      </c>
      <c r="D17">
        <v>0.72870000000000001</v>
      </c>
      <c r="E17">
        <v>0.74429999999999996</v>
      </c>
      <c r="F17">
        <v>3544545</v>
      </c>
      <c r="G17">
        <v>0.74429999999999996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5.0505050505048769E-2</v>
      </c>
      <c r="Q17">
        <f t="shared" ref="Q17" si="61">F17*P17</f>
        <v>179017.42424241808</v>
      </c>
      <c r="R17">
        <f t="shared" ref="R17" si="62">R18+Q17</f>
        <v>-729348668.92884398</v>
      </c>
      <c r="S17">
        <f t="shared" ref="S17" si="63">R17/100000</f>
        <v>-7293.4866892884402</v>
      </c>
      <c r="T17">
        <f t="shared" ref="T17" si="64">S17/1000</f>
        <v>-7.2934866892884402</v>
      </c>
    </row>
    <row r="18" spans="1:20" x14ac:dyDescent="0.25">
      <c r="A18" s="5">
        <v>44575</v>
      </c>
      <c r="B18">
        <v>0.70030000000000003</v>
      </c>
      <c r="C18">
        <v>0.75619999999999998</v>
      </c>
      <c r="D18">
        <v>0.69730000000000003</v>
      </c>
      <c r="E18">
        <v>0.73529999999999995</v>
      </c>
      <c r="F18">
        <v>3621740</v>
      </c>
      <c r="G18">
        <v>0.73529999999999995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0.2903225806451597</v>
      </c>
      <c r="Q18">
        <f t="shared" ref="Q18" si="66">F18*P18</f>
        <v>1051472.9032258007</v>
      </c>
      <c r="R18">
        <f t="shared" ref="R18" si="67">R19+Q18</f>
        <v>-729527686.35308635</v>
      </c>
      <c r="S18">
        <f t="shared" ref="S18" si="68">R18/100000</f>
        <v>-7295.2768635308639</v>
      </c>
      <c r="T18">
        <f t="shared" ref="T18" si="69">S18/1000</f>
        <v>-7.295276863530864</v>
      </c>
    </row>
    <row r="19" spans="1:20" x14ac:dyDescent="0.25">
      <c r="A19" s="5">
        <v>44574</v>
      </c>
      <c r="B19">
        <v>0.73819999999999997</v>
      </c>
      <c r="C19">
        <v>0.76670000000000005</v>
      </c>
      <c r="D19">
        <v>0.70030000000000003</v>
      </c>
      <c r="E19">
        <v>0.7006</v>
      </c>
      <c r="F19">
        <v>3755836</v>
      </c>
      <c r="G19">
        <v>0.7006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-0.99096385542168774</v>
      </c>
      <c r="Q19">
        <f t="shared" ref="Q19" si="71">F19*P19</f>
        <v>-3721897.7228915701</v>
      </c>
      <c r="R19">
        <f t="shared" ref="R19" si="72">R20+Q19</f>
        <v>-730579159.25631213</v>
      </c>
      <c r="S19">
        <f t="shared" ref="S19" si="73">R19/100000</f>
        <v>-7305.7915925631214</v>
      </c>
      <c r="T19">
        <f t="shared" ref="T19" si="74">S19/1000</f>
        <v>-7.3057915925631214</v>
      </c>
    </row>
    <row r="20" spans="1:20" x14ac:dyDescent="0.25">
      <c r="A20" s="5">
        <v>44573</v>
      </c>
      <c r="B20">
        <v>0.7016</v>
      </c>
      <c r="C20">
        <v>0.75719999999999998</v>
      </c>
      <c r="D20">
        <v>0.69879999999999998</v>
      </c>
      <c r="E20">
        <v>0.73819999999999997</v>
      </c>
      <c r="F20">
        <v>4238178</v>
      </c>
      <c r="G20">
        <v>0.73819999999999997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0.34931506849315019</v>
      </c>
      <c r="Q20">
        <f t="shared" ref="Q20" si="76">F20*P20</f>
        <v>1480459.4383561623</v>
      </c>
      <c r="R20">
        <f t="shared" ref="R20" si="77">R21+Q20</f>
        <v>-726857261.53342056</v>
      </c>
      <c r="S20">
        <f t="shared" ref="S20" si="78">R20/100000</f>
        <v>-7268.5726153342057</v>
      </c>
      <c r="T20">
        <f t="shared" ref="T20" si="79">S20/1000</f>
        <v>-7.2685726153342056</v>
      </c>
    </row>
    <row r="21" spans="1:20" x14ac:dyDescent="0.25">
      <c r="A21" s="5">
        <v>44572</v>
      </c>
      <c r="B21">
        <v>0.67490000000000006</v>
      </c>
      <c r="C21">
        <v>0.70569999999999999</v>
      </c>
      <c r="D21">
        <v>0.66820000000000002</v>
      </c>
      <c r="E21">
        <v>0.7016</v>
      </c>
      <c r="F21">
        <v>3935394</v>
      </c>
      <c r="G21">
        <v>0.7016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0.78133333333333366</v>
      </c>
      <c r="Q21">
        <f t="shared" ref="Q21" si="81">F21*P21</f>
        <v>3074854.5120000015</v>
      </c>
      <c r="R21">
        <f t="shared" ref="R21" si="82">R22+Q21</f>
        <v>-728337720.97177672</v>
      </c>
      <c r="S21">
        <f t="shared" ref="S21" si="83">R21/100000</f>
        <v>-7283.3772097177671</v>
      </c>
      <c r="T21">
        <f t="shared" ref="T21" si="84">S21/1000</f>
        <v>-7.2833772097177674</v>
      </c>
    </row>
    <row r="22" spans="1:20" x14ac:dyDescent="0.25">
      <c r="A22" s="5">
        <v>44571</v>
      </c>
      <c r="B22">
        <v>0.70299999999999996</v>
      </c>
      <c r="C22">
        <v>0.7137</v>
      </c>
      <c r="D22">
        <v>0.64129999999999998</v>
      </c>
      <c r="E22">
        <v>0.67449999999999999</v>
      </c>
      <c r="F22">
        <v>3948244</v>
      </c>
      <c r="G22">
        <v>0.67449999999999999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-8.2872928176795632E-2</v>
      </c>
      <c r="Q22">
        <f t="shared" ref="Q22" si="86">F22*P22</f>
        <v>-327202.54143646429</v>
      </c>
      <c r="R22">
        <f t="shared" ref="R22" si="87">R23+Q22</f>
        <v>-731412575.48377669</v>
      </c>
      <c r="S22">
        <f t="shared" ref="S22" si="88">R22/100000</f>
        <v>-7314.1257548377671</v>
      </c>
      <c r="T22">
        <f t="shared" ref="T22" si="89">S22/1000</f>
        <v>-7.3141257548377672</v>
      </c>
    </row>
    <row r="23" spans="1:20" x14ac:dyDescent="0.25">
      <c r="A23" s="5">
        <v>44570</v>
      </c>
      <c r="B23">
        <v>0.70409999999999995</v>
      </c>
      <c r="C23">
        <v>0.73</v>
      </c>
      <c r="D23">
        <v>0.69010000000000005</v>
      </c>
      <c r="E23">
        <v>0.70299999999999996</v>
      </c>
      <c r="F23">
        <v>3478095</v>
      </c>
      <c r="G23">
        <v>0.70299999999999996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-0.35338345864661991</v>
      </c>
      <c r="Q23">
        <f t="shared" ref="Q23" si="91">F23*P23</f>
        <v>-1229101.2406015154</v>
      </c>
      <c r="R23">
        <f t="shared" ref="R23" si="92">R24+Q23</f>
        <v>-731085372.94234025</v>
      </c>
      <c r="S23">
        <f t="shared" ref="S23" si="93">R23/100000</f>
        <v>-7310.8537294234029</v>
      </c>
      <c r="T23">
        <f t="shared" ref="T23" si="94">S23/1000</f>
        <v>-7.3108537294234033</v>
      </c>
    </row>
    <row r="24" spans="1:20" x14ac:dyDescent="0.25">
      <c r="A24" s="5">
        <v>44569</v>
      </c>
      <c r="B24">
        <v>0.71309999999999996</v>
      </c>
      <c r="C24">
        <v>0.76190000000000002</v>
      </c>
      <c r="D24">
        <v>0.67859999999999998</v>
      </c>
      <c r="E24">
        <v>0.70440000000000003</v>
      </c>
      <c r="F24">
        <v>4471348</v>
      </c>
      <c r="G24">
        <v>0.70440000000000003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-0.38055222088835455</v>
      </c>
      <c r="Q24">
        <f t="shared" ref="Q24" si="96">F24*P24</f>
        <v>-1701581.4117647023</v>
      </c>
      <c r="R24">
        <f t="shared" ref="R24" si="97">R25+Q24</f>
        <v>-729856271.70173872</v>
      </c>
      <c r="S24">
        <f t="shared" ref="S24" si="98">R24/100000</f>
        <v>-7298.5627170173875</v>
      </c>
      <c r="T24">
        <f t="shared" ref="T24" si="99">S24/1000</f>
        <v>-7.2985627170173872</v>
      </c>
    </row>
    <row r="25" spans="1:20" x14ac:dyDescent="0.25">
      <c r="A25" s="5">
        <v>44568</v>
      </c>
      <c r="B25">
        <v>0.75960000000000005</v>
      </c>
      <c r="C25">
        <v>0.75960000000000005</v>
      </c>
      <c r="D25">
        <v>0.69799999999999995</v>
      </c>
      <c r="E25">
        <v>0.71279999999999999</v>
      </c>
      <c r="F25">
        <v>4141381</v>
      </c>
      <c r="G25">
        <v>0.71279999999999999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-0.5194805194805191</v>
      </c>
      <c r="Q25">
        <f t="shared" ref="Q25" si="101">F25*P25</f>
        <v>-2151366.7532467516</v>
      </c>
      <c r="R25">
        <f t="shared" ref="R25" si="102">R26+Q25</f>
        <v>-728154690.28997397</v>
      </c>
      <c r="S25">
        <f t="shared" ref="S25" si="103">R25/100000</f>
        <v>-7281.5469028997395</v>
      </c>
      <c r="T25">
        <f t="shared" ref="T25" si="104">S25/1000</f>
        <v>-7.2815469028997395</v>
      </c>
    </row>
    <row r="26" spans="1:20" x14ac:dyDescent="0.25">
      <c r="A26" s="5">
        <v>44567</v>
      </c>
      <c r="B26">
        <v>0.75890000000000002</v>
      </c>
      <c r="C26">
        <v>0.77139999999999997</v>
      </c>
      <c r="D26">
        <v>0.73370000000000002</v>
      </c>
      <c r="E26">
        <v>0.75960000000000005</v>
      </c>
      <c r="F26">
        <v>3187892</v>
      </c>
      <c r="G26">
        <v>0.75960000000000005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0.37400530503979124</v>
      </c>
      <c r="Q26">
        <f t="shared" ref="Q26" si="106">F26*P26</f>
        <v>1192288.5198939103</v>
      </c>
      <c r="R26">
        <f t="shared" ref="R26" si="107">R27+Q26</f>
        <v>-726003323.53672719</v>
      </c>
      <c r="S26">
        <f t="shared" ref="S26" si="108">R26/100000</f>
        <v>-7260.033235367272</v>
      </c>
      <c r="T26">
        <f t="shared" ref="T26" si="109">S26/1000</f>
        <v>-7.2600332353672723</v>
      </c>
    </row>
    <row r="27" spans="1:20" x14ac:dyDescent="0.25">
      <c r="A27" s="5">
        <v>44566</v>
      </c>
      <c r="B27">
        <v>0.82809999999999995</v>
      </c>
      <c r="C27">
        <v>0.8427</v>
      </c>
      <c r="D27">
        <v>0.74739999999999995</v>
      </c>
      <c r="E27">
        <v>0.75990000000000002</v>
      </c>
      <c r="F27">
        <v>3681051</v>
      </c>
      <c r="G27">
        <v>0.75990000000000002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-0.73767051416579099</v>
      </c>
      <c r="Q27">
        <f t="shared" ref="Q27" si="111">F27*P27</f>
        <v>-2715402.7838404989</v>
      </c>
      <c r="R27">
        <f t="shared" ref="R27" si="112">R28+Q27</f>
        <v>-727195612.05662107</v>
      </c>
      <c r="S27">
        <f t="shared" ref="S27" si="113">R27/100000</f>
        <v>-7271.9561205662103</v>
      </c>
      <c r="T27">
        <f t="shared" ref="T27" si="114">S27/1000</f>
        <v>-7.2719561205662107</v>
      </c>
    </row>
    <row r="28" spans="1:20" x14ac:dyDescent="0.25">
      <c r="A28" s="5">
        <v>44565</v>
      </c>
      <c r="B28">
        <v>0.80249999999999999</v>
      </c>
      <c r="C28">
        <v>0.9</v>
      </c>
      <c r="D28">
        <v>0.79020000000000001</v>
      </c>
      <c r="E28">
        <v>0.82769999999999999</v>
      </c>
      <c r="F28">
        <v>6101249</v>
      </c>
      <c r="G28">
        <v>0.82769999999999999</v>
      </c>
      <c r="L28" t="s">
        <v>8</v>
      </c>
      <c r="M28" t="s">
        <v>7</v>
      </c>
      <c r="N28" t="s">
        <v>7</v>
      </c>
      <c r="P28">
        <f t="shared" ref="P28" si="115">IF(C28=D28,0,((E28-D28)-(C28-E28))/(C28-D28))</f>
        <v>-0.31693989071038298</v>
      </c>
      <c r="Q28">
        <f t="shared" ref="Q28" si="116">F28*P28</f>
        <v>-1933729.1912568335</v>
      </c>
      <c r="R28">
        <f t="shared" ref="R28" si="117">R29+Q28</f>
        <v>-724480209.27278054</v>
      </c>
      <c r="S28">
        <f t="shared" ref="S28" si="118">R28/100000</f>
        <v>-7244.8020927278058</v>
      </c>
      <c r="T28">
        <f t="shared" ref="T28" si="119">S28/1000</f>
        <v>-7.2448020927278058</v>
      </c>
    </row>
    <row r="29" spans="1:20" x14ac:dyDescent="0.25">
      <c r="A29" s="5">
        <v>44564</v>
      </c>
      <c r="B29">
        <v>0.81740000000000002</v>
      </c>
      <c r="C29">
        <v>0.83730000000000004</v>
      </c>
      <c r="D29">
        <v>0.78959999999999997</v>
      </c>
      <c r="E29">
        <v>0.80230000000000001</v>
      </c>
      <c r="F29">
        <v>4178745</v>
      </c>
      <c r="G29">
        <v>0.80230000000000001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-0.46750524109014574</v>
      </c>
      <c r="Q29">
        <f t="shared" ref="Q29" si="121">F29*P29</f>
        <v>-1953585.1886792411</v>
      </c>
      <c r="R29">
        <f t="shared" ref="R29" si="122">R30+Q29</f>
        <v>-722546480.08152366</v>
      </c>
      <c r="S29">
        <f t="shared" ref="S29" si="123">R29/100000</f>
        <v>-7225.4648008152362</v>
      </c>
      <c r="T29">
        <f t="shared" ref="T29" si="124">S29/1000</f>
        <v>-7.225464800815236</v>
      </c>
    </row>
    <row r="30" spans="1:20" x14ac:dyDescent="0.25">
      <c r="A30" s="5">
        <v>44563</v>
      </c>
      <c r="B30">
        <v>0.84470000000000001</v>
      </c>
      <c r="C30">
        <v>0.84530000000000005</v>
      </c>
      <c r="D30">
        <v>0.81289999999999996</v>
      </c>
      <c r="E30">
        <v>0.81589999999999996</v>
      </c>
      <c r="F30">
        <v>2484163</v>
      </c>
      <c r="G30">
        <v>0.81589999999999996</v>
      </c>
      <c r="L30" t="s">
        <v>7</v>
      </c>
      <c r="M30" t="s">
        <v>7</v>
      </c>
      <c r="N30" t="s">
        <v>7</v>
      </c>
      <c r="P30">
        <f t="shared" ref="P30" si="125">IF(C30=D30,0,((E30-D30)-(C30-E30))/(C30-D30))</f>
        <v>-0.81481481481481521</v>
      </c>
      <c r="Q30">
        <f t="shared" ref="Q30" si="126">F30*P30</f>
        <v>-2024132.8148148158</v>
      </c>
      <c r="R30">
        <f t="shared" ref="R30" si="127">R31+Q30</f>
        <v>-720592894.89284444</v>
      </c>
      <c r="S30">
        <f t="shared" ref="S30" si="128">R30/100000</f>
        <v>-7205.9289489284447</v>
      </c>
      <c r="T30">
        <f t="shared" ref="T30" si="129">S30/1000</f>
        <v>-7.2059289489284444</v>
      </c>
    </row>
    <row r="31" spans="1:20" x14ac:dyDescent="0.25">
      <c r="A31" s="5">
        <v>44562</v>
      </c>
      <c r="B31">
        <v>0.78690000000000004</v>
      </c>
      <c r="C31">
        <v>0.89900000000000002</v>
      </c>
      <c r="D31">
        <v>0.78449999999999998</v>
      </c>
      <c r="E31">
        <v>0.84399999999999997</v>
      </c>
      <c r="F31">
        <v>6711343</v>
      </c>
      <c r="G31">
        <v>0.84399999999999997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3.9301310043667659E-2</v>
      </c>
      <c r="Q31">
        <f t="shared" ref="Q31" si="131">F31*P31</f>
        <v>263764.57205239864</v>
      </c>
      <c r="R31">
        <f t="shared" ref="R31" si="132">R32+Q31</f>
        <v>-718568762.07802963</v>
      </c>
      <c r="S31">
        <f t="shared" ref="S31" si="133">R31/100000</f>
        <v>-7185.6876207802961</v>
      </c>
      <c r="T31">
        <f t="shared" ref="T31" si="134">S31/1000</f>
        <v>-7.1856876207802962</v>
      </c>
    </row>
    <row r="32" spans="1:20" x14ac:dyDescent="0.25">
      <c r="A32" s="5">
        <v>44561</v>
      </c>
      <c r="B32">
        <v>0.8075</v>
      </c>
      <c r="C32">
        <v>0.82179999999999997</v>
      </c>
      <c r="D32">
        <v>0.75700000000000001</v>
      </c>
      <c r="E32">
        <v>0.78690000000000004</v>
      </c>
      <c r="F32">
        <v>3958037</v>
      </c>
      <c r="G32">
        <v>0.78690000000000004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-7.716049382715888E-2</v>
      </c>
      <c r="Q32">
        <f t="shared" ref="Q32" si="136">F32*P32</f>
        <v>-305404.08950616646</v>
      </c>
      <c r="R32">
        <f t="shared" ref="R32" si="137">R33+Q32</f>
        <v>-718832526.65008199</v>
      </c>
      <c r="S32">
        <f t="shared" ref="S32" si="138">R32/100000</f>
        <v>-7188.3252665008204</v>
      </c>
      <c r="T32">
        <f t="shared" ref="T32" si="139">S32/1000</f>
        <v>-7.1883252665008204</v>
      </c>
    </row>
    <row r="33" spans="1:20" x14ac:dyDescent="0.25">
      <c r="A33" s="5">
        <v>44560</v>
      </c>
      <c r="B33">
        <v>0.81589999999999996</v>
      </c>
      <c r="C33">
        <v>0.86050000000000004</v>
      </c>
      <c r="D33">
        <v>0.8</v>
      </c>
      <c r="E33">
        <v>0.80730000000000002</v>
      </c>
      <c r="F33">
        <v>4581820</v>
      </c>
      <c r="G33">
        <v>0.80730000000000002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-0.75867768595041407</v>
      </c>
      <c r="Q33">
        <f t="shared" ref="Q33" si="141">F33*P33</f>
        <v>-3476124.5950413262</v>
      </c>
      <c r="R33">
        <f t="shared" ref="R33" si="142">R34+Q33</f>
        <v>-718527122.56057584</v>
      </c>
      <c r="S33">
        <f t="shared" ref="S33" si="143">R33/100000</f>
        <v>-7185.2712256057584</v>
      </c>
      <c r="T33">
        <f t="shared" ref="T33" si="144">S33/1000</f>
        <v>-7.1852712256057583</v>
      </c>
    </row>
    <row r="34" spans="1:20" x14ac:dyDescent="0.25">
      <c r="A34" s="5">
        <v>44559</v>
      </c>
      <c r="B34">
        <v>0.85429999999999995</v>
      </c>
      <c r="C34">
        <v>0.93700000000000006</v>
      </c>
      <c r="D34">
        <v>0.81120000000000003</v>
      </c>
      <c r="E34">
        <v>0.81679999999999997</v>
      </c>
      <c r="F34">
        <v>14945187</v>
      </c>
      <c r="G34">
        <v>0.81679999999999997</v>
      </c>
      <c r="L34" t="s">
        <v>8</v>
      </c>
      <c r="M34" t="s">
        <v>7</v>
      </c>
      <c r="N34" t="s">
        <v>7</v>
      </c>
      <c r="P34">
        <f t="shared" ref="P34" si="145">IF(C34=D34,0,((E34-D34)-(C34-E34))/(C34-D34))</f>
        <v>-0.91096979332273553</v>
      </c>
      <c r="Q34">
        <f t="shared" ref="Q34" si="146">F34*P34</f>
        <v>-13614613.912559634</v>
      </c>
      <c r="R34">
        <f t="shared" ref="R34" si="147">R35+Q34</f>
        <v>-715050997.96553457</v>
      </c>
      <c r="S34">
        <f t="shared" ref="S34" si="148">R34/100000</f>
        <v>-7150.5099796553459</v>
      </c>
      <c r="T34">
        <f t="shared" ref="T34" si="149">S34/1000</f>
        <v>-7.1505099796553457</v>
      </c>
    </row>
    <row r="35" spans="1:20" x14ac:dyDescent="0.25">
      <c r="A35" s="5">
        <v>44558</v>
      </c>
      <c r="B35">
        <v>1.0399</v>
      </c>
      <c r="C35">
        <v>1.0434000000000001</v>
      </c>
      <c r="D35">
        <v>0.80359999999999998</v>
      </c>
      <c r="E35">
        <v>0.85429999999999995</v>
      </c>
      <c r="F35">
        <v>34128511</v>
      </c>
      <c r="G35">
        <v>0.85429999999999995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-0.5771476230191831</v>
      </c>
      <c r="Q35">
        <f t="shared" ref="Q35" si="151">F35*P35</f>
        <v>-19697189.000834044</v>
      </c>
      <c r="R35">
        <f t="shared" ref="R35" si="152">R36+Q35</f>
        <v>-701436384.05297494</v>
      </c>
      <c r="S35">
        <f t="shared" ref="S35" si="153">R35/100000</f>
        <v>-7014.3638405297497</v>
      </c>
      <c r="T35">
        <f t="shared" ref="T35" si="154">S35/1000</f>
        <v>-7.0143638405297501</v>
      </c>
    </row>
    <row r="36" spans="1:20" x14ac:dyDescent="0.25">
      <c r="A36" s="5">
        <v>44557</v>
      </c>
      <c r="B36">
        <v>0.7631</v>
      </c>
      <c r="C36">
        <v>1.3889</v>
      </c>
      <c r="D36">
        <v>0.7591</v>
      </c>
      <c r="E36">
        <v>1.0399</v>
      </c>
      <c r="F36">
        <v>64657359</v>
      </c>
      <c r="G36">
        <v>1.0399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-0.10828834550650988</v>
      </c>
      <c r="Q36">
        <f t="shared" ref="Q36" si="156">F36*P36</f>
        <v>-7001638.4309304468</v>
      </c>
      <c r="R36">
        <f t="shared" ref="R36" si="157">R37+Q36</f>
        <v>-681739195.05214095</v>
      </c>
      <c r="S36">
        <f t="shared" ref="S36" si="158">R36/100000</f>
        <v>-6817.3919505214099</v>
      </c>
      <c r="T36">
        <f t="shared" ref="T36" si="159">S36/1000</f>
        <v>-6.8173919505214098</v>
      </c>
    </row>
    <row r="37" spans="1:20" x14ac:dyDescent="0.25">
      <c r="A37" s="5">
        <v>44556</v>
      </c>
      <c r="B37">
        <v>0.76459999999999995</v>
      </c>
      <c r="C37">
        <v>0.78</v>
      </c>
      <c r="D37">
        <v>0.75</v>
      </c>
      <c r="E37">
        <v>0.7631</v>
      </c>
      <c r="F37">
        <v>2704106</v>
      </c>
      <c r="G37">
        <v>0.7631</v>
      </c>
      <c r="L37" t="s">
        <v>7</v>
      </c>
      <c r="M37" t="s">
        <v>8</v>
      </c>
      <c r="N37" t="s">
        <v>7</v>
      </c>
      <c r="P37">
        <f t="shared" ref="P37" si="160">IF(C37=D37,0,((E37-D37)-(C37-E37))/(C37-D37))</f>
        <v>-0.1266666666666674</v>
      </c>
      <c r="Q37">
        <f t="shared" ref="Q37" si="161">F37*P37</f>
        <v>-342520.0933333353</v>
      </c>
      <c r="R37">
        <f t="shared" ref="R37" si="162">R38+Q37</f>
        <v>-674737556.62121046</v>
      </c>
      <c r="S37">
        <f t="shared" ref="S37" si="163">R37/100000</f>
        <v>-6747.3755662121048</v>
      </c>
      <c r="T37">
        <f t="shared" ref="T37" si="164">S37/1000</f>
        <v>-6.7473755662121047</v>
      </c>
    </row>
    <row r="38" spans="1:20" x14ac:dyDescent="0.25">
      <c r="A38" s="5">
        <v>44555</v>
      </c>
      <c r="B38">
        <v>0.74780000000000002</v>
      </c>
      <c r="C38">
        <v>0.81989999999999996</v>
      </c>
      <c r="D38">
        <v>0.73509999999999998</v>
      </c>
      <c r="E38">
        <v>0.76539999999999997</v>
      </c>
      <c r="F38">
        <v>7118090</v>
      </c>
      <c r="G38">
        <v>0.76539999999999997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-0.28537735849056606</v>
      </c>
      <c r="Q38">
        <f t="shared" ref="Q38" si="166">F38*P38</f>
        <v>-2031341.7216981133</v>
      </c>
      <c r="R38">
        <f t="shared" ref="R38" si="167">R39+Q38</f>
        <v>-674395036.52787709</v>
      </c>
      <c r="S38">
        <f t="shared" ref="S38" si="168">R38/100000</f>
        <v>-6743.9503652787707</v>
      </c>
      <c r="T38">
        <f t="shared" ref="T38" si="169">S38/1000</f>
        <v>-6.7439503652787707</v>
      </c>
    </row>
    <row r="39" spans="1:20" x14ac:dyDescent="0.25">
      <c r="A39" s="5">
        <v>44554</v>
      </c>
      <c r="B39">
        <v>0.73599999999999999</v>
      </c>
      <c r="C39">
        <v>0.75229999999999997</v>
      </c>
      <c r="D39">
        <v>0.72499999999999998</v>
      </c>
      <c r="E39">
        <v>0.74770000000000003</v>
      </c>
      <c r="F39">
        <v>2242643</v>
      </c>
      <c r="G39">
        <v>0.74770000000000003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0.66300366300366742</v>
      </c>
      <c r="Q39">
        <f t="shared" ref="Q39" si="171">F39*P39</f>
        <v>1486880.5238095338</v>
      </c>
      <c r="R39">
        <f t="shared" ref="R39" si="172">R40+Q39</f>
        <v>-672363694.80617893</v>
      </c>
      <c r="S39">
        <f t="shared" ref="S39" si="173">R39/100000</f>
        <v>-6723.6369480617896</v>
      </c>
      <c r="T39">
        <f t="shared" ref="T39" si="174">S39/1000</f>
        <v>-6.7236369480617899</v>
      </c>
    </row>
    <row r="40" spans="1:20" x14ac:dyDescent="0.25">
      <c r="A40" s="5">
        <v>44553</v>
      </c>
      <c r="B40">
        <v>0.68940000000000001</v>
      </c>
      <c r="C40">
        <v>0.755</v>
      </c>
      <c r="D40">
        <v>0.67600000000000005</v>
      </c>
      <c r="E40">
        <v>0.73570000000000002</v>
      </c>
      <c r="F40">
        <v>4576248</v>
      </c>
      <c r="G40">
        <v>0.73570000000000002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0.51139240506329131</v>
      </c>
      <c r="Q40">
        <f t="shared" ref="Q40" si="176">F40*P40</f>
        <v>2340258.4708860768</v>
      </c>
      <c r="R40">
        <f t="shared" ref="R40" si="177">R41+Q40</f>
        <v>-673850575.32998848</v>
      </c>
      <c r="S40">
        <f t="shared" ref="S40" si="178">R40/100000</f>
        <v>-6738.5057532998844</v>
      </c>
      <c r="T40">
        <f t="shared" ref="T40" si="179">S40/1000</f>
        <v>-6.7385057532998847</v>
      </c>
    </row>
    <row r="41" spans="1:20" x14ac:dyDescent="0.25">
      <c r="A41" s="5">
        <v>44552</v>
      </c>
      <c r="B41">
        <v>0.69610000000000005</v>
      </c>
      <c r="C41">
        <v>0.72570000000000001</v>
      </c>
      <c r="D41">
        <v>0.68730000000000002</v>
      </c>
      <c r="E41">
        <v>0.68930000000000002</v>
      </c>
      <c r="F41">
        <v>4983905</v>
      </c>
      <c r="G41">
        <v>0.68930000000000002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-0.89583333333333326</v>
      </c>
      <c r="Q41">
        <f t="shared" ref="Q41" si="181">F41*P41</f>
        <v>-4464748.229166666</v>
      </c>
      <c r="R41">
        <f t="shared" ref="R41" si="182">R42+Q41</f>
        <v>-676190833.80087459</v>
      </c>
      <c r="S41">
        <f t="shared" ref="S41" si="183">R41/100000</f>
        <v>-6761.9083380087459</v>
      </c>
      <c r="T41">
        <f t="shared" ref="T41" si="184">S41/1000</f>
        <v>-6.7619083380087455</v>
      </c>
    </row>
    <row r="42" spans="1:20" x14ac:dyDescent="0.25">
      <c r="A42" s="5">
        <v>44551</v>
      </c>
      <c r="B42">
        <v>0.67279999999999995</v>
      </c>
      <c r="C42">
        <v>0.72950000000000004</v>
      </c>
      <c r="D42">
        <v>0.66369999999999996</v>
      </c>
      <c r="E42">
        <v>0.69479999999999997</v>
      </c>
      <c r="F42">
        <v>1706258</v>
      </c>
      <c r="G42">
        <v>0.69479999999999997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-5.4711246200608563E-2</v>
      </c>
      <c r="Q42">
        <f t="shared" ref="Q42" si="186">F42*P42</f>
        <v>-93351.501519757963</v>
      </c>
      <c r="R42">
        <f t="shared" ref="R42" si="187">R43+Q42</f>
        <v>-671726085.57170796</v>
      </c>
      <c r="S42">
        <f t="shared" ref="S42" si="188">R42/100000</f>
        <v>-6717.2608557170797</v>
      </c>
      <c r="T42">
        <f t="shared" ref="T42" si="189">S42/1000</f>
        <v>-6.7172608557170799</v>
      </c>
    </row>
    <row r="43" spans="1:20" x14ac:dyDescent="0.25">
      <c r="A43" s="5">
        <v>44550</v>
      </c>
      <c r="B43">
        <v>0.70199999999999996</v>
      </c>
      <c r="C43">
        <v>0.70569999999999999</v>
      </c>
      <c r="D43">
        <v>0.63670000000000004</v>
      </c>
      <c r="E43">
        <v>0.67310000000000003</v>
      </c>
      <c r="F43">
        <v>1620517</v>
      </c>
      <c r="G43">
        <v>0.67310000000000003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5.507246376811635E-2</v>
      </c>
      <c r="Q43">
        <f t="shared" ref="Q43" si="191">F43*P43</f>
        <v>89245.8637681166</v>
      </c>
      <c r="R43">
        <f t="shared" ref="R43" si="192">R44+Q43</f>
        <v>-671632734.07018816</v>
      </c>
      <c r="S43">
        <f t="shared" ref="S43" si="193">R43/100000</f>
        <v>-6716.3273407018814</v>
      </c>
      <c r="T43">
        <f t="shared" ref="T43" si="194">S43/1000</f>
        <v>-6.7163273407018815</v>
      </c>
    </row>
    <row r="44" spans="1:20" x14ac:dyDescent="0.25">
      <c r="A44" s="5">
        <v>44549</v>
      </c>
      <c r="B44">
        <v>0.71309999999999996</v>
      </c>
      <c r="C44">
        <v>0.74</v>
      </c>
      <c r="D44">
        <v>0.69520000000000004</v>
      </c>
      <c r="E44">
        <v>0.70299999999999996</v>
      </c>
      <c r="F44">
        <v>1703878</v>
      </c>
      <c r="G44">
        <v>0.70299999999999996</v>
      </c>
      <c r="L44" t="s">
        <v>7</v>
      </c>
      <c r="M44" t="s">
        <v>8</v>
      </c>
      <c r="N44" t="s">
        <v>7</v>
      </c>
      <c r="P44">
        <f t="shared" ref="P44" si="195">IF(C44=D44,0,((E44-D44)-(C44-E44))/(C44-D44))</f>
        <v>-0.65178571428571752</v>
      </c>
      <c r="Q44">
        <f t="shared" ref="Q44" si="196">F44*P44</f>
        <v>-1110563.3392857199</v>
      </c>
      <c r="R44">
        <f t="shared" ref="R44" si="197">R45+Q44</f>
        <v>-671721979.93395627</v>
      </c>
      <c r="S44">
        <f t="shared" ref="S44" si="198">R44/100000</f>
        <v>-6717.219799339563</v>
      </c>
      <c r="T44">
        <f t="shared" ref="T44" si="199">S44/1000</f>
        <v>-6.7172197993395626</v>
      </c>
    </row>
    <row r="45" spans="1:20" x14ac:dyDescent="0.25">
      <c r="A45" s="5">
        <v>44548</v>
      </c>
      <c r="B45">
        <v>0.68030000000000002</v>
      </c>
      <c r="C45">
        <v>0.78959999999999997</v>
      </c>
      <c r="D45">
        <v>0.66920000000000002</v>
      </c>
      <c r="E45">
        <v>0.71309999999999996</v>
      </c>
      <c r="F45">
        <v>6410529</v>
      </c>
      <c r="G45">
        <v>0.71309999999999996</v>
      </c>
      <c r="L45" t="s">
        <v>8</v>
      </c>
      <c r="M45" t="s">
        <v>8</v>
      </c>
      <c r="N45" t="s">
        <v>7</v>
      </c>
      <c r="P45">
        <f t="shared" ref="P45" si="200">IF(C45=D45,0,((E45-D45)-(C45-E45))/(C45-D45))</f>
        <v>-0.27076411960132962</v>
      </c>
      <c r="Q45">
        <f t="shared" ref="Q45" si="201">F45*P45</f>
        <v>-1735741.2408637919</v>
      </c>
      <c r="R45">
        <f t="shared" ref="R45" si="202">R46+Q45</f>
        <v>-670611416.59467053</v>
      </c>
      <c r="S45">
        <f t="shared" ref="S45" si="203">R45/100000</f>
        <v>-6706.1141659467057</v>
      </c>
      <c r="T45">
        <f t="shared" ref="T45" si="204">S45/1000</f>
        <v>-6.7061141659467056</v>
      </c>
    </row>
    <row r="46" spans="1:20" x14ac:dyDescent="0.25">
      <c r="A46" s="5">
        <v>44547</v>
      </c>
      <c r="B46">
        <v>0.71560000000000001</v>
      </c>
      <c r="C46">
        <v>0.72670000000000001</v>
      </c>
      <c r="D46">
        <v>0.66220000000000001</v>
      </c>
      <c r="E46">
        <v>0.68030000000000002</v>
      </c>
      <c r="F46">
        <v>2167443.64</v>
      </c>
      <c r="G46">
        <v>0.68030000000000002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-0.43875968992248049</v>
      </c>
      <c r="Q46">
        <f t="shared" ref="Q46" si="206">F46*P46</f>
        <v>-950986.89941085246</v>
      </c>
      <c r="R46">
        <f t="shared" ref="R46" si="207">R47+Q46</f>
        <v>-668875675.35380673</v>
      </c>
      <c r="S46">
        <f t="shared" ref="S46" si="208">R46/100000</f>
        <v>-6688.7567535380676</v>
      </c>
      <c r="T46">
        <f t="shared" ref="T46" si="209">S46/1000</f>
        <v>-6.6887567535380672</v>
      </c>
    </row>
    <row r="47" spans="1:20" x14ac:dyDescent="0.25">
      <c r="A47" s="5">
        <v>44546</v>
      </c>
      <c r="B47">
        <v>0.72189999999999999</v>
      </c>
      <c r="C47">
        <v>0.74639999999999995</v>
      </c>
      <c r="D47">
        <v>0.70720000000000005</v>
      </c>
      <c r="E47">
        <v>0.71679999999999999</v>
      </c>
      <c r="F47">
        <v>1739740</v>
      </c>
      <c r="G47">
        <v>0.71679999999999999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-0.51020408163265485</v>
      </c>
      <c r="Q47">
        <f t="shared" ref="Q47" si="211">F47*P47</f>
        <v>-887622.44897959498</v>
      </c>
      <c r="R47">
        <f t="shared" ref="R47" si="212">R48+Q47</f>
        <v>-667924688.45439589</v>
      </c>
      <c r="S47">
        <f t="shared" ref="S47" si="213">R47/100000</f>
        <v>-6679.2468845439589</v>
      </c>
      <c r="T47">
        <f t="shared" ref="T47" si="214">S47/1000</f>
        <v>-6.679246884543959</v>
      </c>
    </row>
    <row r="48" spans="1:20" x14ac:dyDescent="0.25">
      <c r="A48" s="5">
        <v>44545</v>
      </c>
      <c r="B48">
        <v>0.7369</v>
      </c>
      <c r="C48">
        <v>0.74039999999999995</v>
      </c>
      <c r="D48">
        <v>0.68</v>
      </c>
      <c r="E48">
        <v>0.72299999999999998</v>
      </c>
      <c r="F48">
        <v>1687872</v>
      </c>
      <c r="G48">
        <v>0.72299999999999998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0.42384105960264901</v>
      </c>
      <c r="Q48">
        <f t="shared" ref="Q48" si="216">F48*P48</f>
        <v>715389.45695364242</v>
      </c>
      <c r="R48">
        <f t="shared" ref="R48" si="217">R49+Q48</f>
        <v>-667037066.00541627</v>
      </c>
      <c r="S48">
        <f t="shared" ref="S48" si="218">R48/100000</f>
        <v>-6670.3706600541627</v>
      </c>
      <c r="T48">
        <f t="shared" ref="T48" si="219">S48/1000</f>
        <v>-6.6703706600541626</v>
      </c>
    </row>
    <row r="49" spans="1:20" x14ac:dyDescent="0.25">
      <c r="A49" s="5">
        <v>44544</v>
      </c>
      <c r="B49">
        <v>0.69810000000000005</v>
      </c>
      <c r="C49">
        <v>0.755</v>
      </c>
      <c r="D49">
        <v>0.68010000000000004</v>
      </c>
      <c r="E49">
        <v>0.7369</v>
      </c>
      <c r="F49">
        <v>2124317</v>
      </c>
      <c r="G49">
        <v>0.7369</v>
      </c>
      <c r="L49" t="s">
        <v>8</v>
      </c>
      <c r="M49" t="s">
        <v>7</v>
      </c>
      <c r="N49" t="s">
        <v>7</v>
      </c>
      <c r="P49">
        <f t="shared" ref="P49" si="220">IF(C49=D49,0,((E49-D49)-(C49-E49))/(C49-D49))</f>
        <v>0.51668891855807708</v>
      </c>
      <c r="Q49">
        <f t="shared" ref="Q49" si="221">F49*P49</f>
        <v>1097611.0534045387</v>
      </c>
      <c r="R49">
        <f t="shared" ref="R49" si="222">R50+Q49</f>
        <v>-667752455.46236992</v>
      </c>
      <c r="S49">
        <f t="shared" ref="S49" si="223">R49/100000</f>
        <v>-6677.5245546236993</v>
      </c>
      <c r="T49">
        <f t="shared" ref="T49" si="224">S49/1000</f>
        <v>-6.677524554623699</v>
      </c>
    </row>
    <row r="50" spans="1:20" x14ac:dyDescent="0.25">
      <c r="A50" s="5">
        <v>44543</v>
      </c>
      <c r="B50">
        <v>0.77629999999999999</v>
      </c>
      <c r="C50">
        <v>0.7893</v>
      </c>
      <c r="D50">
        <v>0.68</v>
      </c>
      <c r="E50">
        <v>0.69850000000000001</v>
      </c>
      <c r="F50">
        <v>2711357.81</v>
      </c>
      <c r="G50">
        <v>0.69850000000000001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-0.66148215919487707</v>
      </c>
      <c r="Q50">
        <f t="shared" ref="Q50" si="226">F50*P50</f>
        <v>-1793514.8185086932</v>
      </c>
      <c r="R50">
        <f t="shared" ref="R50" si="227">R51+Q50</f>
        <v>-668850066.51577449</v>
      </c>
      <c r="S50">
        <f t="shared" ref="S50" si="228">R50/100000</f>
        <v>-6688.5006651577451</v>
      </c>
      <c r="T50">
        <f t="shared" ref="T50" si="229">S50/1000</f>
        <v>-6.6885006651577452</v>
      </c>
    </row>
    <row r="51" spans="1:20" x14ac:dyDescent="0.25">
      <c r="A51" s="5">
        <v>44542</v>
      </c>
      <c r="B51">
        <v>0.75529999999999997</v>
      </c>
      <c r="C51">
        <v>0.82120000000000004</v>
      </c>
      <c r="D51">
        <v>0.74150000000000005</v>
      </c>
      <c r="E51">
        <v>0.77669999999999995</v>
      </c>
      <c r="F51">
        <v>3296487</v>
      </c>
      <c r="G51">
        <v>0.77669999999999995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-0.116687578419074</v>
      </c>
      <c r="Q51">
        <f t="shared" ref="Q51" si="231">F51*P51</f>
        <v>-384659.08531995799</v>
      </c>
      <c r="R51">
        <f t="shared" ref="R51" si="232">R52+Q51</f>
        <v>-667056551.69726574</v>
      </c>
      <c r="S51">
        <f t="shared" ref="S51" si="233">R51/100000</f>
        <v>-6670.5655169726579</v>
      </c>
      <c r="T51">
        <f t="shared" ref="T51" si="234">S51/1000</f>
        <v>-6.6705655169726574</v>
      </c>
    </row>
    <row r="52" spans="1:20" x14ac:dyDescent="0.25">
      <c r="A52" s="5">
        <v>44541</v>
      </c>
      <c r="B52">
        <v>0.72470000000000001</v>
      </c>
      <c r="C52">
        <v>0.74860000000000004</v>
      </c>
      <c r="D52">
        <v>0.71430000000000005</v>
      </c>
      <c r="E52">
        <v>0.7369</v>
      </c>
      <c r="F52">
        <v>327240.65999999997</v>
      </c>
      <c r="G52">
        <v>0.7369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0.31778425655976417</v>
      </c>
      <c r="Q52">
        <f t="shared" ref="Q52" si="236">F52*P52</f>
        <v>103991.92985422655</v>
      </c>
      <c r="R52">
        <f t="shared" ref="R52" si="237">R53+Q52</f>
        <v>-666671892.61194575</v>
      </c>
      <c r="S52">
        <f t="shared" ref="S52" si="238">R52/100000</f>
        <v>-6666.7189261194571</v>
      </c>
      <c r="T52">
        <f t="shared" ref="T52" si="239">S52/1000</f>
        <v>-6.666718926119457</v>
      </c>
    </row>
    <row r="53" spans="1:20" x14ac:dyDescent="0.25">
      <c r="A53" s="5">
        <v>44540</v>
      </c>
      <c r="B53">
        <v>0.80369999999999997</v>
      </c>
      <c r="C53">
        <v>0.83809999999999996</v>
      </c>
      <c r="D53">
        <v>0.72199999999999998</v>
      </c>
      <c r="E53">
        <v>0.72560000000000002</v>
      </c>
      <c r="F53">
        <v>3535484.73</v>
      </c>
      <c r="G53">
        <v>0.72560000000000002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-0.93798449612403023</v>
      </c>
      <c r="Q53">
        <f t="shared" ref="Q53" si="241">F53*P53</f>
        <v>-3316229.8630232532</v>
      </c>
      <c r="R53">
        <f t="shared" ref="R53" si="242">R54+Q53</f>
        <v>-666775884.54180002</v>
      </c>
      <c r="S53">
        <f t="shared" ref="S53" si="243">R53/100000</f>
        <v>-6667.7588454180004</v>
      </c>
      <c r="T53">
        <f t="shared" ref="T53" si="244">S53/1000</f>
        <v>-6.6677588454180006</v>
      </c>
    </row>
    <row r="54" spans="1:20" x14ac:dyDescent="0.25">
      <c r="A54" s="5">
        <v>44539</v>
      </c>
      <c r="B54">
        <v>0.93430000000000002</v>
      </c>
      <c r="C54">
        <v>0.93940000000000001</v>
      </c>
      <c r="D54">
        <v>0.78939999999999999</v>
      </c>
      <c r="E54">
        <v>0.8034</v>
      </c>
      <c r="F54">
        <v>5052954</v>
      </c>
      <c r="G54">
        <v>0.8034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-0.81333333333333324</v>
      </c>
      <c r="Q54">
        <f t="shared" ref="Q54" si="246">F54*P54</f>
        <v>-4109735.9199999995</v>
      </c>
      <c r="R54">
        <f t="shared" ref="R54" si="247">R55+Q54</f>
        <v>-663459654.67877674</v>
      </c>
      <c r="S54">
        <f t="shared" ref="S54" si="248">R54/100000</f>
        <v>-6634.5965467877677</v>
      </c>
      <c r="T54">
        <f t="shared" ref="T54" si="249">S54/1000</f>
        <v>-6.6345965467877681</v>
      </c>
    </row>
    <row r="55" spans="1:20" x14ac:dyDescent="0.25">
      <c r="A55" s="5">
        <v>44538</v>
      </c>
      <c r="B55">
        <v>0.8226</v>
      </c>
      <c r="C55">
        <v>1.012</v>
      </c>
      <c r="D55">
        <v>0.80669999999999997</v>
      </c>
      <c r="E55">
        <v>0.93479999999999996</v>
      </c>
      <c r="F55">
        <v>16800523</v>
      </c>
      <c r="G55">
        <v>0.93479999999999996</v>
      </c>
      <c r="L55" t="s">
        <v>8</v>
      </c>
      <c r="M55" t="s">
        <v>8</v>
      </c>
      <c r="N55" t="s">
        <v>7</v>
      </c>
      <c r="P55">
        <f t="shared" ref="P55" si="250">IF(C55=D55,0,((E55-D55)-(C55-E55))/(C55-D55))</f>
        <v>0.24792985874330217</v>
      </c>
      <c r="Q55">
        <f t="shared" ref="Q55" si="251">F55*P55</f>
        <v>4165351.2942035994</v>
      </c>
      <c r="R55">
        <f t="shared" ref="R55" si="252">R56+Q55</f>
        <v>-659349918.75877678</v>
      </c>
      <c r="S55">
        <f t="shared" ref="S55" si="253">R55/100000</f>
        <v>-6593.4991875877677</v>
      </c>
      <c r="T55">
        <f t="shared" ref="T55" si="254">S55/1000</f>
        <v>-6.593499187587768</v>
      </c>
    </row>
    <row r="56" spans="1:20" x14ac:dyDescent="0.25">
      <c r="A56" s="5">
        <v>44537</v>
      </c>
      <c r="B56">
        <v>0.84099999999999997</v>
      </c>
      <c r="C56">
        <v>0.86739999999999995</v>
      </c>
      <c r="D56">
        <v>0.80400000000000005</v>
      </c>
      <c r="E56">
        <v>0.8226</v>
      </c>
      <c r="F56">
        <v>3077623</v>
      </c>
      <c r="G56">
        <v>0.8226</v>
      </c>
      <c r="L56" t="s">
        <v>8</v>
      </c>
      <c r="M56" t="s">
        <v>7</v>
      </c>
      <c r="N56" t="s">
        <v>7</v>
      </c>
      <c r="P56">
        <f t="shared" ref="P56" si="255">IF(C56=D56,0,((E56-D56)-(C56-E56))/(C56-D56))</f>
        <v>-0.41324921135646753</v>
      </c>
      <c r="Q56">
        <f t="shared" ref="Q56" si="256">F56*P56</f>
        <v>-1271825.2776025257</v>
      </c>
      <c r="R56">
        <f t="shared" ref="R56" si="257">R57+Q56</f>
        <v>-663515270.05298042</v>
      </c>
      <c r="S56">
        <f t="shared" ref="S56" si="258">R56/100000</f>
        <v>-6635.152700529804</v>
      </c>
      <c r="T56">
        <f t="shared" ref="T56" si="259">S56/1000</f>
        <v>-6.6351527005298037</v>
      </c>
    </row>
    <row r="57" spans="1:20" x14ac:dyDescent="0.25">
      <c r="A57" s="5">
        <v>44536</v>
      </c>
      <c r="B57">
        <v>0.86909999999999998</v>
      </c>
      <c r="C57">
        <v>0.89690000000000003</v>
      </c>
      <c r="D57">
        <v>0.75209999999999999</v>
      </c>
      <c r="E57">
        <v>0.84099999999999997</v>
      </c>
      <c r="F57">
        <v>7553293.1600000001</v>
      </c>
      <c r="G57">
        <v>0.84099999999999997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0.22790055248618721</v>
      </c>
      <c r="Q57">
        <f t="shared" ref="Q57" si="261">F57*P57</f>
        <v>1721399.684254139</v>
      </c>
      <c r="R57">
        <f t="shared" ref="R57" si="262">R58+Q57</f>
        <v>-662243444.77537787</v>
      </c>
      <c r="S57">
        <f t="shared" ref="S57" si="263">R57/100000</f>
        <v>-6622.4344477537788</v>
      </c>
      <c r="T57">
        <f t="shared" ref="T57" si="264">S57/1000</f>
        <v>-6.6224344477537791</v>
      </c>
    </row>
    <row r="58" spans="1:20" x14ac:dyDescent="0.25">
      <c r="A58" s="5">
        <v>44535</v>
      </c>
      <c r="B58">
        <v>0.89929999999999999</v>
      </c>
      <c r="C58">
        <v>1.0085999999999999</v>
      </c>
      <c r="D58">
        <v>0.83809999999999996</v>
      </c>
      <c r="E58">
        <v>0.86919999999999997</v>
      </c>
      <c r="F58">
        <v>10330443</v>
      </c>
      <c r="G58">
        <v>0.86919999999999997</v>
      </c>
      <c r="L58" t="s">
        <v>7</v>
      </c>
      <c r="M58" t="s">
        <v>7</v>
      </c>
      <c r="N58" t="s">
        <v>7</v>
      </c>
      <c r="P58">
        <f t="shared" ref="P58" si="265">IF(C58=D58,0,((E58-D58)-(C58-E58))/(C58-D58))</f>
        <v>-0.63519061583577685</v>
      </c>
      <c r="Q58">
        <f t="shared" ref="Q58" si="266">F58*P58</f>
        <v>-6561800.4510263903</v>
      </c>
      <c r="R58">
        <f t="shared" ref="R58" si="267">R59+Q58</f>
        <v>-663964844.45963204</v>
      </c>
      <c r="S58">
        <f t="shared" ref="S58" si="268">R58/100000</f>
        <v>-6639.6484445963206</v>
      </c>
      <c r="T58">
        <f t="shared" ref="T58" si="269">S58/1000</f>
        <v>-6.6396484445963209</v>
      </c>
    </row>
    <row r="59" spans="1:20" x14ac:dyDescent="0.25">
      <c r="A59" s="5">
        <v>44534</v>
      </c>
      <c r="B59">
        <v>1.1059000000000001</v>
      </c>
      <c r="C59">
        <v>1.4</v>
      </c>
      <c r="D59">
        <v>0.85289999999999999</v>
      </c>
      <c r="E59">
        <v>0.90259999999999996</v>
      </c>
      <c r="F59">
        <v>25484633</v>
      </c>
      <c r="G59">
        <v>0.90259999999999996</v>
      </c>
      <c r="L59" t="s">
        <v>8</v>
      </c>
      <c r="M59" t="s">
        <v>8</v>
      </c>
      <c r="N59" t="s">
        <v>8</v>
      </c>
      <c r="P59">
        <f t="shared" ref="P59" si="270">IF(C59=D59,0,((E59-D59)-(C59-E59))/(C59-D59))</f>
        <v>-0.81831475050265046</v>
      </c>
      <c r="Q59">
        <f t="shared" ref="Q59" si="271">F59*P59</f>
        <v>-20854451.095046613</v>
      </c>
      <c r="R59">
        <f t="shared" ref="R59" si="272">R60+Q59</f>
        <v>-657403044.0086056</v>
      </c>
      <c r="S59">
        <f t="shared" ref="S59" si="273">R59/100000</f>
        <v>-6574.0304400860559</v>
      </c>
      <c r="T59">
        <f t="shared" ref="T59" si="274">S59/1000</f>
        <v>-6.5740304400860561</v>
      </c>
    </row>
    <row r="60" spans="1:20" x14ac:dyDescent="0.25">
      <c r="A60" s="5">
        <v>44533</v>
      </c>
      <c r="B60">
        <v>1.0466</v>
      </c>
      <c r="C60">
        <v>1.2699</v>
      </c>
      <c r="D60">
        <v>1.034</v>
      </c>
      <c r="E60">
        <v>1.1079000000000001</v>
      </c>
      <c r="F60">
        <v>14029661</v>
      </c>
      <c r="G60">
        <v>1.1079000000000001</v>
      </c>
      <c r="L60" t="s">
        <v>8</v>
      </c>
      <c r="M60" t="s">
        <v>8</v>
      </c>
      <c r="N60" t="s">
        <v>8</v>
      </c>
      <c r="P60">
        <f t="shared" ref="P60" si="275">IF(C60=D60,0,((E60-D60)-(C60-E60))/(C60-D60))</f>
        <v>-0.37346333192030456</v>
      </c>
      <c r="Q60">
        <f t="shared" ref="Q60" si="276">F60*P60</f>
        <v>-5239563.9427723521</v>
      </c>
      <c r="R60">
        <f t="shared" ref="R60" si="277">R61+Q60</f>
        <v>-636548592.91355896</v>
      </c>
      <c r="S60">
        <f t="shared" ref="S60" si="278">R60/100000</f>
        <v>-6365.4859291355897</v>
      </c>
      <c r="T60">
        <f t="shared" ref="T60" si="279">S60/1000</f>
        <v>-6.3654859291355894</v>
      </c>
    </row>
    <row r="61" spans="1:20" x14ac:dyDescent="0.25">
      <c r="A61" s="5">
        <v>44532</v>
      </c>
      <c r="B61">
        <v>1.0145999999999999</v>
      </c>
      <c r="C61">
        <v>1.0798000000000001</v>
      </c>
      <c r="D61">
        <v>0.9849</v>
      </c>
      <c r="E61">
        <v>1.0430999999999999</v>
      </c>
      <c r="F61">
        <v>3416127</v>
      </c>
      <c r="G61">
        <v>1.0430999999999999</v>
      </c>
      <c r="L61" t="s">
        <v>7</v>
      </c>
      <c r="M61" t="s">
        <v>8</v>
      </c>
      <c r="N61" t="s">
        <v>7</v>
      </c>
      <c r="P61">
        <f t="shared" ref="P61" si="280">IF(C61=D61,0,((E61-D61)-(C61-E61))/(C61-D61))</f>
        <v>0.2265542676501551</v>
      </c>
      <c r="Q61">
        <f t="shared" ref="Q61" si="281">F61*P61</f>
        <v>773938.15068492142</v>
      </c>
      <c r="R61">
        <f t="shared" ref="R61" si="282">R62+Q61</f>
        <v>-631309028.97078657</v>
      </c>
      <c r="S61">
        <f t="shared" ref="S61" si="283">R61/100000</f>
        <v>-6313.0902897078658</v>
      </c>
      <c r="T61">
        <f t="shared" ref="T61" si="284">S61/1000</f>
        <v>-6.3130902897078656</v>
      </c>
    </row>
    <row r="62" spans="1:20" x14ac:dyDescent="0.25">
      <c r="A62" s="5">
        <v>44531</v>
      </c>
      <c r="B62">
        <v>1.0692999999999999</v>
      </c>
      <c r="C62">
        <v>1.1399999999999999</v>
      </c>
      <c r="D62">
        <v>1.008</v>
      </c>
      <c r="E62">
        <v>1.0152000000000001</v>
      </c>
      <c r="F62">
        <v>5241057</v>
      </c>
      <c r="G62">
        <v>1.0152000000000001</v>
      </c>
      <c r="L62" t="s">
        <v>8</v>
      </c>
      <c r="M62" t="s">
        <v>8</v>
      </c>
      <c r="N62" t="s">
        <v>7</v>
      </c>
      <c r="P62">
        <f t="shared" ref="P62" si="285">IF(C62=D62,0,((E62-D62)-(C62-E62))/(C62-D62))</f>
        <v>-0.89090909090908943</v>
      </c>
      <c r="Q62">
        <f t="shared" ref="Q62" si="286">F62*P62</f>
        <v>-4669305.3272727197</v>
      </c>
      <c r="R62">
        <f t="shared" ref="R62" si="287">R63+Q62</f>
        <v>-632082967.12147152</v>
      </c>
      <c r="S62">
        <f t="shared" ref="S62" si="288">R62/100000</f>
        <v>-6320.8296712147148</v>
      </c>
      <c r="T62">
        <f t="shared" ref="T62" si="289">S62/1000</f>
        <v>-6.3208296712147147</v>
      </c>
    </row>
    <row r="63" spans="1:20" x14ac:dyDescent="0.25">
      <c r="A63" s="5">
        <v>44530</v>
      </c>
      <c r="B63">
        <v>1.0218</v>
      </c>
      <c r="C63">
        <v>1.0900000000000001</v>
      </c>
      <c r="D63">
        <v>0.99399999999999999</v>
      </c>
      <c r="E63">
        <v>1.0683</v>
      </c>
      <c r="F63">
        <v>5462510</v>
      </c>
      <c r="G63">
        <v>1.0683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0.54791666666666594</v>
      </c>
      <c r="Q63">
        <f t="shared" ref="Q63" si="291">F63*P63</f>
        <v>2993000.2708333293</v>
      </c>
      <c r="R63">
        <f t="shared" ref="R63" si="292">R64+Q63</f>
        <v>-627413661.79419875</v>
      </c>
      <c r="S63">
        <f t="shared" ref="S63" si="293">R63/100000</f>
        <v>-6274.1366179419874</v>
      </c>
      <c r="T63">
        <f t="shared" ref="T63" si="294">S63/1000</f>
        <v>-6.2741366179419877</v>
      </c>
    </row>
    <row r="64" spans="1:20" x14ac:dyDescent="0.25">
      <c r="A64" s="5">
        <v>44529</v>
      </c>
      <c r="B64">
        <v>1.0246999999999999</v>
      </c>
      <c r="C64">
        <v>1.085</v>
      </c>
      <c r="D64">
        <v>1.0081</v>
      </c>
      <c r="E64">
        <v>1.0218</v>
      </c>
      <c r="F64">
        <v>2692327</v>
      </c>
      <c r="G64">
        <v>1.0218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-0.64369310793237844</v>
      </c>
      <c r="Q64">
        <f t="shared" ref="Q64" si="296">F64*P64</f>
        <v>-1733032.3342002567</v>
      </c>
      <c r="R64">
        <f t="shared" ref="R64" si="297">R65+Q64</f>
        <v>-630406662.06503212</v>
      </c>
      <c r="S64">
        <f t="shared" ref="S64" si="298">R64/100000</f>
        <v>-6304.0666206503211</v>
      </c>
      <c r="T64">
        <f t="shared" ref="T64" si="299">S64/1000</f>
        <v>-6.3040666206503211</v>
      </c>
    </row>
    <row r="65" spans="1:20" x14ac:dyDescent="0.25">
      <c r="A65" s="5">
        <v>44528</v>
      </c>
      <c r="B65">
        <v>1.0022</v>
      </c>
      <c r="C65">
        <v>1.0286</v>
      </c>
      <c r="D65">
        <v>0.96230000000000004</v>
      </c>
      <c r="E65">
        <v>1.0243</v>
      </c>
      <c r="F65">
        <v>1631937</v>
      </c>
      <c r="G65">
        <v>1.0243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0.87028657616892979</v>
      </c>
      <c r="Q65">
        <f t="shared" ref="Q65" si="301">F65*P65</f>
        <v>1420252.8642533948</v>
      </c>
      <c r="R65">
        <f t="shared" ref="R65" si="302">R66+Q65</f>
        <v>-628673629.73083186</v>
      </c>
      <c r="S65">
        <f t="shared" ref="S65" si="303">R65/100000</f>
        <v>-6286.7362973083182</v>
      </c>
      <c r="T65">
        <f t="shared" ref="T65" si="304">S65/1000</f>
        <v>-6.2867362973083178</v>
      </c>
    </row>
    <row r="66" spans="1:20" x14ac:dyDescent="0.25">
      <c r="A66" s="5">
        <v>44527</v>
      </c>
      <c r="B66">
        <v>0.97230000000000005</v>
      </c>
      <c r="C66">
        <v>1.087</v>
      </c>
      <c r="D66">
        <v>0.97230000000000005</v>
      </c>
      <c r="E66">
        <v>1.0003</v>
      </c>
      <c r="F66">
        <v>2601942</v>
      </c>
      <c r="G66">
        <v>1.0003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-0.51176983435048062</v>
      </c>
      <c r="Q66">
        <f t="shared" ref="Q66" si="306">F66*P66</f>
        <v>-1331595.4263295582</v>
      </c>
      <c r="R66">
        <f t="shared" ref="R66" si="307">R67+Q66</f>
        <v>-630093882.59508526</v>
      </c>
      <c r="S66">
        <f t="shared" ref="S66" si="308">R66/100000</f>
        <v>-6300.9388259508523</v>
      </c>
      <c r="T66">
        <f t="shared" ref="T66" si="309">S66/1000</f>
        <v>-6.3009388259508521</v>
      </c>
    </row>
    <row r="67" spans="1:20" x14ac:dyDescent="0.25">
      <c r="A67" s="5">
        <v>44526</v>
      </c>
      <c r="B67">
        <v>1.0378000000000001</v>
      </c>
      <c r="C67">
        <v>1.0455000000000001</v>
      </c>
      <c r="D67">
        <v>0.94020000000000004</v>
      </c>
      <c r="E67">
        <v>0.9728</v>
      </c>
      <c r="F67">
        <v>2807937</v>
      </c>
      <c r="G67">
        <v>0.9728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-0.38081671415004853</v>
      </c>
      <c r="Q67">
        <f t="shared" ref="Q67" si="311">F67*P67</f>
        <v>-1069309.3418803448</v>
      </c>
      <c r="R67">
        <f t="shared" ref="R67" si="312">R68+Q67</f>
        <v>-628762287.16875565</v>
      </c>
      <c r="S67">
        <f t="shared" ref="S67" si="313">R67/100000</f>
        <v>-6287.6228716875567</v>
      </c>
      <c r="T67">
        <f t="shared" ref="T67" si="314">S67/1000</f>
        <v>-6.2876228716875566</v>
      </c>
    </row>
    <row r="68" spans="1:20" x14ac:dyDescent="0.25">
      <c r="A68" s="5">
        <v>44525</v>
      </c>
      <c r="B68">
        <v>1.0552999999999999</v>
      </c>
      <c r="C68">
        <v>1.1120000000000001</v>
      </c>
      <c r="D68">
        <v>1.0288999999999999</v>
      </c>
      <c r="E68">
        <v>1.0373000000000001</v>
      </c>
      <c r="F68">
        <v>3245039</v>
      </c>
      <c r="G68">
        <v>1.0373000000000001</v>
      </c>
      <c r="L68" t="s">
        <v>8</v>
      </c>
      <c r="M68" t="s">
        <v>8</v>
      </c>
      <c r="N68" t="s">
        <v>7</v>
      </c>
      <c r="P68">
        <f t="shared" ref="P68" si="315">IF(C68=D68,0,((E68-D68)-(C68-E68))/(C68-D68))</f>
        <v>-0.79783393501804656</v>
      </c>
      <c r="Q68">
        <f t="shared" ref="Q68" si="316">F68*P68</f>
        <v>-2589002.2346570268</v>
      </c>
      <c r="R68">
        <f t="shared" ref="R68" si="317">R69+Q68</f>
        <v>-627692977.82687533</v>
      </c>
      <c r="S68">
        <f t="shared" ref="S68" si="318">R68/100000</f>
        <v>-6276.9297782687536</v>
      </c>
      <c r="T68">
        <f t="shared" ref="T68" si="319">S68/1000</f>
        <v>-6.2769297782687534</v>
      </c>
    </row>
    <row r="69" spans="1:20" x14ac:dyDescent="0.25">
      <c r="A69" s="5">
        <v>44524</v>
      </c>
      <c r="B69">
        <v>1.0407</v>
      </c>
      <c r="C69">
        <v>1.0484</v>
      </c>
      <c r="D69">
        <v>1.0004</v>
      </c>
      <c r="E69">
        <v>1.0278</v>
      </c>
      <c r="F69">
        <v>1513957</v>
      </c>
      <c r="G69">
        <v>1.0278</v>
      </c>
      <c r="L69" t="s">
        <v>7</v>
      </c>
      <c r="M69" t="s">
        <v>8</v>
      </c>
      <c r="N69" t="s">
        <v>7</v>
      </c>
      <c r="P69">
        <f t="shared" ref="P69" si="320">IF(C69=D69,0,((E69-D69)-(C69-E69))/(C69-D69))</f>
        <v>0.14166666666666944</v>
      </c>
      <c r="Q69">
        <f t="shared" ref="Q69" si="321">F69*P69</f>
        <v>214477.24166667086</v>
      </c>
      <c r="R69">
        <f t="shared" ref="R69" si="322">R70+Q69</f>
        <v>-625103975.59221828</v>
      </c>
      <c r="S69">
        <f t="shared" ref="S69" si="323">R69/100000</f>
        <v>-6251.0397559221828</v>
      </c>
      <c r="T69">
        <f t="shared" ref="T69" si="324">S69/1000</f>
        <v>-6.2510397559221831</v>
      </c>
    </row>
    <row r="70" spans="1:20" x14ac:dyDescent="0.25">
      <c r="A70" s="5">
        <v>44523</v>
      </c>
      <c r="B70">
        <v>1.1258999999999999</v>
      </c>
      <c r="C70">
        <v>1.21</v>
      </c>
      <c r="D70">
        <v>1.0377000000000001</v>
      </c>
      <c r="E70">
        <v>1.0405</v>
      </c>
      <c r="F70">
        <v>13097605</v>
      </c>
      <c r="G70">
        <v>1.0405</v>
      </c>
      <c r="L70" t="s">
        <v>8</v>
      </c>
      <c r="M70" t="s">
        <v>8</v>
      </c>
      <c r="N70" t="s">
        <v>7</v>
      </c>
      <c r="P70">
        <f t="shared" ref="P70" si="325">IF(C70=D70,0,((E70-D70)-(C70-E70))/(C70-D70))</f>
        <v>-0.96749854904236898</v>
      </c>
      <c r="Q70">
        <f t="shared" ref="Q70" si="326">F70*P70</f>
        <v>-12671913.833430078</v>
      </c>
      <c r="R70">
        <f t="shared" ref="R70" si="327">R71+Q70</f>
        <v>-625318452.83388495</v>
      </c>
      <c r="S70">
        <f t="shared" ref="S70" si="328">R70/100000</f>
        <v>-6253.1845283388493</v>
      </c>
      <c r="T70">
        <f t="shared" ref="T70" si="329">S70/1000</f>
        <v>-6.2531845283388492</v>
      </c>
    </row>
    <row r="71" spans="1:20" x14ac:dyDescent="0.25">
      <c r="A71" s="5">
        <v>44522</v>
      </c>
      <c r="B71">
        <v>1.0286</v>
      </c>
      <c r="C71">
        <v>1.1937</v>
      </c>
      <c r="D71">
        <v>0.9708</v>
      </c>
      <c r="E71">
        <v>1.1261000000000001</v>
      </c>
      <c r="F71">
        <v>12687566</v>
      </c>
      <c r="G71">
        <v>1.1261000000000001</v>
      </c>
      <c r="L71" t="s">
        <v>8</v>
      </c>
      <c r="M71" t="s">
        <v>8</v>
      </c>
      <c r="N71" t="s">
        <v>7</v>
      </c>
      <c r="P71">
        <f t="shared" ref="P71" si="330">IF(C71=D71,0,((E71-D71)-(C71-E71))/(C71-D71))</f>
        <v>0.39344997756841738</v>
      </c>
      <c r="Q71">
        <f t="shared" ref="Q71" si="331">F71*P71</f>
        <v>4991922.5580978151</v>
      </c>
      <c r="R71">
        <f t="shared" ref="R71" si="332">R72+Q71</f>
        <v>-612646539.0004549</v>
      </c>
      <c r="S71">
        <f t="shared" ref="S71" si="333">R71/100000</f>
        <v>-6126.4653900045487</v>
      </c>
      <c r="T71">
        <f t="shared" ref="T71" si="334">S71/1000</f>
        <v>-6.1264653900045483</v>
      </c>
    </row>
    <row r="72" spans="1:20" x14ac:dyDescent="0.25">
      <c r="A72" s="5">
        <v>44521</v>
      </c>
      <c r="B72">
        <v>1.0243</v>
      </c>
      <c r="C72">
        <v>1.1000000000000001</v>
      </c>
      <c r="D72">
        <v>1.0044999999999999</v>
      </c>
      <c r="E72">
        <v>1.0277000000000001</v>
      </c>
      <c r="F72">
        <v>4024594</v>
      </c>
      <c r="G72">
        <v>1.0277000000000001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-0.51413612565444866</v>
      </c>
      <c r="Q72">
        <f t="shared" ref="Q72" si="336">F72*P72</f>
        <v>-2069189.1664921402</v>
      </c>
      <c r="R72">
        <f t="shared" ref="R72" si="337">R73+Q72</f>
        <v>-617638461.55855274</v>
      </c>
      <c r="S72">
        <f t="shared" ref="S72" si="338">R72/100000</f>
        <v>-6176.3846155855272</v>
      </c>
      <c r="T72">
        <f t="shared" ref="T72" si="339">S72/1000</f>
        <v>-6.1763846155855271</v>
      </c>
    </row>
    <row r="73" spans="1:20" x14ac:dyDescent="0.25">
      <c r="A73" s="5">
        <v>44520</v>
      </c>
      <c r="B73">
        <v>1.0004999999999999</v>
      </c>
      <c r="C73">
        <v>1.044</v>
      </c>
      <c r="D73">
        <v>0.96630000000000005</v>
      </c>
      <c r="E73">
        <v>1.022</v>
      </c>
      <c r="F73">
        <v>3392271</v>
      </c>
      <c r="G73">
        <v>1.022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0.43371943371943317</v>
      </c>
      <c r="Q73">
        <f t="shared" ref="Q73" si="341">F73*P73</f>
        <v>1471293.8571428552</v>
      </c>
      <c r="R73">
        <f t="shared" ref="R73" si="342">R74+Q73</f>
        <v>-615569272.39206064</v>
      </c>
      <c r="S73">
        <f t="shared" ref="S73" si="343">R73/100000</f>
        <v>-6155.6927239206061</v>
      </c>
      <c r="T73">
        <f t="shared" ref="T73" si="344">S73/1000</f>
        <v>-6.1556927239206063</v>
      </c>
    </row>
    <row r="74" spans="1:20" x14ac:dyDescent="0.25">
      <c r="A74" s="5">
        <v>44519</v>
      </c>
      <c r="B74">
        <v>0.91100000000000003</v>
      </c>
      <c r="C74">
        <v>1.0396000000000001</v>
      </c>
      <c r="D74">
        <v>0.89119999999999999</v>
      </c>
      <c r="E74">
        <v>0.99939999999999996</v>
      </c>
      <c r="F74">
        <v>4808214</v>
      </c>
      <c r="G74">
        <v>0.99939999999999996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0.45822102425875877</v>
      </c>
      <c r="Q74">
        <f t="shared" ref="Q74" si="346">F74*P74</f>
        <v>2203224.7439353038</v>
      </c>
      <c r="R74">
        <f t="shared" ref="R74" si="347">R75+Q74</f>
        <v>-617040566.24920344</v>
      </c>
      <c r="S74">
        <f t="shared" ref="S74" si="348">R74/100000</f>
        <v>-6170.405662492034</v>
      </c>
      <c r="T74">
        <f t="shared" ref="T74" si="349">S74/1000</f>
        <v>-6.1704056624920343</v>
      </c>
    </row>
    <row r="75" spans="1:20" x14ac:dyDescent="0.25">
      <c r="A75" s="5">
        <v>44518</v>
      </c>
      <c r="B75">
        <v>1.0002</v>
      </c>
      <c r="C75">
        <v>1.0115000000000001</v>
      </c>
      <c r="D75">
        <v>0.88390000000000002</v>
      </c>
      <c r="E75">
        <v>0.91020000000000001</v>
      </c>
      <c r="F75">
        <v>2004773</v>
      </c>
      <c r="G75">
        <v>0.91020000000000001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-0.58777429467084674</v>
      </c>
      <c r="Q75">
        <f t="shared" ref="Q75" si="351">F75*P75</f>
        <v>-1178354.0360501574</v>
      </c>
      <c r="R75">
        <f t="shared" ref="R75" si="352">R76+Q75</f>
        <v>-619243790.99313879</v>
      </c>
      <c r="S75">
        <f t="shared" ref="S75" si="353">R75/100000</f>
        <v>-6192.4379099313883</v>
      </c>
      <c r="T75">
        <f t="shared" ref="T75" si="354">S75/1000</f>
        <v>-6.192437909931388</v>
      </c>
    </row>
    <row r="76" spans="1:20" x14ac:dyDescent="0.25">
      <c r="A76" s="5">
        <v>44517</v>
      </c>
      <c r="B76">
        <v>0.99160000000000004</v>
      </c>
      <c r="C76">
        <v>1.0408999999999999</v>
      </c>
      <c r="D76">
        <v>0.97330000000000005</v>
      </c>
      <c r="E76">
        <v>1.0006999999999999</v>
      </c>
      <c r="F76">
        <v>2163646</v>
      </c>
      <c r="G76">
        <v>1.0006999999999999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-0.18934911242603797</v>
      </c>
      <c r="Q76">
        <f t="shared" ref="Q76" si="356">F76*P76</f>
        <v>-409684.44970414735</v>
      </c>
      <c r="R76">
        <f t="shared" ref="R76" si="357">R77+Q76</f>
        <v>-618065436.95708859</v>
      </c>
      <c r="S76">
        <f t="shared" ref="S76" si="358">R76/100000</f>
        <v>-6180.654369570886</v>
      </c>
      <c r="T76">
        <f t="shared" ref="T76" si="359">S76/1000</f>
        <v>-6.1806543695708864</v>
      </c>
    </row>
    <row r="77" spans="1:20" x14ac:dyDescent="0.25">
      <c r="A77" s="5">
        <v>44516</v>
      </c>
      <c r="B77">
        <v>1.0404</v>
      </c>
      <c r="C77">
        <v>1.0548</v>
      </c>
      <c r="D77">
        <v>0.95</v>
      </c>
      <c r="E77">
        <v>0.99160000000000004</v>
      </c>
      <c r="F77">
        <v>3080322</v>
      </c>
      <c r="G77">
        <v>0.99160000000000004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-0.20610687022900612</v>
      </c>
      <c r="Q77">
        <f t="shared" ref="Q77" si="361">F77*P77</f>
        <v>-634875.52671755257</v>
      </c>
      <c r="R77">
        <f t="shared" ref="R77" si="362">R78+Q77</f>
        <v>-617655752.50738442</v>
      </c>
      <c r="S77">
        <f t="shared" ref="S77" si="363">R77/100000</f>
        <v>-6176.5575250738439</v>
      </c>
      <c r="T77">
        <f t="shared" ref="T77" si="364">S77/1000</f>
        <v>-6.1765575250738438</v>
      </c>
    </row>
    <row r="78" spans="1:20" x14ac:dyDescent="0.25">
      <c r="A78" s="5">
        <v>44515</v>
      </c>
      <c r="B78">
        <v>1.0497000000000001</v>
      </c>
      <c r="C78">
        <v>1.0900000000000001</v>
      </c>
      <c r="D78">
        <v>1.0204</v>
      </c>
      <c r="E78">
        <v>1.0435000000000001</v>
      </c>
      <c r="F78">
        <v>2489249</v>
      </c>
      <c r="G78">
        <v>1.0435000000000001</v>
      </c>
      <c r="L78" t="s">
        <v>7</v>
      </c>
      <c r="M78" t="s">
        <v>7</v>
      </c>
      <c r="N78" t="s">
        <v>7</v>
      </c>
      <c r="P78">
        <f t="shared" ref="P78" si="365">IF(C78=D78,0,((E78-D78)-(C78-E78))/(C78-D78))</f>
        <v>-0.3362068965517217</v>
      </c>
      <c r="Q78">
        <f t="shared" ref="Q78" si="366">F78*P78</f>
        <v>-836902.68103447673</v>
      </c>
      <c r="R78">
        <f t="shared" ref="R78" si="367">R79+Q78</f>
        <v>-617020876.98066688</v>
      </c>
      <c r="S78">
        <f t="shared" ref="S78" si="368">R78/100000</f>
        <v>-6170.2087698066689</v>
      </c>
      <c r="T78">
        <f t="shared" ref="T78" si="369">S78/1000</f>
        <v>-6.1702087698066688</v>
      </c>
    </row>
    <row r="79" spans="1:20" x14ac:dyDescent="0.25">
      <c r="A79" s="5">
        <v>44514</v>
      </c>
      <c r="B79">
        <v>1.0664</v>
      </c>
      <c r="C79">
        <v>1.0774999999999999</v>
      </c>
      <c r="D79">
        <v>1.0264</v>
      </c>
      <c r="E79">
        <v>1.0487</v>
      </c>
      <c r="F79">
        <v>1159062</v>
      </c>
      <c r="G79">
        <v>1.0487</v>
      </c>
      <c r="L79" t="s">
        <v>7</v>
      </c>
      <c r="M79" t="s">
        <v>7</v>
      </c>
      <c r="N79" t="s">
        <v>7</v>
      </c>
      <c r="P79">
        <f t="shared" ref="P79" si="370">IF(C79=D79,0,((E79-D79)-(C79-E79))/(C79-D79))</f>
        <v>-0.12720156555772916</v>
      </c>
      <c r="Q79">
        <f t="shared" ref="Q79" si="371">F79*P79</f>
        <v>-147434.50097847267</v>
      </c>
      <c r="R79">
        <f t="shared" ref="R79" si="372">R80+Q79</f>
        <v>-616183974.29963243</v>
      </c>
      <c r="S79">
        <f t="shared" ref="S79" si="373">R79/100000</f>
        <v>-6161.8397429963243</v>
      </c>
      <c r="T79">
        <f t="shared" ref="T79" si="374">S79/1000</f>
        <v>-6.1618397429963245</v>
      </c>
    </row>
    <row r="80" spans="1:20" x14ac:dyDescent="0.25">
      <c r="A80" s="5">
        <v>44513</v>
      </c>
      <c r="B80">
        <v>1.0537000000000001</v>
      </c>
      <c r="C80">
        <v>1.0992</v>
      </c>
      <c r="D80">
        <v>1.0265</v>
      </c>
      <c r="E80">
        <v>1.0677000000000001</v>
      </c>
      <c r="F80">
        <v>5522469</v>
      </c>
      <c r="G80">
        <v>1.0677000000000001</v>
      </c>
      <c r="L80" t="s">
        <v>7</v>
      </c>
      <c r="M80" t="s">
        <v>7</v>
      </c>
      <c r="N80" t="s">
        <v>7</v>
      </c>
      <c r="P80">
        <f t="shared" ref="P80" si="375">IF(C80=D80,0,((E80-D80)-(C80-E80))/(C80-D80))</f>
        <v>0.13342503438789913</v>
      </c>
      <c r="Q80">
        <f t="shared" ref="Q80" si="376">F80*P80</f>
        <v>736835.61623110692</v>
      </c>
      <c r="R80">
        <f t="shared" ref="R80" si="377">R81+Q80</f>
        <v>-616036539.79865396</v>
      </c>
      <c r="S80">
        <f t="shared" ref="S80" si="378">R80/100000</f>
        <v>-6160.3653979865394</v>
      </c>
      <c r="T80">
        <f t="shared" ref="T80" si="379">S80/1000</f>
        <v>-6.1603653979865394</v>
      </c>
    </row>
    <row r="81" spans="1:20" x14ac:dyDescent="0.25">
      <c r="A81" s="5">
        <v>44512</v>
      </c>
      <c r="B81">
        <v>1.0448</v>
      </c>
      <c r="C81">
        <v>1.2490000000000001</v>
      </c>
      <c r="D81">
        <v>1.0210999999999999</v>
      </c>
      <c r="E81">
        <v>1.054</v>
      </c>
      <c r="F81">
        <v>18573717</v>
      </c>
      <c r="G81">
        <v>1.054</v>
      </c>
      <c r="L81" t="s">
        <v>8</v>
      </c>
      <c r="M81" t="s">
        <v>8</v>
      </c>
      <c r="N81" t="s">
        <v>7</v>
      </c>
      <c r="P81">
        <f t="shared" ref="P81" si="380">IF(C81=D81,0,((E81-D81)-(C81-E81))/(C81-D81))</f>
        <v>-0.71127687582272825</v>
      </c>
      <c r="Q81">
        <f t="shared" ref="Q81" si="381">F81*P81</f>
        <v>-13211055.400175497</v>
      </c>
      <c r="R81">
        <f t="shared" ref="R81" si="382">R82+Q81</f>
        <v>-616773375.41488504</v>
      </c>
      <c r="S81">
        <f t="shared" ref="S81" si="383">R81/100000</f>
        <v>-6167.7337541488505</v>
      </c>
      <c r="T81">
        <f t="shared" ref="T81" si="384">S81/1000</f>
        <v>-6.1677337541488502</v>
      </c>
    </row>
    <row r="82" spans="1:20" x14ac:dyDescent="0.25">
      <c r="A82" s="5">
        <v>44511</v>
      </c>
      <c r="B82">
        <v>1.0149999999999999</v>
      </c>
      <c r="C82">
        <v>1.0522</v>
      </c>
      <c r="D82">
        <v>0.99309999999999998</v>
      </c>
      <c r="E82">
        <v>1.0449999999999999</v>
      </c>
      <c r="F82">
        <v>1725051</v>
      </c>
      <c r="G82">
        <v>1.0449999999999999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0.75634517766497156</v>
      </c>
      <c r="Q82">
        <f t="shared" ref="Q82" si="386">F82*P82</f>
        <v>1304734.0050761369</v>
      </c>
      <c r="R82">
        <f t="shared" ref="R82" si="387">R83+Q82</f>
        <v>-603562320.01470959</v>
      </c>
      <c r="S82">
        <f t="shared" ref="S82" si="388">R82/100000</f>
        <v>-6035.6232001470962</v>
      </c>
      <c r="T82">
        <f t="shared" ref="T82" si="389">S82/1000</f>
        <v>-6.0356232001470964</v>
      </c>
    </row>
    <row r="83" spans="1:20" x14ac:dyDescent="0.25">
      <c r="A83" s="5">
        <v>44510</v>
      </c>
      <c r="B83">
        <v>1.0591999999999999</v>
      </c>
      <c r="C83">
        <v>1.0726</v>
      </c>
      <c r="D83">
        <v>0.97829999999999995</v>
      </c>
      <c r="E83">
        <v>1.0165</v>
      </c>
      <c r="F83">
        <v>3794682</v>
      </c>
      <c r="G83">
        <v>1.0165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-0.18981972428419955</v>
      </c>
      <c r="Q83">
        <f t="shared" ref="Q83" si="391">F83*P83</f>
        <v>-720305.49098621495</v>
      </c>
      <c r="R83">
        <f t="shared" ref="R83" si="392">R84+Q83</f>
        <v>-604867054.01978576</v>
      </c>
      <c r="S83">
        <f t="shared" ref="S83" si="393">R83/100000</f>
        <v>-6048.6705401978579</v>
      </c>
      <c r="T83">
        <f t="shared" ref="T83" si="394">S83/1000</f>
        <v>-6.0486705401978575</v>
      </c>
    </row>
    <row r="84" spans="1:20" x14ac:dyDescent="0.25">
      <c r="A84" s="5">
        <v>44509</v>
      </c>
      <c r="B84">
        <v>1.1200000000000001</v>
      </c>
      <c r="C84">
        <v>1.25</v>
      </c>
      <c r="D84">
        <v>1.0531999999999999</v>
      </c>
      <c r="E84">
        <v>1.0590999999999999</v>
      </c>
      <c r="F84">
        <v>8508562</v>
      </c>
      <c r="G84">
        <v>1.0590999999999999</v>
      </c>
      <c r="L84" t="s">
        <v>7</v>
      </c>
      <c r="M84" t="s">
        <v>7</v>
      </c>
      <c r="N84" t="s">
        <v>8</v>
      </c>
      <c r="P84">
        <f t="shared" ref="P84" si="395">IF(C84=D84,0,((E84-D84)-(C84-E84))/(C84-D84))</f>
        <v>-0.94004065040650397</v>
      </c>
      <c r="Q84">
        <f t="shared" ref="Q84" si="396">F84*P84</f>
        <v>-7998394.1565040639</v>
      </c>
      <c r="R84">
        <f t="shared" ref="R84" si="397">R85+Q84</f>
        <v>-604146748.52879953</v>
      </c>
      <c r="S84">
        <f t="shared" ref="S84" si="398">R84/100000</f>
        <v>-6041.4674852879953</v>
      </c>
      <c r="T84">
        <f t="shared" ref="T84" si="399">S84/1000</f>
        <v>-6.0414674852879955</v>
      </c>
    </row>
    <row r="85" spans="1:20" x14ac:dyDescent="0.25">
      <c r="A85" s="5">
        <v>44508</v>
      </c>
      <c r="B85">
        <v>1.0331999999999999</v>
      </c>
      <c r="C85">
        <v>1.39</v>
      </c>
      <c r="D85">
        <v>1.0213000000000001</v>
      </c>
      <c r="E85">
        <v>1.1216999999999999</v>
      </c>
      <c r="F85">
        <v>15882468</v>
      </c>
      <c r="G85">
        <v>1.1216999999999999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-0.45538378085164155</v>
      </c>
      <c r="Q85">
        <f t="shared" ref="Q85" si="401">F85*P85</f>
        <v>-7232618.3270952096</v>
      </c>
      <c r="R85">
        <f t="shared" ref="R85" si="402">R86+Q85</f>
        <v>-596148354.3722955</v>
      </c>
      <c r="S85">
        <f t="shared" ref="S85" si="403">R85/100000</f>
        <v>-5961.4835437229549</v>
      </c>
      <c r="T85">
        <f t="shared" ref="T85" si="404">S85/1000</f>
        <v>-5.961483543722955</v>
      </c>
    </row>
    <row r="86" spans="1:20" x14ac:dyDescent="0.25">
      <c r="A86" s="5">
        <v>44507</v>
      </c>
      <c r="B86">
        <v>1.0052000000000001</v>
      </c>
      <c r="C86">
        <v>1.0498000000000001</v>
      </c>
      <c r="D86">
        <v>1.0019</v>
      </c>
      <c r="E86">
        <v>1.0307999999999999</v>
      </c>
      <c r="F86">
        <v>1536900</v>
      </c>
      <c r="G86">
        <v>1.0307999999999999</v>
      </c>
      <c r="L86" t="s">
        <v>8</v>
      </c>
      <c r="M86" t="s">
        <v>8</v>
      </c>
      <c r="N86" t="s">
        <v>7</v>
      </c>
      <c r="P86">
        <f t="shared" ref="P86" si="405">IF(C86=D86,0,((E86-D86)-(C86-E86))/(C86-D86))</f>
        <v>0.20668058455114377</v>
      </c>
      <c r="Q86">
        <f t="shared" ref="Q86" si="406">F86*P86</f>
        <v>317647.39039665286</v>
      </c>
      <c r="R86">
        <f t="shared" ref="R86" si="407">R87+Q86</f>
        <v>-588915736.04520035</v>
      </c>
      <c r="S86">
        <f t="shared" ref="S86" si="408">R86/100000</f>
        <v>-5889.1573604520036</v>
      </c>
      <c r="T86">
        <f t="shared" ref="T86" si="409">S86/1000</f>
        <v>-5.8891573604520033</v>
      </c>
    </row>
    <row r="87" spans="1:20" x14ac:dyDescent="0.25">
      <c r="A87" s="5">
        <v>44506</v>
      </c>
      <c r="B87">
        <v>0.99980000000000002</v>
      </c>
      <c r="C87">
        <v>1.0094000000000001</v>
      </c>
      <c r="D87">
        <v>0.96579999999999999</v>
      </c>
      <c r="E87">
        <v>1.0045999999999999</v>
      </c>
      <c r="F87">
        <v>1035131</v>
      </c>
      <c r="G87">
        <v>1.0045999999999999</v>
      </c>
      <c r="L87" t="s">
        <v>7</v>
      </c>
      <c r="M87" t="s">
        <v>8</v>
      </c>
      <c r="N87" t="s">
        <v>7</v>
      </c>
      <c r="P87">
        <f t="shared" ref="P87" si="410">IF(C87=D87,0,((E87-D87)-(C87-E87))/(C87-D87))</f>
        <v>0.77981651376146199</v>
      </c>
      <c r="Q87">
        <f t="shared" ref="Q87" si="411">F87*P87</f>
        <v>807212.24770641595</v>
      </c>
      <c r="R87">
        <f t="shared" ref="R87" si="412">R88+Q87</f>
        <v>-589233383.43559694</v>
      </c>
      <c r="S87">
        <f t="shared" ref="S87" si="413">R87/100000</f>
        <v>-5892.333834355969</v>
      </c>
      <c r="T87">
        <f t="shared" ref="T87" si="414">S87/1000</f>
        <v>-5.892333834355969</v>
      </c>
    </row>
    <row r="88" spans="1:20" x14ac:dyDescent="0.25">
      <c r="A88" s="5">
        <v>44505</v>
      </c>
      <c r="B88">
        <v>1.0144</v>
      </c>
      <c r="C88">
        <v>1.0416000000000001</v>
      </c>
      <c r="D88">
        <v>0.99870000000000003</v>
      </c>
      <c r="E88">
        <v>1.0013000000000001</v>
      </c>
      <c r="F88">
        <v>1563617</v>
      </c>
      <c r="G88">
        <v>1.0013000000000001</v>
      </c>
      <c r="L88" t="s">
        <v>7</v>
      </c>
      <c r="M88" t="s">
        <v>8</v>
      </c>
      <c r="N88" t="s">
        <v>7</v>
      </c>
      <c r="P88">
        <f t="shared" ref="P88" si="415">IF(C88=D88,0,((E88-D88)-(C88-E88))/(C88-D88))</f>
        <v>-0.87878787878787679</v>
      </c>
      <c r="Q88">
        <f t="shared" ref="Q88" si="416">F88*P88</f>
        <v>-1374087.6666666635</v>
      </c>
      <c r="R88">
        <f t="shared" ref="R88" si="417">R89+Q88</f>
        <v>-590040595.68330336</v>
      </c>
      <c r="S88">
        <f t="shared" ref="S88" si="418">R88/100000</f>
        <v>-5900.405956833034</v>
      </c>
      <c r="T88">
        <f t="shared" ref="T88" si="419">S88/1000</f>
        <v>-5.9004059568330343</v>
      </c>
    </row>
    <row r="89" spans="1:20" x14ac:dyDescent="0.25">
      <c r="A89" s="5">
        <v>44504</v>
      </c>
      <c r="B89">
        <v>1.0634999999999999</v>
      </c>
      <c r="C89">
        <v>1.0666</v>
      </c>
      <c r="D89">
        <v>1.0005999999999999</v>
      </c>
      <c r="E89">
        <v>1.0144</v>
      </c>
      <c r="F89">
        <v>1887284</v>
      </c>
      <c r="G89">
        <v>1.0144</v>
      </c>
      <c r="L89" t="s">
        <v>7</v>
      </c>
      <c r="M89" t="s">
        <v>8</v>
      </c>
      <c r="N89" t="s">
        <v>7</v>
      </c>
      <c r="P89">
        <f t="shared" ref="P89" si="420">IF(C89=D89,0,((E89-D89)-(C89-E89))/(C89-D89))</f>
        <v>-0.58181818181818112</v>
      </c>
      <c r="Q89">
        <f t="shared" ref="Q89" si="421">F89*P89</f>
        <v>-1098056.1454545441</v>
      </c>
      <c r="R89">
        <f t="shared" ref="R89" si="422">R90+Q89</f>
        <v>-588666508.01663673</v>
      </c>
      <c r="S89">
        <f t="shared" ref="S89" si="423">R89/100000</f>
        <v>-5886.6650801663673</v>
      </c>
      <c r="T89">
        <f t="shared" ref="T89" si="424">S89/1000</f>
        <v>-5.8866650801663676</v>
      </c>
    </row>
    <row r="90" spans="1:20" x14ac:dyDescent="0.25">
      <c r="A90" s="5">
        <v>44503</v>
      </c>
      <c r="B90">
        <v>1.0724</v>
      </c>
      <c r="C90">
        <v>1.1200000000000001</v>
      </c>
      <c r="D90">
        <v>1.0273000000000001</v>
      </c>
      <c r="E90">
        <v>1.0634999999999999</v>
      </c>
      <c r="F90">
        <v>3631274</v>
      </c>
      <c r="G90">
        <v>1.0634999999999999</v>
      </c>
      <c r="L90" t="s">
        <v>8</v>
      </c>
      <c r="M90" t="s">
        <v>8</v>
      </c>
      <c r="N90" t="s">
        <v>7</v>
      </c>
      <c r="P90">
        <f t="shared" ref="P90" si="425">IF(C90=D90,0,((E90-D90)-(C90-E90))/(C90-D90))</f>
        <v>-0.21898597626753427</v>
      </c>
      <c r="Q90">
        <f t="shared" ref="Q90" si="426">F90*P90</f>
        <v>-795198.08198491426</v>
      </c>
      <c r="R90">
        <f t="shared" ref="R90" si="427">R91+Q90</f>
        <v>-587568451.8711822</v>
      </c>
      <c r="S90">
        <f t="shared" ref="S90" si="428">R90/100000</f>
        <v>-5875.6845187118224</v>
      </c>
      <c r="T90">
        <f t="shared" ref="T90" si="429">S90/1000</f>
        <v>-5.8756845187118225</v>
      </c>
    </row>
    <row r="91" spans="1:20" x14ac:dyDescent="0.25">
      <c r="A91" s="5">
        <v>44502</v>
      </c>
      <c r="B91">
        <v>1.0368999999999999</v>
      </c>
      <c r="C91">
        <v>1.1031</v>
      </c>
      <c r="D91">
        <v>1.0364</v>
      </c>
      <c r="E91">
        <v>1.0724</v>
      </c>
      <c r="F91">
        <v>5473809</v>
      </c>
      <c r="G91">
        <v>1.0724</v>
      </c>
      <c r="L91" t="s">
        <v>8</v>
      </c>
      <c r="M91" t="s">
        <v>8</v>
      </c>
      <c r="N91" t="s">
        <v>7</v>
      </c>
      <c r="P91">
        <f t="shared" ref="P91" si="430">IF(C91=D91,0,((E91-D91)-(C91-E91))/(C91-D91))</f>
        <v>7.9460269865068725E-2</v>
      </c>
      <c r="Q91">
        <f t="shared" ref="Q91" si="431">F91*P91</f>
        <v>434950.340329842</v>
      </c>
      <c r="R91">
        <f t="shared" ref="R91" si="432">R92+Q91</f>
        <v>-586773253.78919733</v>
      </c>
      <c r="S91">
        <f t="shared" ref="S91" si="433">R91/100000</f>
        <v>-5867.7325378919732</v>
      </c>
      <c r="T91">
        <f t="shared" ref="T91" si="434">S91/1000</f>
        <v>-5.8677325378919729</v>
      </c>
    </row>
    <row r="92" spans="1:20" x14ac:dyDescent="0.25">
      <c r="A92" s="5">
        <v>44501</v>
      </c>
      <c r="B92">
        <v>1.0091000000000001</v>
      </c>
      <c r="C92">
        <v>1.0938000000000001</v>
      </c>
      <c r="D92">
        <v>0.99829999999999997</v>
      </c>
      <c r="E92">
        <v>1.0368999999999999</v>
      </c>
      <c r="F92">
        <v>13464391</v>
      </c>
      <c r="G92">
        <v>1.0368999999999999</v>
      </c>
      <c r="L92" t="s">
        <v>8</v>
      </c>
      <c r="M92" t="s">
        <v>8</v>
      </c>
      <c r="N92" t="s">
        <v>7</v>
      </c>
      <c r="P92">
        <f t="shared" ref="P92" si="435">IF(C92=D92,0,((E92-D92)-(C92-E92))/(C92-D92))</f>
        <v>-0.19162303664921654</v>
      </c>
      <c r="Q92">
        <f t="shared" ref="Q92" si="436">F92*P92</f>
        <v>-2580087.4900523815</v>
      </c>
      <c r="R92">
        <f t="shared" ref="R92" si="437">R93+Q92</f>
        <v>-587208204.12952721</v>
      </c>
      <c r="S92">
        <f t="shared" ref="S92" si="438">R92/100000</f>
        <v>-5872.0820412952717</v>
      </c>
      <c r="T92">
        <f t="shared" ref="T92" si="439">S92/1000</f>
        <v>-5.8720820412952719</v>
      </c>
    </row>
    <row r="93" spans="1:20" x14ac:dyDescent="0.25">
      <c r="A93" s="5">
        <v>44500</v>
      </c>
      <c r="B93">
        <v>0.95830000000000004</v>
      </c>
      <c r="C93">
        <v>1.04</v>
      </c>
      <c r="D93">
        <v>0.93620000000000003</v>
      </c>
      <c r="E93">
        <v>1.0091000000000001</v>
      </c>
      <c r="F93">
        <v>14186275</v>
      </c>
      <c r="G93">
        <v>1.0091000000000001</v>
      </c>
      <c r="L93" t="s">
        <v>8</v>
      </c>
      <c r="M93" t="s">
        <v>7</v>
      </c>
      <c r="N93" t="s">
        <v>7</v>
      </c>
      <c r="P93">
        <f t="shared" ref="P93" si="440">IF(C93=D93,0,((E93-D93)-(C93-E93))/(C93-D93))</f>
        <v>0.40462427745664881</v>
      </c>
      <c r="Q93">
        <f t="shared" ref="Q93" si="441">F93*P93</f>
        <v>5740111.2716763206</v>
      </c>
      <c r="R93">
        <f t="shared" ref="R93" si="442">R94+Q93</f>
        <v>-584628116.63947487</v>
      </c>
      <c r="S93">
        <f t="shared" ref="S93" si="443">R93/100000</f>
        <v>-5846.2811663947487</v>
      </c>
      <c r="T93">
        <f t="shared" ref="T93" si="444">S93/1000</f>
        <v>-5.8462811663947489</v>
      </c>
    </row>
    <row r="94" spans="1:20" x14ac:dyDescent="0.25">
      <c r="A94" s="5">
        <v>44499</v>
      </c>
      <c r="B94">
        <v>0.95040000000000002</v>
      </c>
      <c r="C94">
        <v>0.97650000000000003</v>
      </c>
      <c r="D94">
        <v>0.93889999999999996</v>
      </c>
      <c r="E94">
        <v>0.95750000000000002</v>
      </c>
      <c r="F94">
        <v>9240448</v>
      </c>
      <c r="G94">
        <v>0.95750000000000002</v>
      </c>
      <c r="L94" t="s">
        <v>7</v>
      </c>
      <c r="M94" t="s">
        <v>7</v>
      </c>
      <c r="N94" t="s">
        <v>7</v>
      </c>
      <c r="P94">
        <f t="shared" ref="P94" si="445">IF(C94=D94,0,((E94-D94)-(C94-E94))/(C94-D94))</f>
        <v>-1.0638297872339232E-2</v>
      </c>
      <c r="Q94">
        <f t="shared" ref="Q94" si="446">F94*P94</f>
        <v>-98302.638297861311</v>
      </c>
      <c r="R94">
        <f t="shared" ref="R94" si="447">R95+Q94</f>
        <v>-590368227.91115117</v>
      </c>
      <c r="S94">
        <f t="shared" ref="S94" si="448">R94/100000</f>
        <v>-5903.6822791115119</v>
      </c>
      <c r="T94">
        <f t="shared" ref="T94" si="449">S94/1000</f>
        <v>-5.9036822791115116</v>
      </c>
    </row>
    <row r="95" spans="1:20" x14ac:dyDescent="0.25">
      <c r="A95" s="5">
        <v>44498</v>
      </c>
      <c r="B95">
        <v>0.91210000000000002</v>
      </c>
      <c r="C95">
        <v>1.0037</v>
      </c>
      <c r="D95">
        <v>0.90559999999999996</v>
      </c>
      <c r="E95">
        <v>0.95009999999999994</v>
      </c>
      <c r="F95">
        <v>12024259</v>
      </c>
      <c r="G95">
        <v>0.95009999999999994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-9.2762487257901136E-2</v>
      </c>
      <c r="Q95">
        <f t="shared" ref="Q95" si="451">F95*P95</f>
        <v>-1115400.172273203</v>
      </c>
      <c r="R95">
        <f t="shared" ref="R95" si="452">R96+Q95</f>
        <v>-590269925.27285326</v>
      </c>
      <c r="S95">
        <f t="shared" ref="S95" si="453">R95/100000</f>
        <v>-5902.6992527285329</v>
      </c>
      <c r="T95">
        <f t="shared" ref="T95" si="454">S95/1000</f>
        <v>-5.9026992527285325</v>
      </c>
    </row>
    <row r="96" spans="1:20" x14ac:dyDescent="0.25">
      <c r="A96" s="5">
        <v>44497</v>
      </c>
      <c r="B96">
        <v>0.90780000000000005</v>
      </c>
      <c r="C96">
        <v>0.9294</v>
      </c>
      <c r="D96">
        <v>0.88260000000000005</v>
      </c>
      <c r="E96">
        <v>0.91190000000000004</v>
      </c>
      <c r="F96">
        <v>9618303</v>
      </c>
      <c r="G96">
        <v>0.91190000000000004</v>
      </c>
      <c r="L96" t="s">
        <v>7</v>
      </c>
      <c r="M96" t="s">
        <v>7</v>
      </c>
      <c r="N96" t="s">
        <v>7</v>
      </c>
      <c r="P96">
        <f t="shared" ref="P96" si="455">IF(C96=D96,0,((E96-D96)-(C96-E96))/(C96-D96))</f>
        <v>0.25213675213675307</v>
      </c>
      <c r="Q96">
        <f t="shared" ref="Q96" si="456">F96*P96</f>
        <v>2425127.6794871883</v>
      </c>
      <c r="R96">
        <f t="shared" ref="R96" si="457">R97+Q96</f>
        <v>-589154525.1005801</v>
      </c>
      <c r="S96">
        <f t="shared" ref="S96" si="458">R96/100000</f>
        <v>-5891.5452510058012</v>
      </c>
      <c r="T96">
        <f t="shared" ref="T96" si="459">S96/1000</f>
        <v>-5.8915452510058008</v>
      </c>
    </row>
    <row r="97" spans="1:20" x14ac:dyDescent="0.25">
      <c r="A97" s="5">
        <v>44496</v>
      </c>
      <c r="B97">
        <v>0.99039999999999995</v>
      </c>
      <c r="C97">
        <v>1.0047999999999999</v>
      </c>
      <c r="D97">
        <v>0.89019999999999999</v>
      </c>
      <c r="E97">
        <v>0.90780000000000005</v>
      </c>
      <c r="F97">
        <v>12639020</v>
      </c>
      <c r="G97">
        <v>0.90780000000000005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-0.69284467713786957</v>
      </c>
      <c r="Q97">
        <f t="shared" ref="Q97" si="461">F97*P97</f>
        <v>-8756877.7312390767</v>
      </c>
      <c r="R97">
        <f t="shared" ref="R97" si="462">R98+Q97</f>
        <v>-591579652.78006732</v>
      </c>
      <c r="S97">
        <f t="shared" ref="S97" si="463">R97/100000</f>
        <v>-5915.7965278006732</v>
      </c>
      <c r="T97">
        <f t="shared" ref="T97" si="464">S97/1000</f>
        <v>-5.9157965278006728</v>
      </c>
    </row>
    <row r="98" spans="1:20" x14ac:dyDescent="0.25">
      <c r="A98" s="5">
        <v>44495</v>
      </c>
      <c r="B98">
        <v>1.0205</v>
      </c>
      <c r="C98">
        <v>1.0511999999999999</v>
      </c>
      <c r="D98">
        <v>0.98460000000000003</v>
      </c>
      <c r="E98">
        <v>0.99050000000000005</v>
      </c>
      <c r="F98">
        <v>10091425</v>
      </c>
      <c r="G98">
        <v>0.99050000000000005</v>
      </c>
      <c r="L98" t="s">
        <v>7</v>
      </c>
      <c r="M98" t="s">
        <v>7</v>
      </c>
      <c r="N98" t="s">
        <v>7</v>
      </c>
      <c r="P98">
        <f t="shared" ref="P98" si="465">IF(C98=D98,0,((E98-D98)-(C98-E98))/(C98-D98))</f>
        <v>-0.82282282282282204</v>
      </c>
      <c r="Q98">
        <f t="shared" ref="Q98" si="466">F98*P98</f>
        <v>-8303454.8048047973</v>
      </c>
      <c r="R98">
        <f t="shared" ref="R98" si="467">R99+Q98</f>
        <v>-582822775.04882824</v>
      </c>
      <c r="S98">
        <f t="shared" ref="S98" si="468">R98/100000</f>
        <v>-5828.2277504882823</v>
      </c>
      <c r="T98">
        <f t="shared" ref="T98" si="469">S98/1000</f>
        <v>-5.8282277504882822</v>
      </c>
    </row>
    <row r="99" spans="1:20" x14ac:dyDescent="0.25">
      <c r="A99" s="5">
        <v>44494</v>
      </c>
      <c r="B99">
        <v>1.0085</v>
      </c>
      <c r="C99">
        <v>1.03</v>
      </c>
      <c r="D99">
        <v>1.0045999999999999</v>
      </c>
      <c r="E99">
        <v>1.0195000000000001</v>
      </c>
      <c r="F99">
        <v>8697040</v>
      </c>
      <c r="G99">
        <v>1.0195000000000001</v>
      </c>
      <c r="L99" t="s">
        <v>7</v>
      </c>
      <c r="M99" t="s">
        <v>7</v>
      </c>
      <c r="N99" t="s">
        <v>7</v>
      </c>
      <c r="P99">
        <f t="shared" ref="P99" si="470">IF(C99=D99,0,((E99-D99)-(C99-E99))/(C99-D99))</f>
        <v>0.17322834645669946</v>
      </c>
      <c r="Q99">
        <f t="shared" ref="Q99" si="471">F99*P99</f>
        <v>1506573.8582677734</v>
      </c>
      <c r="R99">
        <f t="shared" ref="R99" si="472">R100+Q99</f>
        <v>-574519320.24402344</v>
      </c>
      <c r="S99">
        <f t="shared" ref="S99" si="473">R99/100000</f>
        <v>-5745.193202440234</v>
      </c>
      <c r="T99">
        <f t="shared" ref="T99" si="474">S99/1000</f>
        <v>-5.7451932024402339</v>
      </c>
    </row>
    <row r="100" spans="1:20" x14ac:dyDescent="0.25">
      <c r="A100" s="5">
        <v>44493</v>
      </c>
      <c r="B100">
        <v>1.0443</v>
      </c>
      <c r="C100">
        <v>1.0657000000000001</v>
      </c>
      <c r="D100">
        <v>0.99909999999999999</v>
      </c>
      <c r="E100">
        <v>1.0082</v>
      </c>
      <c r="F100">
        <v>10431220</v>
      </c>
      <c r="G100">
        <v>1.0082</v>
      </c>
      <c r="L100" t="s">
        <v>7</v>
      </c>
      <c r="M100" t="s">
        <v>7</v>
      </c>
      <c r="N100" t="s">
        <v>7</v>
      </c>
      <c r="P100">
        <f t="shared" ref="P100" si="475">IF(C100=D100,0,((E100-D100)-(C100-E100))/(C100-D100))</f>
        <v>-0.72672672672672722</v>
      </c>
      <c r="Q100">
        <f t="shared" ref="Q100" si="476">F100*P100</f>
        <v>-7580646.3663663715</v>
      </c>
      <c r="R100">
        <f t="shared" ref="R100" si="477">R101+Q100</f>
        <v>-576025894.10229123</v>
      </c>
      <c r="S100">
        <f t="shared" ref="S100" si="478">R100/100000</f>
        <v>-5760.258941022912</v>
      </c>
      <c r="T100">
        <f t="shared" ref="T100" si="479">S100/1000</f>
        <v>-5.7602589410229124</v>
      </c>
    </row>
    <row r="101" spans="1:20" x14ac:dyDescent="0.25">
      <c r="A101" s="5">
        <v>44492</v>
      </c>
      <c r="B101">
        <v>1.0310999999999999</v>
      </c>
      <c r="C101">
        <v>1.0879000000000001</v>
      </c>
      <c r="D101">
        <v>1.0246999999999999</v>
      </c>
      <c r="E101">
        <v>1.0441</v>
      </c>
      <c r="F101">
        <v>10500904</v>
      </c>
      <c r="G101">
        <v>1.0441</v>
      </c>
      <c r="L101" t="s">
        <v>8</v>
      </c>
      <c r="M101" t="s">
        <v>7</v>
      </c>
      <c r="N101" t="s">
        <v>7</v>
      </c>
      <c r="P101">
        <f t="shared" ref="P101" si="480">IF(C101=D101,0,((E101-D101)-(C101-E101))/(C101-D101))</f>
        <v>-0.38607594936708739</v>
      </c>
      <c r="Q101">
        <f t="shared" ref="Q101" si="481">F101*P101</f>
        <v>-4054146.4810126456</v>
      </c>
      <c r="R101">
        <f t="shared" ref="R101" si="482">R102+Q101</f>
        <v>-568445247.73592484</v>
      </c>
      <c r="S101">
        <f t="shared" ref="S101" si="483">R101/100000</f>
        <v>-5684.4524773592484</v>
      </c>
      <c r="T101">
        <f t="shared" ref="T101" si="484">S101/1000</f>
        <v>-5.6844524773592484</v>
      </c>
    </row>
    <row r="102" spans="1:20" x14ac:dyDescent="0.25">
      <c r="A102" s="5">
        <v>44491</v>
      </c>
      <c r="B102">
        <v>1.0324</v>
      </c>
      <c r="C102">
        <v>1.0599000000000001</v>
      </c>
      <c r="D102">
        <v>1.0167999999999999</v>
      </c>
      <c r="E102">
        <v>1.0311999999999999</v>
      </c>
      <c r="F102">
        <v>8450514</v>
      </c>
      <c r="G102">
        <v>1.0311999999999999</v>
      </c>
      <c r="L102" t="s">
        <v>7</v>
      </c>
      <c r="M102" t="s">
        <v>7</v>
      </c>
      <c r="N102" t="s">
        <v>7</v>
      </c>
      <c r="P102">
        <f t="shared" ref="P102" si="485">IF(C102=D102,0,((E102-D102)-(C102-E102))/(C102-D102))</f>
        <v>-0.33178654292343751</v>
      </c>
      <c r="Q102">
        <f t="shared" ref="Q102" si="486">F102*P102</f>
        <v>-2803766.8259861097</v>
      </c>
      <c r="R102">
        <f t="shared" ref="R102" si="487">R103+Q102</f>
        <v>-564391101.25491214</v>
      </c>
      <c r="S102">
        <f t="shared" ref="S102" si="488">R102/100000</f>
        <v>-5643.9110125491216</v>
      </c>
      <c r="T102">
        <f t="shared" ref="T102" si="489">S102/1000</f>
        <v>-5.6439110125491219</v>
      </c>
    </row>
    <row r="103" spans="1:20" x14ac:dyDescent="0.25">
      <c r="A103" s="5">
        <v>44490</v>
      </c>
      <c r="B103">
        <v>1.0548999999999999</v>
      </c>
      <c r="C103">
        <v>1.0719000000000001</v>
      </c>
      <c r="D103">
        <v>1.0168999999999999</v>
      </c>
      <c r="E103">
        <v>1.0334000000000001</v>
      </c>
      <c r="F103">
        <v>12667907</v>
      </c>
      <c r="G103">
        <v>1.0334000000000001</v>
      </c>
      <c r="L103" t="s">
        <v>7</v>
      </c>
      <c r="M103" t="s">
        <v>7</v>
      </c>
      <c r="N103" t="s">
        <v>7</v>
      </c>
      <c r="P103">
        <f t="shared" ref="P103" si="490">IF(C103=D103,0,((E103-D103)-(C103-E103))/(C103-D103))</f>
        <v>-0.39999999999999514</v>
      </c>
      <c r="Q103">
        <f t="shared" ref="Q103" si="491">F103*P103</f>
        <v>-5067162.7999999383</v>
      </c>
      <c r="R103">
        <f t="shared" ref="R103" si="492">R104+Q103</f>
        <v>-561587334.42892599</v>
      </c>
      <c r="S103">
        <f t="shared" ref="S103" si="493">R103/100000</f>
        <v>-5615.8733442892599</v>
      </c>
      <c r="T103">
        <f t="shared" ref="T103" si="494">S103/1000</f>
        <v>-5.6158733442892599</v>
      </c>
    </row>
    <row r="104" spans="1:20" x14ac:dyDescent="0.25">
      <c r="A104" s="5">
        <v>44489</v>
      </c>
      <c r="B104">
        <v>1.0074000000000001</v>
      </c>
      <c r="C104">
        <v>1.0971</v>
      </c>
      <c r="D104">
        <v>1</v>
      </c>
      <c r="E104">
        <v>1.0548999999999999</v>
      </c>
      <c r="F104">
        <v>13487090</v>
      </c>
      <c r="G104">
        <v>1.0548999999999999</v>
      </c>
      <c r="L104" t="s">
        <v>8</v>
      </c>
      <c r="M104" t="s">
        <v>7</v>
      </c>
      <c r="N104" t="s">
        <v>7</v>
      </c>
      <c r="P104">
        <f t="shared" ref="P104" si="495">IF(C104=D104,0,((E104-D104)-(C104-E104))/(C104-D104))</f>
        <v>0.130792996910401</v>
      </c>
      <c r="Q104">
        <f t="shared" ref="Q104" si="496">F104*P104</f>
        <v>1764016.9207003003</v>
      </c>
      <c r="R104">
        <f t="shared" ref="R104" si="497">R105+Q104</f>
        <v>-556520171.62892604</v>
      </c>
      <c r="S104">
        <f t="shared" ref="S104" si="498">R104/100000</f>
        <v>-5565.2017162892607</v>
      </c>
      <c r="T104">
        <f t="shared" ref="T104" si="499">S104/1000</f>
        <v>-5.5652017162892609</v>
      </c>
    </row>
    <row r="105" spans="1:20" x14ac:dyDescent="0.25">
      <c r="A105" s="5">
        <v>44488</v>
      </c>
      <c r="B105">
        <v>1.0072000000000001</v>
      </c>
      <c r="C105">
        <v>1.0299</v>
      </c>
      <c r="D105">
        <v>1.0004</v>
      </c>
      <c r="E105">
        <v>1.0074000000000001</v>
      </c>
      <c r="F105">
        <v>10707934</v>
      </c>
      <c r="G105">
        <v>1.0074000000000001</v>
      </c>
      <c r="L105" t="s">
        <v>8</v>
      </c>
      <c r="M105" t="s">
        <v>7</v>
      </c>
      <c r="N105" t="s">
        <v>7</v>
      </c>
      <c r="P105">
        <f t="shared" ref="P105" si="500">IF(C105=D105,0,((E105-D105)-(C105-E105))/(C105-D105))</f>
        <v>-0.5254237288135527</v>
      </c>
      <c r="Q105">
        <f t="shared" ref="Q105" si="501">F105*P105</f>
        <v>-5626202.610169421</v>
      </c>
      <c r="R105">
        <f t="shared" ref="R105" si="502">R106+Q105</f>
        <v>-558284188.54962635</v>
      </c>
      <c r="S105">
        <f t="shared" ref="S105" si="503">R105/100000</f>
        <v>-5582.8418854962638</v>
      </c>
      <c r="T105">
        <f t="shared" ref="T105" si="504">S105/1000</f>
        <v>-5.582841885496264</v>
      </c>
    </row>
    <row r="106" spans="1:20" x14ac:dyDescent="0.25">
      <c r="A106" s="5">
        <v>44487</v>
      </c>
      <c r="B106">
        <v>1.0265</v>
      </c>
      <c r="C106">
        <v>1.08</v>
      </c>
      <c r="D106">
        <v>0.99770000000000003</v>
      </c>
      <c r="E106">
        <v>1.0065999999999999</v>
      </c>
      <c r="F106">
        <v>19746589</v>
      </c>
      <c r="G106">
        <v>1.0065999999999999</v>
      </c>
      <c r="L106" t="s">
        <v>8</v>
      </c>
      <c r="M106" t="s">
        <v>7</v>
      </c>
      <c r="N106" t="s">
        <v>7</v>
      </c>
      <c r="P106">
        <f t="shared" ref="P106" si="505">IF(C106=D106,0,((E106-D106)-(C106-E106))/(C106-D106))</f>
        <v>-0.78371810449574963</v>
      </c>
      <c r="Q106">
        <f t="shared" ref="Q106" si="506">F106*P106</f>
        <v>-15475759.30133662</v>
      </c>
      <c r="R106">
        <f t="shared" ref="R106" si="507">R107+Q106</f>
        <v>-552657985.93945694</v>
      </c>
      <c r="S106">
        <f t="shared" ref="S106" si="508">R106/100000</f>
        <v>-5526.5798593945692</v>
      </c>
      <c r="T106">
        <f t="shared" ref="T106" si="509">S106/1000</f>
        <v>-5.5265798593945696</v>
      </c>
    </row>
    <row r="107" spans="1:20" x14ac:dyDescent="0.25">
      <c r="A107" s="5">
        <v>44486</v>
      </c>
      <c r="B107">
        <v>1.0472999999999999</v>
      </c>
      <c r="C107">
        <v>1.1096999999999999</v>
      </c>
      <c r="D107">
        <v>0.99919999999999998</v>
      </c>
      <c r="E107">
        <v>1.0265</v>
      </c>
      <c r="F107">
        <v>17175291</v>
      </c>
      <c r="G107">
        <v>1.0265</v>
      </c>
      <c r="L107" t="s">
        <v>7</v>
      </c>
      <c r="M107" t="s">
        <v>7</v>
      </c>
      <c r="N107" t="s">
        <v>7</v>
      </c>
      <c r="P107">
        <f t="shared" ref="P107" si="510">IF(C107=D107,0,((E107-D107)-(C107-E107))/(C107-D107))</f>
        <v>-0.50588235294117634</v>
      </c>
      <c r="Q107">
        <f t="shared" ref="Q107" si="511">F107*P107</f>
        <v>-8688676.62352941</v>
      </c>
      <c r="R107">
        <f t="shared" ref="R107" si="512">R108+Q107</f>
        <v>-537182226.63812029</v>
      </c>
      <c r="S107">
        <f t="shared" ref="S107" si="513">R107/100000</f>
        <v>-5371.822266381203</v>
      </c>
      <c r="T107">
        <f t="shared" ref="T107" si="514">S107/1000</f>
        <v>-5.3718222663812032</v>
      </c>
    </row>
    <row r="108" spans="1:20" x14ac:dyDescent="0.25">
      <c r="A108" s="5">
        <v>44485</v>
      </c>
      <c r="B108">
        <v>1.0266</v>
      </c>
      <c r="C108">
        <v>1.1657</v>
      </c>
      <c r="D108">
        <v>0.99150000000000005</v>
      </c>
      <c r="E108">
        <v>1.0457000000000001</v>
      </c>
      <c r="F108">
        <v>21202370</v>
      </c>
      <c r="G108">
        <v>1.0457000000000001</v>
      </c>
      <c r="L108" t="s">
        <v>8</v>
      </c>
      <c r="M108" t="s">
        <v>8</v>
      </c>
      <c r="N108" t="s">
        <v>7</v>
      </c>
      <c r="P108">
        <f t="shared" ref="P108" si="515">IF(C108=D108,0,((E108-D108)-(C108-E108))/(C108-D108))</f>
        <v>-0.3777267508610786</v>
      </c>
      <c r="Q108">
        <f t="shared" ref="Q108" si="516">F108*P108</f>
        <v>-8008702.3306544069</v>
      </c>
      <c r="R108">
        <f t="shared" ref="R108" si="517">R109+Q108</f>
        <v>-528493550.01459086</v>
      </c>
      <c r="S108">
        <f t="shared" ref="S108" si="518">R108/100000</f>
        <v>-5284.9355001459089</v>
      </c>
      <c r="T108">
        <f t="shared" ref="T108" si="519">S108/1000</f>
        <v>-5.2849355001459086</v>
      </c>
    </row>
    <row r="109" spans="1:20" x14ac:dyDescent="0.25">
      <c r="A109" s="5">
        <v>44484</v>
      </c>
      <c r="B109">
        <v>0.98409999999999997</v>
      </c>
      <c r="C109">
        <v>1.0723</v>
      </c>
      <c r="D109">
        <v>0.95850000000000002</v>
      </c>
      <c r="E109">
        <v>1.0264</v>
      </c>
      <c r="F109">
        <v>12595309</v>
      </c>
      <c r="G109">
        <v>1.0264</v>
      </c>
      <c r="L109" t="s">
        <v>8</v>
      </c>
      <c r="M109" t="s">
        <v>8</v>
      </c>
      <c r="N109" t="s">
        <v>7</v>
      </c>
      <c r="P109">
        <f t="shared" ref="P109" si="520">IF(C109=D109,0,((E109-D109)-(C109-E109))/(C109-D109))</f>
        <v>0.19332161687170393</v>
      </c>
      <c r="Q109">
        <f t="shared" ref="Q109" si="521">F109*P109</f>
        <v>2434945.5008787243</v>
      </c>
      <c r="R109">
        <f t="shared" ref="R109" si="522">R110+Q109</f>
        <v>-520484847.68393648</v>
      </c>
      <c r="S109">
        <f t="shared" ref="S109" si="523">R109/100000</f>
        <v>-5204.8484768393646</v>
      </c>
      <c r="T109">
        <f t="shared" ref="T109" si="524">S109/1000</f>
        <v>-5.2048484768393646</v>
      </c>
    </row>
    <row r="110" spans="1:20" x14ac:dyDescent="0.25">
      <c r="A110" s="5">
        <v>44483</v>
      </c>
      <c r="B110">
        <v>0.94210000000000005</v>
      </c>
      <c r="C110">
        <v>1.0428999999999999</v>
      </c>
      <c r="D110">
        <v>0.93879999999999997</v>
      </c>
      <c r="E110">
        <v>0.98299999999999998</v>
      </c>
      <c r="F110">
        <v>13421213</v>
      </c>
      <c r="G110">
        <v>0.98299999999999998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-0.15081652257444708</v>
      </c>
      <c r="Q110">
        <f t="shared" ref="Q110" si="526">F110*P110</f>
        <v>-2024140.6733909626</v>
      </c>
      <c r="R110">
        <f t="shared" ref="R110" si="527">R111+Q110</f>
        <v>-522919793.18481523</v>
      </c>
      <c r="S110">
        <f t="shared" ref="S110" si="528">R110/100000</f>
        <v>-5229.1979318481526</v>
      </c>
      <c r="T110">
        <f t="shared" ref="T110" si="529">S110/1000</f>
        <v>-5.2291979318481525</v>
      </c>
    </row>
    <row r="111" spans="1:20" x14ac:dyDescent="0.25">
      <c r="A111" s="5">
        <v>44482</v>
      </c>
      <c r="B111">
        <v>0.92549999999999999</v>
      </c>
      <c r="C111">
        <v>0.95760000000000001</v>
      </c>
      <c r="D111">
        <v>0.90780000000000005</v>
      </c>
      <c r="E111">
        <v>0.94169999999999998</v>
      </c>
      <c r="F111">
        <v>10570484</v>
      </c>
      <c r="G111">
        <v>0.94169999999999998</v>
      </c>
      <c r="L111" t="s">
        <v>8</v>
      </c>
      <c r="M111" t="s">
        <v>7</v>
      </c>
      <c r="N111" t="s">
        <v>7</v>
      </c>
      <c r="P111">
        <f t="shared" ref="P111" si="530">IF(C111=D111,0,((E111-D111)-(C111-E111))/(C111-D111))</f>
        <v>0.36144578313252851</v>
      </c>
      <c r="Q111">
        <f t="shared" ref="Q111" si="531">F111*P111</f>
        <v>3820656.8674698626</v>
      </c>
      <c r="R111">
        <f t="shared" ref="R111" si="532">R112+Q111</f>
        <v>-520895652.51142424</v>
      </c>
      <c r="S111">
        <f t="shared" ref="S111" si="533">R111/100000</f>
        <v>-5208.9565251142421</v>
      </c>
      <c r="T111">
        <f t="shared" ref="T111" si="534">S111/1000</f>
        <v>-5.2089565251142425</v>
      </c>
    </row>
    <row r="112" spans="1:20" x14ac:dyDescent="0.25">
      <c r="A112" s="5">
        <v>44481</v>
      </c>
      <c r="B112">
        <v>0.92779999999999996</v>
      </c>
      <c r="C112">
        <v>0.97289999999999999</v>
      </c>
      <c r="D112">
        <v>0.89249999999999996</v>
      </c>
      <c r="E112">
        <v>0.92549999999999999</v>
      </c>
      <c r="F112">
        <v>12345384</v>
      </c>
      <c r="G112">
        <v>0.92549999999999999</v>
      </c>
      <c r="L112" t="s">
        <v>8</v>
      </c>
      <c r="M112" t="s">
        <v>7</v>
      </c>
      <c r="N112" t="s">
        <v>7</v>
      </c>
      <c r="P112">
        <f t="shared" ref="P112" si="535">IF(C112=D112,0,((E112-D112)-(C112-E112))/(C112-D112))</f>
        <v>-0.17910447761193984</v>
      </c>
      <c r="Q112">
        <f t="shared" ref="Q112" si="536">F112*P112</f>
        <v>-2211113.5522388006</v>
      </c>
      <c r="R112">
        <f t="shared" ref="R112" si="537">R113+Q112</f>
        <v>-524716309.37889409</v>
      </c>
      <c r="S112">
        <f t="shared" ref="S112" si="538">R112/100000</f>
        <v>-5247.1630937889413</v>
      </c>
      <c r="T112">
        <f t="shared" ref="T112" si="539">S112/1000</f>
        <v>-5.2471630937889415</v>
      </c>
    </row>
    <row r="113" spans="1:20" x14ac:dyDescent="0.25">
      <c r="A113" s="5">
        <v>44480</v>
      </c>
      <c r="B113">
        <v>0.95830000000000004</v>
      </c>
      <c r="C113">
        <v>1.0041</v>
      </c>
      <c r="D113">
        <v>0.89759999999999995</v>
      </c>
      <c r="E113">
        <v>0.92779999999999996</v>
      </c>
      <c r="F113">
        <v>13339458</v>
      </c>
      <c r="G113">
        <v>0.92779999999999996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-0.43286384976525832</v>
      </c>
      <c r="Q113">
        <f t="shared" ref="Q113" si="541">F113*P113</f>
        <v>-5774169.1436619731</v>
      </c>
      <c r="R113">
        <f t="shared" ref="R113" si="542">R114+Q113</f>
        <v>-522505195.82665527</v>
      </c>
      <c r="S113">
        <f t="shared" ref="S113" si="543">R113/100000</f>
        <v>-5225.0519582665529</v>
      </c>
      <c r="T113">
        <f t="shared" ref="T113" si="544">S113/1000</f>
        <v>-5.2250519582665529</v>
      </c>
    </row>
    <row r="114" spans="1:20" x14ac:dyDescent="0.25">
      <c r="A114" s="5">
        <v>44479</v>
      </c>
      <c r="B114">
        <v>0.96020000000000005</v>
      </c>
      <c r="C114">
        <v>1.1480999999999999</v>
      </c>
      <c r="D114">
        <v>0.93179999999999996</v>
      </c>
      <c r="E114">
        <v>0.95830000000000004</v>
      </c>
      <c r="F114">
        <v>23495065</v>
      </c>
      <c r="G114">
        <v>0.95830000000000004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-0.75496994914470561</v>
      </c>
      <c r="Q114">
        <f t="shared" ref="Q114" si="546">F114*P114</f>
        <v>-17738068.028201554</v>
      </c>
      <c r="R114">
        <f t="shared" ref="R114" si="547">R115+Q114</f>
        <v>-516731026.68299329</v>
      </c>
      <c r="S114">
        <f t="shared" ref="S114" si="548">R114/100000</f>
        <v>-5167.3102668299325</v>
      </c>
      <c r="T114">
        <f t="shared" ref="T114" si="549">S114/1000</f>
        <v>-5.1673102668299329</v>
      </c>
    </row>
    <row r="115" spans="1:20" x14ac:dyDescent="0.25">
      <c r="A115" s="5">
        <v>44478</v>
      </c>
      <c r="B115">
        <v>0.93540000000000001</v>
      </c>
      <c r="C115">
        <v>1.22</v>
      </c>
      <c r="D115">
        <v>0.92510000000000003</v>
      </c>
      <c r="E115">
        <v>0.95960000000000001</v>
      </c>
      <c r="F115">
        <v>26592544</v>
      </c>
      <c r="G115">
        <v>0.95960000000000001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-0.76602238046795534</v>
      </c>
      <c r="Q115">
        <f t="shared" ref="Q115" si="551">F115*P115</f>
        <v>-20370483.857578844</v>
      </c>
      <c r="R115">
        <f t="shared" ref="R115" si="552">R116+Q115</f>
        <v>-498992958.65479171</v>
      </c>
      <c r="S115">
        <f t="shared" ref="S115" si="553">R115/100000</f>
        <v>-4989.9295865479171</v>
      </c>
      <c r="T115">
        <f t="shared" ref="T115" si="554">S115/1000</f>
        <v>-4.989929586547917</v>
      </c>
    </row>
    <row r="116" spans="1:20" x14ac:dyDescent="0.25">
      <c r="A116" s="5">
        <v>44477</v>
      </c>
      <c r="B116">
        <v>0.92490000000000006</v>
      </c>
      <c r="C116">
        <v>0.96860000000000002</v>
      </c>
      <c r="D116">
        <v>0.90290000000000004</v>
      </c>
      <c r="E116">
        <v>0.93610000000000004</v>
      </c>
      <c r="F116">
        <v>11214588</v>
      </c>
      <c r="G116">
        <v>0.93610000000000004</v>
      </c>
      <c r="L116" t="s">
        <v>7</v>
      </c>
      <c r="M116" t="s">
        <v>8</v>
      </c>
      <c r="N116" t="s">
        <v>7</v>
      </c>
      <c r="P116">
        <f t="shared" ref="P116" si="555">IF(C116=D116,0,((E116-D116)-(C116-E116))/(C116-D116))</f>
        <v>1.0654490106545421E-2</v>
      </c>
      <c r="Q116">
        <f t="shared" ref="Q116" si="556">F116*P116</f>
        <v>119485.71689498299</v>
      </c>
      <c r="R116">
        <f t="shared" ref="R116" si="557">R117+Q116</f>
        <v>-478622474.79721284</v>
      </c>
      <c r="S116">
        <f t="shared" ref="S116" si="558">R116/100000</f>
        <v>-4786.2247479721282</v>
      </c>
      <c r="T116">
        <f t="shared" ref="T116" si="559">S116/1000</f>
        <v>-4.7862247479721285</v>
      </c>
    </row>
    <row r="117" spans="1:20" x14ac:dyDescent="0.25">
      <c r="A117" s="5">
        <v>44476</v>
      </c>
      <c r="B117">
        <v>0.91359999999999997</v>
      </c>
      <c r="C117">
        <v>0.97619999999999996</v>
      </c>
      <c r="D117">
        <v>0.89300000000000002</v>
      </c>
      <c r="E117">
        <v>0.92549999999999999</v>
      </c>
      <c r="F117">
        <v>13432915</v>
      </c>
      <c r="G117">
        <v>0.92549999999999999</v>
      </c>
      <c r="L117" t="s">
        <v>8</v>
      </c>
      <c r="M117" t="s">
        <v>8</v>
      </c>
      <c r="N117" t="s">
        <v>7</v>
      </c>
      <c r="P117">
        <f t="shared" ref="P117" si="560">IF(C117=D117,0,((E117-D117)-(C117-E117))/(C117-D117))</f>
        <v>-0.21875000000000008</v>
      </c>
      <c r="Q117">
        <f t="shared" ref="Q117" si="561">F117*P117</f>
        <v>-2938450.1562500009</v>
      </c>
      <c r="R117">
        <f t="shared" ref="R117" si="562">R118+Q117</f>
        <v>-478741960.51410782</v>
      </c>
      <c r="S117">
        <f t="shared" ref="S117" si="563">R117/100000</f>
        <v>-4787.4196051410781</v>
      </c>
      <c r="T117">
        <f t="shared" ref="T117" si="564">S117/1000</f>
        <v>-4.7874196051410784</v>
      </c>
    </row>
    <row r="118" spans="1:20" x14ac:dyDescent="0.25">
      <c r="A118" s="5">
        <v>44475</v>
      </c>
      <c r="B118">
        <v>0.94569999999999999</v>
      </c>
      <c r="C118">
        <v>0.95209999999999995</v>
      </c>
      <c r="D118">
        <v>0.88919999999999999</v>
      </c>
      <c r="E118">
        <v>0.91359999999999997</v>
      </c>
      <c r="F118">
        <v>11409308</v>
      </c>
      <c r="G118">
        <v>0.91359999999999997</v>
      </c>
      <c r="L118" t="s">
        <v>7</v>
      </c>
      <c r="M118" t="s">
        <v>8</v>
      </c>
      <c r="N118" t="s">
        <v>7</v>
      </c>
      <c r="P118">
        <f t="shared" ref="P118" si="565">IF(C118=D118,0,((E118-D118)-(C118-E118))/(C118-D118))</f>
        <v>-0.2241653418124008</v>
      </c>
      <c r="Q118">
        <f t="shared" ref="Q118" si="566">F118*P118</f>
        <v>-2557571.4276629589</v>
      </c>
      <c r="R118">
        <f t="shared" ref="R118" si="567">R119+Q118</f>
        <v>-475803510.35785782</v>
      </c>
      <c r="S118">
        <f t="shared" ref="S118" si="568">R118/100000</f>
        <v>-4758.0351035785779</v>
      </c>
      <c r="T118">
        <f t="shared" ref="T118" si="569">S118/1000</f>
        <v>-4.7580351035785782</v>
      </c>
    </row>
    <row r="119" spans="1:20" x14ac:dyDescent="0.25">
      <c r="A119" s="5">
        <v>44474</v>
      </c>
      <c r="B119">
        <v>0.97250000000000003</v>
      </c>
      <c r="C119">
        <v>0.9879</v>
      </c>
      <c r="D119">
        <v>0.92600000000000005</v>
      </c>
      <c r="E119">
        <v>0.94569999999999999</v>
      </c>
      <c r="F119">
        <v>13569108</v>
      </c>
      <c r="G119">
        <v>0.94569999999999999</v>
      </c>
      <c r="L119" t="s">
        <v>7</v>
      </c>
      <c r="M119" t="s">
        <v>8</v>
      </c>
      <c r="N119" t="s">
        <v>7</v>
      </c>
      <c r="P119">
        <f t="shared" ref="P119" si="570">IF(C119=D119,0,((E119-D119)-(C119-E119))/(C119-D119))</f>
        <v>-0.36348949919224705</v>
      </c>
      <c r="Q119">
        <f t="shared" ref="Q119" si="571">F119*P119</f>
        <v>-4932228.2714055125</v>
      </c>
      <c r="R119">
        <f t="shared" ref="R119" si="572">R120+Q119</f>
        <v>-473245938.93019485</v>
      </c>
      <c r="S119">
        <f t="shared" ref="S119" si="573">R119/100000</f>
        <v>-4732.4593893019482</v>
      </c>
      <c r="T119">
        <f t="shared" ref="T119" si="574">S119/1000</f>
        <v>-4.7324593893019484</v>
      </c>
    </row>
    <row r="120" spans="1:20" x14ac:dyDescent="0.25">
      <c r="A120" s="5">
        <v>44473</v>
      </c>
      <c r="B120">
        <v>1.0021</v>
      </c>
      <c r="C120">
        <v>1.03</v>
      </c>
      <c r="D120">
        <v>0.9466</v>
      </c>
      <c r="E120">
        <v>0.97240000000000004</v>
      </c>
      <c r="F120">
        <v>3742516</v>
      </c>
      <c r="G120">
        <v>0.97240000000000004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-0.38129496402877611</v>
      </c>
      <c r="Q120">
        <f t="shared" ref="Q120" si="576">F120*P120</f>
        <v>-1427002.5035971191</v>
      </c>
      <c r="R120">
        <f t="shared" ref="R120" si="577">R121+Q120</f>
        <v>-468313710.65878934</v>
      </c>
      <c r="S120">
        <f t="shared" ref="S120" si="578">R120/100000</f>
        <v>-4683.137106587893</v>
      </c>
      <c r="T120">
        <f t="shared" ref="T120" si="579">S120/1000</f>
        <v>-4.6831371065878926</v>
      </c>
    </row>
    <row r="121" spans="1:20" x14ac:dyDescent="0.25">
      <c r="A121" s="5">
        <v>44472</v>
      </c>
      <c r="B121">
        <v>0.99370000000000003</v>
      </c>
      <c r="C121">
        <v>1.0349999999999999</v>
      </c>
      <c r="D121">
        <v>0.98509999999999998</v>
      </c>
      <c r="E121">
        <v>1.0006999999999999</v>
      </c>
      <c r="F121">
        <v>3228892</v>
      </c>
      <c r="G121">
        <v>1.0006999999999999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-0.37474949899799742</v>
      </c>
      <c r="Q121">
        <f t="shared" ref="Q121" si="581">F121*P121</f>
        <v>-1210025.659318642</v>
      </c>
      <c r="R121">
        <f t="shared" ref="R121" si="582">R122+Q121</f>
        <v>-466886708.1551922</v>
      </c>
      <c r="S121">
        <f t="shared" ref="S121" si="583">R121/100000</f>
        <v>-4668.8670815519217</v>
      </c>
      <c r="T121">
        <f t="shared" ref="T121" si="584">S121/1000</f>
        <v>-4.6688670815519213</v>
      </c>
    </row>
    <row r="122" spans="1:20" x14ac:dyDescent="0.25">
      <c r="A122" s="5">
        <v>44471</v>
      </c>
      <c r="B122">
        <v>0.97499999999999998</v>
      </c>
      <c r="C122">
        <v>1.0323</v>
      </c>
      <c r="D122">
        <v>0.95850000000000002</v>
      </c>
      <c r="E122">
        <v>0.99380000000000002</v>
      </c>
      <c r="F122">
        <v>3932001</v>
      </c>
      <c r="G122">
        <v>0.99380000000000002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-4.3360433604335794E-2</v>
      </c>
      <c r="Q122">
        <f t="shared" ref="Q122" si="586">F122*P122</f>
        <v>-170493.26829268195</v>
      </c>
      <c r="R122">
        <f t="shared" ref="R122" si="587">R123+Q122</f>
        <v>-465676682.49587357</v>
      </c>
      <c r="S122">
        <f t="shared" ref="S122" si="588">R122/100000</f>
        <v>-4656.7668249587359</v>
      </c>
      <c r="T122">
        <f t="shared" ref="T122" si="589">S122/1000</f>
        <v>-4.6567668249587362</v>
      </c>
    </row>
    <row r="123" spans="1:20" x14ac:dyDescent="0.25">
      <c r="A123" s="5">
        <v>44470</v>
      </c>
      <c r="B123">
        <v>0.91590000000000005</v>
      </c>
      <c r="C123">
        <v>1.0104</v>
      </c>
      <c r="D123">
        <v>0.91</v>
      </c>
      <c r="E123">
        <v>0.9758</v>
      </c>
      <c r="F123">
        <v>7706539</v>
      </c>
      <c r="G123">
        <v>0.9758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0.31075697211155406</v>
      </c>
      <c r="Q123">
        <f t="shared" ref="Q123" si="591">F123*P123</f>
        <v>2394860.7250996036</v>
      </c>
      <c r="R123">
        <f t="shared" ref="R123" si="592">R124+Q123</f>
        <v>-465506189.2275809</v>
      </c>
      <c r="S123">
        <f t="shared" ref="S123" si="593">R123/100000</f>
        <v>-4655.0618922758094</v>
      </c>
      <c r="T123">
        <f t="shared" ref="T123" si="594">S123/1000</f>
        <v>-4.6550618922758096</v>
      </c>
    </row>
    <row r="124" spans="1:20" x14ac:dyDescent="0.25">
      <c r="A124" s="5">
        <v>44469</v>
      </c>
      <c r="B124">
        <v>0.88190000000000002</v>
      </c>
      <c r="C124">
        <v>0.9526</v>
      </c>
      <c r="D124">
        <v>0.87880000000000003</v>
      </c>
      <c r="E124">
        <v>0.91590000000000005</v>
      </c>
      <c r="F124">
        <v>7489869</v>
      </c>
      <c r="G124">
        <v>0.91590000000000005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5.4200542005429144E-3</v>
      </c>
      <c r="Q124">
        <f t="shared" ref="Q124" si="596">F124*P124</f>
        <v>40595.495934966159</v>
      </c>
      <c r="R124">
        <f t="shared" ref="R124" si="597">R125+Q124</f>
        <v>-467901049.95268053</v>
      </c>
      <c r="S124">
        <f t="shared" ref="S124" si="598">R124/100000</f>
        <v>-4679.0104995268057</v>
      </c>
      <c r="T124">
        <f t="shared" ref="T124" si="599">S124/1000</f>
        <v>-4.6790104995268056</v>
      </c>
    </row>
    <row r="125" spans="1:20" x14ac:dyDescent="0.25">
      <c r="A125" s="5">
        <v>44468</v>
      </c>
      <c r="B125">
        <v>0.85560000000000003</v>
      </c>
      <c r="C125">
        <v>0.93920000000000003</v>
      </c>
      <c r="D125">
        <v>0.84450000000000003</v>
      </c>
      <c r="E125">
        <v>0.88190000000000002</v>
      </c>
      <c r="F125">
        <v>13560587.09</v>
      </c>
      <c r="G125">
        <v>0.88190000000000002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-0.21013727560718087</v>
      </c>
      <c r="Q125">
        <f t="shared" ref="Q125" si="601">F125*P125</f>
        <v>-2849584.8267265088</v>
      </c>
      <c r="R125">
        <f t="shared" ref="R125" si="602">R126+Q125</f>
        <v>-467941645.44861549</v>
      </c>
      <c r="S125">
        <f t="shared" ref="S125" si="603">R125/100000</f>
        <v>-4679.4164544861551</v>
      </c>
      <c r="T125">
        <f t="shared" ref="T125" si="604">S125/1000</f>
        <v>-4.6794164544861552</v>
      </c>
    </row>
    <row r="126" spans="1:20" x14ac:dyDescent="0.25">
      <c r="A126" s="5">
        <v>44467</v>
      </c>
      <c r="B126">
        <v>0.88290000000000002</v>
      </c>
      <c r="C126">
        <v>0.91110000000000002</v>
      </c>
      <c r="D126">
        <v>0.85060000000000002</v>
      </c>
      <c r="E126">
        <v>0.85809999999999997</v>
      </c>
      <c r="F126">
        <v>11714536</v>
      </c>
      <c r="G126">
        <v>0.85809999999999997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-0.75206611570248094</v>
      </c>
      <c r="Q126">
        <f t="shared" ref="Q126" si="606">F126*P126</f>
        <v>-8810105.5867768787</v>
      </c>
      <c r="R126">
        <f t="shared" ref="R126" si="607">R127+Q126</f>
        <v>-465092060.621889</v>
      </c>
      <c r="S126">
        <f t="shared" ref="S126" si="608">R126/100000</f>
        <v>-4650.9206062188896</v>
      </c>
      <c r="T126">
        <f t="shared" ref="T126" si="609">S126/1000</f>
        <v>-4.6509206062188895</v>
      </c>
    </row>
    <row r="127" spans="1:20" x14ac:dyDescent="0.25">
      <c r="A127" s="5">
        <v>44466</v>
      </c>
      <c r="B127">
        <v>0.91439999999999999</v>
      </c>
      <c r="C127">
        <v>0.94299999999999995</v>
      </c>
      <c r="D127">
        <v>0.88139999999999996</v>
      </c>
      <c r="E127">
        <v>0.88290000000000002</v>
      </c>
      <c r="F127">
        <v>9717790</v>
      </c>
      <c r="G127">
        <v>0.88290000000000002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-0.95129870129869942</v>
      </c>
      <c r="Q127">
        <f t="shared" ref="Q127" si="611">F127*P127</f>
        <v>-9244521.0064934883</v>
      </c>
      <c r="R127">
        <f t="shared" ref="R127" si="612">R128+Q127</f>
        <v>-456281955.03511214</v>
      </c>
      <c r="S127">
        <f t="shared" ref="S127" si="613">R127/100000</f>
        <v>-4562.8195503511215</v>
      </c>
      <c r="T127">
        <f t="shared" ref="T127" si="614">S127/1000</f>
        <v>-4.5628195503511213</v>
      </c>
    </row>
    <row r="128" spans="1:20" x14ac:dyDescent="0.25">
      <c r="A128" s="5">
        <v>44465</v>
      </c>
      <c r="B128">
        <v>0.98019999999999996</v>
      </c>
      <c r="C128">
        <v>1</v>
      </c>
      <c r="D128">
        <v>0.87470000000000003</v>
      </c>
      <c r="E128">
        <v>0.91439999999999999</v>
      </c>
      <c r="F128">
        <v>13725360</v>
      </c>
      <c r="G128">
        <v>0.91439999999999999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-0.36632083000798138</v>
      </c>
      <c r="Q128">
        <f t="shared" ref="Q128" si="616">F128*P128</f>
        <v>-5027885.2673583468</v>
      </c>
      <c r="R128">
        <f t="shared" ref="R128" si="617">R129+Q128</f>
        <v>-447037434.02861863</v>
      </c>
      <c r="S128">
        <f t="shared" ref="S128" si="618">R128/100000</f>
        <v>-4470.3743402861865</v>
      </c>
      <c r="T128">
        <f t="shared" ref="T128" si="619">S128/1000</f>
        <v>-4.4703743402861864</v>
      </c>
    </row>
    <row r="129" spans="1:20" x14ac:dyDescent="0.25">
      <c r="A129" s="5">
        <v>44464</v>
      </c>
      <c r="B129">
        <v>1.1046</v>
      </c>
      <c r="C129">
        <v>1.1093999999999999</v>
      </c>
      <c r="D129">
        <v>0.96760000000000002</v>
      </c>
      <c r="E129">
        <v>0.98080000000000001</v>
      </c>
      <c r="F129">
        <v>14496315</v>
      </c>
      <c r="G129">
        <v>0.98080000000000001</v>
      </c>
      <c r="L129" t="s">
        <v>7</v>
      </c>
      <c r="M129" t="s">
        <v>7</v>
      </c>
      <c r="N129" t="s">
        <v>8</v>
      </c>
      <c r="P129">
        <f t="shared" ref="P129" si="620">IF(C129=D129,0,((E129-D129)-(C129-E129))/(C129-D129))</f>
        <v>-0.81382228490832165</v>
      </c>
      <c r="Q129">
        <f t="shared" ref="Q129" si="621">F129*P129</f>
        <v>-11797424.196050776</v>
      </c>
      <c r="R129">
        <f t="shared" ref="R129" si="622">R130+Q129</f>
        <v>-442009548.76126027</v>
      </c>
      <c r="S129">
        <f t="shared" ref="S129" si="623">R129/100000</f>
        <v>-4420.0954876126025</v>
      </c>
      <c r="T129">
        <f t="shared" ref="T129" si="624">S129/1000</f>
        <v>-4.4200954876126026</v>
      </c>
    </row>
    <row r="130" spans="1:20" x14ac:dyDescent="0.25">
      <c r="A130" s="5">
        <v>44463</v>
      </c>
      <c r="B130">
        <v>0.98440000000000005</v>
      </c>
      <c r="C130">
        <v>1.22</v>
      </c>
      <c r="D130">
        <v>0.91949999999999998</v>
      </c>
      <c r="E130">
        <v>1.1048</v>
      </c>
      <c r="F130">
        <v>34496811</v>
      </c>
      <c r="G130">
        <v>1.1048</v>
      </c>
      <c r="L130" t="s">
        <v>8</v>
      </c>
      <c r="M130" t="s">
        <v>8</v>
      </c>
      <c r="N130" t="s">
        <v>8</v>
      </c>
      <c r="P130">
        <f t="shared" ref="P130" si="625">IF(C130=D130,0,((E130-D130)-(C130-E130))/(C130-D130))</f>
        <v>0.23327787021630633</v>
      </c>
      <c r="Q130">
        <f t="shared" ref="Q130" si="626">F130*P130</f>
        <v>8047342.5993344486</v>
      </c>
      <c r="R130">
        <f t="shared" ref="R130" si="627">R131+Q130</f>
        <v>-430212124.56520951</v>
      </c>
      <c r="S130">
        <f t="shared" ref="S130" si="628">R130/100000</f>
        <v>-4302.1212456520952</v>
      </c>
      <c r="T130">
        <f t="shared" ref="T130" si="629">S130/1000</f>
        <v>-4.3021212456520956</v>
      </c>
    </row>
    <row r="131" spans="1:20" x14ac:dyDescent="0.25">
      <c r="A131" s="5">
        <v>44462</v>
      </c>
      <c r="B131">
        <v>0.93879999999999997</v>
      </c>
      <c r="C131">
        <v>0.998</v>
      </c>
      <c r="D131">
        <v>0.92200000000000004</v>
      </c>
      <c r="E131">
        <v>0.98209999999999997</v>
      </c>
      <c r="F131">
        <v>11481151</v>
      </c>
      <c r="G131">
        <v>0.98209999999999997</v>
      </c>
      <c r="L131" t="s">
        <v>7</v>
      </c>
      <c r="M131" t="s">
        <v>7</v>
      </c>
      <c r="N131" t="s">
        <v>7</v>
      </c>
      <c r="P131">
        <f t="shared" ref="P131" si="630">IF(C131=D131,0,((E131-D131)-(C131-E131))/(C131-D131))</f>
        <v>0.5815789473684202</v>
      </c>
      <c r="Q131">
        <f t="shared" ref="Q131" si="631">F131*P131</f>
        <v>6677195.7131578848</v>
      </c>
      <c r="R131">
        <f t="shared" ref="R131" si="632">R132+Q131</f>
        <v>-438259467.16454393</v>
      </c>
      <c r="S131">
        <f t="shared" ref="S131" si="633">R131/100000</f>
        <v>-4382.5946716454391</v>
      </c>
      <c r="T131">
        <f t="shared" ref="T131" si="634">S131/1000</f>
        <v>-4.3825946716454389</v>
      </c>
    </row>
    <row r="132" spans="1:20" x14ac:dyDescent="0.25">
      <c r="A132" s="5">
        <v>44461</v>
      </c>
      <c r="B132">
        <v>0.86539999999999995</v>
      </c>
      <c r="C132">
        <v>0.98460000000000003</v>
      </c>
      <c r="D132">
        <v>0.85440000000000005</v>
      </c>
      <c r="E132">
        <v>0.93889999999999996</v>
      </c>
      <c r="F132">
        <v>12795510</v>
      </c>
      <c r="G132">
        <v>0.93889999999999996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0.29800307219661937</v>
      </c>
      <c r="Q132">
        <f t="shared" ref="Q132" si="636">F132*P132</f>
        <v>3813101.290322565</v>
      </c>
      <c r="R132">
        <f t="shared" ref="R132" si="637">R133+Q132</f>
        <v>-444936662.87770182</v>
      </c>
      <c r="S132">
        <f t="shared" ref="S132" si="638">R132/100000</f>
        <v>-4449.3666287770184</v>
      </c>
      <c r="T132">
        <f t="shared" ref="T132" si="639">S132/1000</f>
        <v>-4.4493666287770184</v>
      </c>
    </row>
    <row r="133" spans="1:20" x14ac:dyDescent="0.25">
      <c r="A133" s="5">
        <v>44460</v>
      </c>
      <c r="B133">
        <v>0.93920000000000003</v>
      </c>
      <c r="C133">
        <v>1.002</v>
      </c>
      <c r="D133">
        <v>0.85519999999999996</v>
      </c>
      <c r="E133">
        <v>0.86580000000000001</v>
      </c>
      <c r="F133">
        <v>17106917</v>
      </c>
      <c r="G133">
        <v>0.86580000000000001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-0.85558583106266961</v>
      </c>
      <c r="Q133">
        <f t="shared" ref="Q133" si="641">F133*P133</f>
        <v>-14636435.798365111</v>
      </c>
      <c r="R133">
        <f t="shared" ref="R133" si="642">R134+Q133</f>
        <v>-448749764.16802436</v>
      </c>
      <c r="S133">
        <f t="shared" ref="S133" si="643">R133/100000</f>
        <v>-4487.4976416802438</v>
      </c>
      <c r="T133">
        <f t="shared" ref="T133" si="644">S133/1000</f>
        <v>-4.4874976416802435</v>
      </c>
    </row>
    <row r="134" spans="1:20" x14ac:dyDescent="0.25">
      <c r="A134" s="5">
        <v>44459</v>
      </c>
      <c r="B134">
        <v>1.0162</v>
      </c>
      <c r="C134">
        <v>1.0210999999999999</v>
      </c>
      <c r="D134">
        <v>0.92500000000000004</v>
      </c>
      <c r="E134">
        <v>0.9425</v>
      </c>
      <c r="F134">
        <v>4357485</v>
      </c>
      <c r="G134">
        <v>0.9425</v>
      </c>
      <c r="L134" t="s">
        <v>7</v>
      </c>
      <c r="M134" t="s">
        <v>7</v>
      </c>
      <c r="N134" t="s">
        <v>8</v>
      </c>
      <c r="P134">
        <f t="shared" ref="P134" si="645">IF(C134=D134,0,((E134-D134)-(C134-E134))/(C134-D134))</f>
        <v>-0.6357960457856402</v>
      </c>
      <c r="Q134">
        <f t="shared" ref="Q134" si="646">F134*P134</f>
        <v>-2770471.7325702403</v>
      </c>
      <c r="R134">
        <f t="shared" ref="R134" si="647">R135+Q134</f>
        <v>-434113328.36965925</v>
      </c>
      <c r="S134">
        <f t="shared" ref="S134" si="648">R134/100000</f>
        <v>-4341.1332836965921</v>
      </c>
      <c r="T134">
        <f t="shared" ref="T134" si="649">S134/1000</f>
        <v>-4.3411332836965917</v>
      </c>
    </row>
    <row r="135" spans="1:20" x14ac:dyDescent="0.25">
      <c r="A135" s="5">
        <v>44458</v>
      </c>
      <c r="B135">
        <v>1.0446</v>
      </c>
      <c r="C135">
        <v>1.0648</v>
      </c>
      <c r="D135">
        <v>1.0025999999999999</v>
      </c>
      <c r="E135">
        <v>1.0170999999999999</v>
      </c>
      <c r="F135">
        <v>12013790</v>
      </c>
      <c r="G135">
        <v>1.0170999999999999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-0.53376205787781517</v>
      </c>
      <c r="Q135">
        <f t="shared" ref="Q135" si="651">F135*P135</f>
        <v>-6412505.2733119167</v>
      </c>
      <c r="R135">
        <f t="shared" ref="R135" si="652">R136+Q135</f>
        <v>-431342856.63708901</v>
      </c>
      <c r="S135">
        <f t="shared" ref="S135" si="653">R135/100000</f>
        <v>-4313.4285663708897</v>
      </c>
      <c r="T135">
        <f t="shared" ref="T135" si="654">S135/1000</f>
        <v>-4.3134285663708898</v>
      </c>
    </row>
    <row r="136" spans="1:20" x14ac:dyDescent="0.25">
      <c r="A136" s="5">
        <v>44457</v>
      </c>
      <c r="B136">
        <v>1.0918000000000001</v>
      </c>
      <c r="C136">
        <v>1.147</v>
      </c>
      <c r="D136">
        <v>1.0187999999999999</v>
      </c>
      <c r="E136">
        <v>1.0452999999999999</v>
      </c>
      <c r="F136">
        <v>11127525</v>
      </c>
      <c r="G136">
        <v>1.0452999999999999</v>
      </c>
      <c r="L136" t="s">
        <v>7</v>
      </c>
      <c r="M136" t="s">
        <v>7</v>
      </c>
      <c r="N136" t="s">
        <v>8</v>
      </c>
      <c r="P136">
        <f t="shared" ref="P136" si="655">IF(C136=D136,0,((E136-D136)-(C136-E136))/(C136-D136))</f>
        <v>-0.58658346333853428</v>
      </c>
      <c r="Q136">
        <f t="shared" ref="Q136" si="656">F136*P136</f>
        <v>-6527222.1528861234</v>
      </c>
      <c r="R136">
        <f t="shared" ref="R136" si="657">R137+Q136</f>
        <v>-424930351.3637771</v>
      </c>
      <c r="S136">
        <f t="shared" ref="S136" si="658">R136/100000</f>
        <v>-4249.3035136377712</v>
      </c>
      <c r="T136">
        <f t="shared" ref="T136" si="659">S136/1000</f>
        <v>-4.2493035136377708</v>
      </c>
    </row>
    <row r="137" spans="1:20" x14ac:dyDescent="0.25">
      <c r="A137" s="5">
        <v>44456</v>
      </c>
      <c r="B137">
        <v>0.98150000000000004</v>
      </c>
      <c r="C137">
        <v>1.3164</v>
      </c>
      <c r="D137">
        <v>0.97599999999999998</v>
      </c>
      <c r="E137">
        <v>1.0916999999999999</v>
      </c>
      <c r="F137">
        <v>23767267</v>
      </c>
      <c r="G137">
        <v>1.0916999999999999</v>
      </c>
      <c r="L137" t="s">
        <v>8</v>
      </c>
      <c r="M137" t="s">
        <v>8</v>
      </c>
      <c r="N137" t="s">
        <v>8</v>
      </c>
      <c r="P137">
        <f t="shared" ref="P137" si="660">IF(C137=D137,0,((E137-D137)-(C137-E137))/(C137-D137))</f>
        <v>-0.32021151586369034</v>
      </c>
      <c r="Q137">
        <f t="shared" ref="Q137" si="661">F137*P137</f>
        <v>-7610552.5940070637</v>
      </c>
      <c r="R137">
        <f t="shared" ref="R137" si="662">R138+Q137</f>
        <v>-418403129.21089095</v>
      </c>
      <c r="S137">
        <f t="shared" ref="S137" si="663">R137/100000</f>
        <v>-4184.0312921089098</v>
      </c>
      <c r="T137">
        <f t="shared" ref="T137" si="664">S137/1000</f>
        <v>-4.1840312921089096</v>
      </c>
    </row>
    <row r="138" spans="1:20" x14ac:dyDescent="0.25">
      <c r="A138" s="5">
        <v>44455</v>
      </c>
      <c r="B138">
        <v>1.0109999999999999</v>
      </c>
      <c r="C138">
        <v>1.04</v>
      </c>
      <c r="D138">
        <v>0.96579999999999999</v>
      </c>
      <c r="E138">
        <v>0.98</v>
      </c>
      <c r="F138">
        <v>6549925</v>
      </c>
      <c r="G138">
        <v>0.98</v>
      </c>
      <c r="L138" t="s">
        <v>8</v>
      </c>
      <c r="M138" t="s">
        <v>7</v>
      </c>
      <c r="N138" t="s">
        <v>7</v>
      </c>
      <c r="P138">
        <f t="shared" ref="P138" si="665">IF(C138=D138,0,((E138-D138)-(C138-E138))/(C138-D138))</f>
        <v>-0.61725067385444787</v>
      </c>
      <c r="Q138">
        <f t="shared" ref="Q138" si="666">F138*P138</f>
        <v>-4042945.6199460947</v>
      </c>
      <c r="R138">
        <f t="shared" ref="R138" si="667">R139+Q138</f>
        <v>-410792576.61688387</v>
      </c>
      <c r="S138">
        <f t="shared" ref="S138" si="668">R138/100000</f>
        <v>-4107.9257661688389</v>
      </c>
      <c r="T138">
        <f t="shared" ref="T138" si="669">S138/1000</f>
        <v>-4.1079257661688393</v>
      </c>
    </row>
    <row r="139" spans="1:20" x14ac:dyDescent="0.25">
      <c r="A139" s="5">
        <v>44454</v>
      </c>
      <c r="B139">
        <v>0.94910000000000005</v>
      </c>
      <c r="C139">
        <v>1.0273000000000001</v>
      </c>
      <c r="D139">
        <v>0.9446</v>
      </c>
      <c r="E139">
        <v>1.012</v>
      </c>
      <c r="F139">
        <v>2602704</v>
      </c>
      <c r="G139">
        <v>1.012</v>
      </c>
      <c r="L139" t="s">
        <v>8</v>
      </c>
      <c r="M139" t="s">
        <v>7</v>
      </c>
      <c r="N139" t="s">
        <v>7</v>
      </c>
      <c r="P139">
        <f t="shared" ref="P139" si="670">IF(C139=D139,0,((E139-D139)-(C139-E139))/(C139-D139))</f>
        <v>0.62998790810157024</v>
      </c>
      <c r="Q139">
        <f t="shared" ref="Q139" si="671">F139*P139</f>
        <v>1639672.0483675892</v>
      </c>
      <c r="R139">
        <f t="shared" ref="R139" si="672">R140+Q139</f>
        <v>-406749630.99693775</v>
      </c>
      <c r="S139">
        <f t="shared" ref="S139" si="673">R139/100000</f>
        <v>-4067.4963099693773</v>
      </c>
      <c r="T139">
        <f t="shared" ref="T139" si="674">S139/1000</f>
        <v>-4.0674963099693775</v>
      </c>
    </row>
    <row r="140" spans="1:20" x14ac:dyDescent="0.25">
      <c r="A140" s="5">
        <v>44453</v>
      </c>
      <c r="B140">
        <v>0.92190000000000005</v>
      </c>
      <c r="C140">
        <v>0.95979999999999999</v>
      </c>
      <c r="D140">
        <v>0.91800000000000004</v>
      </c>
      <c r="E140">
        <v>0.9496</v>
      </c>
      <c r="F140">
        <v>1488922</v>
      </c>
      <c r="G140">
        <v>0.9496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0.51196172248803828</v>
      </c>
      <c r="Q140">
        <f t="shared" ref="Q140" si="676">F140*P140</f>
        <v>762271.07177033497</v>
      </c>
      <c r="R140">
        <f t="shared" ref="R140" si="677">R141+Q140</f>
        <v>-408389303.04530531</v>
      </c>
      <c r="S140">
        <f t="shared" ref="S140" si="678">R140/100000</f>
        <v>-4083.8930304530531</v>
      </c>
      <c r="T140">
        <f t="shared" ref="T140" si="679">S140/1000</f>
        <v>-4.0838930304530532</v>
      </c>
    </row>
    <row r="141" spans="1:20" x14ac:dyDescent="0.25">
      <c r="A141" s="5">
        <v>44452</v>
      </c>
      <c r="B141">
        <v>0.98729999999999996</v>
      </c>
      <c r="C141">
        <v>1.0007999999999999</v>
      </c>
      <c r="D141">
        <v>0.86599999999999999</v>
      </c>
      <c r="E141">
        <v>0.92390000000000005</v>
      </c>
      <c r="F141">
        <v>5549347.7000000002</v>
      </c>
      <c r="G141">
        <v>0.92390000000000005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-0.140949554896141</v>
      </c>
      <c r="Q141">
        <f t="shared" ref="Q141" si="681">F141*P141</f>
        <v>-782178.08827892377</v>
      </c>
      <c r="R141">
        <f t="shared" ref="R141" si="682">R142+Q141</f>
        <v>-409151574.11707562</v>
      </c>
      <c r="S141">
        <f t="shared" ref="S141" si="683">R141/100000</f>
        <v>-4091.5157411707564</v>
      </c>
      <c r="T141">
        <f t="shared" ref="T141" si="684">S141/1000</f>
        <v>-4.0915157411707561</v>
      </c>
    </row>
    <row r="142" spans="1:20" x14ac:dyDescent="0.25">
      <c r="A142" s="5">
        <v>44451</v>
      </c>
      <c r="B142">
        <v>0.98240000000000005</v>
      </c>
      <c r="C142">
        <v>1.0287999999999999</v>
      </c>
      <c r="D142">
        <v>0.95750000000000002</v>
      </c>
      <c r="E142">
        <v>0.98729999999999996</v>
      </c>
      <c r="F142">
        <v>2320773</v>
      </c>
      <c r="G142">
        <v>0.98729999999999996</v>
      </c>
      <c r="L142" t="s">
        <v>7</v>
      </c>
      <c r="M142" t="s">
        <v>7</v>
      </c>
      <c r="N142" t="s">
        <v>7</v>
      </c>
      <c r="P142">
        <f t="shared" ref="P142" si="685">IF(C142=D142,0,((E142-D142)-(C142-E142))/(C142-D142))</f>
        <v>-0.16409537166900501</v>
      </c>
      <c r="Q142">
        <f t="shared" ref="Q142" si="686">F142*P142</f>
        <v>-380828.10799439176</v>
      </c>
      <c r="R142">
        <f t="shared" ref="R142" si="687">R143+Q142</f>
        <v>-408369396.02879667</v>
      </c>
      <c r="S142">
        <f t="shared" ref="S142" si="688">R142/100000</f>
        <v>-4083.6939602879665</v>
      </c>
      <c r="T142">
        <f t="shared" ref="T142" si="689">S142/1000</f>
        <v>-4.0836939602879667</v>
      </c>
    </row>
    <row r="143" spans="1:20" x14ac:dyDescent="0.25">
      <c r="A143" s="5">
        <v>44450</v>
      </c>
      <c r="B143">
        <v>0.99809999999999999</v>
      </c>
      <c r="C143">
        <v>1.0296000000000001</v>
      </c>
      <c r="D143">
        <v>0.96530000000000005</v>
      </c>
      <c r="E143">
        <v>0.98009999999999997</v>
      </c>
      <c r="F143">
        <v>1700136</v>
      </c>
      <c r="G143">
        <v>0.98009999999999997</v>
      </c>
      <c r="L143" t="s">
        <v>8</v>
      </c>
      <c r="M143" t="s">
        <v>7</v>
      </c>
      <c r="N143" t="s">
        <v>7</v>
      </c>
      <c r="P143">
        <f t="shared" ref="P143" si="690">IF(C143=D143,0,((E143-D143)-(C143-E143))/(C143-D143))</f>
        <v>-0.53965785381026687</v>
      </c>
      <c r="Q143">
        <f t="shared" ref="Q143" si="691">F143*P143</f>
        <v>-917491.74494557187</v>
      </c>
      <c r="R143">
        <f t="shared" ref="R143" si="692">R144+Q143</f>
        <v>-407988567.9208023</v>
      </c>
      <c r="S143">
        <f t="shared" ref="S143" si="693">R143/100000</f>
        <v>-4079.8856792080228</v>
      </c>
      <c r="T143">
        <f t="shared" ref="T143" si="694">S143/1000</f>
        <v>-4.0798856792080231</v>
      </c>
    </row>
    <row r="144" spans="1:20" x14ac:dyDescent="0.25">
      <c r="A144" s="5">
        <v>44449</v>
      </c>
      <c r="B144">
        <v>1.0637000000000001</v>
      </c>
      <c r="C144">
        <v>1.095</v>
      </c>
      <c r="D144">
        <v>0.95499999999999996</v>
      </c>
      <c r="E144">
        <v>0.998</v>
      </c>
      <c r="F144">
        <v>4084276.76</v>
      </c>
      <c r="G144">
        <v>0.998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-0.38571428571428523</v>
      </c>
      <c r="Q144">
        <f t="shared" ref="Q144" si="696">F144*P144</f>
        <v>-1575363.893142855</v>
      </c>
      <c r="R144">
        <f t="shared" ref="R144" si="697">R145+Q144</f>
        <v>-407071076.17585671</v>
      </c>
      <c r="S144">
        <f t="shared" ref="S144" si="698">R144/100000</f>
        <v>-4070.7107617585671</v>
      </c>
      <c r="T144">
        <f t="shared" ref="T144" si="699">S144/1000</f>
        <v>-4.0707107617585674</v>
      </c>
    </row>
    <row r="145" spans="1:20" x14ac:dyDescent="0.25">
      <c r="A145" s="5">
        <v>44448</v>
      </c>
      <c r="B145">
        <v>1.0546</v>
      </c>
      <c r="C145">
        <v>1.1171</v>
      </c>
      <c r="D145">
        <v>1.0198</v>
      </c>
      <c r="E145">
        <v>1.0637000000000001</v>
      </c>
      <c r="F145">
        <v>2608549</v>
      </c>
      <c r="G145">
        <v>1.0637000000000001</v>
      </c>
      <c r="L145" t="s">
        <v>8</v>
      </c>
      <c r="M145" t="s">
        <v>7</v>
      </c>
      <c r="N145" t="s">
        <v>7</v>
      </c>
      <c r="P145">
        <f t="shared" ref="P145" si="700">IF(C145=D145,0,((E145-D145)-(C145-E145))/(C145-D145))</f>
        <v>-9.763617677286586E-2</v>
      </c>
      <c r="Q145">
        <f t="shared" ref="Q145" si="701">F145*P145</f>
        <v>-254688.75128468245</v>
      </c>
      <c r="R145">
        <f t="shared" ref="R145" si="702">R146+Q145</f>
        <v>-405495712.28271383</v>
      </c>
      <c r="S145">
        <f t="shared" ref="S145" si="703">R145/100000</f>
        <v>-4054.9571228271384</v>
      </c>
      <c r="T145">
        <f t="shared" ref="T145" si="704">S145/1000</f>
        <v>-4.0549571228271386</v>
      </c>
    </row>
    <row r="146" spans="1:20" x14ac:dyDescent="0.25">
      <c r="A146" s="5">
        <v>44447</v>
      </c>
      <c r="B146">
        <v>1.1182000000000001</v>
      </c>
      <c r="C146">
        <v>1.1205000000000001</v>
      </c>
      <c r="D146">
        <v>0.96760000000000002</v>
      </c>
      <c r="E146">
        <v>1.0497000000000001</v>
      </c>
      <c r="F146">
        <v>4857929.83</v>
      </c>
      <c r="G146">
        <v>1.0497000000000001</v>
      </c>
      <c r="L146" t="s">
        <v>7</v>
      </c>
      <c r="M146" t="s">
        <v>7</v>
      </c>
      <c r="N146" t="s">
        <v>7</v>
      </c>
      <c r="P146">
        <f t="shared" ref="P146" si="705">IF(C146=D146,0,((E146-D146)-(C146-E146))/(C146-D146))</f>
        <v>7.3904512753434168E-2</v>
      </c>
      <c r="Q146">
        <f t="shared" ref="Q146" si="706">F146*P146</f>
        <v>359022.93707652326</v>
      </c>
      <c r="R146">
        <f t="shared" ref="R146" si="707">R147+Q146</f>
        <v>-405241023.53142917</v>
      </c>
      <c r="S146">
        <f t="shared" ref="S146" si="708">R146/100000</f>
        <v>-4052.4102353142916</v>
      </c>
      <c r="T146">
        <f t="shared" ref="T146" si="709">S146/1000</f>
        <v>-4.0524102353142917</v>
      </c>
    </row>
    <row r="147" spans="1:20" x14ac:dyDescent="0.25">
      <c r="A147" s="5">
        <v>44446</v>
      </c>
      <c r="B147">
        <v>1.3065</v>
      </c>
      <c r="C147">
        <v>1.43</v>
      </c>
      <c r="D147">
        <v>1.0306</v>
      </c>
      <c r="E147">
        <v>1.1123000000000001</v>
      </c>
      <c r="F147">
        <v>12248277.9</v>
      </c>
      <c r="G147">
        <v>1.1123000000000001</v>
      </c>
      <c r="L147" t="s">
        <v>8</v>
      </c>
      <c r="M147" t="s">
        <v>7</v>
      </c>
      <c r="N147" t="s">
        <v>8</v>
      </c>
      <c r="P147">
        <f t="shared" ref="P147" si="710">IF(C147=D147,0,((E147-D147)-(C147-E147))/(C147-D147))</f>
        <v>-0.5908863294942408</v>
      </c>
      <c r="Q147">
        <f t="shared" ref="Q147" si="711">F147*P147</f>
        <v>-7237339.970956428</v>
      </c>
      <c r="R147">
        <f t="shared" ref="R147" si="712">R148+Q147</f>
        <v>-405600046.46850568</v>
      </c>
      <c r="S147">
        <f t="shared" ref="S147" si="713">R147/100000</f>
        <v>-4056.0004646850566</v>
      </c>
      <c r="T147">
        <f t="shared" ref="T147" si="714">S147/1000</f>
        <v>-4.0560004646850567</v>
      </c>
    </row>
    <row r="148" spans="1:20" x14ac:dyDescent="0.25">
      <c r="A148" s="5">
        <v>44445</v>
      </c>
      <c r="B148">
        <v>1.3015000000000001</v>
      </c>
      <c r="C148">
        <v>1.42</v>
      </c>
      <c r="D148">
        <v>1.2141999999999999</v>
      </c>
      <c r="E148">
        <v>1.3065</v>
      </c>
      <c r="F148">
        <v>15534849.73</v>
      </c>
      <c r="G148">
        <v>1.3065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-0.10301263362487798</v>
      </c>
      <c r="Q148">
        <f t="shared" ref="Q148" si="716">F148*P148</f>
        <v>-1600285.7836540246</v>
      </c>
      <c r="R148">
        <f t="shared" ref="R148" si="717">R149+Q148</f>
        <v>-398362706.49754924</v>
      </c>
      <c r="S148">
        <f t="shared" ref="S148" si="718">R148/100000</f>
        <v>-3983.6270649754924</v>
      </c>
      <c r="T148">
        <f t="shared" ref="T148" si="719">S148/1000</f>
        <v>-3.9836270649754923</v>
      </c>
    </row>
    <row r="149" spans="1:20" x14ac:dyDescent="0.25">
      <c r="A149" s="5">
        <v>44444</v>
      </c>
      <c r="B149">
        <v>1.1611</v>
      </c>
      <c r="C149">
        <v>1.3752</v>
      </c>
      <c r="D149">
        <v>1.1499999999999999</v>
      </c>
      <c r="E149">
        <v>1.3015000000000001</v>
      </c>
      <c r="F149">
        <v>14747164.4</v>
      </c>
      <c r="G149">
        <v>1.3015000000000001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0.34547069271758568</v>
      </c>
      <c r="Q149">
        <f t="shared" ref="Q149" si="721">F149*P149</f>
        <v>5094713.1008881191</v>
      </c>
      <c r="R149">
        <f t="shared" ref="R149" si="722">R150+Q149</f>
        <v>-396762420.7138952</v>
      </c>
      <c r="S149">
        <f t="shared" ref="S149" si="723">R149/100000</f>
        <v>-3967.624207138952</v>
      </c>
      <c r="T149">
        <f t="shared" ref="T149" si="724">S149/1000</f>
        <v>-3.967624207138952</v>
      </c>
    </row>
    <row r="150" spans="1:20" x14ac:dyDescent="0.25">
      <c r="A150" s="5">
        <v>44443</v>
      </c>
      <c r="B150">
        <v>1.1657999999999999</v>
      </c>
      <c r="C150">
        <v>1.1976</v>
      </c>
      <c r="D150">
        <v>1.1469</v>
      </c>
      <c r="E150">
        <v>1.1606000000000001</v>
      </c>
      <c r="F150">
        <v>3454265</v>
      </c>
      <c r="G150">
        <v>1.1606000000000001</v>
      </c>
      <c r="L150" t="s">
        <v>7</v>
      </c>
      <c r="M150" t="s">
        <v>7</v>
      </c>
      <c r="N150" t="s">
        <v>8</v>
      </c>
      <c r="P150">
        <f t="shared" ref="P150" si="725">IF(C150=D150,0,((E150-D150)-(C150-E150))/(C150-D150))</f>
        <v>-0.45956607495068819</v>
      </c>
      <c r="Q150">
        <f t="shared" ref="Q150" si="726">F150*P150</f>
        <v>-1587463.007889539</v>
      </c>
      <c r="R150">
        <f t="shared" ref="R150" si="727">R151+Q150</f>
        <v>-401857133.81478333</v>
      </c>
      <c r="S150">
        <f t="shared" ref="S150" si="728">R150/100000</f>
        <v>-4018.5713381478336</v>
      </c>
      <c r="T150">
        <f t="shared" ref="T150" si="729">S150/1000</f>
        <v>-4.0185713381478338</v>
      </c>
    </row>
    <row r="151" spans="1:20" x14ac:dyDescent="0.25">
      <c r="A151" s="5">
        <v>44442</v>
      </c>
      <c r="B151">
        <v>1.1717</v>
      </c>
      <c r="C151">
        <v>1.26</v>
      </c>
      <c r="D151">
        <v>1.1513</v>
      </c>
      <c r="E151">
        <v>1.1651</v>
      </c>
      <c r="F151">
        <v>8877556</v>
      </c>
      <c r="G151">
        <v>1.1651</v>
      </c>
      <c r="L151" t="s">
        <v>8</v>
      </c>
      <c r="M151" t="s">
        <v>7</v>
      </c>
      <c r="N151" t="s">
        <v>8</v>
      </c>
      <c r="P151">
        <f t="shared" ref="P151" si="730">IF(C151=D151,0,((E151-D151)-(C151-E151))/(C151-D151))</f>
        <v>-0.74609015639374365</v>
      </c>
      <c r="Q151">
        <f t="shared" ref="Q151" si="731">F151*P151</f>
        <v>-6623457.1444342174</v>
      </c>
      <c r="R151">
        <f t="shared" ref="R151" si="732">R152+Q151</f>
        <v>-400269670.80689377</v>
      </c>
      <c r="S151">
        <f t="shared" ref="S151" si="733">R151/100000</f>
        <v>-4002.6967080689378</v>
      </c>
      <c r="T151">
        <f t="shared" ref="T151" si="734">S151/1000</f>
        <v>-4.002696708068938</v>
      </c>
    </row>
    <row r="152" spans="1:20" x14ac:dyDescent="0.25">
      <c r="A152" s="5">
        <v>44441</v>
      </c>
      <c r="B152">
        <v>1.1598999999999999</v>
      </c>
      <c r="C152">
        <v>1.2119</v>
      </c>
      <c r="D152">
        <v>1.1384000000000001</v>
      </c>
      <c r="E152">
        <v>1.1711</v>
      </c>
      <c r="F152">
        <v>9399822</v>
      </c>
      <c r="G152">
        <v>1.1711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-0.11020408163265316</v>
      </c>
      <c r="Q152">
        <f t="shared" ref="Q152" si="736">F152*P152</f>
        <v>-1035898.7510204091</v>
      </c>
      <c r="R152">
        <f t="shared" ref="R152" si="737">R153+Q152</f>
        <v>-393646213.66245955</v>
      </c>
      <c r="S152">
        <f t="shared" ref="S152" si="738">R152/100000</f>
        <v>-3936.4621366245956</v>
      </c>
      <c r="T152">
        <f t="shared" ref="T152" si="739">S152/1000</f>
        <v>-3.9364621366245958</v>
      </c>
    </row>
    <row r="153" spans="1:20" x14ac:dyDescent="0.25">
      <c r="A153" s="5">
        <v>44440</v>
      </c>
      <c r="B153">
        <v>1.1214999999999999</v>
      </c>
      <c r="C153">
        <v>1.1642999999999999</v>
      </c>
      <c r="D153">
        <v>1.1054999999999999</v>
      </c>
      <c r="E153">
        <v>1.1597999999999999</v>
      </c>
      <c r="F153">
        <v>8814418</v>
      </c>
      <c r="G153">
        <v>1.1597999999999999</v>
      </c>
      <c r="L153" t="s">
        <v>7</v>
      </c>
      <c r="M153" t="s">
        <v>7</v>
      </c>
      <c r="N153" t="s">
        <v>8</v>
      </c>
      <c r="P153">
        <f t="shared" ref="P153" si="740">IF(C153=D153,0,((E153-D153)-(C153-E153))/(C153-D153))</f>
        <v>0.84693877551020569</v>
      </c>
      <c r="Q153">
        <f t="shared" ref="Q153" si="741">F153*P153</f>
        <v>7465272.3877551164</v>
      </c>
      <c r="R153">
        <f t="shared" ref="R153" si="742">R154+Q153</f>
        <v>-392610314.91143912</v>
      </c>
      <c r="S153">
        <f t="shared" ref="S153" si="743">R153/100000</f>
        <v>-3926.1031491143913</v>
      </c>
      <c r="T153">
        <f t="shared" ref="T153" si="744">S153/1000</f>
        <v>-3.9261031491143914</v>
      </c>
    </row>
    <row r="154" spans="1:20" x14ac:dyDescent="0.25">
      <c r="A154" s="5">
        <v>44439</v>
      </c>
      <c r="B154">
        <v>1.1497999999999999</v>
      </c>
      <c r="C154">
        <v>1.1865000000000001</v>
      </c>
      <c r="D154">
        <v>1.1111</v>
      </c>
      <c r="E154">
        <v>1.1221000000000001</v>
      </c>
      <c r="F154">
        <v>6946061</v>
      </c>
      <c r="G154">
        <v>1.1221000000000001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-0.70822281167108481</v>
      </c>
      <c r="Q154">
        <f t="shared" ref="Q154" si="746">F154*P154</f>
        <v>-4919358.8514588671</v>
      </c>
      <c r="R154">
        <f t="shared" ref="R154" si="747">R155+Q154</f>
        <v>-400075587.29919422</v>
      </c>
      <c r="S154">
        <f t="shared" ref="S154" si="748">R154/100000</f>
        <v>-4000.7558729919419</v>
      </c>
      <c r="T154">
        <f t="shared" ref="T154" si="749">S154/1000</f>
        <v>-4.0007558729919417</v>
      </c>
    </row>
    <row r="155" spans="1:20" x14ac:dyDescent="0.25">
      <c r="A155" s="5">
        <v>44438</v>
      </c>
      <c r="B155">
        <v>1.1637999999999999</v>
      </c>
      <c r="C155">
        <v>1.23</v>
      </c>
      <c r="D155">
        <v>1.1180000000000001</v>
      </c>
      <c r="E155">
        <v>1.1516</v>
      </c>
      <c r="F155">
        <v>9002669</v>
      </c>
      <c r="G155">
        <v>1.1516</v>
      </c>
      <c r="L155" t="s">
        <v>8</v>
      </c>
      <c r="M155" t="s">
        <v>7</v>
      </c>
      <c r="N155" t="s">
        <v>8</v>
      </c>
      <c r="P155">
        <f t="shared" ref="P155" si="750">IF(C155=D155,0,((E155-D155)-(C155-E155))/(C155-D155))</f>
        <v>-0.40000000000000197</v>
      </c>
      <c r="Q155">
        <f t="shared" ref="Q155" si="751">F155*P155</f>
        <v>-3601067.6000000178</v>
      </c>
      <c r="R155">
        <f t="shared" ref="R155" si="752">R156+Q155</f>
        <v>-395156228.44773537</v>
      </c>
      <c r="S155">
        <f t="shared" ref="S155" si="753">R155/100000</f>
        <v>-3951.5622844773538</v>
      </c>
      <c r="T155">
        <f t="shared" ref="T155" si="754">S155/1000</f>
        <v>-3.9515622844773537</v>
      </c>
    </row>
    <row r="156" spans="1:20" x14ac:dyDescent="0.25">
      <c r="A156" s="5">
        <v>44437</v>
      </c>
      <c r="B156">
        <v>1.214</v>
      </c>
      <c r="C156">
        <v>1.2638</v>
      </c>
      <c r="D156">
        <v>1.0914999999999999</v>
      </c>
      <c r="E156">
        <v>1.1638999999999999</v>
      </c>
      <c r="F156">
        <v>8543692</v>
      </c>
      <c r="G156">
        <v>1.1638999999999999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-0.15960533952408626</v>
      </c>
      <c r="Q156">
        <f t="shared" ref="Q156" si="756">F156*P156</f>
        <v>-1363618.8624492197</v>
      </c>
      <c r="R156">
        <f t="shared" ref="R156" si="757">R157+Q156</f>
        <v>-391555160.84773535</v>
      </c>
      <c r="S156">
        <f t="shared" ref="S156" si="758">R156/100000</f>
        <v>-3915.5516084773535</v>
      </c>
      <c r="T156">
        <f t="shared" ref="T156" si="759">S156/1000</f>
        <v>-3.9155516084773536</v>
      </c>
    </row>
    <row r="157" spans="1:20" x14ac:dyDescent="0.25">
      <c r="A157" s="5">
        <v>44436</v>
      </c>
      <c r="B157">
        <v>1.1665000000000001</v>
      </c>
      <c r="C157">
        <v>1.2779</v>
      </c>
      <c r="D157">
        <v>1.1343000000000001</v>
      </c>
      <c r="E157">
        <v>1.214</v>
      </c>
      <c r="F157">
        <v>10135692.529999999</v>
      </c>
      <c r="G157">
        <v>1.214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0.11002785515320208</v>
      </c>
      <c r="Q157">
        <f t="shared" ref="Q157" si="761">F157*P157</f>
        <v>1115208.5095682323</v>
      </c>
      <c r="R157">
        <f t="shared" ref="R157" si="762">R158+Q157</f>
        <v>-390191541.98528612</v>
      </c>
      <c r="S157">
        <f t="shared" ref="S157" si="763">R157/100000</f>
        <v>-3901.9154198528613</v>
      </c>
      <c r="T157">
        <f t="shared" ref="T157" si="764">S157/1000</f>
        <v>-3.9019154198528612</v>
      </c>
    </row>
    <row r="158" spans="1:20" x14ac:dyDescent="0.25">
      <c r="A158" s="5">
        <v>44435</v>
      </c>
      <c r="B158">
        <v>1.1168</v>
      </c>
      <c r="C158">
        <v>1.1894</v>
      </c>
      <c r="D158">
        <v>1.085</v>
      </c>
      <c r="E158">
        <v>1.1673</v>
      </c>
      <c r="F158">
        <v>6454075</v>
      </c>
      <c r="G158">
        <v>1.1673</v>
      </c>
      <c r="L158" t="s">
        <v>8</v>
      </c>
      <c r="M158" t="s">
        <v>7</v>
      </c>
      <c r="N158" t="s">
        <v>8</v>
      </c>
      <c r="P158">
        <f t="shared" ref="P158" si="765">IF(C158=D158,0,((E158-D158)-(C158-E158))/(C158-D158))</f>
        <v>0.57662835249042144</v>
      </c>
      <c r="Q158">
        <f t="shared" ref="Q158" si="766">F158*P158</f>
        <v>3721602.6340996167</v>
      </c>
      <c r="R158">
        <f t="shared" ref="R158" si="767">R159+Q158</f>
        <v>-391306750.49485433</v>
      </c>
      <c r="S158">
        <f t="shared" ref="S158" si="768">R158/100000</f>
        <v>-3913.0675049485435</v>
      </c>
      <c r="T158">
        <f t="shared" ref="T158" si="769">S158/1000</f>
        <v>-3.9130675049485437</v>
      </c>
    </row>
    <row r="159" spans="1:20" x14ac:dyDescent="0.25">
      <c r="A159" s="5">
        <v>44434</v>
      </c>
      <c r="B159">
        <v>1.1946000000000001</v>
      </c>
      <c r="C159">
        <v>1.2099</v>
      </c>
      <c r="D159">
        <v>1.0827</v>
      </c>
      <c r="E159">
        <v>1.1168</v>
      </c>
      <c r="F159">
        <v>9877523.2200000007</v>
      </c>
      <c r="G159">
        <v>1.1168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-0.463836477987421</v>
      </c>
      <c r="Q159">
        <f t="shared" ref="Q159" si="771">F159*P159</f>
        <v>-4581555.5816037701</v>
      </c>
      <c r="R159">
        <f t="shared" ref="R159" si="772">R160+Q159</f>
        <v>-395028353.12895393</v>
      </c>
      <c r="S159">
        <f t="shared" ref="S159" si="773">R159/100000</f>
        <v>-3950.2835312895395</v>
      </c>
      <c r="T159">
        <f t="shared" ref="T159" si="774">S159/1000</f>
        <v>-3.9502835312895397</v>
      </c>
    </row>
    <row r="160" spans="1:20" x14ac:dyDescent="0.25">
      <c r="A160" s="5">
        <v>44433</v>
      </c>
      <c r="B160">
        <v>1.1245000000000001</v>
      </c>
      <c r="C160">
        <v>1.2548999999999999</v>
      </c>
      <c r="D160">
        <v>1.0828</v>
      </c>
      <c r="E160">
        <v>1.1933</v>
      </c>
      <c r="F160">
        <v>15240274.76</v>
      </c>
      <c r="G160">
        <v>1.1933</v>
      </c>
      <c r="L160" t="s">
        <v>8</v>
      </c>
      <c r="M160" t="s">
        <v>7</v>
      </c>
      <c r="N160" t="s">
        <v>8</v>
      </c>
      <c r="P160">
        <f t="shared" ref="P160" si="775">IF(C160=D160,0,((E160-D160)-(C160-E160))/(C160-D160))</f>
        <v>0.28413712957582909</v>
      </c>
      <c r="Q160">
        <f t="shared" ref="Q160" si="776">F160*P160</f>
        <v>4330327.9242533576</v>
      </c>
      <c r="R160">
        <f t="shared" ref="R160" si="777">R161+Q160</f>
        <v>-390446797.54735017</v>
      </c>
      <c r="S160">
        <f t="shared" ref="S160" si="778">R160/100000</f>
        <v>-3904.4679754735016</v>
      </c>
      <c r="T160">
        <f t="shared" ref="T160" si="779">S160/1000</f>
        <v>-3.9044679754735014</v>
      </c>
    </row>
    <row r="161" spans="1:20" x14ac:dyDescent="0.25">
      <c r="A161" s="5">
        <v>44432</v>
      </c>
      <c r="B161">
        <v>1.1994</v>
      </c>
      <c r="C161">
        <v>1.2091000000000001</v>
      </c>
      <c r="D161">
        <v>1.1015999999999999</v>
      </c>
      <c r="E161">
        <v>1.1245000000000001</v>
      </c>
      <c r="F161">
        <v>10997835.02</v>
      </c>
      <c r="G161">
        <v>1.1245000000000001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-0.57395348837209093</v>
      </c>
      <c r="Q161">
        <f t="shared" ref="Q161" si="781">F161*P161</f>
        <v>-6312245.7742697438</v>
      </c>
      <c r="R161">
        <f t="shared" ref="R161" si="782">R162+Q161</f>
        <v>-394777125.47160351</v>
      </c>
      <c r="S161">
        <f t="shared" ref="S161" si="783">R161/100000</f>
        <v>-3947.7712547160349</v>
      </c>
      <c r="T161">
        <f t="shared" ref="T161" si="784">S161/1000</f>
        <v>-3.9477712547160348</v>
      </c>
    </row>
    <row r="162" spans="1:20" x14ac:dyDescent="0.25">
      <c r="A162" s="5">
        <v>44431</v>
      </c>
      <c r="B162">
        <v>1.2334000000000001</v>
      </c>
      <c r="C162">
        <v>1.2989999999999999</v>
      </c>
      <c r="D162">
        <v>1.1513</v>
      </c>
      <c r="E162">
        <v>1.1992</v>
      </c>
      <c r="F162">
        <v>10259755.48</v>
      </c>
      <c r="G162">
        <v>1.1992</v>
      </c>
      <c r="L162" t="s">
        <v>7</v>
      </c>
      <c r="M162" t="s">
        <v>7</v>
      </c>
      <c r="N162" t="s">
        <v>8</v>
      </c>
      <c r="P162">
        <f t="shared" ref="P162" si="785">IF(C162=D162,0,((E162-D162)-(C162-E162))/(C162-D162))</f>
        <v>-0.35138794854434569</v>
      </c>
      <c r="Q162">
        <f t="shared" ref="Q162" si="786">F162*P162</f>
        <v>-3605154.4306838089</v>
      </c>
      <c r="R162">
        <f t="shared" ref="R162" si="787">R163+Q162</f>
        <v>-388464879.69733375</v>
      </c>
      <c r="S162">
        <f t="shared" ref="S162" si="788">R162/100000</f>
        <v>-3884.6487969733375</v>
      </c>
      <c r="T162">
        <f t="shared" ref="T162" si="789">S162/1000</f>
        <v>-3.8846487969733374</v>
      </c>
    </row>
    <row r="163" spans="1:20" x14ac:dyDescent="0.25">
      <c r="A163" s="5">
        <v>44430</v>
      </c>
      <c r="B163">
        <v>1.2942</v>
      </c>
      <c r="C163">
        <v>1.458</v>
      </c>
      <c r="D163">
        <v>1.2542</v>
      </c>
      <c r="E163">
        <v>1.3131999999999999</v>
      </c>
      <c r="F163">
        <v>7709624.6200000001</v>
      </c>
      <c r="G163">
        <v>1.3131999999999999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-0.42100098135426939</v>
      </c>
      <c r="Q163">
        <f t="shared" ref="Q163" si="791">F163*P163</f>
        <v>-3245759.5308930362</v>
      </c>
      <c r="R163">
        <f t="shared" ref="R163" si="792">R164+Q163</f>
        <v>-384859725.26664996</v>
      </c>
      <c r="S163">
        <f t="shared" ref="S163" si="793">R163/100000</f>
        <v>-3848.5972526664996</v>
      </c>
      <c r="T163">
        <f t="shared" ref="T163" si="794">S163/1000</f>
        <v>-3.8485972526664995</v>
      </c>
    </row>
    <row r="164" spans="1:20" x14ac:dyDescent="0.25">
      <c r="A164" s="5">
        <v>44429</v>
      </c>
      <c r="B164">
        <v>1.1275999999999999</v>
      </c>
      <c r="C164">
        <v>1.4599</v>
      </c>
      <c r="D164">
        <v>1.0855999999999999</v>
      </c>
      <c r="E164">
        <v>1.2942</v>
      </c>
      <c r="F164">
        <v>18790866.18</v>
      </c>
      <c r="G164">
        <v>1.2942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0.11461394603259457</v>
      </c>
      <c r="Q164">
        <f t="shared" ref="Q164" si="796">F164*P164</f>
        <v>2153695.3222602266</v>
      </c>
      <c r="R164">
        <f t="shared" ref="R164" si="797">R165+Q164</f>
        <v>-381613965.73575693</v>
      </c>
      <c r="S164">
        <f t="shared" ref="S164" si="798">R164/100000</f>
        <v>-3816.1396573575694</v>
      </c>
      <c r="T164">
        <f t="shared" ref="T164" si="799">S164/1000</f>
        <v>-3.8161396573575694</v>
      </c>
    </row>
    <row r="165" spans="1:20" x14ac:dyDescent="0.25">
      <c r="A165" s="5">
        <v>44428</v>
      </c>
      <c r="B165">
        <v>1.1073</v>
      </c>
      <c r="C165">
        <v>1.1589</v>
      </c>
      <c r="D165">
        <v>1.0821000000000001</v>
      </c>
      <c r="E165">
        <v>1.1259999999999999</v>
      </c>
      <c r="F165">
        <v>14598477.43</v>
      </c>
      <c r="G165">
        <v>1.1259999999999999</v>
      </c>
      <c r="L165" t="s">
        <v>7</v>
      </c>
      <c r="M165" t="s">
        <v>8</v>
      </c>
      <c r="N165" t="s">
        <v>8</v>
      </c>
      <c r="P165">
        <f t="shared" ref="P165" si="800">IF(C165=D165,0,((E165-D165)-(C165-E165))/(C165-D165))</f>
        <v>0.14322916666666249</v>
      </c>
      <c r="Q165">
        <f t="shared" ref="Q165" si="801">F165*P165</f>
        <v>2090927.7569009806</v>
      </c>
      <c r="R165">
        <f t="shared" ref="R165" si="802">R166+Q165</f>
        <v>-383767661.05801713</v>
      </c>
      <c r="S165">
        <f t="shared" ref="S165" si="803">R165/100000</f>
        <v>-3837.6766105801712</v>
      </c>
      <c r="T165">
        <f t="shared" ref="T165" si="804">S165/1000</f>
        <v>-3.8376766105801714</v>
      </c>
    </row>
    <row r="166" spans="1:20" x14ac:dyDescent="0.25">
      <c r="A166" s="5">
        <v>44427</v>
      </c>
      <c r="B166">
        <v>0.95189999999999997</v>
      </c>
      <c r="C166">
        <v>1.2584</v>
      </c>
      <c r="D166">
        <v>0.94030000000000002</v>
      </c>
      <c r="E166">
        <v>1.1087</v>
      </c>
      <c r="F166">
        <v>53360505.189999998</v>
      </c>
      <c r="G166">
        <v>1.1087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5.8786545111600294E-2</v>
      </c>
      <c r="Q166">
        <f t="shared" ref="Q166" si="806">F166*P166</f>
        <v>3136879.7455297164</v>
      </c>
      <c r="R166">
        <f t="shared" ref="R166" si="807">R167+Q166</f>
        <v>-385858588.8149181</v>
      </c>
      <c r="S166">
        <f t="shared" ref="S166" si="808">R166/100000</f>
        <v>-3858.5858881491808</v>
      </c>
      <c r="T166">
        <f t="shared" ref="T166" si="809">S166/1000</f>
        <v>-3.858585888149181</v>
      </c>
    </row>
    <row r="167" spans="1:20" x14ac:dyDescent="0.25">
      <c r="A167" s="5">
        <v>44426</v>
      </c>
      <c r="B167">
        <v>0.97519999999999996</v>
      </c>
      <c r="C167">
        <v>0.99299999999999999</v>
      </c>
      <c r="D167">
        <v>0.9375</v>
      </c>
      <c r="E167">
        <v>0.95289999999999997</v>
      </c>
      <c r="F167">
        <v>8039538.4299999997</v>
      </c>
      <c r="G167">
        <v>0.95289999999999997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-0.44504504504504611</v>
      </c>
      <c r="Q167">
        <f t="shared" ref="Q167" si="811">F167*P167</f>
        <v>-3577956.7427207292</v>
      </c>
      <c r="R167">
        <f t="shared" ref="R167" si="812">R168+Q167</f>
        <v>-388995468.56044781</v>
      </c>
      <c r="S167">
        <f t="shared" ref="S167" si="813">R167/100000</f>
        <v>-3889.9546856044781</v>
      </c>
      <c r="T167">
        <f t="shared" ref="T167" si="814">S167/1000</f>
        <v>-3.889954685604478</v>
      </c>
    </row>
    <row r="168" spans="1:20" x14ac:dyDescent="0.25">
      <c r="A168" s="5">
        <v>44425</v>
      </c>
      <c r="B168">
        <v>0.99970000000000003</v>
      </c>
      <c r="C168">
        <v>1.0941000000000001</v>
      </c>
      <c r="D168">
        <v>0.95850000000000002</v>
      </c>
      <c r="E168">
        <v>0.97519999999999996</v>
      </c>
      <c r="F168">
        <v>11217463.699999999</v>
      </c>
      <c r="G168">
        <v>0.97519999999999996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-0.75368731563421931</v>
      </c>
      <c r="Q168">
        <f t="shared" ref="Q168" si="816">F168*P168</f>
        <v>-8454460.1042772979</v>
      </c>
      <c r="R168">
        <f t="shared" ref="R168" si="817">R169+Q168</f>
        <v>-385417511.81772709</v>
      </c>
      <c r="S168">
        <f t="shared" ref="S168" si="818">R168/100000</f>
        <v>-3854.1751181772711</v>
      </c>
      <c r="T168">
        <f t="shared" ref="T168" si="819">S168/1000</f>
        <v>-3.8541751181772712</v>
      </c>
    </row>
    <row r="169" spans="1:20" x14ac:dyDescent="0.25">
      <c r="A169" s="5">
        <v>44424</v>
      </c>
      <c r="B169">
        <v>1.0532999999999999</v>
      </c>
      <c r="C169">
        <v>1.0999000000000001</v>
      </c>
      <c r="D169">
        <v>0.99219999999999997</v>
      </c>
      <c r="E169">
        <v>0.99770000000000003</v>
      </c>
      <c r="F169">
        <v>11091302.4</v>
      </c>
      <c r="G169">
        <v>0.99770000000000003</v>
      </c>
      <c r="L169" t="s">
        <v>7</v>
      </c>
      <c r="M169" t="s">
        <v>7</v>
      </c>
      <c r="N169" t="s">
        <v>8</v>
      </c>
      <c r="P169">
        <f t="shared" ref="P169" si="820">IF(C169=D169,0,((E169-D169)-(C169-E169))/(C169-D169))</f>
        <v>-0.89786443825440942</v>
      </c>
      <c r="Q169">
        <f t="shared" ref="Q169" si="821">F169*P169</f>
        <v>-9958485.9988857843</v>
      </c>
      <c r="R169">
        <f t="shared" ref="R169" si="822">R170+Q169</f>
        <v>-376963051.71344978</v>
      </c>
      <c r="S169">
        <f t="shared" ref="S169" si="823">R169/100000</f>
        <v>-3769.6305171344979</v>
      </c>
      <c r="T169">
        <f t="shared" ref="T169" si="824">S169/1000</f>
        <v>-3.7696305171344981</v>
      </c>
    </row>
    <row r="170" spans="1:20" x14ac:dyDescent="0.25">
      <c r="A170" s="5">
        <v>44423</v>
      </c>
      <c r="B170">
        <v>1.016</v>
      </c>
      <c r="C170">
        <v>1.1789000000000001</v>
      </c>
      <c r="D170">
        <v>1.0127999999999999</v>
      </c>
      <c r="E170">
        <v>1.0533999999999999</v>
      </c>
      <c r="F170">
        <v>19988195.34</v>
      </c>
      <c r="G170">
        <v>1.0533999999999999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-0.51113786875376355</v>
      </c>
      <c r="Q170">
        <f t="shared" ref="Q170" si="826">F170*P170</f>
        <v>-10216723.566321509</v>
      </c>
      <c r="R170">
        <f t="shared" ref="R170" si="827">R171+Q170</f>
        <v>-367004565.71456397</v>
      </c>
      <c r="S170">
        <f t="shared" ref="S170" si="828">R170/100000</f>
        <v>-3670.0456571456398</v>
      </c>
      <c r="T170">
        <f t="shared" ref="T170" si="829">S170/1000</f>
        <v>-3.6700456571456397</v>
      </c>
    </row>
    <row r="171" spans="1:20" x14ac:dyDescent="0.25">
      <c r="A171" s="5">
        <v>44422</v>
      </c>
      <c r="B171">
        <v>0.98560000000000003</v>
      </c>
      <c r="C171">
        <v>1.0783</v>
      </c>
      <c r="D171">
        <v>0.91569999999999996</v>
      </c>
      <c r="E171">
        <v>1.0158</v>
      </c>
      <c r="F171">
        <v>15027325.359999999</v>
      </c>
      <c r="G171">
        <v>1.0158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0.2312423124231246</v>
      </c>
      <c r="Q171">
        <f t="shared" ref="Q171" si="831">F171*P171</f>
        <v>3474953.4657810633</v>
      </c>
      <c r="R171">
        <f t="shared" ref="R171" si="832">R172+Q171</f>
        <v>-356787842.14824247</v>
      </c>
      <c r="S171">
        <f t="shared" ref="S171" si="833">R171/100000</f>
        <v>-3567.8784214824245</v>
      </c>
      <c r="T171">
        <f t="shared" ref="T171" si="834">S171/1000</f>
        <v>-3.5678784214824244</v>
      </c>
    </row>
    <row r="172" spans="1:20" x14ac:dyDescent="0.25">
      <c r="A172" s="5">
        <v>44421</v>
      </c>
      <c r="B172">
        <v>0.85940000000000005</v>
      </c>
      <c r="C172">
        <v>0.99099999999999999</v>
      </c>
      <c r="D172">
        <v>0.85940000000000005</v>
      </c>
      <c r="E172">
        <v>0.98570000000000002</v>
      </c>
      <c r="F172">
        <v>12258532.57</v>
      </c>
      <c r="G172">
        <v>0.98570000000000002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0.91945288753799437</v>
      </c>
      <c r="Q172">
        <f t="shared" ref="Q172" si="836">F172*P172</f>
        <v>11271143.168465052</v>
      </c>
      <c r="R172">
        <f t="shared" ref="R172" si="837">R173+Q172</f>
        <v>-360262795.61402357</v>
      </c>
      <c r="S172">
        <f t="shared" ref="S172" si="838">R172/100000</f>
        <v>-3602.6279561402357</v>
      </c>
      <c r="T172">
        <f t="shared" ref="T172" si="839">S172/1000</f>
        <v>-3.6026279561402359</v>
      </c>
    </row>
    <row r="173" spans="1:20" x14ac:dyDescent="0.25">
      <c r="A173" s="5">
        <v>44420</v>
      </c>
      <c r="B173">
        <v>0.87590000000000001</v>
      </c>
      <c r="C173">
        <v>0.91180000000000005</v>
      </c>
      <c r="D173">
        <v>0.8448</v>
      </c>
      <c r="E173">
        <v>0.85819999999999996</v>
      </c>
      <c r="F173">
        <v>13816563.130000001</v>
      </c>
      <c r="G173">
        <v>0.85819999999999996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-0.60000000000000131</v>
      </c>
      <c r="Q173">
        <f t="shared" ref="Q173" si="841">F173*P173</f>
        <v>-8289937.8780000182</v>
      </c>
      <c r="R173">
        <f t="shared" ref="R173" si="842">R174+Q173</f>
        <v>-371533938.78248864</v>
      </c>
      <c r="S173">
        <f t="shared" ref="S173" si="843">R173/100000</f>
        <v>-3715.3393878248862</v>
      </c>
      <c r="T173">
        <f t="shared" ref="T173" si="844">S173/1000</f>
        <v>-3.7153393878248862</v>
      </c>
    </row>
    <row r="174" spans="1:20" x14ac:dyDescent="0.25">
      <c r="A174" s="5">
        <v>44419</v>
      </c>
      <c r="B174">
        <v>0.86899999999999999</v>
      </c>
      <c r="C174">
        <v>0.94</v>
      </c>
      <c r="D174">
        <v>0.86550000000000005</v>
      </c>
      <c r="E174">
        <v>0.87590000000000001</v>
      </c>
      <c r="F174">
        <v>13318676.01</v>
      </c>
      <c r="G174">
        <v>0.87590000000000001</v>
      </c>
      <c r="L174" t="s">
        <v>7</v>
      </c>
      <c r="M174" t="s">
        <v>8</v>
      </c>
      <c r="N174" t="s">
        <v>8</v>
      </c>
      <c r="P174">
        <f t="shared" ref="P174" si="845">IF(C174=D174,0,((E174-D174)-(C174-E174))/(C174-D174))</f>
        <v>-0.72080536912751736</v>
      </c>
      <c r="Q174">
        <f t="shared" ref="Q174" si="846">F174*P174</f>
        <v>-9600173.1776778605</v>
      </c>
      <c r="R174">
        <f t="shared" ref="R174" si="847">R175+Q174</f>
        <v>-363244000.90448862</v>
      </c>
      <c r="S174">
        <f t="shared" ref="S174" si="848">R174/100000</f>
        <v>-3632.4400090448862</v>
      </c>
      <c r="T174">
        <f t="shared" ref="T174" si="849">S174/1000</f>
        <v>-3.6324400090448861</v>
      </c>
    </row>
    <row r="175" spans="1:20" x14ac:dyDescent="0.25">
      <c r="A175" s="5">
        <v>44418</v>
      </c>
      <c r="B175">
        <v>0.86629999999999996</v>
      </c>
      <c r="C175">
        <v>0.96</v>
      </c>
      <c r="D175">
        <v>0.84489999999999998</v>
      </c>
      <c r="E175">
        <v>0.86909999999999998</v>
      </c>
      <c r="F175">
        <v>15164596.33</v>
      </c>
      <c r="G175">
        <v>0.86909999999999998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-0.57949609035621197</v>
      </c>
      <c r="Q175">
        <f t="shared" ref="Q175" si="851">F175*P175</f>
        <v>-8787824.2850651611</v>
      </c>
      <c r="R175">
        <f t="shared" ref="R175" si="852">R176+Q175</f>
        <v>-353643827.72681075</v>
      </c>
      <c r="S175">
        <f t="shared" ref="S175" si="853">R175/100000</f>
        <v>-3536.4382772681074</v>
      </c>
      <c r="T175">
        <f t="shared" ref="T175" si="854">S175/1000</f>
        <v>-3.5364382772681076</v>
      </c>
    </row>
    <row r="176" spans="1:20" x14ac:dyDescent="0.25">
      <c r="A176" s="5">
        <v>44417</v>
      </c>
      <c r="B176">
        <v>0.82279999999999998</v>
      </c>
      <c r="C176">
        <v>0.88129999999999997</v>
      </c>
      <c r="D176">
        <v>0.79320000000000002</v>
      </c>
      <c r="E176">
        <v>0.86550000000000005</v>
      </c>
      <c r="F176">
        <v>11815219.99</v>
      </c>
      <c r="G176">
        <v>0.86550000000000005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0.64131668558456456</v>
      </c>
      <c r="Q176">
        <f t="shared" ref="Q176" si="856">F176*P176</f>
        <v>7577297.7234392921</v>
      </c>
      <c r="R176">
        <f t="shared" ref="R176" si="857">R177+Q176</f>
        <v>-344856003.44174558</v>
      </c>
      <c r="S176">
        <f t="shared" ref="S176" si="858">R176/100000</f>
        <v>-3448.5600344174559</v>
      </c>
      <c r="T176">
        <f t="shared" ref="T176" si="859">S176/1000</f>
        <v>-3.4485600344174561</v>
      </c>
    </row>
    <row r="177" spans="1:20" x14ac:dyDescent="0.25">
      <c r="A177" s="5">
        <v>44416</v>
      </c>
      <c r="B177">
        <v>0.89059999999999995</v>
      </c>
      <c r="C177">
        <v>0.89590000000000003</v>
      </c>
      <c r="D177">
        <v>0.81499999999999995</v>
      </c>
      <c r="E177">
        <v>0.82440000000000002</v>
      </c>
      <c r="F177">
        <v>11232716.859999999</v>
      </c>
      <c r="G177">
        <v>0.82440000000000002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-0.76761433868973883</v>
      </c>
      <c r="Q177">
        <f t="shared" ref="Q177" si="861">F177*P177</f>
        <v>-8622394.5241779797</v>
      </c>
      <c r="R177">
        <f t="shared" ref="R177" si="862">R178+Q177</f>
        <v>-352433301.16518486</v>
      </c>
      <c r="S177">
        <f t="shared" ref="S177" si="863">R177/100000</f>
        <v>-3524.3330116518487</v>
      </c>
      <c r="T177">
        <f t="shared" ref="T177" si="864">S177/1000</f>
        <v>-3.5243330116518488</v>
      </c>
    </row>
    <row r="178" spans="1:20" x14ac:dyDescent="0.25">
      <c r="A178" s="5">
        <v>44415</v>
      </c>
      <c r="B178">
        <v>0.87370000000000003</v>
      </c>
      <c r="C178">
        <v>0.92930000000000001</v>
      </c>
      <c r="D178">
        <v>0.83919999999999995</v>
      </c>
      <c r="E178">
        <v>0.89059999999999995</v>
      </c>
      <c r="F178">
        <v>18384861.66</v>
      </c>
      <c r="G178">
        <v>0.89059999999999995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0.14095449500554855</v>
      </c>
      <c r="Q178">
        <f t="shared" ref="Q178" si="866">F178*P178</f>
        <v>2591428.891032171</v>
      </c>
      <c r="R178">
        <f t="shared" ref="R178" si="867">R179+Q178</f>
        <v>-343810906.64100689</v>
      </c>
      <c r="S178">
        <f t="shared" ref="S178" si="868">R178/100000</f>
        <v>-3438.1090664100689</v>
      </c>
      <c r="T178">
        <f t="shared" ref="T178" si="869">S178/1000</f>
        <v>-3.4381090664100689</v>
      </c>
    </row>
    <row r="179" spans="1:20" x14ac:dyDescent="0.25">
      <c r="A179" s="5">
        <v>44414</v>
      </c>
      <c r="B179">
        <v>0.81110000000000004</v>
      </c>
      <c r="C179">
        <v>0.89629999999999999</v>
      </c>
      <c r="D179">
        <v>0.7994</v>
      </c>
      <c r="E179">
        <v>0.87409999999999999</v>
      </c>
      <c r="F179">
        <v>15686049.35</v>
      </c>
      <c r="G179">
        <v>0.87409999999999999</v>
      </c>
      <c r="L179" t="s">
        <v>8</v>
      </c>
      <c r="M179" t="s">
        <v>7</v>
      </c>
      <c r="N179" t="s">
        <v>8</v>
      </c>
      <c r="P179">
        <f t="shared" ref="P179" si="870">IF(C179=D179,0,((E179-D179)-(C179-E179))/(C179-D179))</f>
        <v>0.54179566563467496</v>
      </c>
      <c r="Q179">
        <f t="shared" ref="Q179" si="871">F179*P179</f>
        <v>8498633.5487616099</v>
      </c>
      <c r="R179">
        <f t="shared" ref="R179" si="872">R180+Q179</f>
        <v>-346402335.53203905</v>
      </c>
      <c r="S179">
        <f t="shared" ref="S179" si="873">R179/100000</f>
        <v>-3464.0233553203902</v>
      </c>
      <c r="T179">
        <f t="shared" ref="T179" si="874">S179/1000</f>
        <v>-3.4640233553203901</v>
      </c>
    </row>
    <row r="180" spans="1:20" x14ac:dyDescent="0.25">
      <c r="A180" s="5">
        <v>44413</v>
      </c>
      <c r="B180">
        <v>0.82030000000000003</v>
      </c>
      <c r="C180">
        <v>0.87770000000000004</v>
      </c>
      <c r="D180">
        <v>0.77680000000000005</v>
      </c>
      <c r="E180">
        <v>0.81130000000000002</v>
      </c>
      <c r="F180">
        <v>15178549.869999999</v>
      </c>
      <c r="G180">
        <v>0.81130000000000002</v>
      </c>
      <c r="L180" t="s">
        <v>8</v>
      </c>
      <c r="M180" t="s">
        <v>7</v>
      </c>
      <c r="N180" t="s">
        <v>8</v>
      </c>
      <c r="P180">
        <f t="shared" ref="P180" si="875">IF(C180=D180,0,((E180-D180)-(C180-E180))/(C180-D180))</f>
        <v>-0.3161546085232908</v>
      </c>
      <c r="Q180">
        <f t="shared" ref="Q180" si="876">F180*P180</f>
        <v>-4798768.4921010965</v>
      </c>
      <c r="R180">
        <f t="shared" ref="R180" si="877">R181+Q180</f>
        <v>-354900969.08080065</v>
      </c>
      <c r="S180">
        <f t="shared" ref="S180" si="878">R180/100000</f>
        <v>-3549.0096908080063</v>
      </c>
      <c r="T180">
        <f t="shared" ref="T180" si="879">S180/1000</f>
        <v>-3.5490096908080062</v>
      </c>
    </row>
    <row r="181" spans="1:20" x14ac:dyDescent="0.25">
      <c r="A181" s="5">
        <v>44412</v>
      </c>
      <c r="B181">
        <v>0.84730000000000005</v>
      </c>
      <c r="C181">
        <v>0.86160000000000003</v>
      </c>
      <c r="D181">
        <v>0.78310000000000002</v>
      </c>
      <c r="E181">
        <v>0.82150000000000001</v>
      </c>
      <c r="F181">
        <v>18532070.850000001</v>
      </c>
      <c r="G181">
        <v>0.82150000000000001</v>
      </c>
      <c r="L181" t="s">
        <v>7</v>
      </c>
      <c r="M181" t="s">
        <v>7</v>
      </c>
      <c r="N181" t="s">
        <v>8</v>
      </c>
      <c r="P181">
        <f t="shared" ref="P181" si="880">IF(C181=D181,0,((E181-D181)-(C181-E181))/(C181-D181))</f>
        <v>-2.1656050955414452E-2</v>
      </c>
      <c r="Q181">
        <f t="shared" ref="Q181" si="881">F181*P181</f>
        <v>-401331.47063695086</v>
      </c>
      <c r="R181">
        <f t="shared" ref="R181" si="882">R182+Q181</f>
        <v>-350102200.58869958</v>
      </c>
      <c r="S181">
        <f t="shared" ref="S181" si="883">R181/100000</f>
        <v>-3501.0220058869959</v>
      </c>
      <c r="T181">
        <f t="shared" ref="T181" si="884">S181/1000</f>
        <v>-3.5010220058869961</v>
      </c>
    </row>
    <row r="182" spans="1:20" x14ac:dyDescent="0.25">
      <c r="A182" s="5">
        <v>44411</v>
      </c>
      <c r="B182">
        <v>0.73280000000000001</v>
      </c>
      <c r="C182">
        <v>0.9788</v>
      </c>
      <c r="D182">
        <v>0.73040000000000005</v>
      </c>
      <c r="E182">
        <v>0.84870000000000001</v>
      </c>
      <c r="F182">
        <v>44134299.829999998</v>
      </c>
      <c r="G182">
        <v>0.84870000000000001</v>
      </c>
      <c r="L182" t="s">
        <v>8</v>
      </c>
      <c r="M182" t="s">
        <v>8</v>
      </c>
      <c r="N182" t="s">
        <v>8</v>
      </c>
      <c r="P182">
        <f t="shared" ref="P182" si="885">IF(C182=D182,0,((E182-D182)-(C182-E182))/(C182-D182))</f>
        <v>-4.7504025764895472E-2</v>
      </c>
      <c r="Q182">
        <f t="shared" ref="Q182" si="886">F182*P182</f>
        <v>-2096556.9162399417</v>
      </c>
      <c r="R182">
        <f t="shared" ref="R182" si="887">R183+Q182</f>
        <v>-349700869.11806262</v>
      </c>
      <c r="S182">
        <f t="shared" ref="S182" si="888">R182/100000</f>
        <v>-3497.0086911806261</v>
      </c>
      <c r="T182">
        <f t="shared" ref="T182" si="889">S182/1000</f>
        <v>-3.4970086911806262</v>
      </c>
    </row>
    <row r="183" spans="1:20" x14ac:dyDescent="0.25">
      <c r="A183" s="5">
        <v>44410</v>
      </c>
      <c r="B183">
        <v>0.71079999999999999</v>
      </c>
      <c r="C183">
        <v>0.751</v>
      </c>
      <c r="D183">
        <v>0.69589999999999996</v>
      </c>
      <c r="E183">
        <v>0.73419999999999996</v>
      </c>
      <c r="F183">
        <v>11919765.609999999</v>
      </c>
      <c r="G183">
        <v>0.73419999999999996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0.39019963702359256</v>
      </c>
      <c r="Q183">
        <f t="shared" ref="Q183" si="891">F183*P183</f>
        <v>4651088.214428301</v>
      </c>
      <c r="R183">
        <f t="shared" ref="R183" si="892">R184+Q183</f>
        <v>-347604312.2018227</v>
      </c>
      <c r="S183">
        <f t="shared" ref="S183" si="893">R183/100000</f>
        <v>-3476.0431220182268</v>
      </c>
      <c r="T183">
        <f t="shared" ref="T183" si="894">S183/1000</f>
        <v>-3.4760431220182268</v>
      </c>
    </row>
    <row r="184" spans="1:20" x14ac:dyDescent="0.25">
      <c r="A184" s="5">
        <v>44409</v>
      </c>
      <c r="B184">
        <v>0.72660000000000002</v>
      </c>
      <c r="C184">
        <v>0.77</v>
      </c>
      <c r="D184">
        <v>0.70379999999999998</v>
      </c>
      <c r="E184">
        <v>0.71</v>
      </c>
      <c r="F184">
        <v>12529040.210000001</v>
      </c>
      <c r="G184">
        <v>0.71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-0.81268882175226642</v>
      </c>
      <c r="Q184">
        <f t="shared" ref="Q184" si="896">F184*P184</f>
        <v>-10182210.925951669</v>
      </c>
      <c r="R184">
        <f t="shared" ref="R184" si="897">R185+Q184</f>
        <v>-352255400.416251</v>
      </c>
      <c r="S184">
        <f t="shared" ref="S184" si="898">R184/100000</f>
        <v>-3522.55400416251</v>
      </c>
      <c r="T184">
        <f t="shared" ref="T184" si="899">S184/1000</f>
        <v>-3.5225540041625099</v>
      </c>
    </row>
    <row r="185" spans="1:20" x14ac:dyDescent="0.25">
      <c r="A185" s="5">
        <v>44408</v>
      </c>
      <c r="B185">
        <v>0.7218</v>
      </c>
      <c r="C185">
        <v>0.73839999999999995</v>
      </c>
      <c r="D185">
        <v>0.70850000000000002</v>
      </c>
      <c r="E185">
        <v>0.72619999999999996</v>
      </c>
      <c r="F185">
        <v>10785898.699999999</v>
      </c>
      <c r="G185">
        <v>0.72619999999999996</v>
      </c>
      <c r="L185" t="s">
        <v>8</v>
      </c>
      <c r="M185" t="s">
        <v>8</v>
      </c>
      <c r="N185" t="s">
        <v>7</v>
      </c>
      <c r="P185">
        <f t="shared" ref="P185" si="900">IF(C185=D185,0,((E185-D185)-(C185-E185))/(C185-D185))</f>
        <v>0.18394648829431315</v>
      </c>
      <c r="Q185">
        <f t="shared" ref="Q185" si="901">F185*P185</f>
        <v>1984028.1889631972</v>
      </c>
      <c r="R185">
        <f t="shared" ref="R185" si="902">R186+Q185</f>
        <v>-342073189.49029934</v>
      </c>
      <c r="S185">
        <f t="shared" ref="S185" si="903">R185/100000</f>
        <v>-3420.7318949029936</v>
      </c>
      <c r="T185">
        <f t="shared" ref="T185" si="904">S185/1000</f>
        <v>-3.4207318949029935</v>
      </c>
    </row>
    <row r="186" spans="1:20" x14ac:dyDescent="0.25">
      <c r="A186" s="5">
        <v>44407</v>
      </c>
      <c r="B186">
        <v>0.72650000000000003</v>
      </c>
      <c r="C186">
        <v>0.73070000000000002</v>
      </c>
      <c r="D186">
        <v>0.67979999999999996</v>
      </c>
      <c r="E186">
        <v>0.72150000000000003</v>
      </c>
      <c r="F186">
        <v>18480023.629999999</v>
      </c>
      <c r="G186">
        <v>0.72150000000000003</v>
      </c>
      <c r="L186" t="s">
        <v>7</v>
      </c>
      <c r="M186" t="s">
        <v>8</v>
      </c>
      <c r="N186" t="s">
        <v>7</v>
      </c>
      <c r="P186">
        <f t="shared" ref="P186" si="905">IF(C186=D186,0,((E186-D186)-(C186-E186))/(C186-D186))</f>
        <v>0.63850687622789881</v>
      </c>
      <c r="Q186">
        <f t="shared" ref="Q186" si="906">F186*P186</f>
        <v>11799622.160609055</v>
      </c>
      <c r="R186">
        <f t="shared" ref="R186" si="907">R187+Q186</f>
        <v>-344057217.67926252</v>
      </c>
      <c r="S186">
        <f t="shared" ref="S186" si="908">R186/100000</f>
        <v>-3440.5721767926252</v>
      </c>
      <c r="T186">
        <f t="shared" ref="T186" si="909">S186/1000</f>
        <v>-3.4405721767926254</v>
      </c>
    </row>
    <row r="187" spans="1:20" x14ac:dyDescent="0.25">
      <c r="A187" s="5">
        <v>44406</v>
      </c>
      <c r="B187">
        <v>0.69279999999999997</v>
      </c>
      <c r="C187">
        <v>0.73399999999999999</v>
      </c>
      <c r="D187">
        <v>0.68510000000000004</v>
      </c>
      <c r="E187">
        <v>0.72650000000000003</v>
      </c>
      <c r="F187">
        <v>8457289.4000000004</v>
      </c>
      <c r="G187">
        <v>0.72650000000000003</v>
      </c>
      <c r="L187" t="s">
        <v>8</v>
      </c>
      <c r="M187" t="s">
        <v>8</v>
      </c>
      <c r="N187" t="s">
        <v>7</v>
      </c>
      <c r="P187">
        <f t="shared" ref="P187" si="910">IF(C187=D187,0,((E187-D187)-(C187-E187))/(C187-D187))</f>
        <v>0.69325153374233295</v>
      </c>
      <c r="Q187">
        <f t="shared" ref="Q187" si="911">F187*P187</f>
        <v>5863028.8478527749</v>
      </c>
      <c r="R187">
        <f t="shared" ref="R187" si="912">R188+Q187</f>
        <v>-355856839.83987159</v>
      </c>
      <c r="S187">
        <f t="shared" ref="S187" si="913">R187/100000</f>
        <v>-3558.568398398716</v>
      </c>
      <c r="T187">
        <f t="shared" ref="T187" si="914">S187/1000</f>
        <v>-3.558568398398716</v>
      </c>
    </row>
    <row r="188" spans="1:20" x14ac:dyDescent="0.25">
      <c r="A188" s="5">
        <v>44405</v>
      </c>
      <c r="B188">
        <v>0.7198</v>
      </c>
      <c r="C188">
        <v>0.72099999999999997</v>
      </c>
      <c r="D188">
        <v>0.68259999999999998</v>
      </c>
      <c r="E188">
        <v>0.69279999999999997</v>
      </c>
      <c r="F188">
        <v>16638445.810000001</v>
      </c>
      <c r="G188">
        <v>0.69279999999999997</v>
      </c>
      <c r="L188" t="s">
        <v>8</v>
      </c>
      <c r="M188" t="s">
        <v>8</v>
      </c>
      <c r="N188" t="s">
        <v>7</v>
      </c>
      <c r="P188">
        <f t="shared" ref="P188" si="915">IF(C188=D188,0,((E188-D188)-(C188-E188))/(C188-D188))</f>
        <v>-0.46875000000000056</v>
      </c>
      <c r="Q188">
        <f t="shared" ref="Q188" si="916">F188*P188</f>
        <v>-7799271.4734375095</v>
      </c>
      <c r="R188">
        <f t="shared" ref="R188" si="917">R189+Q188</f>
        <v>-361719868.68772435</v>
      </c>
      <c r="S188">
        <f t="shared" ref="S188" si="918">R188/100000</f>
        <v>-3617.1986868772437</v>
      </c>
      <c r="T188">
        <f t="shared" ref="T188" si="919">S188/1000</f>
        <v>-3.6171986868772437</v>
      </c>
    </row>
    <row r="189" spans="1:20" x14ac:dyDescent="0.25">
      <c r="A189" s="5">
        <v>44404</v>
      </c>
      <c r="B189">
        <v>0.67</v>
      </c>
      <c r="C189">
        <v>0.72899999999999998</v>
      </c>
      <c r="D189">
        <v>0.64959999999999996</v>
      </c>
      <c r="E189">
        <v>0.7198</v>
      </c>
      <c r="F189">
        <v>7192977.7699999996</v>
      </c>
      <c r="G189">
        <v>0.7198</v>
      </c>
      <c r="L189" t="s">
        <v>7</v>
      </c>
      <c r="M189" t="s">
        <v>8</v>
      </c>
      <c r="N189" t="s">
        <v>7</v>
      </c>
      <c r="P189">
        <f t="shared" ref="P189" si="920">IF(C189=D189,0,((E189-D189)-(C189-E189))/(C189-D189))</f>
        <v>0.76826196473551678</v>
      </c>
      <c r="Q189">
        <f t="shared" ref="Q189" si="921">F189*P189</f>
        <v>5526091.2338790959</v>
      </c>
      <c r="R189">
        <f t="shared" ref="R189" si="922">R190+Q189</f>
        <v>-353920597.21428686</v>
      </c>
      <c r="S189">
        <f t="shared" ref="S189" si="923">R189/100000</f>
        <v>-3539.2059721428686</v>
      </c>
      <c r="T189">
        <f t="shared" ref="T189" si="924">S189/1000</f>
        <v>-3.5392059721428688</v>
      </c>
    </row>
    <row r="190" spans="1:20" x14ac:dyDescent="0.25">
      <c r="A190" s="5">
        <v>44403</v>
      </c>
      <c r="B190">
        <v>0.6774</v>
      </c>
      <c r="C190">
        <v>0.74919999999999998</v>
      </c>
      <c r="D190">
        <v>0.66159999999999997</v>
      </c>
      <c r="E190">
        <v>0.67010000000000003</v>
      </c>
      <c r="F190">
        <v>18101585.539999999</v>
      </c>
      <c r="G190">
        <v>0.67010000000000003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-0.80593607305935933</v>
      </c>
      <c r="Q190">
        <f t="shared" ref="Q190" si="926">F190*P190</f>
        <v>-14588720.766255682</v>
      </c>
      <c r="R190">
        <f t="shared" ref="R190" si="927">R191+Q190</f>
        <v>-359446688.44816595</v>
      </c>
      <c r="S190">
        <f t="shared" ref="S190" si="928">R190/100000</f>
        <v>-3594.4668844816597</v>
      </c>
      <c r="T190">
        <f t="shared" ref="T190" si="929">S190/1000</f>
        <v>-3.5944668844816596</v>
      </c>
    </row>
    <row r="191" spans="1:20" x14ac:dyDescent="0.25">
      <c r="A191" s="5">
        <v>44402</v>
      </c>
      <c r="B191">
        <v>0.64810000000000001</v>
      </c>
      <c r="C191">
        <v>0.68159999999999998</v>
      </c>
      <c r="D191">
        <v>0.63319999999999999</v>
      </c>
      <c r="E191">
        <v>0.6774</v>
      </c>
      <c r="F191">
        <v>12891297.619999999</v>
      </c>
      <c r="G191">
        <v>0.6774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0.82644628099173634</v>
      </c>
      <c r="Q191">
        <f t="shared" ref="Q191" si="931">F191*P191</f>
        <v>10653964.975206621</v>
      </c>
      <c r="R191">
        <f t="shared" ref="R191" si="932">R192+Q191</f>
        <v>-344857967.68191028</v>
      </c>
      <c r="S191">
        <f t="shared" ref="S191" si="933">R191/100000</f>
        <v>-3448.5796768191026</v>
      </c>
      <c r="T191">
        <f t="shared" ref="T191:T197" si="934">S191/1000</f>
        <v>-3.4485796768191026</v>
      </c>
    </row>
    <row r="192" spans="1:20" x14ac:dyDescent="0.25">
      <c r="A192" s="5">
        <v>44401</v>
      </c>
      <c r="B192">
        <v>0.62490000000000001</v>
      </c>
      <c r="C192">
        <v>0.68899999999999995</v>
      </c>
      <c r="D192">
        <v>0.61439999999999995</v>
      </c>
      <c r="E192">
        <v>0.64829999999999999</v>
      </c>
      <c r="F192">
        <v>10822899.02</v>
      </c>
      <c r="G192">
        <v>0.64829999999999999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-9.1152815013403721E-2</v>
      </c>
      <c r="Q192">
        <f t="shared" ref="Q192" si="936">F192*P192</f>
        <v>-986537.71227880835</v>
      </c>
      <c r="R192">
        <f t="shared" ref="R192" si="937">R193+Q192</f>
        <v>-355511932.65711689</v>
      </c>
      <c r="S192">
        <f t="shared" ref="S192" si="938">R192/100000</f>
        <v>-3555.119326571169</v>
      </c>
      <c r="T192">
        <f t="shared" si="934"/>
        <v>-3.5551193265711691</v>
      </c>
    </row>
    <row r="193" spans="1:20" x14ac:dyDescent="0.25">
      <c r="A193" s="5">
        <v>44400</v>
      </c>
      <c r="B193">
        <v>0.61140000000000005</v>
      </c>
      <c r="C193">
        <v>0.63360000000000005</v>
      </c>
      <c r="D193">
        <v>0.60109999999999997</v>
      </c>
      <c r="E193">
        <v>0.62470000000000003</v>
      </c>
      <c r="F193">
        <v>14163548.689999999</v>
      </c>
      <c r="G193">
        <v>0.62470000000000003</v>
      </c>
      <c r="L193" t="s">
        <v>8</v>
      </c>
      <c r="M193" t="s">
        <v>7</v>
      </c>
      <c r="N193" t="s">
        <v>7</v>
      </c>
      <c r="P193">
        <f t="shared" ref="P193" si="939">IF(C193=D193,0,((E193-D193)-(C193-E193))/(C193-D193))</f>
        <v>0.45230769230769258</v>
      </c>
      <c r="Q193">
        <f t="shared" ref="Q193" si="940">F193*P193</f>
        <v>6406282.0228615422</v>
      </c>
      <c r="R193">
        <f t="shared" ref="R193" si="941">R194+Q193</f>
        <v>-354525394.94483811</v>
      </c>
      <c r="S193">
        <f t="shared" ref="S193" si="942">R193/100000</f>
        <v>-3545.2539494483813</v>
      </c>
      <c r="T193">
        <f t="shared" si="934"/>
        <v>-3.5452539494483815</v>
      </c>
    </row>
    <row r="194" spans="1:20" x14ac:dyDescent="0.25">
      <c r="A194" s="5">
        <v>44399</v>
      </c>
      <c r="B194">
        <v>0.62270000000000003</v>
      </c>
      <c r="C194">
        <v>0.62770000000000004</v>
      </c>
      <c r="D194">
        <v>0.60119999999999996</v>
      </c>
      <c r="E194">
        <v>0.61140000000000005</v>
      </c>
      <c r="F194">
        <v>12937439.15</v>
      </c>
      <c r="G194">
        <v>0.61140000000000005</v>
      </c>
      <c r="L194" t="s">
        <v>8</v>
      </c>
      <c r="M194" t="s">
        <v>7</v>
      </c>
      <c r="N194" t="s">
        <v>7</v>
      </c>
      <c r="P194">
        <f t="shared" ref="P194" si="943">IF(C194=D194,0,((E194-D194)-(C194-E194))/(C194-D194))</f>
        <v>-0.23018867924527792</v>
      </c>
      <c r="Q194">
        <f t="shared" ref="Q194" si="944">F194*P194</f>
        <v>-2978052.0307546509</v>
      </c>
      <c r="R194">
        <f t="shared" ref="R194" si="945">R195+Q194</f>
        <v>-360931676.96769965</v>
      </c>
      <c r="S194">
        <f t="shared" ref="S194" si="946">R194/100000</f>
        <v>-3609.3167696769965</v>
      </c>
      <c r="T194">
        <f t="shared" si="934"/>
        <v>-3.6093167696769966</v>
      </c>
    </row>
    <row r="195" spans="1:20" x14ac:dyDescent="0.25">
      <c r="A195" s="5">
        <v>44398</v>
      </c>
      <c r="B195">
        <v>0.58220000000000005</v>
      </c>
      <c r="C195">
        <v>0.62560000000000004</v>
      </c>
      <c r="D195">
        <v>0.56499999999999995</v>
      </c>
      <c r="E195">
        <v>0.62290000000000001</v>
      </c>
      <c r="F195">
        <v>14661585.789999999</v>
      </c>
      <c r="G195">
        <v>0.62290000000000001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0.91089108910890981</v>
      </c>
      <c r="Q195">
        <f t="shared" ref="Q195" si="948">F195*P195</f>
        <v>13355107.848316815</v>
      </c>
      <c r="R195">
        <f t="shared" ref="R195" si="949">R196+Q195</f>
        <v>-357953624.93694502</v>
      </c>
      <c r="S195">
        <f t="shared" ref="S195" si="950">R195/100000</f>
        <v>-3579.5362493694502</v>
      </c>
      <c r="T195">
        <f t="shared" si="934"/>
        <v>-3.57953624936945</v>
      </c>
    </row>
    <row r="196" spans="1:20" x14ac:dyDescent="0.25">
      <c r="A196" s="5">
        <v>44397</v>
      </c>
      <c r="B196">
        <v>0.61960000000000004</v>
      </c>
      <c r="C196">
        <v>0.62739999999999996</v>
      </c>
      <c r="D196">
        <v>0.54269999999999996</v>
      </c>
      <c r="E196">
        <v>0.58230000000000004</v>
      </c>
      <c r="F196">
        <v>4913882.91</v>
      </c>
      <c r="G196">
        <v>0.58230000000000004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-6.4935064935063028E-2</v>
      </c>
      <c r="Q196">
        <f t="shared" ref="Q196" si="952">F196*P196</f>
        <v>-319083.30584414647</v>
      </c>
      <c r="R196">
        <f t="shared" ref="R196" si="953">R197+Q196</f>
        <v>-371308732.78526181</v>
      </c>
      <c r="S196">
        <f t="shared" ref="S196" si="954">R196/100000</f>
        <v>-3713.0873278526183</v>
      </c>
      <c r="T196">
        <f t="shared" si="934"/>
        <v>-3.7130873278526182</v>
      </c>
    </row>
    <row r="197" spans="1:20" x14ac:dyDescent="0.25">
      <c r="A197" s="5">
        <v>44396</v>
      </c>
      <c r="B197">
        <v>0.67810000000000004</v>
      </c>
      <c r="C197">
        <v>0.68169999999999997</v>
      </c>
      <c r="D197">
        <v>0.61460000000000004</v>
      </c>
      <c r="E197">
        <v>0.61960000000000004</v>
      </c>
      <c r="F197">
        <v>1534666.43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-0.85096870342771957</v>
      </c>
      <c r="Q197">
        <f t="shared" ref="Q197" si="956">F197*P197</f>
        <v>-1305953.1021311472</v>
      </c>
      <c r="R197">
        <f t="shared" ref="R197" si="957">R198+Q197</f>
        <v>-370989649.47941768</v>
      </c>
      <c r="S197">
        <f t="shared" ref="S197" si="958">R197/100000</f>
        <v>-3709.8964947941768</v>
      </c>
      <c r="T197">
        <f t="shared" si="934"/>
        <v>-3.7098964947941768</v>
      </c>
    </row>
    <row r="198" spans="1:20" x14ac:dyDescent="0.25">
      <c r="A198" s="5">
        <v>44395</v>
      </c>
      <c r="B198">
        <v>0.67459999999999998</v>
      </c>
      <c r="C198">
        <v>0.70489999999999997</v>
      </c>
      <c r="D198">
        <v>0.66610000000000003</v>
      </c>
      <c r="E198">
        <v>0.67969999999999997</v>
      </c>
      <c r="F198">
        <v>2083493.93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59">IF(C198=D198,0,((E198-D198)-(C198-E198))/(C198-D198))</f>
        <v>-0.29896907216495028</v>
      </c>
      <c r="Q198">
        <f t="shared" ref="Q198:Q261" si="960">F198*P198</f>
        <v>-622900.24711340584</v>
      </c>
      <c r="R198">
        <f t="shared" ref="R198:R261" si="961">R199+Q198</f>
        <v>-369683696.37728655</v>
      </c>
      <c r="S198">
        <f t="shared" ref="S198:S261" si="962">R198/100000</f>
        <v>-3696.8369637728656</v>
      </c>
      <c r="T198">
        <f t="shared" ref="T198:T261" si="963">S198/1000</f>
        <v>-3.6968369637728657</v>
      </c>
    </row>
    <row r="199" spans="1:20" x14ac:dyDescent="0.25">
      <c r="A199" s="5">
        <v>44394</v>
      </c>
      <c r="B199">
        <v>0.6764</v>
      </c>
      <c r="C199">
        <v>0.69850000000000001</v>
      </c>
      <c r="D199">
        <v>0.66269999999999996</v>
      </c>
      <c r="E199">
        <v>0.67449999999999999</v>
      </c>
      <c r="F199">
        <v>2589641.36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-0.34078212290502707</v>
      </c>
      <c r="Q199">
        <f t="shared" si="960"/>
        <v>-882503.4802234614</v>
      </c>
      <c r="R199">
        <f t="shared" si="961"/>
        <v>-369060796.13017315</v>
      </c>
      <c r="S199">
        <f t="shared" si="962"/>
        <v>-3690.6079613017314</v>
      </c>
      <c r="T199">
        <f t="shared" si="963"/>
        <v>-3.6906079613017315</v>
      </c>
    </row>
    <row r="200" spans="1:20" x14ac:dyDescent="0.25">
      <c r="A200" s="5">
        <v>44393</v>
      </c>
      <c r="B200">
        <v>0.66610000000000003</v>
      </c>
      <c r="C200">
        <v>0.75</v>
      </c>
      <c r="D200">
        <v>0.66</v>
      </c>
      <c r="E200">
        <v>0.67520000000000002</v>
      </c>
      <c r="F200">
        <v>8954913.3399999999</v>
      </c>
      <c r="G200">
        <v>0</v>
      </c>
      <c r="L200" t="s">
        <v>8</v>
      </c>
      <c r="M200" t="s">
        <v>7</v>
      </c>
      <c r="N200" t="s">
        <v>7</v>
      </c>
      <c r="P200">
        <f t="shared" si="959"/>
        <v>-0.66222222222222227</v>
      </c>
      <c r="Q200">
        <f t="shared" si="960"/>
        <v>-5930142.6118222224</v>
      </c>
      <c r="R200">
        <f t="shared" si="961"/>
        <v>-368178292.64994967</v>
      </c>
      <c r="S200">
        <f t="shared" si="962"/>
        <v>-3681.7829264994966</v>
      </c>
      <c r="T200">
        <f t="shared" si="963"/>
        <v>-3.6817829264994968</v>
      </c>
    </row>
    <row r="201" spans="1:20" x14ac:dyDescent="0.25">
      <c r="A201" s="5">
        <v>44392</v>
      </c>
      <c r="B201">
        <v>0.69420000000000004</v>
      </c>
      <c r="C201">
        <v>0.71</v>
      </c>
      <c r="D201">
        <v>0.65359999999999996</v>
      </c>
      <c r="E201">
        <v>0.66610000000000003</v>
      </c>
      <c r="F201">
        <v>2926189.71</v>
      </c>
      <c r="G201">
        <v>0</v>
      </c>
      <c r="L201" t="s">
        <v>8</v>
      </c>
      <c r="M201" t="s">
        <v>7</v>
      </c>
      <c r="N201" t="s">
        <v>7</v>
      </c>
      <c r="P201">
        <f t="shared" si="959"/>
        <v>-0.55673758865247991</v>
      </c>
      <c r="Q201">
        <f t="shared" si="960"/>
        <v>-1629119.8030850994</v>
      </c>
      <c r="R201">
        <f t="shared" si="961"/>
        <v>-362248150.03812742</v>
      </c>
      <c r="S201">
        <f t="shared" si="962"/>
        <v>-3622.4815003812741</v>
      </c>
      <c r="T201">
        <f t="shared" si="963"/>
        <v>-3.6224815003812743</v>
      </c>
    </row>
    <row r="202" spans="1:20" x14ac:dyDescent="0.25">
      <c r="A202" s="5">
        <v>44391</v>
      </c>
      <c r="B202">
        <v>0.72640000000000005</v>
      </c>
      <c r="C202">
        <v>0.73170000000000002</v>
      </c>
      <c r="D202">
        <v>0.65800000000000003</v>
      </c>
      <c r="E202">
        <v>0.69389999999999996</v>
      </c>
      <c r="F202">
        <v>2752199.91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-2.578018995929612E-2</v>
      </c>
      <c r="Q202">
        <f t="shared" si="960"/>
        <v>-70952.23648575769</v>
      </c>
      <c r="R202">
        <f t="shared" si="961"/>
        <v>-360619030.23504233</v>
      </c>
      <c r="S202">
        <f t="shared" si="962"/>
        <v>-3606.1903023504233</v>
      </c>
      <c r="T202">
        <f t="shared" si="963"/>
        <v>-3.6061903023504231</v>
      </c>
    </row>
    <row r="203" spans="1:20" x14ac:dyDescent="0.25">
      <c r="A203" s="5">
        <v>44390</v>
      </c>
      <c r="B203">
        <v>0.70209999999999995</v>
      </c>
      <c r="C203">
        <v>0.77510000000000001</v>
      </c>
      <c r="D203">
        <v>0.67669999999999997</v>
      </c>
      <c r="E203">
        <v>0.72629999999999995</v>
      </c>
      <c r="F203">
        <v>5756520.0899999999</v>
      </c>
      <c r="G203">
        <v>0</v>
      </c>
      <c r="L203" t="s">
        <v>7</v>
      </c>
      <c r="M203" t="s">
        <v>7</v>
      </c>
      <c r="N203" t="s">
        <v>7</v>
      </c>
      <c r="P203">
        <f t="shared" si="959"/>
        <v>8.1300813008121087E-3</v>
      </c>
      <c r="Q203">
        <f t="shared" si="960"/>
        <v>46800.976341458234</v>
      </c>
      <c r="R203">
        <f t="shared" si="961"/>
        <v>-360548077.99855655</v>
      </c>
      <c r="S203">
        <f t="shared" si="962"/>
        <v>-3605.4807799855657</v>
      </c>
      <c r="T203">
        <f t="shared" si="963"/>
        <v>-3.6054807799855659</v>
      </c>
    </row>
    <row r="204" spans="1:20" x14ac:dyDescent="0.25">
      <c r="A204" s="5">
        <v>44389</v>
      </c>
      <c r="B204">
        <v>0.72629999999999995</v>
      </c>
      <c r="C204">
        <v>0.78949999999999998</v>
      </c>
      <c r="D204">
        <v>0.68559999999999999</v>
      </c>
      <c r="E204">
        <v>0.70120000000000005</v>
      </c>
      <c r="F204">
        <v>7003398.3499999996</v>
      </c>
      <c r="G204">
        <v>0</v>
      </c>
      <c r="L204" t="s">
        <v>8</v>
      </c>
      <c r="M204" t="s">
        <v>8</v>
      </c>
      <c r="N204" t="s">
        <v>7</v>
      </c>
      <c r="P204">
        <f t="shared" si="959"/>
        <v>-0.69971126082771784</v>
      </c>
      <c r="Q204">
        <f t="shared" si="960"/>
        <v>-4900356.689557258</v>
      </c>
      <c r="R204">
        <f t="shared" si="961"/>
        <v>-360594878.97489804</v>
      </c>
      <c r="S204">
        <f t="shared" si="962"/>
        <v>-3605.9487897489803</v>
      </c>
      <c r="T204">
        <f t="shared" si="963"/>
        <v>-3.6059487897489801</v>
      </c>
    </row>
    <row r="205" spans="1:20" x14ac:dyDescent="0.25">
      <c r="A205" s="5">
        <v>44388</v>
      </c>
      <c r="B205">
        <v>0.67159999999999997</v>
      </c>
      <c r="C205">
        <v>0.74219999999999997</v>
      </c>
      <c r="D205">
        <v>0.66659999999999997</v>
      </c>
      <c r="E205">
        <v>0.72599999999999998</v>
      </c>
      <c r="F205">
        <v>4418088.67</v>
      </c>
      <c r="G205">
        <v>0</v>
      </c>
      <c r="L205" t="s">
        <v>8</v>
      </c>
      <c r="M205" t="s">
        <v>7</v>
      </c>
      <c r="N205" t="s">
        <v>7</v>
      </c>
      <c r="P205">
        <f t="shared" si="959"/>
        <v>0.57142857142857162</v>
      </c>
      <c r="Q205">
        <f t="shared" si="960"/>
        <v>2524622.097142858</v>
      </c>
      <c r="R205">
        <f t="shared" si="961"/>
        <v>-355694522.28534079</v>
      </c>
      <c r="S205">
        <f t="shared" si="962"/>
        <v>-3556.9452228534078</v>
      </c>
      <c r="T205">
        <f t="shared" si="963"/>
        <v>-3.556945222853408</v>
      </c>
    </row>
    <row r="206" spans="1:20" x14ac:dyDescent="0.25">
      <c r="A206" s="5">
        <v>44387</v>
      </c>
      <c r="B206">
        <v>0.69510000000000005</v>
      </c>
      <c r="C206">
        <v>0.70699999999999996</v>
      </c>
      <c r="D206">
        <v>0.65290000000000004</v>
      </c>
      <c r="E206">
        <v>0.67120000000000002</v>
      </c>
      <c r="F206">
        <v>2022327.13</v>
      </c>
      <c r="G206">
        <v>0</v>
      </c>
      <c r="L206" t="s">
        <v>7</v>
      </c>
      <c r="M206" t="s">
        <v>7</v>
      </c>
      <c r="N206" t="s">
        <v>7</v>
      </c>
      <c r="P206">
        <f t="shared" si="959"/>
        <v>-0.3234750462107206</v>
      </c>
      <c r="Q206">
        <f t="shared" si="960"/>
        <v>-654172.36182994395</v>
      </c>
      <c r="R206">
        <f t="shared" si="961"/>
        <v>-358219144.38248366</v>
      </c>
      <c r="S206">
        <f t="shared" si="962"/>
        <v>-3582.1914438248368</v>
      </c>
      <c r="T206">
        <f t="shared" si="963"/>
        <v>-3.5821914438248368</v>
      </c>
    </row>
    <row r="207" spans="1:20" x14ac:dyDescent="0.25">
      <c r="A207" s="5">
        <v>44386</v>
      </c>
      <c r="B207">
        <v>0.69589999999999996</v>
      </c>
      <c r="C207">
        <v>0.71379999999999999</v>
      </c>
      <c r="D207">
        <v>0.67400000000000004</v>
      </c>
      <c r="E207">
        <v>0.69669999999999999</v>
      </c>
      <c r="F207">
        <v>1848066.16</v>
      </c>
      <c r="G207">
        <v>0</v>
      </c>
      <c r="L207" t="s">
        <v>7</v>
      </c>
      <c r="M207" t="s">
        <v>7</v>
      </c>
      <c r="N207" t="s">
        <v>7</v>
      </c>
      <c r="P207">
        <f t="shared" si="959"/>
        <v>0.14070351758793834</v>
      </c>
      <c r="Q207">
        <f t="shared" si="960"/>
        <v>260029.40944723366</v>
      </c>
      <c r="R207">
        <f t="shared" si="961"/>
        <v>-357564972.02065372</v>
      </c>
      <c r="S207">
        <f t="shared" si="962"/>
        <v>-3575.649720206537</v>
      </c>
      <c r="T207">
        <f t="shared" si="963"/>
        <v>-3.5756497202065369</v>
      </c>
    </row>
    <row r="208" spans="1:20" x14ac:dyDescent="0.25">
      <c r="A208" s="5">
        <v>44385</v>
      </c>
      <c r="B208">
        <v>0.71919999999999995</v>
      </c>
      <c r="C208">
        <v>0.72230000000000005</v>
      </c>
      <c r="D208">
        <v>0.68300000000000005</v>
      </c>
      <c r="E208">
        <v>0.69569999999999999</v>
      </c>
      <c r="F208">
        <v>2904971.52</v>
      </c>
      <c r="G208">
        <v>0</v>
      </c>
      <c r="L208" t="s">
        <v>7</v>
      </c>
      <c r="M208" t="s">
        <v>7</v>
      </c>
      <c r="N208" t="s">
        <v>7</v>
      </c>
      <c r="P208">
        <f t="shared" si="959"/>
        <v>-0.35368956743002883</v>
      </c>
      <c r="Q208">
        <f t="shared" si="960"/>
        <v>-1027458.1203053533</v>
      </c>
      <c r="R208">
        <f t="shared" si="961"/>
        <v>-357825001.43010098</v>
      </c>
      <c r="S208">
        <f t="shared" si="962"/>
        <v>-3578.2500143010097</v>
      </c>
      <c r="T208">
        <f t="shared" si="963"/>
        <v>-3.5782500143010099</v>
      </c>
    </row>
    <row r="209" spans="1:20" x14ac:dyDescent="0.25">
      <c r="A209" s="5">
        <v>44384</v>
      </c>
      <c r="B209">
        <v>0.71360000000000001</v>
      </c>
      <c r="C209">
        <v>0.76380000000000003</v>
      </c>
      <c r="D209">
        <v>0.70879999999999999</v>
      </c>
      <c r="E209">
        <v>0.71989999999999998</v>
      </c>
      <c r="F209">
        <v>5388158.96</v>
      </c>
      <c r="G209">
        <v>0</v>
      </c>
      <c r="L209" t="s">
        <v>8</v>
      </c>
      <c r="M209" t="s">
        <v>7</v>
      </c>
      <c r="N209" t="s">
        <v>7</v>
      </c>
      <c r="P209">
        <f t="shared" si="959"/>
        <v>-0.59636363636363676</v>
      </c>
      <c r="Q209">
        <f t="shared" si="960"/>
        <v>-3213302.0706909113</v>
      </c>
      <c r="R209">
        <f t="shared" si="961"/>
        <v>-356797543.30979562</v>
      </c>
      <c r="S209">
        <f t="shared" si="962"/>
        <v>-3567.9754330979563</v>
      </c>
      <c r="T209">
        <f t="shared" si="963"/>
        <v>-3.5679754330979563</v>
      </c>
    </row>
    <row r="210" spans="1:20" x14ac:dyDescent="0.25">
      <c r="A210" s="5">
        <v>44383</v>
      </c>
      <c r="B210">
        <v>0.71020000000000005</v>
      </c>
      <c r="C210">
        <v>0.75</v>
      </c>
      <c r="D210">
        <v>0.7036</v>
      </c>
      <c r="E210">
        <v>0.71360000000000001</v>
      </c>
      <c r="F210">
        <v>3974450.68</v>
      </c>
      <c r="G210">
        <v>0</v>
      </c>
      <c r="L210" t="s">
        <v>7</v>
      </c>
      <c r="M210" t="s">
        <v>7</v>
      </c>
      <c r="N210" t="s">
        <v>7</v>
      </c>
      <c r="P210">
        <f t="shared" si="959"/>
        <v>-0.56896551724137889</v>
      </c>
      <c r="Q210">
        <f t="shared" si="960"/>
        <v>-2261325.3868965502</v>
      </c>
      <c r="R210">
        <f t="shared" si="961"/>
        <v>-353584241.23910469</v>
      </c>
      <c r="S210">
        <f t="shared" si="962"/>
        <v>-3535.8424123910468</v>
      </c>
      <c r="T210">
        <f t="shared" si="963"/>
        <v>-3.5358424123910468</v>
      </c>
    </row>
    <row r="211" spans="1:20" x14ac:dyDescent="0.25">
      <c r="A211" s="5">
        <v>44382</v>
      </c>
      <c r="B211">
        <v>0.7278</v>
      </c>
      <c r="C211">
        <v>0.76270000000000004</v>
      </c>
      <c r="D211">
        <v>0.68769999999999998</v>
      </c>
      <c r="E211">
        <v>0.71</v>
      </c>
      <c r="F211">
        <v>8032000.29</v>
      </c>
      <c r="G211">
        <v>0</v>
      </c>
      <c r="L211" t="s">
        <v>8</v>
      </c>
      <c r="M211" t="s">
        <v>7</v>
      </c>
      <c r="N211" t="s">
        <v>7</v>
      </c>
      <c r="P211">
        <f t="shared" si="959"/>
        <v>-0.40533333333333421</v>
      </c>
      <c r="Q211">
        <f t="shared" si="960"/>
        <v>-3255637.4508800069</v>
      </c>
      <c r="R211">
        <f t="shared" si="961"/>
        <v>-351322915.85220814</v>
      </c>
      <c r="S211">
        <f t="shared" si="962"/>
        <v>-3513.2291585220814</v>
      </c>
      <c r="T211">
        <f t="shared" si="963"/>
        <v>-3.5132291585220816</v>
      </c>
    </row>
    <row r="212" spans="1:20" x14ac:dyDescent="0.25">
      <c r="A212" s="5">
        <v>44381</v>
      </c>
      <c r="B212">
        <v>0.71399999999999997</v>
      </c>
      <c r="C212">
        <v>0.75590000000000002</v>
      </c>
      <c r="D212">
        <v>0.70250000000000001</v>
      </c>
      <c r="E212">
        <v>0.72850000000000004</v>
      </c>
      <c r="F212">
        <v>3937904.49</v>
      </c>
      <c r="G212">
        <v>0</v>
      </c>
      <c r="L212" t="s">
        <v>8</v>
      </c>
      <c r="M212" t="s">
        <v>7</v>
      </c>
      <c r="N212" t="s">
        <v>7</v>
      </c>
      <c r="P212">
        <f t="shared" si="959"/>
        <v>-2.6217228464418665E-2</v>
      </c>
      <c r="Q212">
        <f t="shared" si="960"/>
        <v>-103240.94168539008</v>
      </c>
      <c r="R212">
        <f t="shared" si="961"/>
        <v>-348067278.40132815</v>
      </c>
      <c r="S212">
        <f t="shared" si="962"/>
        <v>-3480.6727840132817</v>
      </c>
      <c r="T212">
        <f t="shared" si="963"/>
        <v>-3.4806727840132816</v>
      </c>
    </row>
    <row r="213" spans="1:20" x14ac:dyDescent="0.25">
      <c r="A213" s="5">
        <v>44380</v>
      </c>
      <c r="B213">
        <v>0.71799999999999997</v>
      </c>
      <c r="C213">
        <v>0.73319999999999996</v>
      </c>
      <c r="D213">
        <v>0.70230000000000004</v>
      </c>
      <c r="E213">
        <v>0.71509999999999996</v>
      </c>
      <c r="F213">
        <v>3266737.78</v>
      </c>
      <c r="G213">
        <v>0</v>
      </c>
      <c r="L213" t="s">
        <v>8</v>
      </c>
      <c r="M213" t="s">
        <v>7</v>
      </c>
      <c r="N213" t="s">
        <v>7</v>
      </c>
      <c r="P213">
        <f t="shared" si="959"/>
        <v>-0.17152103559870857</v>
      </c>
      <c r="Q213">
        <f t="shared" si="960"/>
        <v>-560314.24705502612</v>
      </c>
      <c r="R213">
        <f t="shared" si="961"/>
        <v>-347964037.45964277</v>
      </c>
      <c r="S213">
        <f t="shared" si="962"/>
        <v>-3479.6403745964276</v>
      </c>
      <c r="T213">
        <f t="shared" si="963"/>
        <v>-3.4796403745964275</v>
      </c>
    </row>
    <row r="214" spans="1:20" x14ac:dyDescent="0.25">
      <c r="A214" s="5">
        <v>44379</v>
      </c>
      <c r="B214">
        <v>0.70079999999999998</v>
      </c>
      <c r="C214">
        <v>0.71989999999999998</v>
      </c>
      <c r="D214">
        <v>0.6714</v>
      </c>
      <c r="E214">
        <v>0.71779999999999999</v>
      </c>
      <c r="F214">
        <v>5571873.8899999997</v>
      </c>
      <c r="G214">
        <v>0</v>
      </c>
      <c r="L214" t="s">
        <v>7</v>
      </c>
      <c r="M214" t="s">
        <v>7</v>
      </c>
      <c r="N214" t="s">
        <v>7</v>
      </c>
      <c r="P214">
        <f t="shared" si="959"/>
        <v>0.91340206185567041</v>
      </c>
      <c r="Q214">
        <f t="shared" si="960"/>
        <v>5089361.0995257748</v>
      </c>
      <c r="R214">
        <f t="shared" si="961"/>
        <v>-347403723.21258771</v>
      </c>
      <c r="S214">
        <f t="shared" si="962"/>
        <v>-3474.0372321258769</v>
      </c>
      <c r="T214">
        <f t="shared" si="963"/>
        <v>-3.4740372321258768</v>
      </c>
    </row>
    <row r="215" spans="1:20" x14ac:dyDescent="0.25">
      <c r="A215" s="5">
        <v>44378</v>
      </c>
      <c r="B215">
        <v>0.74750000000000005</v>
      </c>
      <c r="C215">
        <v>0.74960000000000004</v>
      </c>
      <c r="D215">
        <v>0.68359999999999999</v>
      </c>
      <c r="E215">
        <v>0.70189999999999997</v>
      </c>
      <c r="F215">
        <v>8523142.6199999992</v>
      </c>
      <c r="G215">
        <v>0</v>
      </c>
      <c r="L215" t="s">
        <v>7</v>
      </c>
      <c r="M215" t="s">
        <v>7</v>
      </c>
      <c r="N215" t="s">
        <v>7</v>
      </c>
      <c r="P215">
        <f t="shared" si="959"/>
        <v>-0.44545454545454649</v>
      </c>
      <c r="Q215">
        <f t="shared" si="960"/>
        <v>-3796672.6216363721</v>
      </c>
      <c r="R215">
        <f t="shared" si="961"/>
        <v>-352493084.31211346</v>
      </c>
      <c r="S215">
        <f t="shared" si="962"/>
        <v>-3524.9308431211348</v>
      </c>
      <c r="T215">
        <f t="shared" si="963"/>
        <v>-3.5249308431211346</v>
      </c>
    </row>
    <row r="216" spans="1:20" x14ac:dyDescent="0.25">
      <c r="A216" s="5">
        <v>44377</v>
      </c>
      <c r="B216">
        <v>0.7681</v>
      </c>
      <c r="C216">
        <v>0.77949999999999997</v>
      </c>
      <c r="D216">
        <v>0.70520000000000005</v>
      </c>
      <c r="E216">
        <v>0.74770000000000003</v>
      </c>
      <c r="F216">
        <v>6773100.79</v>
      </c>
      <c r="G216">
        <v>0</v>
      </c>
      <c r="L216" t="s">
        <v>7</v>
      </c>
      <c r="M216" t="s">
        <v>7</v>
      </c>
      <c r="N216" t="s">
        <v>7</v>
      </c>
      <c r="P216">
        <f t="shared" si="959"/>
        <v>0.14401076716016223</v>
      </c>
      <c r="Q216">
        <f t="shared" si="960"/>
        <v>975399.44082100084</v>
      </c>
      <c r="R216">
        <f t="shared" si="961"/>
        <v>-348696411.69047707</v>
      </c>
      <c r="S216">
        <f t="shared" si="962"/>
        <v>-3486.9641169047709</v>
      </c>
      <c r="T216">
        <f t="shared" si="963"/>
        <v>-3.4869641169047707</v>
      </c>
    </row>
    <row r="217" spans="1:20" x14ac:dyDescent="0.25">
      <c r="A217" s="5">
        <v>44376</v>
      </c>
      <c r="B217">
        <v>0.7611</v>
      </c>
      <c r="C217">
        <v>0.83799999999999997</v>
      </c>
      <c r="D217">
        <v>0.75209999999999999</v>
      </c>
      <c r="E217">
        <v>0.7671</v>
      </c>
      <c r="F217">
        <v>9998866.4399999995</v>
      </c>
      <c r="G217">
        <v>0</v>
      </c>
      <c r="L217" t="s">
        <v>8</v>
      </c>
      <c r="M217" t="s">
        <v>8</v>
      </c>
      <c r="N217" t="s">
        <v>7</v>
      </c>
      <c r="P217">
        <f t="shared" si="959"/>
        <v>-0.65075669383003454</v>
      </c>
      <c r="Q217">
        <f t="shared" si="960"/>
        <v>-6506829.2665424868</v>
      </c>
      <c r="R217">
        <f t="shared" si="961"/>
        <v>-349671811.13129807</v>
      </c>
      <c r="S217">
        <f t="shared" si="962"/>
        <v>-3496.7181113129805</v>
      </c>
      <c r="T217">
        <f t="shared" si="963"/>
        <v>-3.4967181113129806</v>
      </c>
    </row>
    <row r="218" spans="1:20" x14ac:dyDescent="0.25">
      <c r="A218" s="5">
        <v>44375</v>
      </c>
      <c r="B218">
        <v>0.76590000000000003</v>
      </c>
      <c r="C218">
        <v>0.80110000000000003</v>
      </c>
      <c r="D218">
        <v>0.73499999999999999</v>
      </c>
      <c r="E218">
        <v>0.7611</v>
      </c>
      <c r="F218">
        <v>7972990.4800000004</v>
      </c>
      <c r="G218">
        <v>0</v>
      </c>
      <c r="L218" t="s">
        <v>7</v>
      </c>
      <c r="M218" t="s">
        <v>8</v>
      </c>
      <c r="N218" t="s">
        <v>7</v>
      </c>
      <c r="P218">
        <f t="shared" si="959"/>
        <v>-0.21028744326777629</v>
      </c>
      <c r="Q218">
        <f t="shared" si="960"/>
        <v>-1676619.7832375206</v>
      </c>
      <c r="R218">
        <f t="shared" si="961"/>
        <v>-343164981.86475557</v>
      </c>
      <c r="S218">
        <f t="shared" si="962"/>
        <v>-3431.6498186475555</v>
      </c>
      <c r="T218">
        <f t="shared" si="963"/>
        <v>-3.4316498186475557</v>
      </c>
    </row>
    <row r="219" spans="1:20" x14ac:dyDescent="0.25">
      <c r="A219" s="5">
        <v>44374</v>
      </c>
      <c r="B219">
        <v>0.67479999999999996</v>
      </c>
      <c r="C219">
        <v>0.84099999999999997</v>
      </c>
      <c r="D219">
        <v>0.66769999999999996</v>
      </c>
      <c r="E219">
        <v>0.76500000000000001</v>
      </c>
      <c r="F219">
        <v>19153869.370000001</v>
      </c>
      <c r="G219">
        <v>0</v>
      </c>
      <c r="L219" t="s">
        <v>8</v>
      </c>
      <c r="M219" t="s">
        <v>8</v>
      </c>
      <c r="N219" t="s">
        <v>7</v>
      </c>
      <c r="P219">
        <f t="shared" si="959"/>
        <v>0.12290825158684418</v>
      </c>
      <c r="Q219">
        <f t="shared" si="960"/>
        <v>2354168.5953895086</v>
      </c>
      <c r="R219">
        <f t="shared" si="961"/>
        <v>-341488362.08151805</v>
      </c>
      <c r="S219">
        <f t="shared" si="962"/>
        <v>-3414.8836208151806</v>
      </c>
      <c r="T219">
        <f t="shared" si="963"/>
        <v>-3.4148836208151807</v>
      </c>
    </row>
    <row r="220" spans="1:20" x14ac:dyDescent="0.25">
      <c r="A220" s="5">
        <v>44373</v>
      </c>
      <c r="B220">
        <v>0.70389999999999997</v>
      </c>
      <c r="C220">
        <v>0.72099999999999997</v>
      </c>
      <c r="D220">
        <v>0.64239999999999997</v>
      </c>
      <c r="E220">
        <v>0.67400000000000004</v>
      </c>
      <c r="F220">
        <v>9715158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-0.19592875318065978</v>
      </c>
      <c r="Q220">
        <f t="shared" si="960"/>
        <v>-1903478.7938931123</v>
      </c>
      <c r="R220">
        <f t="shared" si="961"/>
        <v>-343842530.67690754</v>
      </c>
      <c r="S220">
        <f t="shared" si="962"/>
        <v>-3438.4253067690752</v>
      </c>
      <c r="T220">
        <f t="shared" si="963"/>
        <v>-3.4384253067690751</v>
      </c>
    </row>
    <row r="221" spans="1:20" x14ac:dyDescent="0.25">
      <c r="A221" s="5">
        <v>44372</v>
      </c>
      <c r="B221">
        <v>0.80359999999999998</v>
      </c>
      <c r="C221">
        <v>0.84399999999999997</v>
      </c>
      <c r="D221">
        <v>0.6835</v>
      </c>
      <c r="E221">
        <v>0.70309999999999995</v>
      </c>
      <c r="F221">
        <v>26579671.25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-0.75576323987538996</v>
      </c>
      <c r="Q221">
        <f t="shared" si="960"/>
        <v>-20087938.458722755</v>
      </c>
      <c r="R221">
        <f t="shared" si="961"/>
        <v>-341939051.88301444</v>
      </c>
      <c r="S221">
        <f t="shared" si="962"/>
        <v>-3419.3905188301446</v>
      </c>
      <c r="T221">
        <f t="shared" si="963"/>
        <v>-3.4193905188301446</v>
      </c>
    </row>
    <row r="222" spans="1:20" x14ac:dyDescent="0.25">
      <c r="A222" s="5">
        <v>44371</v>
      </c>
      <c r="B222">
        <v>0.80120000000000002</v>
      </c>
      <c r="C222">
        <v>0.8085</v>
      </c>
      <c r="D222">
        <v>0.755</v>
      </c>
      <c r="E222">
        <v>0.80310000000000004</v>
      </c>
      <c r="F222">
        <v>30452812.550000001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0.79813084112149679</v>
      </c>
      <c r="Q222">
        <f t="shared" si="960"/>
        <v>24305328.895046774</v>
      </c>
      <c r="R222">
        <f t="shared" si="961"/>
        <v>-321851113.42429167</v>
      </c>
      <c r="S222">
        <f t="shared" si="962"/>
        <v>-3218.5111342429168</v>
      </c>
      <c r="T222">
        <f t="shared" si="963"/>
        <v>-3.2185111342429167</v>
      </c>
    </row>
    <row r="223" spans="1:20" x14ac:dyDescent="0.25">
      <c r="A223" s="5">
        <v>44370</v>
      </c>
      <c r="B223">
        <v>0.74480000000000002</v>
      </c>
      <c r="C223">
        <v>0.87490000000000001</v>
      </c>
      <c r="D223">
        <v>0.70750000000000002</v>
      </c>
      <c r="E223">
        <v>0.80120000000000002</v>
      </c>
      <c r="F223">
        <v>33318232.309999999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0.11947431302270023</v>
      </c>
      <c r="Q223">
        <f t="shared" si="960"/>
        <v>3980672.9163679844</v>
      </c>
      <c r="R223">
        <f t="shared" si="961"/>
        <v>-346156442.31933844</v>
      </c>
      <c r="S223">
        <f t="shared" si="962"/>
        <v>-3461.5644231933843</v>
      </c>
      <c r="T223">
        <f t="shared" si="963"/>
        <v>-3.4615644231933844</v>
      </c>
    </row>
    <row r="224" spans="1:20" x14ac:dyDescent="0.25">
      <c r="A224" s="5">
        <v>44369</v>
      </c>
      <c r="B224">
        <v>0.8165</v>
      </c>
      <c r="C224">
        <v>0.91500000000000004</v>
      </c>
      <c r="D224">
        <v>0.64</v>
      </c>
      <c r="E224">
        <v>0.74480000000000002</v>
      </c>
      <c r="F224">
        <v>44342929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-0.23781818181818185</v>
      </c>
      <c r="Q224">
        <f t="shared" si="960"/>
        <v>-10545554.751272729</v>
      </c>
      <c r="R224">
        <f t="shared" si="961"/>
        <v>-350137115.23570645</v>
      </c>
      <c r="S224">
        <f t="shared" si="962"/>
        <v>-3501.3711523570646</v>
      </c>
      <c r="T224">
        <f t="shared" si="963"/>
        <v>-3.5013711523570645</v>
      </c>
    </row>
    <row r="225" spans="1:20" x14ac:dyDescent="0.25">
      <c r="A225" s="5">
        <v>44368</v>
      </c>
      <c r="B225">
        <v>1.0197000000000001</v>
      </c>
      <c r="C225">
        <v>1.079</v>
      </c>
      <c r="D225">
        <v>0.81599999999999995</v>
      </c>
      <c r="E225">
        <v>0.81659999999999999</v>
      </c>
      <c r="F225">
        <v>45888150.460000001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-0.99543726235741414</v>
      </c>
      <c r="Q225">
        <f t="shared" si="960"/>
        <v>-45678774.868547514</v>
      </c>
      <c r="R225">
        <f t="shared" si="961"/>
        <v>-339591560.48443371</v>
      </c>
      <c r="S225">
        <f t="shared" si="962"/>
        <v>-3395.9156048443369</v>
      </c>
      <c r="T225">
        <f t="shared" si="963"/>
        <v>-3.3959156048443369</v>
      </c>
    </row>
    <row r="226" spans="1:20" x14ac:dyDescent="0.25">
      <c r="A226" s="5">
        <v>44367</v>
      </c>
      <c r="B226">
        <v>0.95799999999999996</v>
      </c>
      <c r="C226">
        <v>1.0871</v>
      </c>
      <c r="D226">
        <v>0.86209999999999998</v>
      </c>
      <c r="E226">
        <v>1.0185999999999999</v>
      </c>
      <c r="F226">
        <v>37734548.399999999</v>
      </c>
      <c r="G226">
        <v>0</v>
      </c>
      <c r="L226" t="s">
        <v>7</v>
      </c>
      <c r="M226" t="s">
        <v>7</v>
      </c>
      <c r="N226" t="s">
        <v>8</v>
      </c>
      <c r="P226">
        <f t="shared" si="959"/>
        <v>0.39111111111111102</v>
      </c>
      <c r="Q226">
        <f t="shared" si="960"/>
        <v>14758401.151999995</v>
      </c>
      <c r="R226">
        <f t="shared" si="961"/>
        <v>-293912785.61588621</v>
      </c>
      <c r="S226">
        <f t="shared" si="962"/>
        <v>-2939.127856158862</v>
      </c>
      <c r="T226">
        <f t="shared" si="963"/>
        <v>-2.9391278561588621</v>
      </c>
    </row>
    <row r="227" spans="1:20" x14ac:dyDescent="0.25">
      <c r="A227" s="5">
        <v>44366</v>
      </c>
      <c r="B227">
        <v>0.87119999999999997</v>
      </c>
      <c r="C227">
        <v>1.1220000000000001</v>
      </c>
      <c r="D227">
        <v>0.86109999999999998</v>
      </c>
      <c r="E227">
        <v>0.95799999999999996</v>
      </c>
      <c r="F227">
        <v>58470000.020000003</v>
      </c>
      <c r="G227">
        <v>0</v>
      </c>
      <c r="L227" t="s">
        <v>8</v>
      </c>
      <c r="M227" t="s">
        <v>8</v>
      </c>
      <c r="N227" t="s">
        <v>8</v>
      </c>
      <c r="P227">
        <f t="shared" si="959"/>
        <v>-0.25718666155615227</v>
      </c>
      <c r="Q227">
        <f t="shared" si="960"/>
        <v>-15037704.106331958</v>
      </c>
      <c r="R227">
        <f t="shared" si="961"/>
        <v>-308671186.76788622</v>
      </c>
      <c r="S227">
        <f t="shared" si="962"/>
        <v>-3086.7118676788623</v>
      </c>
      <c r="T227">
        <f t="shared" si="963"/>
        <v>-3.0867118676788623</v>
      </c>
    </row>
    <row r="228" spans="1:20" x14ac:dyDescent="0.25">
      <c r="A228" s="5">
        <v>44365</v>
      </c>
      <c r="B228">
        <v>0.95340000000000003</v>
      </c>
      <c r="C228">
        <v>0.99719999999999998</v>
      </c>
      <c r="D228">
        <v>0.82509999999999994</v>
      </c>
      <c r="E228">
        <v>0.871</v>
      </c>
      <c r="F228">
        <v>12175739.279999999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-0.46658919233004015</v>
      </c>
      <c r="Q228">
        <f t="shared" si="960"/>
        <v>-5681068.3566763438</v>
      </c>
      <c r="R228">
        <f t="shared" si="961"/>
        <v>-293633482.66155428</v>
      </c>
      <c r="S228">
        <f t="shared" si="962"/>
        <v>-2936.3348266155426</v>
      </c>
      <c r="T228">
        <f t="shared" si="963"/>
        <v>-2.9363348266155427</v>
      </c>
    </row>
    <row r="229" spans="1:20" x14ac:dyDescent="0.25">
      <c r="A229" s="5">
        <v>44364</v>
      </c>
      <c r="B229">
        <v>0.99780000000000002</v>
      </c>
      <c r="C229">
        <v>1.06</v>
      </c>
      <c r="D229">
        <v>0.93149999999999999</v>
      </c>
      <c r="E229">
        <v>0.95189999999999997</v>
      </c>
      <c r="F229">
        <v>23736184.07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-0.68249027237354143</v>
      </c>
      <c r="Q229">
        <f t="shared" si="960"/>
        <v>-16199714.731042815</v>
      </c>
      <c r="R229">
        <f t="shared" si="961"/>
        <v>-287952414.30487794</v>
      </c>
      <c r="S229">
        <f t="shared" si="962"/>
        <v>-2879.5241430487795</v>
      </c>
      <c r="T229">
        <f t="shared" si="963"/>
        <v>-2.8795241430487795</v>
      </c>
    </row>
    <row r="230" spans="1:20" x14ac:dyDescent="0.25">
      <c r="A230" s="5">
        <v>44363</v>
      </c>
      <c r="B230">
        <v>1.0718000000000001</v>
      </c>
      <c r="C230">
        <v>1.1518999999999999</v>
      </c>
      <c r="D230">
        <v>0.98740000000000006</v>
      </c>
      <c r="E230">
        <v>0.99770000000000003</v>
      </c>
      <c r="F230">
        <v>40273182.979999997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-0.87477203647416435</v>
      </c>
      <c r="Q230">
        <f t="shared" si="960"/>
        <v>-35229854.290711254</v>
      </c>
      <c r="R230">
        <f t="shared" si="961"/>
        <v>-271752699.57383513</v>
      </c>
      <c r="S230">
        <f t="shared" si="962"/>
        <v>-2717.5269957383512</v>
      </c>
      <c r="T230">
        <f t="shared" si="963"/>
        <v>-2.7175269957383512</v>
      </c>
    </row>
    <row r="231" spans="1:20" x14ac:dyDescent="0.25">
      <c r="A231" s="5">
        <v>44362</v>
      </c>
      <c r="B231">
        <v>1.0001</v>
      </c>
      <c r="C231">
        <v>1.41</v>
      </c>
      <c r="D231">
        <v>0.99929999999999997</v>
      </c>
      <c r="E231">
        <v>1.073</v>
      </c>
      <c r="F231">
        <v>88828566.219999999</v>
      </c>
      <c r="G231">
        <v>0</v>
      </c>
      <c r="L231" t="s">
        <v>8</v>
      </c>
      <c r="M231" t="s">
        <v>8</v>
      </c>
      <c r="N231" t="s">
        <v>8</v>
      </c>
      <c r="P231">
        <f t="shared" si="959"/>
        <v>-0.6411005600194789</v>
      </c>
      <c r="Q231">
        <f t="shared" si="960"/>
        <v>-56948043.549369365</v>
      </c>
      <c r="R231">
        <f t="shared" si="961"/>
        <v>-236522845.28312388</v>
      </c>
      <c r="S231">
        <f t="shared" si="962"/>
        <v>-2365.2284528312389</v>
      </c>
      <c r="T231">
        <f t="shared" si="963"/>
        <v>-2.3652284528312388</v>
      </c>
    </row>
    <row r="232" spans="1:20" x14ac:dyDescent="0.25">
      <c r="A232" s="5">
        <v>44361</v>
      </c>
      <c r="B232">
        <v>0.81430000000000002</v>
      </c>
      <c r="C232">
        <v>1.0978000000000001</v>
      </c>
      <c r="D232">
        <v>0.78779999999999994</v>
      </c>
      <c r="E232">
        <v>1.0002</v>
      </c>
      <c r="F232">
        <v>47955121.210000001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0.37032258064516077</v>
      </c>
      <c r="Q232">
        <f t="shared" si="960"/>
        <v>17758864.241638687</v>
      </c>
      <c r="R232">
        <f t="shared" si="961"/>
        <v>-179574801.73375452</v>
      </c>
      <c r="S232">
        <f t="shared" si="962"/>
        <v>-1795.7480173375452</v>
      </c>
      <c r="T232">
        <f t="shared" si="963"/>
        <v>-1.7957480173375453</v>
      </c>
    </row>
    <row r="233" spans="1:20" x14ac:dyDescent="0.25">
      <c r="A233" s="5">
        <v>44360</v>
      </c>
      <c r="B233">
        <v>0.79710000000000003</v>
      </c>
      <c r="C233">
        <v>0.87790000000000001</v>
      </c>
      <c r="D233">
        <v>0.75849999999999995</v>
      </c>
      <c r="E233">
        <v>0.81269999999999998</v>
      </c>
      <c r="F233">
        <v>29298185.989999998</v>
      </c>
      <c r="G233">
        <v>0</v>
      </c>
      <c r="L233" t="s">
        <v>7</v>
      </c>
      <c r="M233" t="s">
        <v>7</v>
      </c>
      <c r="N233" t="s">
        <v>7</v>
      </c>
      <c r="P233">
        <f t="shared" si="959"/>
        <v>-9.2127303182579598E-2</v>
      </c>
      <c r="Q233">
        <f t="shared" si="960"/>
        <v>-2699162.8634003359</v>
      </c>
      <c r="R233">
        <f t="shared" si="961"/>
        <v>-197333665.97539321</v>
      </c>
      <c r="S233">
        <f t="shared" si="962"/>
        <v>-1973.3366597539321</v>
      </c>
      <c r="T233">
        <f t="shared" si="963"/>
        <v>-1.9733366597539321</v>
      </c>
    </row>
    <row r="234" spans="1:20" x14ac:dyDescent="0.25">
      <c r="A234" s="5">
        <v>44359</v>
      </c>
      <c r="B234">
        <v>0.8972</v>
      </c>
      <c r="C234">
        <v>0.89870000000000005</v>
      </c>
      <c r="D234">
        <v>0.78659999999999997</v>
      </c>
      <c r="E234">
        <v>0.79679999999999995</v>
      </c>
      <c r="F234">
        <v>31209700.629999999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-0.8180196253345231</v>
      </c>
      <c r="Q234">
        <f t="shared" si="960"/>
        <v>-25530147.61615523</v>
      </c>
      <c r="R234">
        <f t="shared" si="961"/>
        <v>-194634503.11199287</v>
      </c>
      <c r="S234">
        <f t="shared" si="962"/>
        <v>-1946.3450311199288</v>
      </c>
      <c r="T234">
        <f t="shared" si="963"/>
        <v>-1.9463450311199288</v>
      </c>
    </row>
    <row r="235" spans="1:20" x14ac:dyDescent="0.25">
      <c r="A235" s="5">
        <v>44358</v>
      </c>
      <c r="B235">
        <v>1.2101</v>
      </c>
      <c r="C235">
        <v>1.2748999999999999</v>
      </c>
      <c r="D235">
        <v>0.87939999999999996</v>
      </c>
      <c r="E235">
        <v>0.8972</v>
      </c>
      <c r="F235">
        <v>50437893.350000001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-0.9099873577749682</v>
      </c>
      <c r="Q235">
        <f t="shared" si="960"/>
        <v>-45897845.301302142</v>
      </c>
      <c r="R235">
        <f t="shared" si="961"/>
        <v>-169104355.49583763</v>
      </c>
      <c r="S235">
        <f t="shared" si="962"/>
        <v>-1691.0435549583763</v>
      </c>
      <c r="T235">
        <f t="shared" si="963"/>
        <v>-1.6910435549583762</v>
      </c>
    </row>
    <row r="236" spans="1:20" x14ac:dyDescent="0.25">
      <c r="A236" s="5">
        <v>44357</v>
      </c>
      <c r="B236">
        <v>0.65800000000000003</v>
      </c>
      <c r="C236">
        <v>1.5349999999999999</v>
      </c>
      <c r="D236">
        <v>0.63419999999999999</v>
      </c>
      <c r="E236">
        <v>1.21</v>
      </c>
      <c r="F236">
        <v>216762371.86000001</v>
      </c>
      <c r="G236">
        <v>0</v>
      </c>
      <c r="L236" t="s">
        <v>8</v>
      </c>
      <c r="M236" t="s">
        <v>8</v>
      </c>
      <c r="N236" t="s">
        <v>8</v>
      </c>
      <c r="P236">
        <f t="shared" si="959"/>
        <v>0.27841918294849027</v>
      </c>
      <c r="Q236">
        <f t="shared" si="960"/>
        <v>60350802.467238024</v>
      </c>
      <c r="R236">
        <f t="shared" si="961"/>
        <v>-123206510.19453548</v>
      </c>
      <c r="S236">
        <f t="shared" si="962"/>
        <v>-1232.0651019453549</v>
      </c>
      <c r="T236">
        <f t="shared" si="963"/>
        <v>-1.2320651019453548</v>
      </c>
    </row>
    <row r="237" spans="1:20" x14ac:dyDescent="0.25">
      <c r="A237" s="5">
        <v>44356</v>
      </c>
      <c r="B237">
        <v>0.59850000000000003</v>
      </c>
      <c r="C237">
        <v>0.68969999999999998</v>
      </c>
      <c r="D237">
        <v>0.56410000000000005</v>
      </c>
      <c r="E237">
        <v>0.65859999999999996</v>
      </c>
      <c r="F237">
        <v>9242449.4700000007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0.50477707006369377</v>
      </c>
      <c r="Q237">
        <f t="shared" si="960"/>
        <v>4665376.5636783401</v>
      </c>
      <c r="R237">
        <f t="shared" si="961"/>
        <v>-183557312.6617735</v>
      </c>
      <c r="S237">
        <f t="shared" si="962"/>
        <v>-1835.5731266177349</v>
      </c>
      <c r="T237">
        <f t="shared" si="963"/>
        <v>-1.8355731266177349</v>
      </c>
    </row>
    <row r="238" spans="1:20" x14ac:dyDescent="0.25">
      <c r="A238" s="5">
        <v>44355</v>
      </c>
      <c r="B238">
        <v>0.62480000000000002</v>
      </c>
      <c r="C238">
        <v>0.63849999999999996</v>
      </c>
      <c r="D238">
        <v>0.54669999999999996</v>
      </c>
      <c r="E238">
        <v>0.59870000000000001</v>
      </c>
      <c r="F238">
        <v>22646186.82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0.13289760348583987</v>
      </c>
      <c r="Q238">
        <f t="shared" si="960"/>
        <v>3009623.9564706129</v>
      </c>
      <c r="R238">
        <f t="shared" si="961"/>
        <v>-188222689.22545186</v>
      </c>
      <c r="S238">
        <f t="shared" si="962"/>
        <v>-1882.2268922545186</v>
      </c>
      <c r="T238">
        <f t="shared" si="963"/>
        <v>-1.8822268922545187</v>
      </c>
    </row>
    <row r="239" spans="1:20" x14ac:dyDescent="0.25">
      <c r="A239" s="5">
        <v>44354</v>
      </c>
      <c r="B239">
        <v>0.71579999999999999</v>
      </c>
      <c r="C239">
        <v>0.73570000000000002</v>
      </c>
      <c r="D239">
        <v>0.62</v>
      </c>
      <c r="E239">
        <v>0.62539999999999996</v>
      </c>
      <c r="F239">
        <v>17124677.359999999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-0.90665514261019953</v>
      </c>
      <c r="Q239">
        <f t="shared" si="960"/>
        <v>-15526176.793984454</v>
      </c>
      <c r="R239">
        <f t="shared" si="961"/>
        <v>-191232313.18192247</v>
      </c>
      <c r="S239">
        <f t="shared" si="962"/>
        <v>-1912.3231318192247</v>
      </c>
      <c r="T239">
        <f t="shared" si="963"/>
        <v>-1.9123231318192246</v>
      </c>
    </row>
    <row r="240" spans="1:20" x14ac:dyDescent="0.25">
      <c r="A240" s="5">
        <v>44353</v>
      </c>
      <c r="B240">
        <v>0.6492</v>
      </c>
      <c r="C240">
        <v>0.84299999999999997</v>
      </c>
      <c r="D240">
        <v>0.64490000000000003</v>
      </c>
      <c r="E240">
        <v>0.71419999999999995</v>
      </c>
      <c r="F240">
        <v>8425777.1300000008</v>
      </c>
      <c r="G240">
        <v>0</v>
      </c>
      <c r="L240" t="s">
        <v>8</v>
      </c>
      <c r="M240" t="s">
        <v>8</v>
      </c>
      <c r="N240" t="s">
        <v>8</v>
      </c>
      <c r="P240">
        <f t="shared" si="959"/>
        <v>-0.30035335689046</v>
      </c>
      <c r="Q240">
        <f t="shared" si="960"/>
        <v>-2530710.4454063661</v>
      </c>
      <c r="R240">
        <f t="shared" si="961"/>
        <v>-175706136.38793802</v>
      </c>
      <c r="S240">
        <f t="shared" si="962"/>
        <v>-1757.0613638793802</v>
      </c>
      <c r="T240">
        <f t="shared" si="963"/>
        <v>-1.7570613638793802</v>
      </c>
    </row>
    <row r="241" spans="1:20" x14ac:dyDescent="0.25">
      <c r="A241" s="5">
        <v>44352</v>
      </c>
      <c r="B241">
        <v>0.69369999999999998</v>
      </c>
      <c r="C241">
        <v>0.74990000000000001</v>
      </c>
      <c r="D241">
        <v>0.62729999999999997</v>
      </c>
      <c r="E241">
        <v>0.64929999999999999</v>
      </c>
      <c r="F241">
        <v>2391815.4</v>
      </c>
      <c r="G241">
        <v>0</v>
      </c>
      <c r="L241" t="s">
        <v>7</v>
      </c>
      <c r="M241" t="s">
        <v>7</v>
      </c>
      <c r="N241" t="s">
        <v>8</v>
      </c>
      <c r="P241">
        <f t="shared" si="959"/>
        <v>-0.64110929853181053</v>
      </c>
      <c r="Q241">
        <f t="shared" si="960"/>
        <v>-1533415.0933115818</v>
      </c>
      <c r="R241">
        <f t="shared" si="961"/>
        <v>-173175425.94253165</v>
      </c>
      <c r="S241">
        <f t="shared" si="962"/>
        <v>-1731.7542594253164</v>
      </c>
      <c r="T241">
        <f t="shared" si="963"/>
        <v>-1.7317542594253164</v>
      </c>
    </row>
    <row r="242" spans="1:20" x14ac:dyDescent="0.25">
      <c r="A242" s="5">
        <v>44351</v>
      </c>
      <c r="B242">
        <v>0.79</v>
      </c>
      <c r="C242">
        <v>0.79039999999999999</v>
      </c>
      <c r="D242">
        <v>0.66100000000000003</v>
      </c>
      <c r="E242">
        <v>0.69269999999999998</v>
      </c>
      <c r="F242">
        <v>2613995.62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-0.51004636785162349</v>
      </c>
      <c r="Q242">
        <f t="shared" si="960"/>
        <v>-1333258.9715610526</v>
      </c>
      <c r="R242">
        <f t="shared" si="961"/>
        <v>-171642010.84922007</v>
      </c>
      <c r="S242">
        <f t="shared" si="962"/>
        <v>-1716.4201084922006</v>
      </c>
      <c r="T242">
        <f t="shared" si="963"/>
        <v>-1.7164201084922006</v>
      </c>
    </row>
    <row r="243" spans="1:20" x14ac:dyDescent="0.25">
      <c r="A243" s="5">
        <v>44350</v>
      </c>
      <c r="B243">
        <v>0.76590000000000003</v>
      </c>
      <c r="C243">
        <v>0.86990000000000001</v>
      </c>
      <c r="D243">
        <v>0.74680000000000002</v>
      </c>
      <c r="E243">
        <v>0.79</v>
      </c>
      <c r="F243">
        <v>8486514.6799999997</v>
      </c>
      <c r="G243">
        <v>0</v>
      </c>
      <c r="L243" t="s">
        <v>7</v>
      </c>
      <c r="M243" t="s">
        <v>8</v>
      </c>
      <c r="N243" t="s">
        <v>8</v>
      </c>
      <c r="P243">
        <f t="shared" si="959"/>
        <v>-0.29813160032493874</v>
      </c>
      <c r="Q243">
        <f t="shared" si="960"/>
        <v>-2530098.2027294855</v>
      </c>
      <c r="R243">
        <f t="shared" si="961"/>
        <v>-170308751.87765902</v>
      </c>
      <c r="S243">
        <f t="shared" si="962"/>
        <v>-1703.0875187765903</v>
      </c>
      <c r="T243">
        <f t="shared" si="963"/>
        <v>-1.7030875187765904</v>
      </c>
    </row>
    <row r="244" spans="1:20" x14ac:dyDescent="0.25">
      <c r="A244" s="5">
        <v>44349</v>
      </c>
      <c r="B244">
        <v>0.65790000000000004</v>
      </c>
      <c r="C244">
        <v>0.871</v>
      </c>
      <c r="D244">
        <v>0.63580000000000003</v>
      </c>
      <c r="E244">
        <v>0.7661</v>
      </c>
      <c r="F244">
        <v>14827441.369999999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0.10799319727891149</v>
      </c>
      <c r="Q244">
        <f t="shared" si="960"/>
        <v>1601262.8010119037</v>
      </c>
      <c r="R244">
        <f t="shared" si="961"/>
        <v>-167778653.67492953</v>
      </c>
      <c r="S244">
        <f t="shared" si="962"/>
        <v>-1677.7865367492952</v>
      </c>
      <c r="T244">
        <f t="shared" si="963"/>
        <v>-1.6777865367492952</v>
      </c>
    </row>
    <row r="245" spans="1:20" x14ac:dyDescent="0.25">
      <c r="A245" s="5">
        <v>44348</v>
      </c>
      <c r="B245">
        <v>0.67220000000000002</v>
      </c>
      <c r="C245">
        <v>0.67889999999999995</v>
      </c>
      <c r="D245">
        <v>0.61019999999999996</v>
      </c>
      <c r="E245">
        <v>0.65539999999999998</v>
      </c>
      <c r="F245">
        <v>6599567.1100000003</v>
      </c>
      <c r="G245">
        <v>0</v>
      </c>
      <c r="L245" t="s">
        <v>7</v>
      </c>
      <c r="M245" t="s">
        <v>8</v>
      </c>
      <c r="N245" t="s">
        <v>7</v>
      </c>
      <c r="P245">
        <f t="shared" si="959"/>
        <v>0.31586608442503722</v>
      </c>
      <c r="Q245">
        <f t="shared" si="960"/>
        <v>2084579.421935959</v>
      </c>
      <c r="R245">
        <f t="shared" si="961"/>
        <v>-169379916.47594142</v>
      </c>
      <c r="S245">
        <f t="shared" si="962"/>
        <v>-1693.7991647594142</v>
      </c>
      <c r="T245">
        <f t="shared" si="963"/>
        <v>-1.6937991647594142</v>
      </c>
    </row>
    <row r="246" spans="1:20" x14ac:dyDescent="0.25">
      <c r="A246" s="5">
        <v>44347</v>
      </c>
      <c r="B246">
        <v>0.62490000000000001</v>
      </c>
      <c r="C246">
        <v>0.68559999999999999</v>
      </c>
      <c r="D246">
        <v>0.59619999999999995</v>
      </c>
      <c r="E246">
        <v>0.67190000000000005</v>
      </c>
      <c r="F246">
        <v>9430410.1400000006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0.69351230425056087</v>
      </c>
      <c r="Q246">
        <f t="shared" si="960"/>
        <v>6540105.4662192548</v>
      </c>
      <c r="R246">
        <f t="shared" si="961"/>
        <v>-171464495.89787737</v>
      </c>
      <c r="S246">
        <f t="shared" si="962"/>
        <v>-1714.6449589787737</v>
      </c>
      <c r="T246">
        <f t="shared" si="963"/>
        <v>-1.7146449589787738</v>
      </c>
    </row>
    <row r="247" spans="1:20" x14ac:dyDescent="0.25">
      <c r="A247" s="5">
        <v>44346</v>
      </c>
      <c r="B247">
        <v>0.60170000000000001</v>
      </c>
      <c r="C247">
        <v>0.67269999999999996</v>
      </c>
      <c r="D247">
        <v>0.56189999999999996</v>
      </c>
      <c r="E247">
        <v>0.62480000000000002</v>
      </c>
      <c r="F247">
        <v>6498034.5899999999</v>
      </c>
      <c r="G247">
        <v>0</v>
      </c>
      <c r="L247" t="s">
        <v>7</v>
      </c>
      <c r="M247" t="s">
        <v>7</v>
      </c>
      <c r="N247" t="s">
        <v>7</v>
      </c>
      <c r="P247">
        <f t="shared" si="959"/>
        <v>0.13537906137184227</v>
      </c>
      <c r="Q247">
        <f t="shared" si="960"/>
        <v>879697.82355596393</v>
      </c>
      <c r="R247">
        <f t="shared" si="961"/>
        <v>-178004601.36409661</v>
      </c>
      <c r="S247">
        <f t="shared" si="962"/>
        <v>-1780.0460136409661</v>
      </c>
      <c r="T247">
        <f t="shared" si="963"/>
        <v>-1.7800460136409662</v>
      </c>
    </row>
    <row r="248" spans="1:20" x14ac:dyDescent="0.25">
      <c r="A248" s="5">
        <v>44345</v>
      </c>
      <c r="B248">
        <v>0.67969999999999997</v>
      </c>
      <c r="C248">
        <v>0.73160000000000003</v>
      </c>
      <c r="D248">
        <v>0.57679999999999998</v>
      </c>
      <c r="E248">
        <v>0.60170000000000001</v>
      </c>
      <c r="F248">
        <v>7979352.0099999998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-0.6782945736434105</v>
      </c>
      <c r="Q248">
        <f t="shared" si="960"/>
        <v>-5412351.1695736405</v>
      </c>
      <c r="R248">
        <f t="shared" si="961"/>
        <v>-178884299.18765259</v>
      </c>
      <c r="S248">
        <f t="shared" si="962"/>
        <v>-1788.842991876526</v>
      </c>
      <c r="T248">
        <f t="shared" si="963"/>
        <v>-1.7888429918765261</v>
      </c>
    </row>
    <row r="249" spans="1:20" x14ac:dyDescent="0.25">
      <c r="A249" s="5">
        <v>44344</v>
      </c>
      <c r="B249">
        <v>0.77949999999999997</v>
      </c>
      <c r="C249">
        <v>0.80589999999999995</v>
      </c>
      <c r="D249">
        <v>0.64810000000000001</v>
      </c>
      <c r="E249">
        <v>0.68010000000000004</v>
      </c>
      <c r="F249">
        <v>14357280.01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-0.59442332065906156</v>
      </c>
      <c r="Q249">
        <f t="shared" si="960"/>
        <v>-8534302.0591761637</v>
      </c>
      <c r="R249">
        <f t="shared" si="961"/>
        <v>-173471948.01807895</v>
      </c>
      <c r="S249">
        <f t="shared" si="962"/>
        <v>-1734.7194801807896</v>
      </c>
      <c r="T249">
        <f t="shared" si="963"/>
        <v>-1.7347194801807895</v>
      </c>
    </row>
    <row r="250" spans="1:20" x14ac:dyDescent="0.25">
      <c r="A250" s="5">
        <v>44343</v>
      </c>
      <c r="B250">
        <v>0.82599999999999996</v>
      </c>
      <c r="C250">
        <v>0.87229999999999996</v>
      </c>
      <c r="D250">
        <v>0.73509999999999998</v>
      </c>
      <c r="E250">
        <v>0.77949999999999997</v>
      </c>
      <c r="F250">
        <v>16477972.289999999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-0.35276967930029157</v>
      </c>
      <c r="Q250">
        <f t="shared" si="960"/>
        <v>-5812929.0002623908</v>
      </c>
      <c r="R250">
        <f t="shared" si="961"/>
        <v>-164937645.95890278</v>
      </c>
      <c r="S250">
        <f t="shared" si="962"/>
        <v>-1649.3764595890277</v>
      </c>
      <c r="T250">
        <f t="shared" si="963"/>
        <v>-1.6493764595890277</v>
      </c>
    </row>
    <row r="251" spans="1:20" x14ac:dyDescent="0.25">
      <c r="A251" s="5">
        <v>44342</v>
      </c>
      <c r="B251">
        <v>0.80610000000000004</v>
      </c>
      <c r="C251">
        <v>0.88419999999999999</v>
      </c>
      <c r="D251">
        <v>0.73770000000000002</v>
      </c>
      <c r="E251">
        <v>0.82609999999999995</v>
      </c>
      <c r="F251">
        <v>23626012.010000002</v>
      </c>
      <c r="G251">
        <v>0</v>
      </c>
      <c r="L251" t="s">
        <v>7</v>
      </c>
      <c r="M251" t="s">
        <v>7</v>
      </c>
      <c r="N251" t="s">
        <v>8</v>
      </c>
      <c r="P251">
        <f t="shared" si="959"/>
        <v>0.20682593856655215</v>
      </c>
      <c r="Q251">
        <f t="shared" si="960"/>
        <v>4886472.1085528834</v>
      </c>
      <c r="R251">
        <f t="shared" si="961"/>
        <v>-159124716.9586404</v>
      </c>
      <c r="S251">
        <f t="shared" si="962"/>
        <v>-1591.247169586404</v>
      </c>
      <c r="T251">
        <f t="shared" si="963"/>
        <v>-1.5912471695864039</v>
      </c>
    </row>
    <row r="252" spans="1:20" x14ac:dyDescent="0.25">
      <c r="A252" s="5">
        <v>44341</v>
      </c>
      <c r="B252">
        <v>0.61470000000000002</v>
      </c>
      <c r="C252">
        <v>0.98</v>
      </c>
      <c r="D252">
        <v>0.59470000000000001</v>
      </c>
      <c r="E252">
        <v>0.80589999999999995</v>
      </c>
      <c r="F252">
        <v>34425987.780000001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9.6288606280819922E-2</v>
      </c>
      <c r="Q252">
        <f t="shared" si="960"/>
        <v>3314830.3831767379</v>
      </c>
      <c r="R252">
        <f t="shared" si="961"/>
        <v>-164011189.06719327</v>
      </c>
      <c r="S252">
        <f t="shared" si="962"/>
        <v>-1640.1118906719328</v>
      </c>
      <c r="T252">
        <f t="shared" si="963"/>
        <v>-1.6401118906719327</v>
      </c>
    </row>
    <row r="253" spans="1:20" x14ac:dyDescent="0.25">
      <c r="A253" s="5">
        <v>44340</v>
      </c>
      <c r="B253">
        <v>0.50719999999999998</v>
      </c>
      <c r="C253">
        <v>0.6371</v>
      </c>
      <c r="D253">
        <v>0.48139999999999999</v>
      </c>
      <c r="E253">
        <v>0.61170000000000002</v>
      </c>
      <c r="F253">
        <v>13297498.5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0.67373153500321159</v>
      </c>
      <c r="Q253">
        <f t="shared" si="960"/>
        <v>8958944.0761079043</v>
      </c>
      <c r="R253">
        <f t="shared" si="961"/>
        <v>-167326019.45037001</v>
      </c>
      <c r="S253">
        <f t="shared" si="962"/>
        <v>-1673.2601945037002</v>
      </c>
      <c r="T253">
        <f t="shared" si="963"/>
        <v>-1.6732601945037002</v>
      </c>
    </row>
    <row r="254" spans="1:20" x14ac:dyDescent="0.25">
      <c r="A254" s="5">
        <v>44339</v>
      </c>
      <c r="B254">
        <v>0.63339999999999996</v>
      </c>
      <c r="C254">
        <v>0.6371</v>
      </c>
      <c r="D254">
        <v>0.43909999999999999</v>
      </c>
      <c r="E254">
        <v>0.50739999999999996</v>
      </c>
      <c r="F254">
        <v>22245534.210000001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-0.31010101010101043</v>
      </c>
      <c r="Q254">
        <f t="shared" si="960"/>
        <v>-6898362.628757583</v>
      </c>
      <c r="R254">
        <f t="shared" si="961"/>
        <v>-176284963.5264779</v>
      </c>
      <c r="S254">
        <f t="shared" si="962"/>
        <v>-1762.849635264779</v>
      </c>
      <c r="T254">
        <f t="shared" si="963"/>
        <v>-1.7628496352647789</v>
      </c>
    </row>
    <row r="255" spans="1:20" x14ac:dyDescent="0.25">
      <c r="A255" s="5">
        <v>44338</v>
      </c>
      <c r="B255">
        <v>0.68300000000000005</v>
      </c>
      <c r="C255">
        <v>0.68910000000000005</v>
      </c>
      <c r="D255">
        <v>0.60170000000000001</v>
      </c>
      <c r="E255">
        <v>0.63339999999999996</v>
      </c>
      <c r="F255">
        <v>16360021.199999999</v>
      </c>
      <c r="G255">
        <v>0</v>
      </c>
      <c r="L255" t="s">
        <v>8</v>
      </c>
      <c r="M255" t="s">
        <v>7</v>
      </c>
      <c r="N255" t="s">
        <v>7</v>
      </c>
      <c r="P255">
        <f t="shared" si="959"/>
        <v>-0.2745995423340975</v>
      </c>
      <c r="Q255">
        <f t="shared" si="960"/>
        <v>-4492454.3340961328</v>
      </c>
      <c r="R255">
        <f t="shared" si="961"/>
        <v>-169386600.89772031</v>
      </c>
      <c r="S255">
        <f t="shared" si="962"/>
        <v>-1693.8660089772031</v>
      </c>
      <c r="T255">
        <f t="shared" si="963"/>
        <v>-1.6938660089772031</v>
      </c>
    </row>
    <row r="256" spans="1:20" x14ac:dyDescent="0.25">
      <c r="A256" s="5">
        <v>44337</v>
      </c>
      <c r="B256">
        <v>0.79510000000000003</v>
      </c>
      <c r="C256">
        <v>0.89490000000000003</v>
      </c>
      <c r="D256">
        <v>0.60240000000000005</v>
      </c>
      <c r="E256">
        <v>0.68279999999999996</v>
      </c>
      <c r="F256">
        <v>18801082.699999999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-0.45025641025641078</v>
      </c>
      <c r="Q256">
        <f t="shared" si="960"/>
        <v>-8465308.0054359064</v>
      </c>
      <c r="R256">
        <f t="shared" si="961"/>
        <v>-164894146.56362417</v>
      </c>
      <c r="S256">
        <f t="shared" si="962"/>
        <v>-1648.9414656362417</v>
      </c>
      <c r="T256">
        <f t="shared" si="963"/>
        <v>-1.6489414656362418</v>
      </c>
    </row>
    <row r="257" spans="1:20" x14ac:dyDescent="0.25">
      <c r="A257" s="5">
        <v>44336</v>
      </c>
      <c r="B257">
        <v>0.79069999999999996</v>
      </c>
      <c r="C257">
        <v>0.89849999999999997</v>
      </c>
      <c r="D257">
        <v>0.63</v>
      </c>
      <c r="E257">
        <v>0.79530000000000001</v>
      </c>
      <c r="F257">
        <v>35837630.009999998</v>
      </c>
      <c r="G257">
        <v>0</v>
      </c>
      <c r="L257" t="s">
        <v>8</v>
      </c>
      <c r="M257" t="s">
        <v>8</v>
      </c>
      <c r="N257" t="s">
        <v>7</v>
      </c>
      <c r="P257">
        <f t="shared" si="959"/>
        <v>0.23128491620111752</v>
      </c>
      <c r="Q257">
        <f t="shared" si="960"/>
        <v>8288703.2537095034</v>
      </c>
      <c r="R257">
        <f t="shared" si="961"/>
        <v>-156428838.55818826</v>
      </c>
      <c r="S257">
        <f t="shared" si="962"/>
        <v>-1564.2883855818825</v>
      </c>
      <c r="T257">
        <f t="shared" si="963"/>
        <v>-1.5642883855818825</v>
      </c>
    </row>
    <row r="258" spans="1:20" x14ac:dyDescent="0.25">
      <c r="A258" s="5">
        <v>44335</v>
      </c>
      <c r="B258">
        <v>1.1728000000000001</v>
      </c>
      <c r="C258">
        <v>1.1843999999999999</v>
      </c>
      <c r="D258">
        <v>0.62180000000000002</v>
      </c>
      <c r="E258">
        <v>0.7944</v>
      </c>
      <c r="F258">
        <v>19511398.609999999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-0.38642019196587268</v>
      </c>
      <c r="Q258">
        <f t="shared" si="960"/>
        <v>-7539598.396398861</v>
      </c>
      <c r="R258">
        <f t="shared" si="961"/>
        <v>-164717541.81189775</v>
      </c>
      <c r="S258">
        <f t="shared" si="962"/>
        <v>-1647.1754181189776</v>
      </c>
      <c r="T258">
        <f t="shared" si="963"/>
        <v>-1.6471754181189777</v>
      </c>
    </row>
    <row r="259" spans="1:20" x14ac:dyDescent="0.25">
      <c r="A259" s="5">
        <v>44334</v>
      </c>
      <c r="B259">
        <v>1.1439999999999999</v>
      </c>
      <c r="C259">
        <v>1.1927000000000001</v>
      </c>
      <c r="D259">
        <v>1.1331</v>
      </c>
      <c r="E259">
        <v>1.1700999999999999</v>
      </c>
      <c r="F259">
        <v>8467974.9399999995</v>
      </c>
      <c r="G259">
        <v>0</v>
      </c>
      <c r="L259" t="s">
        <v>7</v>
      </c>
      <c r="M259" t="s">
        <v>7</v>
      </c>
      <c r="N259" t="s">
        <v>7</v>
      </c>
      <c r="P259">
        <f t="shared" si="959"/>
        <v>0.24161073825502891</v>
      </c>
      <c r="Q259">
        <f t="shared" si="960"/>
        <v>2045953.6767784839</v>
      </c>
      <c r="R259">
        <f t="shared" si="961"/>
        <v>-157177943.41549888</v>
      </c>
      <c r="S259">
        <f t="shared" si="962"/>
        <v>-1571.7794341549888</v>
      </c>
      <c r="T259">
        <f t="shared" si="963"/>
        <v>-1.5717794341549889</v>
      </c>
    </row>
    <row r="260" spans="1:20" x14ac:dyDescent="0.25">
      <c r="A260" s="5">
        <v>44333</v>
      </c>
      <c r="B260">
        <v>1.2359</v>
      </c>
      <c r="C260">
        <v>1.2407999999999999</v>
      </c>
      <c r="D260">
        <v>1.1356999999999999</v>
      </c>
      <c r="E260">
        <v>1.1436999999999999</v>
      </c>
      <c r="F260">
        <v>20207573.039999999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-0.8477640342530921</v>
      </c>
      <c r="Q260">
        <f t="shared" si="960"/>
        <v>-17131253.642854419</v>
      </c>
      <c r="R260">
        <f t="shared" si="961"/>
        <v>-159223897.09227738</v>
      </c>
      <c r="S260">
        <f t="shared" si="962"/>
        <v>-1592.2389709227739</v>
      </c>
      <c r="T260">
        <f t="shared" si="963"/>
        <v>-1.5922389709227738</v>
      </c>
    </row>
    <row r="261" spans="1:20" x14ac:dyDescent="0.25">
      <c r="A261" s="5">
        <v>44332</v>
      </c>
      <c r="B261">
        <v>1.2313000000000001</v>
      </c>
      <c r="C261">
        <v>1.3535999999999999</v>
      </c>
      <c r="D261">
        <v>1.2090000000000001</v>
      </c>
      <c r="E261">
        <v>1.2343999999999999</v>
      </c>
      <c r="F261">
        <v>17856217.129999999</v>
      </c>
      <c r="G261">
        <v>0</v>
      </c>
      <c r="L261" t="s">
        <v>7</v>
      </c>
      <c r="M261" t="s">
        <v>8</v>
      </c>
      <c r="N261" t="s">
        <v>7</v>
      </c>
      <c r="P261">
        <f t="shared" si="959"/>
        <v>-0.64868603042877049</v>
      </c>
      <c r="Q261">
        <f t="shared" si="960"/>
        <v>-11583078.608533911</v>
      </c>
      <c r="R261">
        <f t="shared" si="961"/>
        <v>-142092643.44942296</v>
      </c>
      <c r="S261">
        <f t="shared" si="962"/>
        <v>-1420.9264344942296</v>
      </c>
      <c r="T261">
        <f t="shared" si="963"/>
        <v>-1.4209264344942296</v>
      </c>
    </row>
    <row r="262" spans="1:20" x14ac:dyDescent="0.25">
      <c r="A262" s="5">
        <v>44331</v>
      </c>
      <c r="B262">
        <v>1.2994000000000001</v>
      </c>
      <c r="C262">
        <v>1.3537999999999999</v>
      </c>
      <c r="D262">
        <v>1.2311000000000001</v>
      </c>
      <c r="E262">
        <v>1.2329000000000001</v>
      </c>
      <c r="F262">
        <v>15800184.710000001</v>
      </c>
      <c r="G262">
        <v>0</v>
      </c>
      <c r="L262" t="s">
        <v>7</v>
      </c>
      <c r="M262" t="s">
        <v>8</v>
      </c>
      <c r="N262" t="s">
        <v>7</v>
      </c>
      <c r="P262">
        <f t="shared" ref="P262:P325" si="964">IF(C262=D262,0,((E262-D262)-(C262-E262))/(C262-D262))</f>
        <v>-0.97066014669926604</v>
      </c>
      <c r="Q262">
        <f t="shared" ref="Q262:Q325" si="965">F262*P262</f>
        <v>-15336609.608484101</v>
      </c>
      <c r="R262">
        <f t="shared" ref="R262:R325" si="966">R263+Q262</f>
        <v>-130509564.84088904</v>
      </c>
      <c r="S262">
        <f t="shared" ref="S262:S325" si="967">R262/100000</f>
        <v>-1305.0956484088904</v>
      </c>
      <c r="T262">
        <f t="shared" ref="T262:T325" si="968">S262/1000</f>
        <v>-1.3050956484088905</v>
      </c>
    </row>
    <row r="263" spans="1:20" x14ac:dyDescent="0.25">
      <c r="A263" s="5">
        <v>44330</v>
      </c>
      <c r="B263">
        <v>1.2637</v>
      </c>
      <c r="C263">
        <v>1.3474999999999999</v>
      </c>
      <c r="D263">
        <v>1.2593000000000001</v>
      </c>
      <c r="E263">
        <v>1.2992999999999999</v>
      </c>
      <c r="F263">
        <v>22854848.91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-9.2970521541952636E-2</v>
      </c>
      <c r="Q263">
        <f t="shared" si="965"/>
        <v>-2124827.2229252276</v>
      </c>
      <c r="R263">
        <f t="shared" si="966"/>
        <v>-115172955.23240493</v>
      </c>
      <c r="S263">
        <f t="shared" si="967"/>
        <v>-1151.7295523240493</v>
      </c>
      <c r="T263">
        <f t="shared" si="968"/>
        <v>-1.1517295523240494</v>
      </c>
    </row>
    <row r="264" spans="1:20" x14ac:dyDescent="0.25">
      <c r="A264" s="5">
        <v>44329</v>
      </c>
      <c r="B264">
        <v>1.2316</v>
      </c>
      <c r="C264">
        <v>1.3403</v>
      </c>
      <c r="D264">
        <v>1.0255000000000001</v>
      </c>
      <c r="E264">
        <v>1.2593000000000001</v>
      </c>
      <c r="F264">
        <v>4212311.5599999996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0.48538754764930137</v>
      </c>
      <c r="Q264">
        <f t="shared" si="965"/>
        <v>2044603.5780432029</v>
      </c>
      <c r="R264">
        <f t="shared" si="966"/>
        <v>-113048128.0094797</v>
      </c>
      <c r="S264">
        <f t="shared" si="967"/>
        <v>-1130.4812800947971</v>
      </c>
      <c r="T264">
        <f t="shared" si="968"/>
        <v>-1.130481280094797</v>
      </c>
    </row>
    <row r="265" spans="1:20" x14ac:dyDescent="0.25">
      <c r="A265" s="5">
        <v>44328</v>
      </c>
      <c r="B265">
        <v>1.4530000000000001</v>
      </c>
      <c r="C265">
        <v>1.4671000000000001</v>
      </c>
      <c r="D265">
        <v>1.2264999999999999</v>
      </c>
      <c r="E265">
        <v>1.2316</v>
      </c>
      <c r="F265">
        <v>10790088.619999999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-0.95760598503740568</v>
      </c>
      <c r="Q265">
        <f t="shared" si="965"/>
        <v>-10332653.441596001</v>
      </c>
      <c r="R265">
        <f t="shared" si="966"/>
        <v>-115092731.58752291</v>
      </c>
      <c r="S265">
        <f t="shared" si="967"/>
        <v>-1150.9273158752292</v>
      </c>
      <c r="T265">
        <f t="shared" si="968"/>
        <v>-1.1509273158752291</v>
      </c>
    </row>
    <row r="266" spans="1:20" x14ac:dyDescent="0.25">
      <c r="A266" s="5">
        <v>44327</v>
      </c>
      <c r="B266">
        <v>1.399</v>
      </c>
      <c r="C266">
        <v>1.4701</v>
      </c>
      <c r="D266">
        <v>1.3337000000000001</v>
      </c>
      <c r="E266">
        <v>1.4503999999999999</v>
      </c>
      <c r="F266">
        <v>9850959.1999999993</v>
      </c>
      <c r="G266">
        <v>0</v>
      </c>
      <c r="L266" t="s">
        <v>8</v>
      </c>
      <c r="M266" t="s">
        <v>7</v>
      </c>
      <c r="N266" t="s">
        <v>7</v>
      </c>
      <c r="P266">
        <f t="shared" si="964"/>
        <v>0.71114369501466168</v>
      </c>
      <c r="Q266">
        <f t="shared" si="965"/>
        <v>7005447.5249266755</v>
      </c>
      <c r="R266">
        <f t="shared" si="966"/>
        <v>-104760078.14592691</v>
      </c>
      <c r="S266">
        <f t="shared" si="967"/>
        <v>-1047.600781459269</v>
      </c>
      <c r="T266">
        <f t="shared" si="968"/>
        <v>-1.0476007814592689</v>
      </c>
    </row>
    <row r="267" spans="1:20" x14ac:dyDescent="0.25">
      <c r="A267" s="5">
        <v>44326</v>
      </c>
      <c r="B267">
        <v>1.5341</v>
      </c>
      <c r="C267">
        <v>1.5799000000000001</v>
      </c>
      <c r="D267">
        <v>1.31</v>
      </c>
      <c r="E267">
        <v>1.41</v>
      </c>
      <c r="F267">
        <v>2260340.0299999998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-0.25898480918858946</v>
      </c>
      <c r="Q267">
        <f t="shared" si="965"/>
        <v>-585393.7313708805</v>
      </c>
      <c r="R267">
        <f t="shared" si="966"/>
        <v>-111765525.67085359</v>
      </c>
      <c r="S267">
        <f t="shared" si="967"/>
        <v>-1117.6552567085359</v>
      </c>
      <c r="T267">
        <f t="shared" si="968"/>
        <v>-1.117655256708536</v>
      </c>
    </row>
    <row r="268" spans="1:20" x14ac:dyDescent="0.25">
      <c r="A268" s="5">
        <v>44325</v>
      </c>
      <c r="B268">
        <v>1.5497000000000001</v>
      </c>
      <c r="C268">
        <v>1.61</v>
      </c>
      <c r="D268">
        <v>1.4715</v>
      </c>
      <c r="E268">
        <v>1.534</v>
      </c>
      <c r="F268">
        <v>1530052.66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-9.7472924187726073E-2</v>
      </c>
      <c r="Q268">
        <f t="shared" si="965"/>
        <v>-149138.70693140861</v>
      </c>
      <c r="R268">
        <f t="shared" si="966"/>
        <v>-111180131.9394827</v>
      </c>
      <c r="S268">
        <f t="shared" si="967"/>
        <v>-1111.801319394827</v>
      </c>
      <c r="T268">
        <f t="shared" si="968"/>
        <v>-1.1118013193948271</v>
      </c>
    </row>
    <row r="269" spans="1:20" x14ac:dyDescent="0.25">
      <c r="A269" s="5">
        <v>44324</v>
      </c>
      <c r="B269">
        <v>1.5508</v>
      </c>
      <c r="C269">
        <v>1.6076999999999999</v>
      </c>
      <c r="D269">
        <v>1.5269999999999999</v>
      </c>
      <c r="E269">
        <v>1.5465</v>
      </c>
      <c r="F269">
        <v>1318845.74</v>
      </c>
      <c r="G269">
        <v>0</v>
      </c>
      <c r="L269" t="s">
        <v>7</v>
      </c>
      <c r="M269" t="s">
        <v>7</v>
      </c>
      <c r="N269" t="s">
        <v>8</v>
      </c>
      <c r="P269">
        <f t="shared" si="964"/>
        <v>-0.5167286245353141</v>
      </c>
      <c r="Q269">
        <f t="shared" si="965"/>
        <v>-681485.34520445846</v>
      </c>
      <c r="R269">
        <f t="shared" si="966"/>
        <v>-111030993.23255129</v>
      </c>
      <c r="S269">
        <f t="shared" si="967"/>
        <v>-1110.3099323255128</v>
      </c>
      <c r="T269">
        <f t="shared" si="968"/>
        <v>-1.1103099323255128</v>
      </c>
    </row>
    <row r="270" spans="1:20" x14ac:dyDescent="0.25">
      <c r="A270" s="5">
        <v>44323</v>
      </c>
      <c r="B270">
        <v>1.5808</v>
      </c>
      <c r="C270">
        <v>1.6698</v>
      </c>
      <c r="D270">
        <v>1.5229999999999999</v>
      </c>
      <c r="E270">
        <v>1.5508999999999999</v>
      </c>
      <c r="F270">
        <v>3761632.68</v>
      </c>
      <c r="G270">
        <v>0</v>
      </c>
      <c r="L270" t="s">
        <v>8</v>
      </c>
      <c r="M270" t="s">
        <v>7</v>
      </c>
      <c r="N270" t="s">
        <v>8</v>
      </c>
      <c r="P270">
        <f t="shared" si="964"/>
        <v>-0.61989100817438658</v>
      </c>
      <c r="Q270">
        <f t="shared" si="965"/>
        <v>-2331802.27438692</v>
      </c>
      <c r="R270">
        <f t="shared" si="966"/>
        <v>-110349507.88734683</v>
      </c>
      <c r="S270">
        <f t="shared" si="967"/>
        <v>-1103.4950788734684</v>
      </c>
      <c r="T270">
        <f t="shared" si="968"/>
        <v>-1.1034950788734683</v>
      </c>
    </row>
    <row r="271" spans="1:20" x14ac:dyDescent="0.25">
      <c r="A271" s="5">
        <v>44322</v>
      </c>
      <c r="B271">
        <v>1.6540999999999999</v>
      </c>
      <c r="C271">
        <v>1.6708000000000001</v>
      </c>
      <c r="D271">
        <v>1.5237000000000001</v>
      </c>
      <c r="E271">
        <v>1.5822000000000001</v>
      </c>
      <c r="F271">
        <v>7697314.9800000004</v>
      </c>
      <c r="G271">
        <v>0</v>
      </c>
      <c r="L271" t="s">
        <v>7</v>
      </c>
      <c r="M271" t="s">
        <v>7</v>
      </c>
      <c r="N271" t="s">
        <v>8</v>
      </c>
      <c r="P271">
        <f t="shared" si="964"/>
        <v>-0.20462270564242022</v>
      </c>
      <c r="Q271">
        <f t="shared" si="965"/>
        <v>-1575045.4173895319</v>
      </c>
      <c r="R271">
        <f t="shared" si="966"/>
        <v>-108017705.61295991</v>
      </c>
      <c r="S271">
        <f t="shared" si="967"/>
        <v>-1080.1770561295991</v>
      </c>
      <c r="T271">
        <f t="shared" si="968"/>
        <v>-1.0801770561295991</v>
      </c>
    </row>
    <row r="272" spans="1:20" x14ac:dyDescent="0.25">
      <c r="A272" s="5">
        <v>44321</v>
      </c>
      <c r="B272">
        <v>1.5823</v>
      </c>
      <c r="C272">
        <v>1.7070000000000001</v>
      </c>
      <c r="D272">
        <v>1.5701000000000001</v>
      </c>
      <c r="E272">
        <v>1.6544000000000001</v>
      </c>
      <c r="F272">
        <v>7508198.9100000001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0.23155588020452927</v>
      </c>
      <c r="Q272">
        <f t="shared" si="965"/>
        <v>1738567.6073557374</v>
      </c>
      <c r="R272">
        <f t="shared" si="966"/>
        <v>-106442660.19557038</v>
      </c>
      <c r="S272">
        <f t="shared" si="967"/>
        <v>-1064.4266019557037</v>
      </c>
      <c r="T272">
        <f t="shared" si="968"/>
        <v>-1.0644266019557038</v>
      </c>
    </row>
    <row r="273" spans="1:20" x14ac:dyDescent="0.25">
      <c r="A273" s="5">
        <v>44320</v>
      </c>
      <c r="B273">
        <v>1.8016000000000001</v>
      </c>
      <c r="C273">
        <v>1.8076000000000001</v>
      </c>
      <c r="D273">
        <v>1.5613999999999999</v>
      </c>
      <c r="E273">
        <v>1.5867</v>
      </c>
      <c r="F273">
        <v>3095227.51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-0.7944760357432975</v>
      </c>
      <c r="Q273">
        <f t="shared" si="965"/>
        <v>-2459084.0818683975</v>
      </c>
      <c r="R273">
        <f t="shared" si="966"/>
        <v>-108181227.80292612</v>
      </c>
      <c r="S273">
        <f t="shared" si="967"/>
        <v>-1081.8122780292613</v>
      </c>
      <c r="T273">
        <f t="shared" si="968"/>
        <v>-1.0818122780292614</v>
      </c>
    </row>
    <row r="274" spans="1:20" x14ac:dyDescent="0.25">
      <c r="A274" s="5">
        <v>44319</v>
      </c>
      <c r="B274">
        <v>1.6994</v>
      </c>
      <c r="C274">
        <v>1.8997999999999999</v>
      </c>
      <c r="D274">
        <v>1.6939</v>
      </c>
      <c r="E274">
        <v>1.8</v>
      </c>
      <c r="F274">
        <v>10758909.25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3.0597377367655148E-2</v>
      </c>
      <c r="Q274">
        <f t="shared" si="965"/>
        <v>329194.40638660564</v>
      </c>
      <c r="R274">
        <f t="shared" si="966"/>
        <v>-105722143.72105773</v>
      </c>
      <c r="S274">
        <f t="shared" si="967"/>
        <v>-1057.2214372105773</v>
      </c>
      <c r="T274">
        <f t="shared" si="968"/>
        <v>-1.0572214372105773</v>
      </c>
    </row>
    <row r="275" spans="1:20" x14ac:dyDescent="0.25">
      <c r="A275" s="5">
        <v>44318</v>
      </c>
      <c r="B275">
        <v>1.7564</v>
      </c>
      <c r="C275">
        <v>1.7596000000000001</v>
      </c>
      <c r="D275">
        <v>1.6435</v>
      </c>
      <c r="E275">
        <v>1.6994</v>
      </c>
      <c r="F275">
        <v>12081621.279999999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-3.703703703703675E-2</v>
      </c>
      <c r="Q275">
        <f t="shared" si="965"/>
        <v>-447467.45481481135</v>
      </c>
      <c r="R275">
        <f t="shared" si="966"/>
        <v>-106051338.12744433</v>
      </c>
      <c r="S275">
        <f t="shared" si="967"/>
        <v>-1060.5133812744432</v>
      </c>
      <c r="T275">
        <f t="shared" si="968"/>
        <v>-1.0605133812744432</v>
      </c>
    </row>
    <row r="276" spans="1:20" x14ac:dyDescent="0.25">
      <c r="A276" s="5">
        <v>44317</v>
      </c>
      <c r="B276">
        <v>1.8401000000000001</v>
      </c>
      <c r="C276">
        <v>1.8528</v>
      </c>
      <c r="D276">
        <v>1.718</v>
      </c>
      <c r="E276">
        <v>1.7524</v>
      </c>
      <c r="F276">
        <v>10724718.460000001</v>
      </c>
      <c r="G276">
        <v>0</v>
      </c>
      <c r="L276" t="s">
        <v>7</v>
      </c>
      <c r="M276" t="s">
        <v>8</v>
      </c>
      <c r="N276" t="s">
        <v>8</v>
      </c>
      <c r="P276">
        <f t="shared" si="964"/>
        <v>-0.48961424332344244</v>
      </c>
      <c r="Q276">
        <f t="shared" si="965"/>
        <v>-5250974.9136498552</v>
      </c>
      <c r="R276">
        <f t="shared" si="966"/>
        <v>-105603870.67262952</v>
      </c>
      <c r="S276">
        <f t="shared" si="967"/>
        <v>-1056.0387067262952</v>
      </c>
      <c r="T276">
        <f t="shared" si="968"/>
        <v>-1.0560387067262953</v>
      </c>
    </row>
    <row r="277" spans="1:20" x14ac:dyDescent="0.25">
      <c r="A277" s="5">
        <v>44316</v>
      </c>
      <c r="B277">
        <v>1.6999</v>
      </c>
      <c r="C277">
        <v>1.85</v>
      </c>
      <c r="D277">
        <v>1.6729000000000001</v>
      </c>
      <c r="E277">
        <v>1.8399000000000001</v>
      </c>
      <c r="F277">
        <v>11732059.68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0.88594014680971211</v>
      </c>
      <c r="Q277">
        <f t="shared" si="965"/>
        <v>10393902.675279504</v>
      </c>
      <c r="R277">
        <f t="shared" si="966"/>
        <v>-100352895.75897966</v>
      </c>
      <c r="S277">
        <f t="shared" si="967"/>
        <v>-1003.5289575897966</v>
      </c>
      <c r="T277">
        <f t="shared" si="968"/>
        <v>-1.0035289575897965</v>
      </c>
    </row>
    <row r="278" spans="1:20" x14ac:dyDescent="0.25">
      <c r="A278" s="5">
        <v>44315</v>
      </c>
      <c r="B278">
        <v>1.6395999999999999</v>
      </c>
      <c r="C278">
        <v>1.7786999999999999</v>
      </c>
      <c r="D278">
        <v>1.63</v>
      </c>
      <c r="E278">
        <v>1.7017</v>
      </c>
      <c r="F278">
        <v>11677296.939999999</v>
      </c>
      <c r="G278">
        <v>0</v>
      </c>
      <c r="L278" t="s">
        <v>8</v>
      </c>
      <c r="M278" t="s">
        <v>7</v>
      </c>
      <c r="N278" t="s">
        <v>8</v>
      </c>
      <c r="P278">
        <f t="shared" si="964"/>
        <v>-3.5642232683253922E-2</v>
      </c>
      <c r="Q278">
        <f t="shared" si="965"/>
        <v>-416204.93464692897</v>
      </c>
      <c r="R278">
        <f t="shared" si="966"/>
        <v>-110746798.43425916</v>
      </c>
      <c r="S278">
        <f t="shared" si="967"/>
        <v>-1107.4679843425915</v>
      </c>
      <c r="T278">
        <f t="shared" si="968"/>
        <v>-1.1074679843425916</v>
      </c>
    </row>
    <row r="279" spans="1:20" x14ac:dyDescent="0.25">
      <c r="A279" s="5">
        <v>44314</v>
      </c>
      <c r="B279">
        <v>1.7291000000000001</v>
      </c>
      <c r="C279">
        <v>1.7476</v>
      </c>
      <c r="D279">
        <v>1.53</v>
      </c>
      <c r="E279">
        <v>1.6395999999999999</v>
      </c>
      <c r="F279">
        <v>2817200.69</v>
      </c>
      <c r="G279">
        <v>0</v>
      </c>
      <c r="L279" t="s">
        <v>7</v>
      </c>
      <c r="M279" t="s">
        <v>7</v>
      </c>
      <c r="N279" t="s">
        <v>8</v>
      </c>
      <c r="P279">
        <f t="shared" si="964"/>
        <v>7.352941176469778E-3</v>
      </c>
      <c r="Q279">
        <f t="shared" si="965"/>
        <v>20714.710955880069</v>
      </c>
      <c r="R279">
        <f t="shared" si="966"/>
        <v>-110330593.49961223</v>
      </c>
      <c r="S279">
        <f t="shared" si="967"/>
        <v>-1103.3059349961222</v>
      </c>
      <c r="T279">
        <f t="shared" si="968"/>
        <v>-1.1033059349961223</v>
      </c>
    </row>
    <row r="280" spans="1:20" x14ac:dyDescent="0.25">
      <c r="A280" s="5">
        <v>44313</v>
      </c>
      <c r="B280">
        <v>1.4772000000000001</v>
      </c>
      <c r="C280">
        <v>1.8303</v>
      </c>
      <c r="D280">
        <v>1.4410000000000001</v>
      </c>
      <c r="E280">
        <v>1.7325999999999999</v>
      </c>
      <c r="F280">
        <v>7094675.5300000003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0.49807346519393719</v>
      </c>
      <c r="Q280">
        <f t="shared" si="965"/>
        <v>3533669.625653733</v>
      </c>
      <c r="R280">
        <f t="shared" si="966"/>
        <v>-110351308.2105681</v>
      </c>
      <c r="S280">
        <f t="shared" si="967"/>
        <v>-1103.513082105681</v>
      </c>
      <c r="T280">
        <f t="shared" si="968"/>
        <v>-1.1035130821056809</v>
      </c>
    </row>
    <row r="281" spans="1:20" x14ac:dyDescent="0.25">
      <c r="A281" s="5">
        <v>44312</v>
      </c>
      <c r="B281">
        <v>1.3044</v>
      </c>
      <c r="C281">
        <v>1.498</v>
      </c>
      <c r="D281">
        <v>1.2896000000000001</v>
      </c>
      <c r="E281">
        <v>1.4762999999999999</v>
      </c>
      <c r="F281">
        <v>8214824.5700000003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0.79174664107485548</v>
      </c>
      <c r="Q281">
        <f t="shared" si="965"/>
        <v>6504059.7603166942</v>
      </c>
      <c r="R281">
        <f t="shared" si="966"/>
        <v>-113884977.83622183</v>
      </c>
      <c r="S281">
        <f t="shared" si="967"/>
        <v>-1138.8497783622183</v>
      </c>
      <c r="T281">
        <f t="shared" si="968"/>
        <v>-1.1388497783622182</v>
      </c>
    </row>
    <row r="282" spans="1:20" x14ac:dyDescent="0.25">
      <c r="A282" s="5">
        <v>44311</v>
      </c>
      <c r="B282">
        <v>1.4300999999999999</v>
      </c>
      <c r="C282">
        <v>1.4563999999999999</v>
      </c>
      <c r="D282">
        <v>1.2278</v>
      </c>
      <c r="E282">
        <v>1.3027</v>
      </c>
      <c r="F282">
        <v>5381386.6100000003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-0.34470691163604555</v>
      </c>
      <c r="Q282">
        <f t="shared" si="965"/>
        <v>-1855001.1586526688</v>
      </c>
      <c r="R282">
        <f t="shared" si="966"/>
        <v>-120389037.59653853</v>
      </c>
      <c r="S282">
        <f t="shared" si="967"/>
        <v>-1203.8903759653854</v>
      </c>
      <c r="T282">
        <f t="shared" si="968"/>
        <v>-1.2038903759653854</v>
      </c>
    </row>
    <row r="283" spans="1:20" x14ac:dyDescent="0.25">
      <c r="A283" s="5">
        <v>44310</v>
      </c>
      <c r="B283">
        <v>1.3716999999999999</v>
      </c>
      <c r="C283">
        <v>1.5142</v>
      </c>
      <c r="D283">
        <v>1.2754000000000001</v>
      </c>
      <c r="E283">
        <v>1.4339999999999999</v>
      </c>
      <c r="F283">
        <v>6836894.1500000004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0.32830820770519192</v>
      </c>
      <c r="Q283">
        <f t="shared" si="965"/>
        <v>2244608.4646566119</v>
      </c>
      <c r="R283">
        <f t="shared" si="966"/>
        <v>-118534036.43788587</v>
      </c>
      <c r="S283">
        <f t="shared" si="967"/>
        <v>-1185.3403643788586</v>
      </c>
      <c r="T283">
        <f t="shared" si="968"/>
        <v>-1.1853403643788585</v>
      </c>
    </row>
    <row r="284" spans="1:20" x14ac:dyDescent="0.25">
      <c r="A284" s="5">
        <v>44309</v>
      </c>
      <c r="B284">
        <v>1.4127000000000001</v>
      </c>
      <c r="C284">
        <v>1.4240999999999999</v>
      </c>
      <c r="D284">
        <v>1.2061999999999999</v>
      </c>
      <c r="E284">
        <v>1.3716999999999999</v>
      </c>
      <c r="F284">
        <v>9664208.0500000007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0.51904543368517664</v>
      </c>
      <c r="Q284">
        <f t="shared" si="965"/>
        <v>5016163.0585360257</v>
      </c>
      <c r="R284">
        <f t="shared" si="966"/>
        <v>-120778644.90254247</v>
      </c>
      <c r="S284">
        <f t="shared" si="967"/>
        <v>-1207.7864490254246</v>
      </c>
      <c r="T284">
        <f t="shared" si="968"/>
        <v>-1.2077864490254246</v>
      </c>
    </row>
    <row r="285" spans="1:20" x14ac:dyDescent="0.25">
      <c r="A285" s="5">
        <v>44308</v>
      </c>
      <c r="B285">
        <v>1.4583999999999999</v>
      </c>
      <c r="C285">
        <v>1.5204</v>
      </c>
      <c r="D285">
        <v>1.4118999999999999</v>
      </c>
      <c r="E285">
        <v>1.4128000000000001</v>
      </c>
      <c r="F285">
        <v>14208429.789999999</v>
      </c>
      <c r="G285">
        <v>0</v>
      </c>
      <c r="L285" t="s">
        <v>7</v>
      </c>
      <c r="M285" t="s">
        <v>8</v>
      </c>
      <c r="N285" t="s">
        <v>7</v>
      </c>
      <c r="P285">
        <f t="shared" si="964"/>
        <v>-0.98341013824884571</v>
      </c>
      <c r="Q285">
        <f t="shared" si="965"/>
        <v>-13972713.904082917</v>
      </c>
      <c r="R285">
        <f t="shared" si="966"/>
        <v>-125794807.96107849</v>
      </c>
      <c r="S285">
        <f t="shared" si="967"/>
        <v>-1257.948079610785</v>
      </c>
      <c r="T285">
        <f t="shared" si="968"/>
        <v>-1.2579480796107851</v>
      </c>
    </row>
    <row r="286" spans="1:20" x14ac:dyDescent="0.25">
      <c r="A286" s="5">
        <v>44307</v>
      </c>
      <c r="B286">
        <v>1.6406000000000001</v>
      </c>
      <c r="C286">
        <v>1.6815</v>
      </c>
      <c r="D286">
        <v>1.4379999999999999</v>
      </c>
      <c r="E286">
        <v>1.4583999999999999</v>
      </c>
      <c r="F286">
        <v>8632605.3100000005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-0.83244353182751563</v>
      </c>
      <c r="Q286">
        <f t="shared" si="965"/>
        <v>-7186156.453129366</v>
      </c>
      <c r="R286">
        <f t="shared" si="966"/>
        <v>-111822094.05699559</v>
      </c>
      <c r="S286">
        <f t="shared" si="967"/>
        <v>-1118.2209405699559</v>
      </c>
      <c r="T286">
        <f t="shared" si="968"/>
        <v>-1.1182209405699559</v>
      </c>
    </row>
    <row r="287" spans="1:20" x14ac:dyDescent="0.25">
      <c r="A287" s="5">
        <v>44306</v>
      </c>
      <c r="B287">
        <v>1.5834999999999999</v>
      </c>
      <c r="C287">
        <v>1.6868000000000001</v>
      </c>
      <c r="D287">
        <v>1.3861000000000001</v>
      </c>
      <c r="E287">
        <v>1.6382000000000001</v>
      </c>
      <c r="F287">
        <v>8886238.7100000009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0.67675424010641849</v>
      </c>
      <c r="Q287">
        <f t="shared" si="965"/>
        <v>6013799.7255902914</v>
      </c>
      <c r="R287">
        <f t="shared" si="966"/>
        <v>-104635937.60386622</v>
      </c>
      <c r="S287">
        <f t="shared" si="967"/>
        <v>-1046.3593760386623</v>
      </c>
      <c r="T287">
        <f t="shared" si="968"/>
        <v>-1.0463593760386622</v>
      </c>
    </row>
    <row r="288" spans="1:20" x14ac:dyDescent="0.25">
      <c r="A288" s="5">
        <v>44305</v>
      </c>
      <c r="B288">
        <v>1.6374</v>
      </c>
      <c r="C288">
        <v>1.8021</v>
      </c>
      <c r="D288">
        <v>1.5454000000000001</v>
      </c>
      <c r="E288">
        <v>1.5835999999999999</v>
      </c>
      <c r="F288">
        <v>4821623.72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-0.70237631476431783</v>
      </c>
      <c r="Q288">
        <f t="shared" si="965"/>
        <v>-3386594.299633821</v>
      </c>
      <c r="R288">
        <f t="shared" si="966"/>
        <v>-110649737.32945651</v>
      </c>
      <c r="S288">
        <f t="shared" si="967"/>
        <v>-1106.497373294565</v>
      </c>
      <c r="T288">
        <f t="shared" si="968"/>
        <v>-1.1064973732945651</v>
      </c>
    </row>
    <row r="289" spans="1:20" x14ac:dyDescent="0.25">
      <c r="A289" s="5">
        <v>44304</v>
      </c>
      <c r="B289">
        <v>1.9883999999999999</v>
      </c>
      <c r="C289">
        <v>2.0070999999999999</v>
      </c>
      <c r="D289">
        <v>1.5245</v>
      </c>
      <c r="E289">
        <v>1.6393</v>
      </c>
      <c r="F289">
        <v>4805461.13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-0.52424368006630739</v>
      </c>
      <c r="Q289">
        <f t="shared" si="965"/>
        <v>-2519232.6272067958</v>
      </c>
      <c r="R289">
        <f t="shared" si="966"/>
        <v>-107263143.02982269</v>
      </c>
      <c r="S289">
        <f t="shared" si="967"/>
        <v>-1072.6314302982269</v>
      </c>
      <c r="T289">
        <f t="shared" si="968"/>
        <v>-1.0726314302982269</v>
      </c>
    </row>
    <row r="290" spans="1:20" x14ac:dyDescent="0.25">
      <c r="A290" s="5">
        <v>44303</v>
      </c>
      <c r="B290">
        <v>2.0703999999999998</v>
      </c>
      <c r="C290">
        <v>2.1795</v>
      </c>
      <c r="D290">
        <v>1.97</v>
      </c>
      <c r="E290">
        <v>1.9883</v>
      </c>
      <c r="F290">
        <v>5245807.6399999997</v>
      </c>
      <c r="G290">
        <v>0</v>
      </c>
      <c r="L290" t="s">
        <v>8</v>
      </c>
      <c r="M290" t="s">
        <v>7</v>
      </c>
      <c r="N290" t="s">
        <v>8</v>
      </c>
      <c r="P290">
        <f t="shared" si="964"/>
        <v>-0.82529832935560876</v>
      </c>
      <c r="Q290">
        <f t="shared" si="965"/>
        <v>-4329356.2814128883</v>
      </c>
      <c r="R290">
        <f t="shared" si="966"/>
        <v>-104743910.40261589</v>
      </c>
      <c r="S290">
        <f t="shared" si="967"/>
        <v>-1047.4391040261589</v>
      </c>
      <c r="T290">
        <f t="shared" si="968"/>
        <v>-1.047439104026159</v>
      </c>
    </row>
    <row r="291" spans="1:20" x14ac:dyDescent="0.25">
      <c r="A291" s="5">
        <v>44302</v>
      </c>
      <c r="B291">
        <v>2.3199999999999998</v>
      </c>
      <c r="C291">
        <v>2.3580000000000001</v>
      </c>
      <c r="D291">
        <v>1.9607000000000001</v>
      </c>
      <c r="E291">
        <v>2.0722</v>
      </c>
      <c r="F291">
        <v>5906164.9699999997</v>
      </c>
      <c r="G291">
        <v>0</v>
      </c>
      <c r="L291" t="s">
        <v>7</v>
      </c>
      <c r="M291" t="s">
        <v>7</v>
      </c>
      <c r="N291" t="s">
        <v>8</v>
      </c>
      <c r="P291">
        <f t="shared" si="964"/>
        <v>-0.43871130128366503</v>
      </c>
      <c r="Q291">
        <f t="shared" si="965"/>
        <v>-2591101.3195846984</v>
      </c>
      <c r="R291">
        <f t="shared" si="966"/>
        <v>-100414554.12120301</v>
      </c>
      <c r="S291">
        <f t="shared" si="967"/>
        <v>-1004.14554121203</v>
      </c>
      <c r="T291">
        <f t="shared" si="968"/>
        <v>-1.0041455412120299</v>
      </c>
    </row>
    <row r="292" spans="1:20" x14ac:dyDescent="0.25">
      <c r="A292" s="5">
        <v>44301</v>
      </c>
      <c r="B292">
        <v>2.1665000000000001</v>
      </c>
      <c r="C292">
        <v>2.36</v>
      </c>
      <c r="D292">
        <v>2.1305999999999998</v>
      </c>
      <c r="E292">
        <v>2.3157999999999999</v>
      </c>
      <c r="F292">
        <v>6872235.3700000001</v>
      </c>
      <c r="G292">
        <v>0</v>
      </c>
      <c r="L292" t="s">
        <v>8</v>
      </c>
      <c r="M292" t="s">
        <v>7</v>
      </c>
      <c r="N292" t="s">
        <v>8</v>
      </c>
      <c r="P292">
        <f t="shared" si="964"/>
        <v>0.6146469049694856</v>
      </c>
      <c r="Q292">
        <f t="shared" si="965"/>
        <v>4223998.2003923282</v>
      </c>
      <c r="R292">
        <f t="shared" si="966"/>
        <v>-97823452.801618308</v>
      </c>
      <c r="S292">
        <f t="shared" si="967"/>
        <v>-978.23452801618305</v>
      </c>
      <c r="T292">
        <f t="shared" si="968"/>
        <v>-0.97823452801618305</v>
      </c>
    </row>
    <row r="293" spans="1:20" x14ac:dyDescent="0.25">
      <c r="A293" s="5">
        <v>44300</v>
      </c>
      <c r="B293">
        <v>2.0884</v>
      </c>
      <c r="C293">
        <v>2.2427999999999999</v>
      </c>
      <c r="D293">
        <v>2.0737000000000001</v>
      </c>
      <c r="E293">
        <v>2.1678000000000002</v>
      </c>
      <c r="F293">
        <v>3817361.58</v>
      </c>
      <c r="G293">
        <v>0</v>
      </c>
      <c r="L293" t="s">
        <v>8</v>
      </c>
      <c r="M293" t="s">
        <v>7</v>
      </c>
      <c r="N293" t="s">
        <v>8</v>
      </c>
      <c r="P293">
        <f t="shared" si="964"/>
        <v>0.11295091661738829</v>
      </c>
      <c r="Q293">
        <f t="shared" si="965"/>
        <v>431174.48952100164</v>
      </c>
      <c r="R293">
        <f t="shared" si="966"/>
        <v>-102047451.00201063</v>
      </c>
      <c r="S293">
        <f t="shared" si="967"/>
        <v>-1020.4745100201063</v>
      </c>
      <c r="T293">
        <f t="shared" si="968"/>
        <v>-1.0204745100201063</v>
      </c>
    </row>
    <row r="294" spans="1:20" x14ac:dyDescent="0.25">
      <c r="A294" s="5">
        <v>44299</v>
      </c>
      <c r="B294">
        <v>2.1751999999999998</v>
      </c>
      <c r="C294">
        <v>2.2077</v>
      </c>
      <c r="D294">
        <v>2.0099999999999998</v>
      </c>
      <c r="E294">
        <v>2.0884</v>
      </c>
      <c r="F294">
        <v>3800631.03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-0.2068791097622644</v>
      </c>
      <c r="Q294">
        <f t="shared" si="965"/>
        <v>-786271.16402123799</v>
      </c>
      <c r="R294">
        <f t="shared" si="966"/>
        <v>-102478625.49153163</v>
      </c>
      <c r="S294">
        <f t="shared" si="967"/>
        <v>-1024.7862549153162</v>
      </c>
      <c r="T294">
        <f t="shared" si="968"/>
        <v>-1.0247862549153162</v>
      </c>
    </row>
    <row r="295" spans="1:20" x14ac:dyDescent="0.25">
      <c r="A295" s="5">
        <v>44298</v>
      </c>
      <c r="B295">
        <v>2.3214000000000001</v>
      </c>
      <c r="C295">
        <v>2.36</v>
      </c>
      <c r="D295">
        <v>2.1181999999999999</v>
      </c>
      <c r="E295">
        <v>2.1800999999999999</v>
      </c>
      <c r="F295">
        <v>4079431.93</v>
      </c>
      <c r="G295">
        <v>0</v>
      </c>
      <c r="L295" t="s">
        <v>7</v>
      </c>
      <c r="M295" t="s">
        <v>7</v>
      </c>
      <c r="N295" t="s">
        <v>8</v>
      </c>
      <c r="P295">
        <f t="shared" si="964"/>
        <v>-0.4880066170388746</v>
      </c>
      <c r="Q295">
        <f t="shared" si="965"/>
        <v>-1990789.7755996671</v>
      </c>
      <c r="R295">
        <f t="shared" si="966"/>
        <v>-101692354.32751039</v>
      </c>
      <c r="S295">
        <f t="shared" si="967"/>
        <v>-1016.9235432751038</v>
      </c>
      <c r="T295">
        <f t="shared" si="968"/>
        <v>-1.0169235432751038</v>
      </c>
    </row>
    <row r="296" spans="1:20" x14ac:dyDescent="0.25">
      <c r="A296" s="5">
        <v>44297</v>
      </c>
      <c r="B296">
        <v>2.1985999999999999</v>
      </c>
      <c r="C296">
        <v>2.35</v>
      </c>
      <c r="D296">
        <v>2.1311</v>
      </c>
      <c r="E296">
        <v>2.3201999999999998</v>
      </c>
      <c r="F296">
        <v>7503773.3200000003</v>
      </c>
      <c r="G296">
        <v>0</v>
      </c>
      <c r="L296" t="s">
        <v>8</v>
      </c>
      <c r="M296" t="s">
        <v>7</v>
      </c>
      <c r="N296" t="s">
        <v>8</v>
      </c>
      <c r="P296">
        <f t="shared" si="964"/>
        <v>0.72772955687528318</v>
      </c>
      <c r="Q296">
        <f t="shared" si="965"/>
        <v>5460717.6330561731</v>
      </c>
      <c r="R296">
        <f t="shared" si="966"/>
        <v>-99701564.551910713</v>
      </c>
      <c r="S296">
        <f t="shared" si="967"/>
        <v>-997.01564551910712</v>
      </c>
      <c r="T296">
        <f t="shared" si="968"/>
        <v>-0.99701564551910715</v>
      </c>
    </row>
    <row r="297" spans="1:20" x14ac:dyDescent="0.25">
      <c r="A297" s="5">
        <v>44296</v>
      </c>
      <c r="B297">
        <v>2.2799999999999998</v>
      </c>
      <c r="C297">
        <v>2.3609</v>
      </c>
      <c r="D297">
        <v>2.1612</v>
      </c>
      <c r="E297">
        <v>2.2042000000000002</v>
      </c>
      <c r="F297">
        <v>6453115.3600000003</v>
      </c>
      <c r="G297">
        <v>0</v>
      </c>
      <c r="L297" t="s">
        <v>7</v>
      </c>
      <c r="M297" t="s">
        <v>7</v>
      </c>
      <c r="N297" t="s">
        <v>8</v>
      </c>
      <c r="P297">
        <f t="shared" si="964"/>
        <v>-0.56935403104656834</v>
      </c>
      <c r="Q297">
        <f t="shared" si="965"/>
        <v>-3674107.2430245271</v>
      </c>
      <c r="R297">
        <f t="shared" si="966"/>
        <v>-105162282.18496689</v>
      </c>
      <c r="S297">
        <f t="shared" si="967"/>
        <v>-1051.622821849669</v>
      </c>
      <c r="T297">
        <f t="shared" si="968"/>
        <v>-1.051622821849669</v>
      </c>
    </row>
    <row r="298" spans="1:20" x14ac:dyDescent="0.25">
      <c r="A298" s="5">
        <v>44295</v>
      </c>
      <c r="B298">
        <v>2.2631000000000001</v>
      </c>
      <c r="C298">
        <v>2.4001000000000001</v>
      </c>
      <c r="D298">
        <v>2.2486000000000002</v>
      </c>
      <c r="E298">
        <v>2.2799999999999998</v>
      </c>
      <c r="F298">
        <v>4030473.34</v>
      </c>
      <c r="G298">
        <v>0</v>
      </c>
      <c r="L298" t="s">
        <v>8</v>
      </c>
      <c r="M298" t="s">
        <v>7</v>
      </c>
      <c r="N298" t="s">
        <v>8</v>
      </c>
      <c r="P298">
        <f t="shared" si="964"/>
        <v>-0.58547854785479003</v>
      </c>
      <c r="Q298">
        <f t="shared" si="965"/>
        <v>-2359755.6782706454</v>
      </c>
      <c r="R298">
        <f t="shared" si="966"/>
        <v>-101488174.94194236</v>
      </c>
      <c r="S298">
        <f t="shared" si="967"/>
        <v>-1014.8817494194236</v>
      </c>
      <c r="T298">
        <f t="shared" si="968"/>
        <v>-1.0148817494194236</v>
      </c>
    </row>
    <row r="299" spans="1:20" x14ac:dyDescent="0.25">
      <c r="A299" s="5">
        <v>44294</v>
      </c>
      <c r="B299">
        <v>2.1373000000000002</v>
      </c>
      <c r="C299">
        <v>2.3249</v>
      </c>
      <c r="D299">
        <v>2.1214</v>
      </c>
      <c r="E299">
        <v>2.2601</v>
      </c>
      <c r="F299">
        <v>8094040.4800000004</v>
      </c>
      <c r="G299">
        <v>0</v>
      </c>
      <c r="L299" t="s">
        <v>8</v>
      </c>
      <c r="M299" t="s">
        <v>7</v>
      </c>
      <c r="N299" t="s">
        <v>8</v>
      </c>
      <c r="P299">
        <f t="shared" si="964"/>
        <v>0.36314496314496347</v>
      </c>
      <c r="Q299">
        <f t="shared" si="965"/>
        <v>2939310.0318034426</v>
      </c>
      <c r="R299">
        <f t="shared" si="966"/>
        <v>-99128419.263671726</v>
      </c>
      <c r="S299">
        <f t="shared" si="967"/>
        <v>-991.28419263671731</v>
      </c>
      <c r="T299">
        <f t="shared" si="968"/>
        <v>-0.9912841926367173</v>
      </c>
    </row>
    <row r="300" spans="1:20" x14ac:dyDescent="0.25">
      <c r="A300" s="5">
        <v>44293</v>
      </c>
      <c r="B300">
        <v>2.5992999999999999</v>
      </c>
      <c r="C300">
        <v>2.6</v>
      </c>
      <c r="D300">
        <v>2.0265</v>
      </c>
      <c r="E300">
        <v>2.1433</v>
      </c>
      <c r="F300">
        <v>6507991.96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-0.59267654751525722</v>
      </c>
      <c r="Q300">
        <f t="shared" si="965"/>
        <v>-3857134.2061098521</v>
      </c>
      <c r="R300">
        <f t="shared" si="966"/>
        <v>-102067729.29547517</v>
      </c>
      <c r="S300">
        <f t="shared" si="967"/>
        <v>-1020.6772929547517</v>
      </c>
      <c r="T300">
        <f t="shared" si="968"/>
        <v>-1.0206772929547516</v>
      </c>
    </row>
    <row r="301" spans="1:20" x14ac:dyDescent="0.25">
      <c r="A301" s="5">
        <v>44292</v>
      </c>
      <c r="B301">
        <v>2.4706000000000001</v>
      </c>
      <c r="C301">
        <v>2.6371000000000002</v>
      </c>
      <c r="D301">
        <v>2.3262</v>
      </c>
      <c r="E301">
        <v>2.593</v>
      </c>
      <c r="F301">
        <v>7350180.75</v>
      </c>
      <c r="G301">
        <v>0</v>
      </c>
      <c r="L301" t="s">
        <v>7</v>
      </c>
      <c r="M301" t="s">
        <v>8</v>
      </c>
      <c r="N301" t="s">
        <v>8</v>
      </c>
      <c r="P301">
        <f t="shared" si="964"/>
        <v>0.71630749437117902</v>
      </c>
      <c r="Q301">
        <f t="shared" si="965"/>
        <v>5264989.5562077733</v>
      </c>
      <c r="R301">
        <f t="shared" si="966"/>
        <v>-98210595.089365318</v>
      </c>
      <c r="S301">
        <f t="shared" si="967"/>
        <v>-982.10595089365313</v>
      </c>
      <c r="T301">
        <f t="shared" si="968"/>
        <v>-0.98210595089365316</v>
      </c>
    </row>
    <row r="302" spans="1:20" x14ac:dyDescent="0.25">
      <c r="A302" s="5">
        <v>44291</v>
      </c>
      <c r="B302">
        <v>2.2063000000000001</v>
      </c>
      <c r="C302">
        <v>2.6600999999999999</v>
      </c>
      <c r="D302">
        <v>2.1671</v>
      </c>
      <c r="E302">
        <v>2.4693000000000001</v>
      </c>
      <c r="F302">
        <v>9902646.3699999992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0.22596348884381379</v>
      </c>
      <c r="Q302">
        <f t="shared" si="965"/>
        <v>2237636.5225517279</v>
      </c>
      <c r="R302">
        <f t="shared" si="966"/>
        <v>-103475584.64557309</v>
      </c>
      <c r="S302">
        <f t="shared" si="967"/>
        <v>-1034.755846455731</v>
      </c>
      <c r="T302">
        <f t="shared" si="968"/>
        <v>-1.0347558464557309</v>
      </c>
    </row>
    <row r="303" spans="1:20" x14ac:dyDescent="0.25">
      <c r="A303" s="5">
        <v>44290</v>
      </c>
      <c r="B303">
        <v>2.0966999999999998</v>
      </c>
      <c r="C303">
        <v>2.35</v>
      </c>
      <c r="D303">
        <v>2.0823</v>
      </c>
      <c r="E303">
        <v>2.2075</v>
      </c>
      <c r="F303">
        <v>4502650.7</v>
      </c>
      <c r="G303">
        <v>0</v>
      </c>
      <c r="L303" t="s">
        <v>8</v>
      </c>
      <c r="M303" t="s">
        <v>8</v>
      </c>
      <c r="N303" t="s">
        <v>8</v>
      </c>
      <c r="P303">
        <f t="shared" si="964"/>
        <v>-6.4624579753455702E-2</v>
      </c>
      <c r="Q303">
        <f t="shared" si="965"/>
        <v>-290981.90926410316</v>
      </c>
      <c r="R303">
        <f t="shared" si="966"/>
        <v>-105713221.16812482</v>
      </c>
      <c r="S303">
        <f t="shared" si="967"/>
        <v>-1057.1322116812482</v>
      </c>
      <c r="T303">
        <f t="shared" si="968"/>
        <v>-1.0571322116812483</v>
      </c>
    </row>
    <row r="304" spans="1:20" x14ac:dyDescent="0.25">
      <c r="A304" s="5">
        <v>44289</v>
      </c>
      <c r="B304">
        <v>2.1844000000000001</v>
      </c>
      <c r="C304">
        <v>2.41</v>
      </c>
      <c r="D304">
        <v>2.0779999999999998</v>
      </c>
      <c r="E304">
        <v>2.0937999999999999</v>
      </c>
      <c r="F304">
        <v>5316994.43</v>
      </c>
      <c r="G304">
        <v>0</v>
      </c>
      <c r="L304" t="s">
        <v>7</v>
      </c>
      <c r="M304" t="s">
        <v>8</v>
      </c>
      <c r="N304" t="s">
        <v>8</v>
      </c>
      <c r="P304">
        <f t="shared" si="964"/>
        <v>-0.90481927710843357</v>
      </c>
      <c r="Q304">
        <f t="shared" si="965"/>
        <v>-4810919.0565421674</v>
      </c>
      <c r="R304">
        <f t="shared" si="966"/>
        <v>-105422239.25886072</v>
      </c>
      <c r="S304">
        <f t="shared" si="967"/>
        <v>-1054.2223925886071</v>
      </c>
      <c r="T304">
        <f t="shared" si="968"/>
        <v>-1.0542223925886072</v>
      </c>
    </row>
    <row r="305" spans="1:20" x14ac:dyDescent="0.25">
      <c r="A305" s="5">
        <v>44288</v>
      </c>
      <c r="B305">
        <v>2.1899000000000002</v>
      </c>
      <c r="C305">
        <v>2.4</v>
      </c>
      <c r="D305">
        <v>2.14</v>
      </c>
      <c r="E305">
        <v>2.1869000000000001</v>
      </c>
      <c r="F305">
        <v>7253235.6600000001</v>
      </c>
      <c r="G305">
        <v>0</v>
      </c>
      <c r="L305" t="s">
        <v>8</v>
      </c>
      <c r="M305" t="s">
        <v>7</v>
      </c>
      <c r="N305" t="s">
        <v>8</v>
      </c>
      <c r="P305">
        <f t="shared" si="964"/>
        <v>-0.63923076923076938</v>
      </c>
      <c r="Q305">
        <f t="shared" si="965"/>
        <v>-4636491.4103538478</v>
      </c>
      <c r="R305">
        <f t="shared" si="966"/>
        <v>-100611320.20231855</v>
      </c>
      <c r="S305">
        <f t="shared" si="967"/>
        <v>-1006.1132020231855</v>
      </c>
      <c r="T305">
        <f t="shared" si="968"/>
        <v>-1.0061132020231855</v>
      </c>
    </row>
    <row r="306" spans="1:20" x14ac:dyDescent="0.25">
      <c r="A306" s="5">
        <v>44287</v>
      </c>
      <c r="B306">
        <v>2.1076000000000001</v>
      </c>
      <c r="C306">
        <v>2.3012000000000001</v>
      </c>
      <c r="D306">
        <v>2.0552000000000001</v>
      </c>
      <c r="E306">
        <v>2.1861999999999999</v>
      </c>
      <c r="F306">
        <v>7391284.5499999998</v>
      </c>
      <c r="G306">
        <v>0</v>
      </c>
      <c r="L306" t="s">
        <v>8</v>
      </c>
      <c r="M306" t="s">
        <v>7</v>
      </c>
      <c r="N306" t="s">
        <v>8</v>
      </c>
      <c r="P306">
        <f t="shared" si="964"/>
        <v>6.5040650406502323E-2</v>
      </c>
      <c r="Q306">
        <f t="shared" si="965"/>
        <v>480733.95447153185</v>
      </c>
      <c r="R306">
        <f t="shared" si="966"/>
        <v>-95974828.791964695</v>
      </c>
      <c r="S306">
        <f t="shared" si="967"/>
        <v>-959.74828791964694</v>
      </c>
      <c r="T306">
        <f t="shared" si="968"/>
        <v>-0.95974828791964695</v>
      </c>
    </row>
    <row r="307" spans="1:20" x14ac:dyDescent="0.25">
      <c r="A307" s="5">
        <v>44286</v>
      </c>
      <c r="B307">
        <v>2.2608999999999999</v>
      </c>
      <c r="C307">
        <v>2.2732999999999999</v>
      </c>
      <c r="D307">
        <v>2.0684</v>
      </c>
      <c r="E307">
        <v>2.1076000000000001</v>
      </c>
      <c r="F307">
        <v>4778292.68</v>
      </c>
      <c r="G307">
        <v>0</v>
      </c>
      <c r="L307" t="s">
        <v>7</v>
      </c>
      <c r="M307" t="s">
        <v>7</v>
      </c>
      <c r="N307" t="s">
        <v>8</v>
      </c>
      <c r="P307">
        <f t="shared" si="964"/>
        <v>-0.61737432894094535</v>
      </c>
      <c r="Q307">
        <f t="shared" si="965"/>
        <v>-2949995.2367984313</v>
      </c>
      <c r="R307">
        <f t="shared" si="966"/>
        <v>-96455562.746436223</v>
      </c>
      <c r="S307">
        <f t="shared" si="967"/>
        <v>-964.55562746436226</v>
      </c>
      <c r="T307">
        <f t="shared" si="968"/>
        <v>-0.9645556274643623</v>
      </c>
    </row>
    <row r="308" spans="1:20" x14ac:dyDescent="0.25">
      <c r="A308" s="5">
        <v>44285</v>
      </c>
      <c r="B308">
        <v>2.3094000000000001</v>
      </c>
      <c r="C308">
        <v>2.4</v>
      </c>
      <c r="D308">
        <v>2.2210000000000001</v>
      </c>
      <c r="E308">
        <v>2.2608999999999999</v>
      </c>
      <c r="F308">
        <v>6747506.8899999997</v>
      </c>
      <c r="G308">
        <v>0</v>
      </c>
      <c r="L308" t="s">
        <v>7</v>
      </c>
      <c r="M308" t="s">
        <v>8</v>
      </c>
      <c r="N308" t="s">
        <v>8</v>
      </c>
      <c r="P308">
        <f t="shared" si="964"/>
        <v>-0.55418994413407974</v>
      </c>
      <c r="Q308">
        <f t="shared" si="965"/>
        <v>-3739400.4664134178</v>
      </c>
      <c r="R308">
        <f t="shared" si="966"/>
        <v>-93505567.509637788</v>
      </c>
      <c r="S308">
        <f t="shared" si="967"/>
        <v>-935.05567509637785</v>
      </c>
      <c r="T308">
        <f t="shared" si="968"/>
        <v>-0.93505567509637788</v>
      </c>
    </row>
    <row r="309" spans="1:20" x14ac:dyDescent="0.25">
      <c r="A309" s="5">
        <v>44284</v>
      </c>
      <c r="B309">
        <v>2.2845</v>
      </c>
      <c r="C309">
        <v>2.4498000000000002</v>
      </c>
      <c r="D309">
        <v>2.2065999999999999</v>
      </c>
      <c r="E309">
        <v>2.3121</v>
      </c>
      <c r="F309">
        <v>8314064.1600000001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-0.13240131578947353</v>
      </c>
      <c r="Q309">
        <f t="shared" si="965"/>
        <v>-1100793.0343421041</v>
      </c>
      <c r="R309">
        <f t="shared" si="966"/>
        <v>-89766167.043224365</v>
      </c>
      <c r="S309">
        <f t="shared" si="967"/>
        <v>-897.66167043224368</v>
      </c>
      <c r="T309">
        <f t="shared" si="968"/>
        <v>-0.89766167043224365</v>
      </c>
    </row>
    <row r="310" spans="1:20" x14ac:dyDescent="0.25">
      <c r="A310" s="5">
        <v>44283</v>
      </c>
      <c r="B310">
        <v>2.1596000000000002</v>
      </c>
      <c r="C310">
        <v>2.4376000000000002</v>
      </c>
      <c r="D310">
        <v>2.1425999999999998</v>
      </c>
      <c r="E310">
        <v>2.2841999999999998</v>
      </c>
      <c r="F310">
        <v>9288234.9800000004</v>
      </c>
      <c r="G310">
        <v>0</v>
      </c>
      <c r="L310" t="s">
        <v>8</v>
      </c>
      <c r="M310" t="s">
        <v>8</v>
      </c>
      <c r="N310" t="s">
        <v>8</v>
      </c>
      <c r="P310">
        <f t="shared" si="964"/>
        <v>-4.0000000000001569E-2</v>
      </c>
      <c r="Q310">
        <f t="shared" si="965"/>
        <v>-371529.3992000146</v>
      </c>
      <c r="R310">
        <f t="shared" si="966"/>
        <v>-88665374.008882254</v>
      </c>
      <c r="S310">
        <f t="shared" si="967"/>
        <v>-886.65374008882259</v>
      </c>
      <c r="T310">
        <f t="shared" si="968"/>
        <v>-0.88665374008882258</v>
      </c>
    </row>
    <row r="311" spans="1:20" x14ac:dyDescent="0.25">
      <c r="A311" s="5">
        <v>44282</v>
      </c>
      <c r="B311">
        <v>2.0888</v>
      </c>
      <c r="C311">
        <v>2.25</v>
      </c>
      <c r="D311">
        <v>1.9184000000000001</v>
      </c>
      <c r="E311">
        <v>2.1543999999999999</v>
      </c>
      <c r="F311">
        <v>8091603.7199999997</v>
      </c>
      <c r="G311">
        <v>0</v>
      </c>
      <c r="L311" t="s">
        <v>8</v>
      </c>
      <c r="M311" t="s">
        <v>8</v>
      </c>
      <c r="N311" t="s">
        <v>7</v>
      </c>
      <c r="P311">
        <f t="shared" si="964"/>
        <v>0.42340168878166368</v>
      </c>
      <c r="Q311">
        <f t="shared" si="965"/>
        <v>3425998.6799999918</v>
      </c>
      <c r="R311">
        <f t="shared" si="966"/>
        <v>-88293844.609682247</v>
      </c>
      <c r="S311">
        <f t="shared" si="967"/>
        <v>-882.93844609682242</v>
      </c>
      <c r="T311">
        <f t="shared" si="968"/>
        <v>-0.88293844609682237</v>
      </c>
    </row>
    <row r="312" spans="1:20" x14ac:dyDescent="0.25">
      <c r="A312" s="5">
        <v>44281</v>
      </c>
      <c r="B312">
        <v>1.7574000000000001</v>
      </c>
      <c r="C312">
        <v>2.14</v>
      </c>
      <c r="D312">
        <v>1.7515000000000001</v>
      </c>
      <c r="E312">
        <v>2.0888</v>
      </c>
      <c r="F312">
        <v>8013302.6100000003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0.73642213642213583</v>
      </c>
      <c r="Q312">
        <f t="shared" si="965"/>
        <v>5901173.427853277</v>
      </c>
      <c r="R312">
        <f t="shared" si="966"/>
        <v>-91719843.289682239</v>
      </c>
      <c r="S312">
        <f t="shared" si="967"/>
        <v>-917.1984328968224</v>
      </c>
      <c r="T312">
        <f t="shared" si="968"/>
        <v>-0.91719843289682235</v>
      </c>
    </row>
    <row r="313" spans="1:20" x14ac:dyDescent="0.25">
      <c r="A313" s="5">
        <v>44280</v>
      </c>
      <c r="B313">
        <v>1.8163</v>
      </c>
      <c r="C313">
        <v>1.8754999999999999</v>
      </c>
      <c r="D313">
        <v>1.6581999999999999</v>
      </c>
      <c r="E313">
        <v>1.7605999999999999</v>
      </c>
      <c r="F313">
        <v>8023163.1500000004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-5.7524160147261631E-2</v>
      </c>
      <c r="Q313">
        <f t="shared" si="965"/>
        <v>-461525.72192820814</v>
      </c>
      <c r="R313">
        <f t="shared" si="966"/>
        <v>-97621016.717535511</v>
      </c>
      <c r="S313">
        <f t="shared" si="967"/>
        <v>-976.21016717535508</v>
      </c>
      <c r="T313">
        <f t="shared" si="968"/>
        <v>-0.97621016717535514</v>
      </c>
    </row>
    <row r="314" spans="1:20" x14ac:dyDescent="0.25">
      <c r="A314" s="5">
        <v>44279</v>
      </c>
      <c r="B314">
        <v>2.0097999999999998</v>
      </c>
      <c r="C314">
        <v>2.1949999999999998</v>
      </c>
      <c r="D314">
        <v>1.7747999999999999</v>
      </c>
      <c r="E314">
        <v>1.8164</v>
      </c>
      <c r="F314">
        <v>6427485.0300000003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-0.80199904807234612</v>
      </c>
      <c r="Q314">
        <f t="shared" si="965"/>
        <v>-5154836.8755592555</v>
      </c>
      <c r="R314">
        <f t="shared" si="966"/>
        <v>-97159490.995607302</v>
      </c>
      <c r="S314">
        <f t="shared" si="967"/>
        <v>-971.59490995607302</v>
      </c>
      <c r="T314">
        <f t="shared" si="968"/>
        <v>-0.97159490995607301</v>
      </c>
    </row>
    <row r="315" spans="1:20" x14ac:dyDescent="0.25">
      <c r="A315" s="5">
        <v>44278</v>
      </c>
      <c r="B315">
        <v>2.1051000000000002</v>
      </c>
      <c r="C315">
        <v>2.1916000000000002</v>
      </c>
      <c r="D315">
        <v>1.9254</v>
      </c>
      <c r="E315">
        <v>2.0101</v>
      </c>
      <c r="F315">
        <v>3948370.78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-0.36363636363636415</v>
      </c>
      <c r="Q315">
        <f t="shared" si="965"/>
        <v>-1435771.1927272747</v>
      </c>
      <c r="R315">
        <f t="shared" si="966"/>
        <v>-92004654.120048046</v>
      </c>
      <c r="S315">
        <f t="shared" si="967"/>
        <v>-920.04654120048042</v>
      </c>
      <c r="T315">
        <f t="shared" si="968"/>
        <v>-0.92004654120048046</v>
      </c>
    </row>
    <row r="316" spans="1:20" x14ac:dyDescent="0.25">
      <c r="A316" s="5">
        <v>44277</v>
      </c>
      <c r="B316">
        <v>2.2075</v>
      </c>
      <c r="C316">
        <v>2.38</v>
      </c>
      <c r="D316">
        <v>2.08</v>
      </c>
      <c r="E316">
        <v>2.1107</v>
      </c>
      <c r="F316">
        <v>5317911.26</v>
      </c>
      <c r="G316">
        <v>0</v>
      </c>
      <c r="L316" t="s">
        <v>8</v>
      </c>
      <c r="M316" t="s">
        <v>7</v>
      </c>
      <c r="N316" t="s">
        <v>7</v>
      </c>
      <c r="P316">
        <f t="shared" si="964"/>
        <v>-0.79533333333333356</v>
      </c>
      <c r="Q316">
        <f t="shared" si="965"/>
        <v>-4229512.0887866681</v>
      </c>
      <c r="R316">
        <f t="shared" si="966"/>
        <v>-90568882.927320778</v>
      </c>
      <c r="S316">
        <f t="shared" si="967"/>
        <v>-905.68882927320783</v>
      </c>
      <c r="T316">
        <f t="shared" si="968"/>
        <v>-0.90568882927320782</v>
      </c>
    </row>
    <row r="317" spans="1:20" x14ac:dyDescent="0.25">
      <c r="A317" s="5">
        <v>44276</v>
      </c>
      <c r="B317">
        <v>2.1025999999999998</v>
      </c>
      <c r="C317">
        <v>2.4548000000000001</v>
      </c>
      <c r="D317">
        <v>2.0101</v>
      </c>
      <c r="E317">
        <v>2.2105999999999999</v>
      </c>
      <c r="F317">
        <v>9370966.6099999994</v>
      </c>
      <c r="G317">
        <v>0</v>
      </c>
      <c r="L317" t="s">
        <v>7</v>
      </c>
      <c r="M317" t="s">
        <v>7</v>
      </c>
      <c r="N317" t="s">
        <v>7</v>
      </c>
      <c r="P317">
        <f t="shared" si="964"/>
        <v>-9.8268495615022003E-2</v>
      </c>
      <c r="Q317">
        <f t="shared" si="965"/>
        <v>-920870.7912233026</v>
      </c>
      <c r="R317">
        <f t="shared" si="966"/>
        <v>-86339370.838534117</v>
      </c>
      <c r="S317">
        <f t="shared" si="967"/>
        <v>-863.39370838534114</v>
      </c>
      <c r="T317">
        <f t="shared" si="968"/>
        <v>-0.86339370838534113</v>
      </c>
    </row>
    <row r="318" spans="1:20" x14ac:dyDescent="0.25">
      <c r="A318" s="5">
        <v>44275</v>
      </c>
      <c r="B318">
        <v>2.2812000000000001</v>
      </c>
      <c r="C318">
        <v>2.335</v>
      </c>
      <c r="D318">
        <v>2.1025999999999998</v>
      </c>
      <c r="E318">
        <v>2.1025999999999998</v>
      </c>
      <c r="F318">
        <v>4004386.89</v>
      </c>
      <c r="G318">
        <v>0</v>
      </c>
      <c r="L318" t="s">
        <v>7</v>
      </c>
      <c r="M318" t="s">
        <v>7</v>
      </c>
      <c r="N318" t="s">
        <v>7</v>
      </c>
      <c r="P318">
        <f t="shared" si="964"/>
        <v>-1</v>
      </c>
      <c r="Q318">
        <f t="shared" si="965"/>
        <v>-4004386.89</v>
      </c>
      <c r="R318">
        <f t="shared" si="966"/>
        <v>-85418500.047310814</v>
      </c>
      <c r="S318">
        <f t="shared" si="967"/>
        <v>-854.18500047310818</v>
      </c>
      <c r="T318">
        <f t="shared" si="968"/>
        <v>-0.85418500047310819</v>
      </c>
    </row>
    <row r="319" spans="1:20" x14ac:dyDescent="0.25">
      <c r="A319" s="5">
        <v>44274</v>
      </c>
      <c r="B319">
        <v>2.3553000000000002</v>
      </c>
      <c r="C319">
        <v>2.4476</v>
      </c>
      <c r="D319">
        <v>2.27</v>
      </c>
      <c r="E319">
        <v>2.2850000000000001</v>
      </c>
      <c r="F319">
        <v>4462189.5199999996</v>
      </c>
      <c r="G319">
        <v>0</v>
      </c>
      <c r="L319" t="s">
        <v>7</v>
      </c>
      <c r="M319" t="s">
        <v>7</v>
      </c>
      <c r="N319" t="s">
        <v>8</v>
      </c>
      <c r="P319">
        <f t="shared" si="964"/>
        <v>-0.8310810810810797</v>
      </c>
      <c r="Q319">
        <f t="shared" si="965"/>
        <v>-3708441.2902702638</v>
      </c>
      <c r="R319">
        <f t="shared" si="966"/>
        <v>-81414113.157310814</v>
      </c>
      <c r="S319">
        <f t="shared" si="967"/>
        <v>-814.14113157310817</v>
      </c>
      <c r="T319">
        <f t="shared" si="968"/>
        <v>-0.81414113157310819</v>
      </c>
    </row>
    <row r="320" spans="1:20" x14ac:dyDescent="0.25">
      <c r="A320" s="5">
        <v>44273</v>
      </c>
      <c r="B320">
        <v>2.6297000000000001</v>
      </c>
      <c r="C320">
        <v>2.87</v>
      </c>
      <c r="D320">
        <v>2.3481999999999998</v>
      </c>
      <c r="E320">
        <v>2.3599000000000001</v>
      </c>
      <c r="F320">
        <v>8209759.6600000001</v>
      </c>
      <c r="G320">
        <v>0</v>
      </c>
      <c r="L320" t="s">
        <v>7</v>
      </c>
      <c r="M320" t="s">
        <v>7</v>
      </c>
      <c r="N320" t="s">
        <v>8</v>
      </c>
      <c r="P320">
        <f t="shared" si="964"/>
        <v>-0.95515523188961193</v>
      </c>
      <c r="Q320">
        <f t="shared" si="965"/>
        <v>-7841594.8918052819</v>
      </c>
      <c r="R320">
        <f t="shared" si="966"/>
        <v>-77705671.867040545</v>
      </c>
      <c r="S320">
        <f t="shared" si="967"/>
        <v>-777.05671867040542</v>
      </c>
      <c r="T320">
        <f t="shared" si="968"/>
        <v>-0.77705671867040538</v>
      </c>
    </row>
    <row r="321" spans="1:20" x14ac:dyDescent="0.25">
      <c r="A321" s="5">
        <v>44272</v>
      </c>
      <c r="B321">
        <v>2.5893999999999999</v>
      </c>
      <c r="C321">
        <v>2.9980000000000002</v>
      </c>
      <c r="D321">
        <v>2.2481</v>
      </c>
      <c r="E321">
        <v>2.6240999999999999</v>
      </c>
      <c r="F321">
        <v>18398377.210000001</v>
      </c>
      <c r="G321">
        <v>0</v>
      </c>
      <c r="L321" t="s">
        <v>8</v>
      </c>
      <c r="M321" t="s">
        <v>8</v>
      </c>
      <c r="N321" t="s">
        <v>8</v>
      </c>
      <c r="P321">
        <f t="shared" si="964"/>
        <v>2.8003733831171436E-3</v>
      </c>
      <c r="Q321">
        <f t="shared" si="965"/>
        <v>51522.325831433052</v>
      </c>
      <c r="R321">
        <f t="shared" si="966"/>
        <v>-69864076.975235268</v>
      </c>
      <c r="S321">
        <f t="shared" si="967"/>
        <v>-698.64076975235264</v>
      </c>
      <c r="T321">
        <f t="shared" si="968"/>
        <v>-0.69864076975235267</v>
      </c>
    </row>
    <row r="322" spans="1:20" x14ac:dyDescent="0.25">
      <c r="A322" s="5">
        <v>44271</v>
      </c>
      <c r="B322">
        <v>2.1335000000000002</v>
      </c>
      <c r="C322">
        <v>2.5949</v>
      </c>
      <c r="D322">
        <v>1.9384999999999999</v>
      </c>
      <c r="E322">
        <v>2.5916000000000001</v>
      </c>
      <c r="F322">
        <v>9693167.8399999999</v>
      </c>
      <c r="G322">
        <v>0</v>
      </c>
      <c r="L322" t="s">
        <v>8</v>
      </c>
      <c r="M322" t="s">
        <v>8</v>
      </c>
      <c r="N322" t="s">
        <v>8</v>
      </c>
      <c r="P322">
        <f t="shared" si="964"/>
        <v>0.9899451553930535</v>
      </c>
      <c r="Q322">
        <f t="shared" si="965"/>
        <v>9595704.5436197482</v>
      </c>
      <c r="R322">
        <f t="shared" si="966"/>
        <v>-69915599.301066697</v>
      </c>
      <c r="S322">
        <f t="shared" si="967"/>
        <v>-699.15599301066698</v>
      </c>
      <c r="T322">
        <f t="shared" si="968"/>
        <v>-0.699155993010667</v>
      </c>
    </row>
    <row r="323" spans="1:20" x14ac:dyDescent="0.25">
      <c r="A323" s="5">
        <v>44270</v>
      </c>
      <c r="B323">
        <v>2.0518000000000001</v>
      </c>
      <c r="C323">
        <v>2.3692000000000002</v>
      </c>
      <c r="D323">
        <v>1.9810000000000001</v>
      </c>
      <c r="E323">
        <v>2.1341000000000001</v>
      </c>
      <c r="F323">
        <v>11234730.699999999</v>
      </c>
      <c r="G323">
        <v>0</v>
      </c>
      <c r="L323" t="s">
        <v>8</v>
      </c>
      <c r="M323" t="s">
        <v>8</v>
      </c>
      <c r="N323" t="s">
        <v>8</v>
      </c>
      <c r="P323">
        <f t="shared" si="964"/>
        <v>-0.21123132405976314</v>
      </c>
      <c r="Q323">
        <f t="shared" si="965"/>
        <v>-2373127.0412158696</v>
      </c>
      <c r="R323">
        <f t="shared" si="966"/>
        <v>-79511303.844686449</v>
      </c>
      <c r="S323">
        <f t="shared" si="967"/>
        <v>-795.11303844686449</v>
      </c>
      <c r="T323">
        <f t="shared" si="968"/>
        <v>-0.79511303844686454</v>
      </c>
    </row>
    <row r="324" spans="1:20" x14ac:dyDescent="0.25">
      <c r="A324" s="5">
        <v>44269</v>
      </c>
      <c r="B324">
        <v>2.1722000000000001</v>
      </c>
      <c r="C324">
        <v>2.2498999999999998</v>
      </c>
      <c r="D324">
        <v>1.8919999999999999</v>
      </c>
      <c r="E324">
        <v>2.0518000000000001</v>
      </c>
      <c r="F324">
        <v>9354319.1099999994</v>
      </c>
      <c r="G324">
        <v>0</v>
      </c>
      <c r="L324" t="s">
        <v>7</v>
      </c>
      <c r="M324" t="s">
        <v>8</v>
      </c>
      <c r="N324" t="s">
        <v>8</v>
      </c>
      <c r="P324">
        <f t="shared" si="964"/>
        <v>-0.10701313215981997</v>
      </c>
      <c r="Q324">
        <f t="shared" si="965"/>
        <v>-1001034.9871835595</v>
      </c>
      <c r="R324">
        <f t="shared" si="966"/>
        <v>-77138176.803470582</v>
      </c>
      <c r="S324">
        <f t="shared" si="967"/>
        <v>-771.38176803470583</v>
      </c>
      <c r="T324">
        <f t="shared" si="968"/>
        <v>-0.77138176803470582</v>
      </c>
    </row>
    <row r="325" spans="1:20" x14ac:dyDescent="0.25">
      <c r="A325" s="5">
        <v>44268</v>
      </c>
      <c r="B325">
        <v>1.9380999999999999</v>
      </c>
      <c r="C325">
        <v>2.2399</v>
      </c>
      <c r="D325">
        <v>1.7956000000000001</v>
      </c>
      <c r="E325">
        <v>2.1724999999999999</v>
      </c>
      <c r="F325">
        <v>14833469.050000001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0.69660139545352173</v>
      </c>
      <c r="Q325">
        <f t="shared" si="965"/>
        <v>10333015.239646627</v>
      </c>
      <c r="R325">
        <f t="shared" si="966"/>
        <v>-76137141.816287026</v>
      </c>
      <c r="S325">
        <f t="shared" si="967"/>
        <v>-761.37141816287021</v>
      </c>
      <c r="T325">
        <f t="shared" si="968"/>
        <v>-0.76137141816287024</v>
      </c>
    </row>
    <row r="326" spans="1:20" x14ac:dyDescent="0.25">
      <c r="A326" s="5">
        <v>44267</v>
      </c>
      <c r="B326">
        <v>1.6767000000000001</v>
      </c>
      <c r="C326">
        <v>2.0407000000000002</v>
      </c>
      <c r="D326">
        <v>1.6367</v>
      </c>
      <c r="E326">
        <v>1.9332</v>
      </c>
      <c r="F326">
        <v>18278599.780000001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0.46782178217821724</v>
      </c>
      <c r="Q326">
        <f t="shared" ref="Q326:Q389" si="970">F326*P326</f>
        <v>8551127.124801971</v>
      </c>
      <c r="R326">
        <f t="shared" ref="R326:R389" si="971">R327+Q326</f>
        <v>-86470157.055933654</v>
      </c>
      <c r="S326">
        <f t="shared" ref="S326:S389" si="972">R326/100000</f>
        <v>-864.70157055933657</v>
      </c>
      <c r="T326">
        <f t="shared" ref="T326:T389" si="973">S326/1000</f>
        <v>-0.86470157055933661</v>
      </c>
    </row>
    <row r="327" spans="1:20" x14ac:dyDescent="0.25">
      <c r="A327" s="5">
        <v>44266</v>
      </c>
      <c r="B327">
        <v>1.5915999999999999</v>
      </c>
      <c r="C327">
        <v>1.83</v>
      </c>
      <c r="D327">
        <v>1.472</v>
      </c>
      <c r="E327">
        <v>1.6759999999999999</v>
      </c>
      <c r="F327">
        <v>18829668.489999998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0.13966480446927321</v>
      </c>
      <c r="Q327">
        <f t="shared" si="970"/>
        <v>2629841.9678770849</v>
      </c>
      <c r="R327">
        <f t="shared" si="971"/>
        <v>-95021284.180735633</v>
      </c>
      <c r="S327">
        <f t="shared" si="972"/>
        <v>-950.21284180735631</v>
      </c>
      <c r="T327">
        <f t="shared" si="973"/>
        <v>-0.95021284180735632</v>
      </c>
    </row>
    <row r="328" spans="1:20" x14ac:dyDescent="0.25">
      <c r="A328" s="5">
        <v>44265</v>
      </c>
      <c r="B328">
        <v>1.4991000000000001</v>
      </c>
      <c r="C328">
        <v>1.6890000000000001</v>
      </c>
      <c r="D328">
        <v>1.4063000000000001</v>
      </c>
      <c r="E328">
        <v>1.5913999999999999</v>
      </c>
      <c r="F328">
        <v>16546190.640000001</v>
      </c>
      <c r="G328">
        <v>0</v>
      </c>
      <c r="L328" t="s">
        <v>8</v>
      </c>
      <c r="M328" t="s">
        <v>8</v>
      </c>
      <c r="N328" t="s">
        <v>7</v>
      </c>
      <c r="P328">
        <f t="shared" si="969"/>
        <v>0.30951538733639794</v>
      </c>
      <c r="Q328">
        <f t="shared" si="970"/>
        <v>5121300.6048814822</v>
      </c>
      <c r="R328">
        <f t="shared" si="971"/>
        <v>-97651126.148612723</v>
      </c>
      <c r="S328">
        <f t="shared" si="972"/>
        <v>-976.51126148612718</v>
      </c>
      <c r="T328">
        <f t="shared" si="973"/>
        <v>-0.97651126148612721</v>
      </c>
    </row>
    <row r="329" spans="1:20" x14ac:dyDescent="0.25">
      <c r="A329" s="5">
        <v>44264</v>
      </c>
      <c r="B329">
        <v>1.3686</v>
      </c>
      <c r="C329">
        <v>1.5629</v>
      </c>
      <c r="D329">
        <v>1.35</v>
      </c>
      <c r="E329">
        <v>1.4994000000000001</v>
      </c>
      <c r="F329">
        <v>7060158.7000000002</v>
      </c>
      <c r="G329">
        <v>0</v>
      </c>
      <c r="L329" t="s">
        <v>8</v>
      </c>
      <c r="M329" t="s">
        <v>8</v>
      </c>
      <c r="N329" t="s">
        <v>7</v>
      </c>
      <c r="P329">
        <f t="shared" si="969"/>
        <v>0.40347581023954976</v>
      </c>
      <c r="Q329">
        <f t="shared" si="970"/>
        <v>2848603.2519023065</v>
      </c>
      <c r="R329">
        <f t="shared" si="971"/>
        <v>-102772426.7534942</v>
      </c>
      <c r="S329">
        <f t="shared" si="972"/>
        <v>-1027.7242675349421</v>
      </c>
      <c r="T329">
        <f t="shared" si="973"/>
        <v>-1.0277242675349421</v>
      </c>
    </row>
    <row r="330" spans="1:20" x14ac:dyDescent="0.25">
      <c r="A330" s="5">
        <v>44263</v>
      </c>
      <c r="B330">
        <v>1.4035</v>
      </c>
      <c r="C330">
        <v>1.4197</v>
      </c>
      <c r="D330">
        <v>1.3255999999999999</v>
      </c>
      <c r="E330">
        <v>1.3665</v>
      </c>
      <c r="F330">
        <v>6627653.6900000004</v>
      </c>
      <c r="G330">
        <v>0</v>
      </c>
      <c r="L330" t="s">
        <v>7</v>
      </c>
      <c r="M330" t="s">
        <v>7</v>
      </c>
      <c r="N330" t="s">
        <v>7</v>
      </c>
      <c r="P330">
        <f t="shared" si="969"/>
        <v>-0.13071200850159134</v>
      </c>
      <c r="Q330">
        <f t="shared" si="970"/>
        <v>-866313.92547288327</v>
      </c>
      <c r="R330">
        <f t="shared" si="971"/>
        <v>-105621030.00539652</v>
      </c>
      <c r="S330">
        <f t="shared" si="972"/>
        <v>-1056.2103000539651</v>
      </c>
      <c r="T330">
        <f t="shared" si="973"/>
        <v>-1.0562103000539651</v>
      </c>
    </row>
    <row r="331" spans="1:20" x14ac:dyDescent="0.25">
      <c r="A331" s="5">
        <v>44262</v>
      </c>
      <c r="B331">
        <v>1.3891</v>
      </c>
      <c r="C331">
        <v>1.4435</v>
      </c>
      <c r="D331">
        <v>1.3445</v>
      </c>
      <c r="E331">
        <v>1.4025000000000001</v>
      </c>
      <c r="F331">
        <v>3847184.92</v>
      </c>
      <c r="G331">
        <v>0</v>
      </c>
      <c r="L331" t="s">
        <v>7</v>
      </c>
      <c r="M331" t="s">
        <v>7</v>
      </c>
      <c r="N331" t="s">
        <v>7</v>
      </c>
      <c r="P331">
        <f t="shared" si="969"/>
        <v>0.17171717171717304</v>
      </c>
      <c r="Q331">
        <f t="shared" si="970"/>
        <v>660627.71353535866</v>
      </c>
      <c r="R331">
        <f t="shared" si="971"/>
        <v>-104754716.07992363</v>
      </c>
      <c r="S331">
        <f t="shared" si="972"/>
        <v>-1047.5471607992363</v>
      </c>
      <c r="T331">
        <f t="shared" si="973"/>
        <v>-1.0475471607992364</v>
      </c>
    </row>
    <row r="332" spans="1:20" x14ac:dyDescent="0.25">
      <c r="A332" s="5">
        <v>44261</v>
      </c>
      <c r="B332">
        <v>1.4017999999999999</v>
      </c>
      <c r="C332">
        <v>1.4397</v>
      </c>
      <c r="D332">
        <v>1.3282</v>
      </c>
      <c r="E332">
        <v>1.3917999999999999</v>
      </c>
      <c r="F332">
        <v>2335852.94</v>
      </c>
      <c r="G332">
        <v>0</v>
      </c>
      <c r="L332" t="s">
        <v>8</v>
      </c>
      <c r="M332" t="s">
        <v>7</v>
      </c>
      <c r="N332" t="s">
        <v>7</v>
      </c>
      <c r="P332">
        <f t="shared" si="969"/>
        <v>0.14080717488789091</v>
      </c>
      <c r="Q332">
        <f t="shared" si="970"/>
        <v>328904.85343497415</v>
      </c>
      <c r="R332">
        <f t="shared" si="971"/>
        <v>-105415343.79345898</v>
      </c>
      <c r="S332">
        <f t="shared" si="972"/>
        <v>-1054.1534379345899</v>
      </c>
      <c r="T332">
        <f t="shared" si="973"/>
        <v>-1.0541534379345898</v>
      </c>
    </row>
    <row r="333" spans="1:20" x14ac:dyDescent="0.25">
      <c r="A333" s="5">
        <v>44260</v>
      </c>
      <c r="B333">
        <v>1.4926999999999999</v>
      </c>
      <c r="C333">
        <v>1.4926999999999999</v>
      </c>
      <c r="D333">
        <v>1.333</v>
      </c>
      <c r="E333">
        <v>1.4017999999999999</v>
      </c>
      <c r="F333">
        <v>13298876.02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-0.13838447088290554</v>
      </c>
      <c r="Q333">
        <f t="shared" si="970"/>
        <v>-1840357.9213650606</v>
      </c>
      <c r="R333">
        <f t="shared" si="971"/>
        <v>-105744248.64689396</v>
      </c>
      <c r="S333">
        <f t="shared" si="972"/>
        <v>-1057.4424864689397</v>
      </c>
      <c r="T333">
        <f t="shared" si="973"/>
        <v>-1.0574424864689398</v>
      </c>
    </row>
    <row r="334" spans="1:20" x14ac:dyDescent="0.25">
      <c r="A334" s="5">
        <v>44259</v>
      </c>
      <c r="B334">
        <v>1.7686999999999999</v>
      </c>
      <c r="C334">
        <v>1.8248</v>
      </c>
      <c r="D334">
        <v>1.4333</v>
      </c>
      <c r="E334">
        <v>1.4913000000000001</v>
      </c>
      <c r="F334">
        <v>17165824.059999999</v>
      </c>
      <c r="G334">
        <v>0</v>
      </c>
      <c r="L334" t="s">
        <v>7</v>
      </c>
      <c r="M334" t="s">
        <v>7</v>
      </c>
      <c r="N334" t="s">
        <v>8</v>
      </c>
      <c r="P334">
        <f t="shared" si="969"/>
        <v>-0.70370370370370339</v>
      </c>
      <c r="Q334">
        <f t="shared" si="970"/>
        <v>-12079653.968148142</v>
      </c>
      <c r="R334">
        <f t="shared" si="971"/>
        <v>-103903890.7255289</v>
      </c>
      <c r="S334">
        <f t="shared" si="972"/>
        <v>-1039.0389072552889</v>
      </c>
      <c r="T334">
        <f t="shared" si="973"/>
        <v>-1.0390389072552888</v>
      </c>
    </row>
    <row r="335" spans="1:20" x14ac:dyDescent="0.25">
      <c r="A335" s="5">
        <v>44258</v>
      </c>
      <c r="B335">
        <v>1.488</v>
      </c>
      <c r="C335">
        <v>1.8214999999999999</v>
      </c>
      <c r="D335">
        <v>1.4459</v>
      </c>
      <c r="E335">
        <v>1.7624</v>
      </c>
      <c r="F335">
        <v>12516050.32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0.6853035143769971</v>
      </c>
      <c r="Q335">
        <f t="shared" si="970"/>
        <v>8577293.2704153396</v>
      </c>
      <c r="R335">
        <f t="shared" si="971"/>
        <v>-91824236.757380754</v>
      </c>
      <c r="S335">
        <f t="shared" si="972"/>
        <v>-918.24236757380754</v>
      </c>
      <c r="T335">
        <f t="shared" si="973"/>
        <v>-0.91824236757380751</v>
      </c>
    </row>
    <row r="336" spans="1:20" x14ac:dyDescent="0.25">
      <c r="A336" s="5">
        <v>44257</v>
      </c>
      <c r="B336">
        <v>1.4393</v>
      </c>
      <c r="C336">
        <v>1.609</v>
      </c>
      <c r="D336">
        <v>1.3988</v>
      </c>
      <c r="E336">
        <v>1.4891000000000001</v>
      </c>
      <c r="F336">
        <v>16568600.57</v>
      </c>
      <c r="G336">
        <v>0</v>
      </c>
      <c r="L336" t="s">
        <v>8</v>
      </c>
      <c r="M336" t="s">
        <v>8</v>
      </c>
      <c r="N336" t="s">
        <v>7</v>
      </c>
      <c r="P336">
        <f t="shared" si="969"/>
        <v>-0.14081826831588895</v>
      </c>
      <c r="Q336">
        <f t="shared" si="970"/>
        <v>-2333161.6406850507</v>
      </c>
      <c r="R336">
        <f t="shared" si="971"/>
        <v>-100401530.02779609</v>
      </c>
      <c r="S336">
        <f t="shared" si="972"/>
        <v>-1004.0153002779609</v>
      </c>
      <c r="T336">
        <f t="shared" si="973"/>
        <v>-1.004015300277961</v>
      </c>
    </row>
    <row r="337" spans="1:20" x14ac:dyDescent="0.25">
      <c r="A337" s="5">
        <v>44256</v>
      </c>
      <c r="B337">
        <v>1.2827999999999999</v>
      </c>
      <c r="C337">
        <v>1.45</v>
      </c>
      <c r="D337">
        <v>1.2543</v>
      </c>
      <c r="E337">
        <v>1.4396</v>
      </c>
      <c r="F337">
        <v>16820697.379999999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0.89371486969851854</v>
      </c>
      <c r="Q337">
        <f t="shared" si="970"/>
        <v>15032907.367204912</v>
      </c>
      <c r="R337">
        <f t="shared" si="971"/>
        <v>-98068368.387111038</v>
      </c>
      <c r="S337">
        <f t="shared" si="972"/>
        <v>-980.68368387111036</v>
      </c>
      <c r="T337">
        <f t="shared" si="973"/>
        <v>-0.98068368387111038</v>
      </c>
    </row>
    <row r="338" spans="1:20" x14ac:dyDescent="0.25">
      <c r="A338" s="5">
        <v>44255</v>
      </c>
      <c r="B338">
        <v>1.4109</v>
      </c>
      <c r="C338">
        <v>1.4276</v>
      </c>
      <c r="D338">
        <v>1.1571</v>
      </c>
      <c r="E338">
        <v>1.2827</v>
      </c>
      <c r="F338">
        <v>12037973.439999999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-7.1349353049907943E-2</v>
      </c>
      <c r="Q338">
        <f t="shared" si="970"/>
        <v>-858901.61697597476</v>
      </c>
      <c r="R338">
        <f t="shared" si="971"/>
        <v>-113101275.75431594</v>
      </c>
      <c r="S338">
        <f t="shared" si="972"/>
        <v>-1131.0127575431595</v>
      </c>
      <c r="T338">
        <f t="shared" si="973"/>
        <v>-1.1310127575431594</v>
      </c>
    </row>
    <row r="339" spans="1:20" x14ac:dyDescent="0.25">
      <c r="A339" s="5">
        <v>44254</v>
      </c>
      <c r="B339">
        <v>1.3419000000000001</v>
      </c>
      <c r="C339">
        <v>1.5297000000000001</v>
      </c>
      <c r="D339">
        <v>1.3</v>
      </c>
      <c r="E339">
        <v>1.4139999999999999</v>
      </c>
      <c r="F339">
        <v>7048053.5300000003</v>
      </c>
      <c r="G339">
        <v>0</v>
      </c>
      <c r="L339" t="s">
        <v>8</v>
      </c>
      <c r="M339" t="s">
        <v>7</v>
      </c>
      <c r="N339" t="s">
        <v>7</v>
      </c>
      <c r="P339">
        <f t="shared" si="969"/>
        <v>-7.4009577710067772E-3</v>
      </c>
      <c r="Q339">
        <f t="shared" si="970"/>
        <v>-52162.34654332525</v>
      </c>
      <c r="R339">
        <f t="shared" si="971"/>
        <v>-112242374.13733996</v>
      </c>
      <c r="S339">
        <f t="shared" si="972"/>
        <v>-1122.4237413733997</v>
      </c>
      <c r="T339">
        <f t="shared" si="973"/>
        <v>-1.1224237413733997</v>
      </c>
    </row>
    <row r="340" spans="1:20" x14ac:dyDescent="0.25">
      <c r="A340" s="5">
        <v>44253</v>
      </c>
      <c r="B340">
        <v>1.5205</v>
      </c>
      <c r="C340">
        <v>1.5205</v>
      </c>
      <c r="D340">
        <v>1.2861</v>
      </c>
      <c r="E340">
        <v>1.3414999999999999</v>
      </c>
      <c r="F340">
        <v>3397273.48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-0.52730375426621234</v>
      </c>
      <c r="Q340">
        <f t="shared" si="970"/>
        <v>-1791395.0602730401</v>
      </c>
      <c r="R340">
        <f t="shared" si="971"/>
        <v>-112190211.79079664</v>
      </c>
      <c r="S340">
        <f t="shared" si="972"/>
        <v>-1121.9021179079664</v>
      </c>
      <c r="T340">
        <f t="shared" si="973"/>
        <v>-1.1219021179079665</v>
      </c>
    </row>
    <row r="341" spans="1:20" x14ac:dyDescent="0.25">
      <c r="A341" s="5">
        <v>44252</v>
      </c>
      <c r="B341">
        <v>1.5734999999999999</v>
      </c>
      <c r="C341">
        <v>1.74</v>
      </c>
      <c r="D341">
        <v>1.5</v>
      </c>
      <c r="E341">
        <v>1.5206</v>
      </c>
      <c r="F341">
        <v>3049406.14</v>
      </c>
      <c r="G341">
        <v>0</v>
      </c>
      <c r="L341" t="s">
        <v>7</v>
      </c>
      <c r="M341" t="s">
        <v>8</v>
      </c>
      <c r="N341" t="s">
        <v>8</v>
      </c>
      <c r="P341">
        <f t="shared" si="969"/>
        <v>-0.8283333333333337</v>
      </c>
      <c r="Q341">
        <f t="shared" si="970"/>
        <v>-2525924.7526333346</v>
      </c>
      <c r="R341">
        <f t="shared" si="971"/>
        <v>-110398816.7305236</v>
      </c>
      <c r="S341">
        <f t="shared" si="972"/>
        <v>-1103.9881673052359</v>
      </c>
      <c r="T341">
        <f t="shared" si="973"/>
        <v>-1.1039881673052359</v>
      </c>
    </row>
    <row r="342" spans="1:20" x14ac:dyDescent="0.25">
      <c r="A342" s="5">
        <v>44251</v>
      </c>
      <c r="B342">
        <v>1.5091000000000001</v>
      </c>
      <c r="C342">
        <v>1.7732000000000001</v>
      </c>
      <c r="D342">
        <v>1.3684000000000001</v>
      </c>
      <c r="E342">
        <v>1.577</v>
      </c>
      <c r="F342">
        <v>6636085.46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3.0632411067193041E-2</v>
      </c>
      <c r="Q342">
        <f t="shared" si="970"/>
        <v>203279.29768774283</v>
      </c>
      <c r="R342">
        <f t="shared" si="971"/>
        <v>-107872891.97789027</v>
      </c>
      <c r="S342">
        <f t="shared" si="972"/>
        <v>-1078.7289197789028</v>
      </c>
      <c r="T342">
        <f t="shared" si="973"/>
        <v>-1.0787289197789027</v>
      </c>
    </row>
    <row r="343" spans="1:20" x14ac:dyDescent="0.25">
      <c r="A343" s="5">
        <v>44250</v>
      </c>
      <c r="B343">
        <v>1.7862</v>
      </c>
      <c r="C343">
        <v>1.7905</v>
      </c>
      <c r="D343">
        <v>1.2</v>
      </c>
      <c r="E343">
        <v>1.5091000000000001</v>
      </c>
      <c r="F343">
        <v>7850084.5800000001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4.69093988145644E-2</v>
      </c>
      <c r="Q343">
        <f t="shared" si="970"/>
        <v>368242.74829128227</v>
      </c>
      <c r="R343">
        <f t="shared" si="971"/>
        <v>-108076171.27557801</v>
      </c>
      <c r="S343">
        <f t="shared" si="972"/>
        <v>-1080.7617127557801</v>
      </c>
      <c r="T343">
        <f t="shared" si="973"/>
        <v>-1.08076171275578</v>
      </c>
    </row>
    <row r="344" spans="1:20" x14ac:dyDescent="0.25">
      <c r="A344" s="5">
        <v>44249</v>
      </c>
      <c r="B344">
        <v>1.9562999999999999</v>
      </c>
      <c r="C344">
        <v>1.9979</v>
      </c>
      <c r="D344">
        <v>1.5</v>
      </c>
      <c r="E344">
        <v>1.786</v>
      </c>
      <c r="F344">
        <v>8985224.4900000002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0.14882506527415154</v>
      </c>
      <c r="Q344">
        <f t="shared" si="970"/>
        <v>1337226.621227155</v>
      </c>
      <c r="R344">
        <f t="shared" si="971"/>
        <v>-108444414.02386929</v>
      </c>
      <c r="S344">
        <f t="shared" si="972"/>
        <v>-1084.4441402386929</v>
      </c>
      <c r="T344">
        <f t="shared" si="973"/>
        <v>-1.0844441402386928</v>
      </c>
    </row>
    <row r="345" spans="1:20" x14ac:dyDescent="0.25">
      <c r="A345" s="5">
        <v>44248</v>
      </c>
      <c r="B345">
        <v>1.9016</v>
      </c>
      <c r="C345">
        <v>2.1566000000000001</v>
      </c>
      <c r="D345">
        <v>1.8511</v>
      </c>
      <c r="E345">
        <v>1.9598</v>
      </c>
      <c r="F345">
        <v>10000748.66</v>
      </c>
      <c r="G345">
        <v>0</v>
      </c>
      <c r="L345" t="s">
        <v>8</v>
      </c>
      <c r="M345" t="s">
        <v>8</v>
      </c>
      <c r="N345" t="s">
        <v>7</v>
      </c>
      <c r="P345">
        <f t="shared" si="969"/>
        <v>-0.28837970540098212</v>
      </c>
      <c r="Q345">
        <f t="shared" si="970"/>
        <v>-2884012.9523600666</v>
      </c>
      <c r="R345">
        <f t="shared" si="971"/>
        <v>-109781640.64509645</v>
      </c>
      <c r="S345">
        <f t="shared" si="972"/>
        <v>-1097.8164064509645</v>
      </c>
      <c r="T345">
        <f t="shared" si="973"/>
        <v>-1.0978164064509643</v>
      </c>
    </row>
    <row r="346" spans="1:20" x14ac:dyDescent="0.25">
      <c r="A346" s="5">
        <v>44247</v>
      </c>
      <c r="B346">
        <v>2.35</v>
      </c>
      <c r="C346">
        <v>2.35</v>
      </c>
      <c r="D346">
        <v>1.7524999999999999</v>
      </c>
      <c r="E346">
        <v>1.9015</v>
      </c>
      <c r="F346">
        <v>7252208.8399999999</v>
      </c>
      <c r="G346">
        <v>0</v>
      </c>
      <c r="L346" t="s">
        <v>7</v>
      </c>
      <c r="M346" t="s">
        <v>7</v>
      </c>
      <c r="N346" t="s">
        <v>7</v>
      </c>
      <c r="P346">
        <f t="shared" si="969"/>
        <v>-0.50125523012552309</v>
      </c>
      <c r="Q346">
        <f t="shared" si="970"/>
        <v>-3635207.6110125529</v>
      </c>
      <c r="R346">
        <f t="shared" si="971"/>
        <v>-106897627.69273639</v>
      </c>
      <c r="S346">
        <f t="shared" si="972"/>
        <v>-1068.9762769273639</v>
      </c>
      <c r="T346">
        <f t="shared" si="973"/>
        <v>-1.0689762769273639</v>
      </c>
    </row>
    <row r="347" spans="1:20" x14ac:dyDescent="0.25">
      <c r="A347" s="5">
        <v>44246</v>
      </c>
      <c r="B347">
        <v>2.0480999999999998</v>
      </c>
      <c r="C347">
        <v>2.68</v>
      </c>
      <c r="D347">
        <v>1.8973</v>
      </c>
      <c r="E347">
        <v>2.35</v>
      </c>
      <c r="F347">
        <v>9714108.1199999992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0.15676504407819089</v>
      </c>
      <c r="Q347">
        <f t="shared" si="970"/>
        <v>1522832.5876121118</v>
      </c>
      <c r="R347">
        <f t="shared" si="971"/>
        <v>-103262420.08172384</v>
      </c>
      <c r="S347">
        <f t="shared" si="972"/>
        <v>-1032.6242008172385</v>
      </c>
      <c r="T347">
        <f t="shared" si="973"/>
        <v>-1.0326242008172384</v>
      </c>
    </row>
    <row r="348" spans="1:20" x14ac:dyDescent="0.25">
      <c r="A348" s="5">
        <v>44245</v>
      </c>
      <c r="B348">
        <v>1.7789999999999999</v>
      </c>
      <c r="C348">
        <v>2.19</v>
      </c>
      <c r="D348">
        <v>1.6825000000000001</v>
      </c>
      <c r="E348">
        <v>2.0480999999999998</v>
      </c>
      <c r="F348">
        <v>9573483.0700000003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0.44078817733990078</v>
      </c>
      <c r="Q348">
        <f t="shared" si="970"/>
        <v>4219878.153219698</v>
      </c>
      <c r="R348">
        <f t="shared" si="971"/>
        <v>-104785252.66933595</v>
      </c>
      <c r="S348">
        <f t="shared" si="972"/>
        <v>-1047.8525266933596</v>
      </c>
      <c r="T348">
        <f t="shared" si="973"/>
        <v>-1.0478525266933596</v>
      </c>
    </row>
    <row r="349" spans="1:20" x14ac:dyDescent="0.25">
      <c r="A349" s="5">
        <v>44244</v>
      </c>
      <c r="B349">
        <v>1.4407000000000001</v>
      </c>
      <c r="C349">
        <v>2.0518999999999998</v>
      </c>
      <c r="D349">
        <v>1.3582000000000001</v>
      </c>
      <c r="E349">
        <v>1.7795000000000001</v>
      </c>
      <c r="F349">
        <v>18772463.68</v>
      </c>
      <c r="G349">
        <v>0</v>
      </c>
      <c r="L349" t="s">
        <v>8</v>
      </c>
      <c r="M349" t="s">
        <v>8</v>
      </c>
      <c r="N349" t="s">
        <v>8</v>
      </c>
      <c r="P349">
        <f t="shared" si="969"/>
        <v>0.21464610061986494</v>
      </c>
      <c r="Q349">
        <f t="shared" si="970"/>
        <v>4029436.1279400401</v>
      </c>
      <c r="R349">
        <f t="shared" si="971"/>
        <v>-109005130.82255565</v>
      </c>
      <c r="S349">
        <f t="shared" si="972"/>
        <v>-1090.0513082255566</v>
      </c>
      <c r="T349">
        <f t="shared" si="973"/>
        <v>-1.0900513082255565</v>
      </c>
    </row>
    <row r="350" spans="1:20" x14ac:dyDescent="0.25">
      <c r="A350" s="5">
        <v>44243</v>
      </c>
      <c r="B350">
        <v>1.4548000000000001</v>
      </c>
      <c r="C350">
        <v>1.5983000000000001</v>
      </c>
      <c r="D350">
        <v>1.3753</v>
      </c>
      <c r="E350">
        <v>1.4438</v>
      </c>
      <c r="F350">
        <v>3095614.97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-0.38565022421524681</v>
      </c>
      <c r="Q350">
        <f t="shared" si="970"/>
        <v>-1193824.6072645746</v>
      </c>
      <c r="R350">
        <f t="shared" si="971"/>
        <v>-113034566.95049569</v>
      </c>
      <c r="S350">
        <f t="shared" si="972"/>
        <v>-1130.345669504957</v>
      </c>
      <c r="T350">
        <f t="shared" si="973"/>
        <v>-1.130345669504957</v>
      </c>
    </row>
    <row r="351" spans="1:20" x14ac:dyDescent="0.25">
      <c r="A351" s="5">
        <v>44242</v>
      </c>
      <c r="B351">
        <v>1.6232</v>
      </c>
      <c r="C351">
        <v>1.6734</v>
      </c>
      <c r="D351">
        <v>1.3214999999999999</v>
      </c>
      <c r="E351">
        <v>1.4547000000000001</v>
      </c>
      <c r="F351">
        <v>6888309.4800000004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-0.24296675191815761</v>
      </c>
      <c r="Q351">
        <f t="shared" si="970"/>
        <v>-1673630.1805626533</v>
      </c>
      <c r="R351">
        <f t="shared" si="971"/>
        <v>-111840742.34323111</v>
      </c>
      <c r="S351">
        <f t="shared" si="972"/>
        <v>-1118.4074234323111</v>
      </c>
      <c r="T351">
        <f t="shared" si="973"/>
        <v>-1.1184074234323111</v>
      </c>
    </row>
    <row r="352" spans="1:20" x14ac:dyDescent="0.25">
      <c r="A352" s="5">
        <v>44241</v>
      </c>
      <c r="B352">
        <v>1.8893</v>
      </c>
      <c r="C352">
        <v>1.9117999999999999</v>
      </c>
      <c r="D352">
        <v>1.5499000000000001</v>
      </c>
      <c r="E352">
        <v>1.62</v>
      </c>
      <c r="F352">
        <v>5506101.5199999996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-0.61260016579165477</v>
      </c>
      <c r="Q352">
        <f t="shared" si="970"/>
        <v>-3373038.704017682</v>
      </c>
      <c r="R352">
        <f t="shared" si="971"/>
        <v>-110167112.16266845</v>
      </c>
      <c r="S352">
        <f t="shared" si="972"/>
        <v>-1101.6711216266845</v>
      </c>
      <c r="T352">
        <f t="shared" si="973"/>
        <v>-1.1016711216266843</v>
      </c>
    </row>
    <row r="353" spans="1:20" x14ac:dyDescent="0.25">
      <c r="A353" s="5">
        <v>44240</v>
      </c>
      <c r="B353">
        <v>1.8498000000000001</v>
      </c>
      <c r="C353">
        <v>1.9950000000000001</v>
      </c>
      <c r="D353">
        <v>1.6457999999999999</v>
      </c>
      <c r="E353">
        <v>1.8929</v>
      </c>
      <c r="F353">
        <v>7476129.7699999996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0.41523482245131715</v>
      </c>
      <c r="Q353">
        <f t="shared" si="970"/>
        <v>3104349.4176689563</v>
      </c>
      <c r="R353">
        <f t="shared" si="971"/>
        <v>-106794073.45865077</v>
      </c>
      <c r="S353">
        <f t="shared" si="972"/>
        <v>-1067.9407345865077</v>
      </c>
      <c r="T353">
        <f t="shared" si="973"/>
        <v>-1.0679407345865077</v>
      </c>
    </row>
    <row r="354" spans="1:20" x14ac:dyDescent="0.25">
      <c r="A354" s="5">
        <v>44239</v>
      </c>
      <c r="B354">
        <v>1.8273999999999999</v>
      </c>
      <c r="C354">
        <v>2.0133999999999999</v>
      </c>
      <c r="D354">
        <v>1.67</v>
      </c>
      <c r="E354">
        <v>1.8467</v>
      </c>
      <c r="F354">
        <v>5869944.0499999998</v>
      </c>
      <c r="G354">
        <v>0</v>
      </c>
      <c r="L354" t="s">
        <v>7</v>
      </c>
      <c r="M354" t="s">
        <v>7</v>
      </c>
      <c r="N354" t="s">
        <v>8</v>
      </c>
      <c r="P354">
        <f t="shared" si="969"/>
        <v>2.912055911473568E-2</v>
      </c>
      <c r="Q354">
        <f t="shared" si="970"/>
        <v>170936.05270821595</v>
      </c>
      <c r="R354">
        <f t="shared" si="971"/>
        <v>-109898422.87631972</v>
      </c>
      <c r="S354">
        <f t="shared" si="972"/>
        <v>-1098.9842287631973</v>
      </c>
      <c r="T354">
        <f t="shared" si="973"/>
        <v>-1.0989842287631972</v>
      </c>
    </row>
    <row r="355" spans="1:20" x14ac:dyDescent="0.25">
      <c r="A355" s="5">
        <v>44238</v>
      </c>
      <c r="B355">
        <v>1.6827000000000001</v>
      </c>
      <c r="C355">
        <v>2.12</v>
      </c>
      <c r="D355">
        <v>1.6019000000000001</v>
      </c>
      <c r="E355">
        <v>1.8273999999999999</v>
      </c>
      <c r="F355">
        <v>8726708.0299999993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-0.12951167728237867</v>
      </c>
      <c r="Q355">
        <f t="shared" si="970"/>
        <v>-1130210.5941189025</v>
      </c>
      <c r="R355">
        <f t="shared" si="971"/>
        <v>-110069358.92902793</v>
      </c>
      <c r="S355">
        <f t="shared" si="972"/>
        <v>-1100.6935892902793</v>
      </c>
      <c r="T355">
        <f t="shared" si="973"/>
        <v>-1.1006935892902794</v>
      </c>
    </row>
    <row r="356" spans="1:20" x14ac:dyDescent="0.25">
      <c r="A356" s="5">
        <v>44237</v>
      </c>
      <c r="B356">
        <v>1.6057999999999999</v>
      </c>
      <c r="C356">
        <v>1.9</v>
      </c>
      <c r="D356">
        <v>1.4923999999999999</v>
      </c>
      <c r="E356">
        <v>1.6820999999999999</v>
      </c>
      <c r="F356">
        <v>8825832.6199999992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-6.9185475956820425E-2</v>
      </c>
      <c r="Q356">
        <f t="shared" si="970"/>
        <v>-610619.43052993133</v>
      </c>
      <c r="R356">
        <f t="shared" si="971"/>
        <v>-108939148.33490902</v>
      </c>
      <c r="S356">
        <f t="shared" si="972"/>
        <v>-1089.3914833490903</v>
      </c>
      <c r="T356">
        <f t="shared" si="973"/>
        <v>-1.0893914833490903</v>
      </c>
    </row>
    <row r="357" spans="1:20" x14ac:dyDescent="0.25">
      <c r="A357" s="5">
        <v>44236</v>
      </c>
      <c r="B357">
        <v>1.4838</v>
      </c>
      <c r="C357">
        <v>1.7450000000000001</v>
      </c>
      <c r="D357">
        <v>1.4</v>
      </c>
      <c r="E357">
        <v>1.6053999999999999</v>
      </c>
      <c r="F357">
        <v>6758322.9100000001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0.19072463768115891</v>
      </c>
      <c r="Q357">
        <f t="shared" si="970"/>
        <v>1288978.6883420255</v>
      </c>
      <c r="R357">
        <f t="shared" si="971"/>
        <v>-108328528.90437908</v>
      </c>
      <c r="S357">
        <f t="shared" si="972"/>
        <v>-1083.285289043791</v>
      </c>
      <c r="T357">
        <f t="shared" si="973"/>
        <v>-1.083285289043791</v>
      </c>
    </row>
    <row r="358" spans="1:20" x14ac:dyDescent="0.25">
      <c r="A358" s="5">
        <v>44235</v>
      </c>
      <c r="B358">
        <v>1.3769</v>
      </c>
      <c r="C358">
        <v>1.5766</v>
      </c>
      <c r="D358">
        <v>1.3531</v>
      </c>
      <c r="E358">
        <v>1.4887999999999999</v>
      </c>
      <c r="F358">
        <v>5086694.46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0.21431767337807528</v>
      </c>
      <c r="Q358">
        <f t="shared" si="970"/>
        <v>1090168.521852345</v>
      </c>
      <c r="R358">
        <f t="shared" si="971"/>
        <v>-109617507.5927211</v>
      </c>
      <c r="S358">
        <f t="shared" si="972"/>
        <v>-1096.1750759272111</v>
      </c>
      <c r="T358">
        <f t="shared" si="973"/>
        <v>-1.0961750759272111</v>
      </c>
    </row>
    <row r="359" spans="1:20" x14ac:dyDescent="0.25">
      <c r="A359" s="5">
        <v>44234</v>
      </c>
      <c r="B359">
        <v>1.2596000000000001</v>
      </c>
      <c r="C359">
        <v>1.5354000000000001</v>
      </c>
      <c r="D359">
        <v>1.1928000000000001</v>
      </c>
      <c r="E359">
        <v>1.377</v>
      </c>
      <c r="F359">
        <v>18592605.82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7.5306479859894401E-2</v>
      </c>
      <c r="Q359">
        <f t="shared" si="970"/>
        <v>1400143.6957267853</v>
      </c>
      <c r="R359">
        <f t="shared" si="971"/>
        <v>-110707676.11457345</v>
      </c>
      <c r="S359">
        <f t="shared" si="972"/>
        <v>-1107.0767611457345</v>
      </c>
      <c r="T359">
        <f t="shared" si="973"/>
        <v>-1.1070767611457346</v>
      </c>
    </row>
    <row r="360" spans="1:20" x14ac:dyDescent="0.25">
      <c r="A360" s="5">
        <v>44233</v>
      </c>
      <c r="B360">
        <v>1.2142999999999999</v>
      </c>
      <c r="C360">
        <v>1.58</v>
      </c>
      <c r="D360">
        <v>1.1395999999999999</v>
      </c>
      <c r="E360">
        <v>1.2616000000000001</v>
      </c>
      <c r="F360">
        <v>28442667.300000001</v>
      </c>
      <c r="G360">
        <v>0</v>
      </c>
      <c r="L360" t="s">
        <v>8</v>
      </c>
      <c r="M360" t="s">
        <v>8</v>
      </c>
      <c r="N360" t="s">
        <v>8</v>
      </c>
      <c r="P360">
        <f t="shared" si="969"/>
        <v>-0.4459582198001813</v>
      </c>
      <c r="Q360">
        <f t="shared" si="970"/>
        <v>-12684241.27547683</v>
      </c>
      <c r="R360">
        <f t="shared" si="971"/>
        <v>-112107819.81030023</v>
      </c>
      <c r="S360">
        <f t="shared" si="972"/>
        <v>-1121.0781981030023</v>
      </c>
      <c r="T360">
        <f t="shared" si="973"/>
        <v>-1.1210781981030022</v>
      </c>
    </row>
    <row r="361" spans="1:20" x14ac:dyDescent="0.25">
      <c r="A361" s="5">
        <v>44232</v>
      </c>
      <c r="B361">
        <v>0.9264</v>
      </c>
      <c r="C361">
        <v>1.3387</v>
      </c>
      <c r="D361">
        <v>0.91869999999999996</v>
      </c>
      <c r="E361">
        <v>1.2142999999999999</v>
      </c>
      <c r="F361">
        <v>48196459.75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0.40761904761904738</v>
      </c>
      <c r="Q361">
        <f t="shared" si="970"/>
        <v>19645795.021904752</v>
      </c>
      <c r="R361">
        <f t="shared" si="971"/>
        <v>-99423578.534823403</v>
      </c>
      <c r="S361">
        <f t="shared" si="972"/>
        <v>-994.235785348234</v>
      </c>
      <c r="T361">
        <f t="shared" si="973"/>
        <v>-0.99423578534823398</v>
      </c>
    </row>
    <row r="362" spans="1:20" x14ac:dyDescent="0.25">
      <c r="A362" s="5">
        <v>44231</v>
      </c>
      <c r="B362">
        <v>0.88829999999999998</v>
      </c>
      <c r="C362">
        <v>0.96499999999999997</v>
      </c>
      <c r="D362">
        <v>0.83140000000000003</v>
      </c>
      <c r="E362">
        <v>0.92759999999999998</v>
      </c>
      <c r="F362">
        <v>14955046.279999999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0.44011976047904183</v>
      </c>
      <c r="Q362">
        <f t="shared" si="970"/>
        <v>6582011.3867065851</v>
      </c>
      <c r="R362">
        <f t="shared" si="971"/>
        <v>-119069373.55672815</v>
      </c>
      <c r="S362">
        <f t="shared" si="972"/>
        <v>-1190.6937355672815</v>
      </c>
      <c r="T362">
        <f t="shared" si="973"/>
        <v>-1.1906937355672815</v>
      </c>
    </row>
    <row r="363" spans="1:20" x14ac:dyDescent="0.25">
      <c r="A363" s="5">
        <v>44230</v>
      </c>
      <c r="B363">
        <v>0.82479999999999998</v>
      </c>
      <c r="C363">
        <v>0.90439999999999998</v>
      </c>
      <c r="D363">
        <v>0.8044</v>
      </c>
      <c r="E363">
        <v>0.88970000000000005</v>
      </c>
      <c r="F363">
        <v>17141854.039999999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0.70600000000000118</v>
      </c>
      <c r="Q363">
        <f t="shared" si="970"/>
        <v>12102148.95224002</v>
      </c>
      <c r="R363">
        <f t="shared" si="971"/>
        <v>-125651384.94343475</v>
      </c>
      <c r="S363">
        <f t="shared" si="972"/>
        <v>-1256.5138494343475</v>
      </c>
      <c r="T363">
        <f t="shared" si="973"/>
        <v>-1.2565138494343475</v>
      </c>
    </row>
    <row r="364" spans="1:20" x14ac:dyDescent="0.25">
      <c r="A364" s="5">
        <v>44229</v>
      </c>
      <c r="B364">
        <v>0.85980000000000001</v>
      </c>
      <c r="C364">
        <v>0.87</v>
      </c>
      <c r="D364">
        <v>0.80859999999999999</v>
      </c>
      <c r="E364">
        <v>0.82550000000000001</v>
      </c>
      <c r="F364">
        <v>5902569.6799999997</v>
      </c>
      <c r="G364">
        <v>0</v>
      </c>
      <c r="L364" t="s">
        <v>7</v>
      </c>
      <c r="M364" t="s">
        <v>8</v>
      </c>
      <c r="N364" t="s">
        <v>8</v>
      </c>
      <c r="P364">
        <f t="shared" si="969"/>
        <v>-0.44951140065146505</v>
      </c>
      <c r="Q364">
        <f t="shared" si="970"/>
        <v>-2653272.3642996699</v>
      </c>
      <c r="R364">
        <f t="shared" si="971"/>
        <v>-137753533.89567477</v>
      </c>
      <c r="S364">
        <f t="shared" si="972"/>
        <v>-1377.5353389567476</v>
      </c>
      <c r="T364">
        <f t="shared" si="973"/>
        <v>-1.3775353389567477</v>
      </c>
    </row>
    <row r="365" spans="1:20" x14ac:dyDescent="0.25">
      <c r="A365" s="5">
        <v>44228</v>
      </c>
      <c r="B365">
        <v>0.79090000000000005</v>
      </c>
      <c r="C365">
        <v>0.879</v>
      </c>
      <c r="D365">
        <v>0.77259999999999995</v>
      </c>
      <c r="E365">
        <v>0.8599</v>
      </c>
      <c r="F365">
        <v>13767697.619999999</v>
      </c>
      <c r="G365">
        <v>0</v>
      </c>
      <c r="L365" t="s">
        <v>8</v>
      </c>
      <c r="M365" t="s">
        <v>8</v>
      </c>
      <c r="N365" t="s">
        <v>8</v>
      </c>
      <c r="P365">
        <f t="shared" si="969"/>
        <v>0.64097744360902265</v>
      </c>
      <c r="Q365">
        <f t="shared" si="970"/>
        <v>8824783.6248496249</v>
      </c>
      <c r="R365">
        <f t="shared" si="971"/>
        <v>-135100261.53137508</v>
      </c>
      <c r="S365">
        <f t="shared" si="972"/>
        <v>-1351.0026153137508</v>
      </c>
      <c r="T365">
        <f t="shared" si="973"/>
        <v>-1.3510026153137509</v>
      </c>
    </row>
    <row r="366" spans="1:20" x14ac:dyDescent="0.25">
      <c r="A366" s="5">
        <v>44227</v>
      </c>
      <c r="B366">
        <v>0.80049999999999999</v>
      </c>
      <c r="C366">
        <v>0.82420000000000004</v>
      </c>
      <c r="D366">
        <v>0.77180000000000004</v>
      </c>
      <c r="E366">
        <v>0.79069999999999996</v>
      </c>
      <c r="F366">
        <v>10983241.83</v>
      </c>
      <c r="G366">
        <v>0</v>
      </c>
      <c r="L366" t="s">
        <v>7</v>
      </c>
      <c r="M366" t="s">
        <v>8</v>
      </c>
      <c r="N366" t="s">
        <v>8</v>
      </c>
      <c r="P366">
        <f t="shared" si="969"/>
        <v>-0.27862595419847647</v>
      </c>
      <c r="Q366">
        <f t="shared" si="970"/>
        <v>-3060216.2350763706</v>
      </c>
      <c r="R366">
        <f t="shared" si="971"/>
        <v>-143925045.1562247</v>
      </c>
      <c r="S366">
        <f t="shared" si="972"/>
        <v>-1439.250451562247</v>
      </c>
      <c r="T366">
        <f t="shared" si="973"/>
        <v>-1.4392504515622471</v>
      </c>
    </row>
    <row r="367" spans="1:20" x14ac:dyDescent="0.25">
      <c r="A367" s="5">
        <v>44226</v>
      </c>
      <c r="B367">
        <v>0.78010000000000002</v>
      </c>
      <c r="C367">
        <v>0.87860000000000005</v>
      </c>
      <c r="D367">
        <v>0.77710000000000001</v>
      </c>
      <c r="E367">
        <v>0.8004</v>
      </c>
      <c r="F367">
        <v>20193173.34</v>
      </c>
      <c r="G367">
        <v>0</v>
      </c>
      <c r="L367" t="s">
        <v>8</v>
      </c>
      <c r="M367" t="s">
        <v>8</v>
      </c>
      <c r="N367" t="s">
        <v>8</v>
      </c>
      <c r="P367">
        <f t="shared" si="969"/>
        <v>-0.54088669950738955</v>
      </c>
      <c r="Q367">
        <f t="shared" si="970"/>
        <v>-10922218.88045321</v>
      </c>
      <c r="R367">
        <f t="shared" si="971"/>
        <v>-140864828.92114833</v>
      </c>
      <c r="S367">
        <f t="shared" si="972"/>
        <v>-1408.6482892114832</v>
      </c>
      <c r="T367">
        <f t="shared" si="973"/>
        <v>-1.4086482892114831</v>
      </c>
    </row>
    <row r="368" spans="1:20" x14ac:dyDescent="0.25">
      <c r="A368" s="5">
        <v>44225</v>
      </c>
      <c r="B368">
        <v>0.80220000000000002</v>
      </c>
      <c r="C368">
        <v>0.83</v>
      </c>
      <c r="D368">
        <v>0.73180000000000001</v>
      </c>
      <c r="E368">
        <v>0.77949999999999997</v>
      </c>
      <c r="F368">
        <v>8020763.7800000003</v>
      </c>
      <c r="G368">
        <v>0</v>
      </c>
      <c r="L368" t="s">
        <v>7</v>
      </c>
      <c r="M368" t="s">
        <v>7</v>
      </c>
      <c r="N368" t="s">
        <v>8</v>
      </c>
      <c r="P368">
        <f t="shared" si="969"/>
        <v>-2.8513238289205968E-2</v>
      </c>
      <c r="Q368">
        <f t="shared" si="970"/>
        <v>-228697.94892057241</v>
      </c>
      <c r="R368">
        <f t="shared" si="971"/>
        <v>-129942610.04069513</v>
      </c>
      <c r="S368">
        <f t="shared" si="972"/>
        <v>-1299.4261004069513</v>
      </c>
      <c r="T368">
        <f t="shared" si="973"/>
        <v>-1.2994261004069512</v>
      </c>
    </row>
    <row r="369" spans="1:20" x14ac:dyDescent="0.25">
      <c r="A369" s="5">
        <v>44224</v>
      </c>
      <c r="B369">
        <v>0.83099999999999996</v>
      </c>
      <c r="C369">
        <v>0.8881</v>
      </c>
      <c r="D369">
        <v>0.8</v>
      </c>
      <c r="E369">
        <v>0.80220000000000002</v>
      </c>
      <c r="F369">
        <v>14062366.199999999</v>
      </c>
      <c r="G369">
        <v>0</v>
      </c>
      <c r="L369" t="s">
        <v>7</v>
      </c>
      <c r="M369" t="s">
        <v>8</v>
      </c>
      <c r="N369" t="s">
        <v>8</v>
      </c>
      <c r="P369">
        <f t="shared" si="969"/>
        <v>-0.95005675368899023</v>
      </c>
      <c r="Q369">
        <f t="shared" si="970"/>
        <v>-13360045.981157782</v>
      </c>
      <c r="R369">
        <f t="shared" si="971"/>
        <v>-129713912.09177455</v>
      </c>
      <c r="S369">
        <f t="shared" si="972"/>
        <v>-1297.1391209177455</v>
      </c>
      <c r="T369">
        <f t="shared" si="973"/>
        <v>-1.2971391209177454</v>
      </c>
    </row>
    <row r="370" spans="1:20" x14ac:dyDescent="0.25">
      <c r="A370" s="5">
        <v>44223</v>
      </c>
      <c r="B370">
        <v>0.88229999999999997</v>
      </c>
      <c r="C370">
        <v>0.94869999999999999</v>
      </c>
      <c r="D370">
        <v>0.75009999999999999</v>
      </c>
      <c r="E370">
        <v>0.83130000000000004</v>
      </c>
      <c r="F370">
        <v>18669820.920000002</v>
      </c>
      <c r="G370">
        <v>0</v>
      </c>
      <c r="L370" t="s">
        <v>8</v>
      </c>
      <c r="M370" t="s">
        <v>8</v>
      </c>
      <c r="N370" t="s">
        <v>8</v>
      </c>
      <c r="P370">
        <f t="shared" si="969"/>
        <v>-0.182275931520644</v>
      </c>
      <c r="Q370">
        <f t="shared" si="970"/>
        <v>-3403058.9995166073</v>
      </c>
      <c r="R370">
        <f t="shared" si="971"/>
        <v>-116353866.11061677</v>
      </c>
      <c r="S370">
        <f t="shared" si="972"/>
        <v>-1163.5386611061676</v>
      </c>
      <c r="T370">
        <f t="shared" si="973"/>
        <v>-1.1635386611061675</v>
      </c>
    </row>
    <row r="371" spans="1:20" x14ac:dyDescent="0.25">
      <c r="A371" s="5">
        <v>44222</v>
      </c>
      <c r="B371">
        <v>0.75729999999999997</v>
      </c>
      <c r="C371">
        <v>0.9</v>
      </c>
      <c r="D371">
        <v>0.73499999999999999</v>
      </c>
      <c r="E371">
        <v>0.88239999999999996</v>
      </c>
      <c r="F371">
        <v>14823104.74</v>
      </c>
      <c r="G371">
        <v>0</v>
      </c>
      <c r="L371" t="s">
        <v>8</v>
      </c>
      <c r="M371" t="s">
        <v>8</v>
      </c>
      <c r="N371" t="s">
        <v>8</v>
      </c>
      <c r="P371">
        <f t="shared" si="969"/>
        <v>0.78666666666666596</v>
      </c>
      <c r="Q371">
        <f t="shared" si="970"/>
        <v>11660842.395466655</v>
      </c>
      <c r="R371">
        <f t="shared" si="971"/>
        <v>-112950807.11110017</v>
      </c>
      <c r="S371">
        <f t="shared" si="972"/>
        <v>-1129.5080711110018</v>
      </c>
      <c r="T371">
        <f t="shared" si="973"/>
        <v>-1.1295080711110017</v>
      </c>
    </row>
    <row r="372" spans="1:20" x14ac:dyDescent="0.25">
      <c r="A372" s="5">
        <v>44221</v>
      </c>
      <c r="B372">
        <v>0.6825</v>
      </c>
      <c r="C372">
        <v>0.85</v>
      </c>
      <c r="D372">
        <v>0.68130000000000002</v>
      </c>
      <c r="E372">
        <v>0.75719999999999998</v>
      </c>
      <c r="F372">
        <v>14555987.49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-0.10017783046828707</v>
      </c>
      <c r="Q372">
        <f t="shared" si="970"/>
        <v>-1458187.2470717274</v>
      </c>
      <c r="R372">
        <f t="shared" si="971"/>
        <v>-124611649.50656682</v>
      </c>
      <c r="S372">
        <f t="shared" si="972"/>
        <v>-1246.1164950656682</v>
      </c>
      <c r="T372">
        <f t="shared" si="973"/>
        <v>-1.2461164950656682</v>
      </c>
    </row>
    <row r="373" spans="1:20" x14ac:dyDescent="0.25">
      <c r="A373" s="5">
        <v>44220</v>
      </c>
      <c r="B373">
        <v>0.68379999999999996</v>
      </c>
      <c r="C373">
        <v>0.73099999999999998</v>
      </c>
      <c r="D373">
        <v>0.62939999999999996</v>
      </c>
      <c r="E373">
        <v>0.68259999999999998</v>
      </c>
      <c r="F373">
        <v>10007090.23</v>
      </c>
      <c r="G373">
        <v>0</v>
      </c>
      <c r="L373" t="s">
        <v>7</v>
      </c>
      <c r="M373" t="s">
        <v>7</v>
      </c>
      <c r="N373" t="s">
        <v>8</v>
      </c>
      <c r="P373">
        <f t="shared" si="969"/>
        <v>4.7244094488189226E-2</v>
      </c>
      <c r="Q373">
        <f t="shared" si="970"/>
        <v>472775.91637795529</v>
      </c>
      <c r="R373">
        <f t="shared" si="971"/>
        <v>-123153462.25949509</v>
      </c>
      <c r="S373">
        <f t="shared" si="972"/>
        <v>-1231.5346225949509</v>
      </c>
      <c r="T373">
        <f t="shared" si="973"/>
        <v>-1.2315346225949508</v>
      </c>
    </row>
    <row r="374" spans="1:20" x14ac:dyDescent="0.25">
      <c r="A374" s="5">
        <v>44219</v>
      </c>
      <c r="B374">
        <v>0.71660000000000001</v>
      </c>
      <c r="C374">
        <v>0.78500000000000003</v>
      </c>
      <c r="D374">
        <v>0.6673</v>
      </c>
      <c r="E374">
        <v>0.68369999999999997</v>
      </c>
      <c r="F374">
        <v>4091031.81</v>
      </c>
      <c r="G374">
        <v>0</v>
      </c>
      <c r="L374" t="s">
        <v>8</v>
      </c>
      <c r="M374" t="s">
        <v>8</v>
      </c>
      <c r="N374" t="s">
        <v>8</v>
      </c>
      <c r="P374">
        <f t="shared" si="969"/>
        <v>-0.72132540356839481</v>
      </c>
      <c r="Q374">
        <f t="shared" si="970"/>
        <v>-2950965.1713593905</v>
      </c>
      <c r="R374">
        <f t="shared" si="971"/>
        <v>-123626238.17587306</v>
      </c>
      <c r="S374">
        <f t="shared" si="972"/>
        <v>-1236.2623817587305</v>
      </c>
      <c r="T374">
        <f t="shared" si="973"/>
        <v>-1.2362623817587306</v>
      </c>
    </row>
    <row r="375" spans="1:20" x14ac:dyDescent="0.25">
      <c r="A375" s="5">
        <v>44218</v>
      </c>
      <c r="B375">
        <v>0.60489999999999999</v>
      </c>
      <c r="C375">
        <v>0.75</v>
      </c>
      <c r="D375">
        <v>0.55520000000000003</v>
      </c>
      <c r="E375">
        <v>0.71619999999999995</v>
      </c>
      <c r="F375">
        <v>7167420.1600000001</v>
      </c>
      <c r="G375">
        <v>0</v>
      </c>
      <c r="L375" t="s">
        <v>8</v>
      </c>
      <c r="M375" t="s">
        <v>8</v>
      </c>
      <c r="N375" t="s">
        <v>7</v>
      </c>
      <c r="P375">
        <f t="shared" si="969"/>
        <v>0.65297741273100562</v>
      </c>
      <c r="Q375">
        <f t="shared" si="970"/>
        <v>4680163.4720328506</v>
      </c>
      <c r="R375">
        <f t="shared" si="971"/>
        <v>-120675273.00451367</v>
      </c>
      <c r="S375">
        <f t="shared" si="972"/>
        <v>-1206.7527300451366</v>
      </c>
      <c r="T375">
        <f t="shared" si="973"/>
        <v>-1.2067527300451366</v>
      </c>
    </row>
    <row r="376" spans="1:20" x14ac:dyDescent="0.25">
      <c r="A376" s="5">
        <v>44217</v>
      </c>
      <c r="B376">
        <v>0.62880000000000003</v>
      </c>
      <c r="C376">
        <v>0.66149999999999998</v>
      </c>
      <c r="D376">
        <v>0.57709999999999995</v>
      </c>
      <c r="E376">
        <v>0.60660000000000003</v>
      </c>
      <c r="F376">
        <v>4309268.0599999996</v>
      </c>
      <c r="G376">
        <v>0</v>
      </c>
      <c r="L376" t="s">
        <v>8</v>
      </c>
      <c r="M376" t="s">
        <v>8</v>
      </c>
      <c r="N376" t="s">
        <v>7</v>
      </c>
      <c r="P376">
        <f t="shared" si="969"/>
        <v>-0.30094786729857653</v>
      </c>
      <c r="Q376">
        <f t="shared" si="970"/>
        <v>-1296865.0322748742</v>
      </c>
      <c r="R376">
        <f t="shared" si="971"/>
        <v>-125355436.47654651</v>
      </c>
      <c r="S376">
        <f t="shared" si="972"/>
        <v>-1253.5543647654652</v>
      </c>
      <c r="T376">
        <f t="shared" si="973"/>
        <v>-1.2535543647654652</v>
      </c>
    </row>
    <row r="377" spans="1:20" x14ac:dyDescent="0.25">
      <c r="A377" s="5">
        <v>44216</v>
      </c>
      <c r="B377">
        <v>0.62</v>
      </c>
      <c r="C377">
        <v>0.67500000000000004</v>
      </c>
      <c r="D377">
        <v>0.55669999999999997</v>
      </c>
      <c r="E377">
        <v>0.62880000000000003</v>
      </c>
      <c r="F377">
        <v>4308171.58</v>
      </c>
      <c r="G377">
        <v>0</v>
      </c>
      <c r="L377" t="s">
        <v>7</v>
      </c>
      <c r="M377" t="s">
        <v>7</v>
      </c>
      <c r="N377" t="s">
        <v>7</v>
      </c>
      <c r="P377">
        <f t="shared" si="969"/>
        <v>0.2189349112426037</v>
      </c>
      <c r="Q377">
        <f t="shared" si="970"/>
        <v>943209.16248520778</v>
      </c>
      <c r="R377">
        <f t="shared" si="971"/>
        <v>-124058571.44427164</v>
      </c>
      <c r="S377">
        <f t="shared" si="972"/>
        <v>-1240.5857144427164</v>
      </c>
      <c r="T377">
        <f t="shared" si="973"/>
        <v>-1.2405857144427164</v>
      </c>
    </row>
    <row r="378" spans="1:20" x14ac:dyDescent="0.25">
      <c r="A378" s="5">
        <v>44215</v>
      </c>
      <c r="B378">
        <v>0.72219999999999995</v>
      </c>
      <c r="C378">
        <v>0.7228</v>
      </c>
      <c r="D378">
        <v>0.60260000000000002</v>
      </c>
      <c r="E378">
        <v>0.62</v>
      </c>
      <c r="F378">
        <v>11930855.300000001</v>
      </c>
      <c r="G378">
        <v>0</v>
      </c>
      <c r="L378" t="s">
        <v>7</v>
      </c>
      <c r="M378" t="s">
        <v>7</v>
      </c>
      <c r="N378" t="s">
        <v>8</v>
      </c>
      <c r="P378">
        <f t="shared" si="969"/>
        <v>-0.71048252911813681</v>
      </c>
      <c r="Q378">
        <f t="shared" si="970"/>
        <v>-8476664.248086527</v>
      </c>
      <c r="R378">
        <f t="shared" si="971"/>
        <v>-125001780.60675685</v>
      </c>
      <c r="S378">
        <f t="shared" si="972"/>
        <v>-1250.0178060675685</v>
      </c>
      <c r="T378">
        <f t="shared" si="973"/>
        <v>-1.2500178060675684</v>
      </c>
    </row>
    <row r="379" spans="1:20" x14ac:dyDescent="0.25">
      <c r="A379" s="5">
        <v>44214</v>
      </c>
      <c r="B379">
        <v>0.59470000000000001</v>
      </c>
      <c r="C379">
        <v>0.76900000000000002</v>
      </c>
      <c r="D379">
        <v>0.5877</v>
      </c>
      <c r="E379">
        <v>0.72260000000000002</v>
      </c>
      <c r="F379">
        <v>19497872.690000001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0.48814120242691678</v>
      </c>
      <c r="Q379">
        <f t="shared" si="970"/>
        <v>9517715.0196635425</v>
      </c>
      <c r="R379">
        <f t="shared" si="971"/>
        <v>-116525116.35867032</v>
      </c>
      <c r="S379">
        <f t="shared" si="972"/>
        <v>-1165.2511635867033</v>
      </c>
      <c r="T379">
        <f t="shared" si="973"/>
        <v>-1.1652511635867033</v>
      </c>
    </row>
    <row r="380" spans="1:20" x14ac:dyDescent="0.25">
      <c r="A380" s="5">
        <v>44213</v>
      </c>
      <c r="B380">
        <v>0.60629999999999995</v>
      </c>
      <c r="C380">
        <v>0.63</v>
      </c>
      <c r="D380">
        <v>0.54859999999999998</v>
      </c>
      <c r="E380">
        <v>0.59460000000000002</v>
      </c>
      <c r="F380">
        <v>13307194.68</v>
      </c>
      <c r="G380">
        <v>0</v>
      </c>
      <c r="L380" t="s">
        <v>7</v>
      </c>
      <c r="M380" t="s">
        <v>8</v>
      </c>
      <c r="N380" t="s">
        <v>8</v>
      </c>
      <c r="P380">
        <f t="shared" si="969"/>
        <v>0.13022113022113083</v>
      </c>
      <c r="Q380">
        <f t="shared" si="970"/>
        <v>1732877.9313022194</v>
      </c>
      <c r="R380">
        <f t="shared" si="971"/>
        <v>-126042831.37833387</v>
      </c>
      <c r="S380">
        <f t="shared" si="972"/>
        <v>-1260.4283137833386</v>
      </c>
      <c r="T380">
        <f t="shared" si="973"/>
        <v>-1.2604283137833385</v>
      </c>
    </row>
    <row r="381" spans="1:20" x14ac:dyDescent="0.25">
      <c r="A381" s="5">
        <v>44212</v>
      </c>
      <c r="B381">
        <v>0.54569999999999996</v>
      </c>
      <c r="C381">
        <v>0.64</v>
      </c>
      <c r="D381">
        <v>0.54559999999999997</v>
      </c>
      <c r="E381">
        <v>0.60629999999999995</v>
      </c>
      <c r="F381">
        <v>16903948.399999999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0.28601694915254133</v>
      </c>
      <c r="Q381">
        <f t="shared" si="970"/>
        <v>4834815.7499999823</v>
      </c>
      <c r="R381">
        <f t="shared" si="971"/>
        <v>-127775709.30963609</v>
      </c>
      <c r="S381">
        <f t="shared" si="972"/>
        <v>-1277.7570930963609</v>
      </c>
      <c r="T381">
        <f t="shared" si="973"/>
        <v>-1.2777570930963609</v>
      </c>
    </row>
    <row r="382" spans="1:20" x14ac:dyDescent="0.25">
      <c r="A382" s="5">
        <v>44211</v>
      </c>
      <c r="B382">
        <v>0.51549999999999996</v>
      </c>
      <c r="C382">
        <v>0.56799999999999995</v>
      </c>
      <c r="D382">
        <v>0.51</v>
      </c>
      <c r="E382">
        <v>0.54559999999999997</v>
      </c>
      <c r="F382">
        <v>12706659.439999999</v>
      </c>
      <c r="G382">
        <v>0</v>
      </c>
      <c r="L382" t="s">
        <v>8</v>
      </c>
      <c r="M382" t="s">
        <v>8</v>
      </c>
      <c r="N382" t="s">
        <v>7</v>
      </c>
      <c r="P382">
        <f t="shared" si="969"/>
        <v>0.22758620689655179</v>
      </c>
      <c r="Q382">
        <f t="shared" si="970"/>
        <v>2891860.424275863</v>
      </c>
      <c r="R382">
        <f t="shared" si="971"/>
        <v>-132610525.05963607</v>
      </c>
      <c r="S382">
        <f t="shared" si="972"/>
        <v>-1326.1052505963607</v>
      </c>
      <c r="T382">
        <f t="shared" si="973"/>
        <v>-1.3261052505963606</v>
      </c>
    </row>
    <row r="383" spans="1:20" x14ac:dyDescent="0.25">
      <c r="A383" s="5">
        <v>44210</v>
      </c>
      <c r="B383">
        <v>0.52249999999999996</v>
      </c>
      <c r="C383">
        <v>0.54879999999999995</v>
      </c>
      <c r="D383">
        <v>0.50719999999999998</v>
      </c>
      <c r="E383">
        <v>0.51549999999999996</v>
      </c>
      <c r="F383">
        <v>12231134.84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-0.60096153846153944</v>
      </c>
      <c r="Q383">
        <f t="shared" si="970"/>
        <v>-7350441.6105769351</v>
      </c>
      <c r="R383">
        <f t="shared" si="971"/>
        <v>-135502385.48391193</v>
      </c>
      <c r="S383">
        <f t="shared" si="972"/>
        <v>-1355.0238548391194</v>
      </c>
      <c r="T383">
        <f t="shared" si="973"/>
        <v>-1.3550238548391194</v>
      </c>
    </row>
    <row r="384" spans="1:20" x14ac:dyDescent="0.25">
      <c r="A384" s="5">
        <v>44209</v>
      </c>
      <c r="B384">
        <v>0.47520000000000001</v>
      </c>
      <c r="C384">
        <v>0.52480000000000004</v>
      </c>
      <c r="D384">
        <v>0.45669999999999999</v>
      </c>
      <c r="E384">
        <v>0.52239999999999998</v>
      </c>
      <c r="F384">
        <v>12333561.960000001</v>
      </c>
      <c r="G384">
        <v>0</v>
      </c>
      <c r="L384" t="s">
        <v>8</v>
      </c>
      <c r="M384" t="s">
        <v>7</v>
      </c>
      <c r="N384" t="s">
        <v>7</v>
      </c>
      <c r="P384">
        <f t="shared" si="969"/>
        <v>0.92951541850220065</v>
      </c>
      <c r="Q384">
        <f t="shared" si="970"/>
        <v>11464236.006872224</v>
      </c>
      <c r="R384">
        <f t="shared" si="971"/>
        <v>-128151943.87333499</v>
      </c>
      <c r="S384">
        <f t="shared" si="972"/>
        <v>-1281.5194387333499</v>
      </c>
      <c r="T384">
        <f t="shared" si="973"/>
        <v>-1.2815194387333499</v>
      </c>
    </row>
    <row r="385" spans="1:20" x14ac:dyDescent="0.25">
      <c r="A385" s="5">
        <v>44208</v>
      </c>
      <c r="B385">
        <v>0.47520000000000001</v>
      </c>
      <c r="C385">
        <v>0.51119999999999999</v>
      </c>
      <c r="D385">
        <v>0.45</v>
      </c>
      <c r="E385">
        <v>0.4748</v>
      </c>
      <c r="F385">
        <v>14205020.27</v>
      </c>
      <c r="G385">
        <v>0</v>
      </c>
      <c r="L385" t="s">
        <v>8</v>
      </c>
      <c r="M385" t="s">
        <v>7</v>
      </c>
      <c r="N385" t="s">
        <v>7</v>
      </c>
      <c r="P385">
        <f t="shared" si="969"/>
        <v>-0.18954248366013077</v>
      </c>
      <c r="Q385">
        <f t="shared" si="970"/>
        <v>-2692454.8224183014</v>
      </c>
      <c r="R385">
        <f t="shared" si="971"/>
        <v>-139616179.88020721</v>
      </c>
      <c r="S385">
        <f t="shared" si="972"/>
        <v>-1396.1617988020721</v>
      </c>
      <c r="T385">
        <f t="shared" si="973"/>
        <v>-1.396161798802072</v>
      </c>
    </row>
    <row r="386" spans="1:20" x14ac:dyDescent="0.25">
      <c r="A386" s="5">
        <v>44207</v>
      </c>
      <c r="B386">
        <v>0.56299999999999994</v>
      </c>
      <c r="C386">
        <v>0.56510000000000005</v>
      </c>
      <c r="D386">
        <v>0.43659999999999999</v>
      </c>
      <c r="E386">
        <v>0.4753</v>
      </c>
      <c r="F386">
        <v>11740684.9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-0.39766536964980553</v>
      </c>
      <c r="Q386">
        <f t="shared" si="970"/>
        <v>-4668863.8007003907</v>
      </c>
      <c r="R386">
        <f t="shared" si="971"/>
        <v>-136923725.05778891</v>
      </c>
      <c r="S386">
        <f t="shared" si="972"/>
        <v>-1369.237250577889</v>
      </c>
      <c r="T386">
        <f t="shared" si="973"/>
        <v>-1.3692372505778889</v>
      </c>
    </row>
    <row r="387" spans="1:20" x14ac:dyDescent="0.25">
      <c r="A387" s="5">
        <v>44206</v>
      </c>
      <c r="B387">
        <v>0.59589999999999999</v>
      </c>
      <c r="C387">
        <v>0.64349999999999996</v>
      </c>
      <c r="D387">
        <v>0.5454</v>
      </c>
      <c r="E387">
        <v>0.56299999999999994</v>
      </c>
      <c r="F387">
        <v>12449666.57</v>
      </c>
      <c r="G387">
        <v>0</v>
      </c>
      <c r="L387" t="s">
        <v>7</v>
      </c>
      <c r="M387" t="s">
        <v>8</v>
      </c>
      <c r="N387" t="s">
        <v>8</v>
      </c>
      <c r="P387">
        <f t="shared" si="969"/>
        <v>-0.64118246687054115</v>
      </c>
      <c r="Q387">
        <f t="shared" si="970"/>
        <v>-7982507.9230683092</v>
      </c>
      <c r="R387">
        <f t="shared" si="971"/>
        <v>-132254861.25708853</v>
      </c>
      <c r="S387">
        <f t="shared" si="972"/>
        <v>-1322.5486125708853</v>
      </c>
      <c r="T387">
        <f t="shared" si="973"/>
        <v>-1.3225486125708854</v>
      </c>
    </row>
    <row r="388" spans="1:20" x14ac:dyDescent="0.25">
      <c r="A388" s="5">
        <v>44205</v>
      </c>
      <c r="B388">
        <v>0.53639999999999999</v>
      </c>
      <c r="C388">
        <v>0.64390000000000003</v>
      </c>
      <c r="D388">
        <v>0.53039999999999998</v>
      </c>
      <c r="E388">
        <v>0.59599999999999997</v>
      </c>
      <c r="F388">
        <v>14445714.99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0.15594713656387604</v>
      </c>
      <c r="Q388">
        <f t="shared" si="970"/>
        <v>2252767.8883083612</v>
      </c>
      <c r="R388">
        <f t="shared" si="971"/>
        <v>-124272353.33402021</v>
      </c>
      <c r="S388">
        <f t="shared" si="972"/>
        <v>-1242.723533340202</v>
      </c>
      <c r="T388">
        <f t="shared" si="973"/>
        <v>-1.242723533340202</v>
      </c>
    </row>
    <row r="389" spans="1:20" x14ac:dyDescent="0.25">
      <c r="A389" s="5">
        <v>44204</v>
      </c>
      <c r="B389">
        <v>0.5585</v>
      </c>
      <c r="C389">
        <v>0.56989999999999996</v>
      </c>
      <c r="D389">
        <v>0.50349999999999995</v>
      </c>
      <c r="E389">
        <v>0.53639999999999999</v>
      </c>
      <c r="F389">
        <v>11369972.029999999</v>
      </c>
      <c r="G389">
        <v>0</v>
      </c>
      <c r="L389" t="s">
        <v>7</v>
      </c>
      <c r="M389" t="s">
        <v>8</v>
      </c>
      <c r="N389" t="s">
        <v>8</v>
      </c>
      <c r="P389">
        <f t="shared" si="969"/>
        <v>-9.0361445783122551E-3</v>
      </c>
      <c r="Q389">
        <f t="shared" si="970"/>
        <v>-102740.71111444647</v>
      </c>
      <c r="R389">
        <f t="shared" si="971"/>
        <v>-126525121.22232857</v>
      </c>
      <c r="S389">
        <f t="shared" si="972"/>
        <v>-1265.2512122232858</v>
      </c>
      <c r="T389">
        <f t="shared" si="973"/>
        <v>-1.2652512122232857</v>
      </c>
    </row>
    <row r="390" spans="1:20" x14ac:dyDescent="0.25">
      <c r="A390" s="5">
        <v>44203</v>
      </c>
      <c r="B390">
        <v>0.53</v>
      </c>
      <c r="C390">
        <v>0.58099999999999996</v>
      </c>
      <c r="D390">
        <v>0.51329999999999998</v>
      </c>
      <c r="E390">
        <v>0.55969999999999998</v>
      </c>
      <c r="F390">
        <v>14589059.67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0.37075332348596779</v>
      </c>
      <c r="Q390">
        <f t="shared" ref="Q390:Q453" si="975">F390*P390</f>
        <v>5408942.3591875965</v>
      </c>
      <c r="R390">
        <f t="shared" ref="R390:R453" si="976">R391+Q390</f>
        <v>-126422380.51121412</v>
      </c>
      <c r="S390">
        <f t="shared" ref="S390:S453" si="977">R390/100000</f>
        <v>-1264.2238051121412</v>
      </c>
      <c r="T390">
        <f t="shared" ref="T390:T453" si="978">S390/1000</f>
        <v>-1.2642238051121413</v>
      </c>
    </row>
    <row r="391" spans="1:20" x14ac:dyDescent="0.25">
      <c r="A391" s="5">
        <v>44202</v>
      </c>
      <c r="B391">
        <v>0.4849</v>
      </c>
      <c r="C391">
        <v>0.5635</v>
      </c>
      <c r="D391">
        <v>0.48180000000000001</v>
      </c>
      <c r="E391">
        <v>0.52959999999999996</v>
      </c>
      <c r="F391">
        <v>4754662.45</v>
      </c>
      <c r="G391">
        <v>0</v>
      </c>
      <c r="L391" t="s">
        <v>8</v>
      </c>
      <c r="M391" t="s">
        <v>8</v>
      </c>
      <c r="N391" t="s">
        <v>7</v>
      </c>
      <c r="P391">
        <f t="shared" si="974"/>
        <v>0.17013463892288755</v>
      </c>
      <c r="Q391">
        <f t="shared" si="975"/>
        <v>808932.77913096186</v>
      </c>
      <c r="R391">
        <f t="shared" si="976"/>
        <v>-131831322.87040173</v>
      </c>
      <c r="S391">
        <f t="shared" si="977"/>
        <v>-1318.3132287040173</v>
      </c>
      <c r="T391">
        <f t="shared" si="978"/>
        <v>-1.3183132287040173</v>
      </c>
    </row>
    <row r="392" spans="1:20" x14ac:dyDescent="0.25">
      <c r="A392" s="5">
        <v>44201</v>
      </c>
      <c r="B392">
        <v>0.45579999999999998</v>
      </c>
      <c r="C392">
        <v>0.52500000000000002</v>
      </c>
      <c r="D392">
        <v>0.44450000000000001</v>
      </c>
      <c r="E392">
        <v>0.48499999999999999</v>
      </c>
      <c r="F392">
        <v>3077225.91</v>
      </c>
      <c r="G392">
        <v>0</v>
      </c>
      <c r="L392" t="s">
        <v>7</v>
      </c>
      <c r="M392" t="s">
        <v>7</v>
      </c>
      <c r="N392" t="s">
        <v>7</v>
      </c>
      <c r="P392">
        <f t="shared" si="974"/>
        <v>6.2111801242229168E-3</v>
      </c>
      <c r="Q392">
        <f t="shared" si="975"/>
        <v>19113.204409935781</v>
      </c>
      <c r="R392">
        <f t="shared" si="976"/>
        <v>-132640255.64953269</v>
      </c>
      <c r="S392">
        <f t="shared" si="977"/>
        <v>-1326.402556495327</v>
      </c>
      <c r="T392">
        <f t="shared" si="978"/>
        <v>-1.326402556495327</v>
      </c>
    </row>
    <row r="393" spans="1:20" x14ac:dyDescent="0.25">
      <c r="A393" s="5">
        <v>44200</v>
      </c>
      <c r="B393">
        <v>0.48720000000000002</v>
      </c>
      <c r="C393">
        <v>0.5474</v>
      </c>
      <c r="D393">
        <v>0.41920000000000002</v>
      </c>
      <c r="E393">
        <v>0.45679999999999998</v>
      </c>
      <c r="F393">
        <v>5369086.2199999997</v>
      </c>
      <c r="G393">
        <v>0</v>
      </c>
      <c r="L393" t="s">
        <v>8</v>
      </c>
      <c r="M393" t="s">
        <v>8</v>
      </c>
      <c r="N393" t="s">
        <v>7</v>
      </c>
      <c r="P393">
        <f t="shared" si="974"/>
        <v>-0.41341653666146688</v>
      </c>
      <c r="Q393">
        <f t="shared" si="975"/>
        <v>-2219669.0301092067</v>
      </c>
      <c r="R393">
        <f t="shared" si="976"/>
        <v>-132659368.85394263</v>
      </c>
      <c r="S393">
        <f t="shared" si="977"/>
        <v>-1326.5936885394262</v>
      </c>
      <c r="T393">
        <f t="shared" si="978"/>
        <v>-1.3265936885394263</v>
      </c>
    </row>
    <row r="394" spans="1:20" x14ac:dyDescent="0.25">
      <c r="A394" s="5">
        <v>44199</v>
      </c>
      <c r="B394">
        <v>0.46129999999999999</v>
      </c>
      <c r="C394">
        <v>0.49349999999999999</v>
      </c>
      <c r="D394">
        <v>0.4446</v>
      </c>
      <c r="E394">
        <v>0.4894</v>
      </c>
      <c r="F394">
        <v>2428111.3199999998</v>
      </c>
      <c r="G394">
        <v>0</v>
      </c>
      <c r="L394" t="s">
        <v>8</v>
      </c>
      <c r="M394" t="s">
        <v>8</v>
      </c>
      <c r="N394" t="s">
        <v>7</v>
      </c>
      <c r="P394">
        <f t="shared" si="974"/>
        <v>0.83231083844580811</v>
      </c>
      <c r="Q394">
        <f t="shared" si="975"/>
        <v>2020943.3685889577</v>
      </c>
      <c r="R394">
        <f t="shared" si="976"/>
        <v>-130439699.82383342</v>
      </c>
      <c r="S394">
        <f t="shared" si="977"/>
        <v>-1304.3969982383342</v>
      </c>
      <c r="T394">
        <f t="shared" si="978"/>
        <v>-1.3043969982383341</v>
      </c>
    </row>
    <row r="395" spans="1:20" x14ac:dyDescent="0.25">
      <c r="A395" s="5">
        <v>44198</v>
      </c>
      <c r="B395">
        <v>0.48409999999999997</v>
      </c>
      <c r="C395">
        <v>0.48409999999999997</v>
      </c>
      <c r="D395">
        <v>0.4446</v>
      </c>
      <c r="E395">
        <v>0.46139999999999998</v>
      </c>
      <c r="F395">
        <v>2288577.96</v>
      </c>
      <c r="G395">
        <v>0</v>
      </c>
      <c r="L395" t="s">
        <v>7</v>
      </c>
      <c r="M395" t="s">
        <v>8</v>
      </c>
      <c r="N395" t="s">
        <v>7</v>
      </c>
      <c r="P395">
        <f t="shared" si="974"/>
        <v>-0.14936708860759543</v>
      </c>
      <c r="Q395">
        <f t="shared" si="975"/>
        <v>-341838.22693670995</v>
      </c>
      <c r="R395">
        <f t="shared" si="976"/>
        <v>-132460643.19242238</v>
      </c>
      <c r="S395">
        <f t="shared" si="977"/>
        <v>-1324.6064319242237</v>
      </c>
      <c r="T395">
        <f t="shared" si="978"/>
        <v>-1.3246064319242237</v>
      </c>
    </row>
    <row r="396" spans="1:20" x14ac:dyDescent="0.25">
      <c r="A396" s="5">
        <v>44197</v>
      </c>
      <c r="B396">
        <v>0.44490000000000002</v>
      </c>
      <c r="C396">
        <v>0.52239999999999998</v>
      </c>
      <c r="D396">
        <v>0.442</v>
      </c>
      <c r="E396">
        <v>0.4844</v>
      </c>
      <c r="F396">
        <v>3186416.61</v>
      </c>
      <c r="G396">
        <v>0</v>
      </c>
      <c r="L396" t="s">
        <v>8</v>
      </c>
      <c r="M396" t="s">
        <v>8</v>
      </c>
      <c r="N396" t="s">
        <v>7</v>
      </c>
      <c r="P396">
        <f t="shared" si="974"/>
        <v>5.4726368159204189E-2</v>
      </c>
      <c r="Q396">
        <f t="shared" si="975"/>
        <v>174381.00850746335</v>
      </c>
      <c r="R396">
        <f t="shared" si="976"/>
        <v>-132118804.96548566</v>
      </c>
      <c r="S396">
        <f t="shared" si="977"/>
        <v>-1321.1880496548565</v>
      </c>
      <c r="T396">
        <f t="shared" si="978"/>
        <v>-1.3211880496548565</v>
      </c>
    </row>
    <row r="397" spans="1:20" x14ac:dyDescent="0.25">
      <c r="A397" s="5">
        <v>44196</v>
      </c>
      <c r="B397">
        <v>0.4632</v>
      </c>
      <c r="C397">
        <v>0.46500000000000002</v>
      </c>
      <c r="D397">
        <v>0.435</v>
      </c>
      <c r="E397">
        <v>0.4446</v>
      </c>
      <c r="F397">
        <v>1579031.34</v>
      </c>
      <c r="G397">
        <v>0</v>
      </c>
      <c r="L397" t="s">
        <v>8</v>
      </c>
      <c r="M397" t="s">
        <v>7</v>
      </c>
      <c r="N397" t="s">
        <v>7</v>
      </c>
      <c r="P397">
        <f t="shared" si="974"/>
        <v>-0.36000000000000076</v>
      </c>
      <c r="Q397">
        <f t="shared" si="975"/>
        <v>-568451.28240000119</v>
      </c>
      <c r="R397">
        <f t="shared" si="976"/>
        <v>-132293185.97399312</v>
      </c>
      <c r="S397">
        <f t="shared" si="977"/>
        <v>-1322.9318597399313</v>
      </c>
      <c r="T397">
        <f t="shared" si="978"/>
        <v>-1.3229318597399313</v>
      </c>
    </row>
    <row r="398" spans="1:20" x14ac:dyDescent="0.25">
      <c r="A398" s="5">
        <v>44195</v>
      </c>
      <c r="B398">
        <v>0.49070000000000003</v>
      </c>
      <c r="C398">
        <v>0.49220000000000003</v>
      </c>
      <c r="D398">
        <v>0.432</v>
      </c>
      <c r="E398">
        <v>0.46260000000000001</v>
      </c>
      <c r="F398">
        <v>2229492.5099999998</v>
      </c>
      <c r="G398">
        <v>0</v>
      </c>
      <c r="L398" t="s">
        <v>7</v>
      </c>
      <c r="M398" t="s">
        <v>7</v>
      </c>
      <c r="N398" t="s">
        <v>7</v>
      </c>
      <c r="P398">
        <f t="shared" si="974"/>
        <v>1.6611295681063128E-2</v>
      </c>
      <c r="Q398">
        <f t="shared" si="975"/>
        <v>37034.75930232559</v>
      </c>
      <c r="R398">
        <f t="shared" si="976"/>
        <v>-131724734.69159313</v>
      </c>
      <c r="S398">
        <f t="shared" si="977"/>
        <v>-1317.2473469159313</v>
      </c>
      <c r="T398">
        <f t="shared" si="978"/>
        <v>-1.3172473469159314</v>
      </c>
    </row>
    <row r="399" spans="1:20" x14ac:dyDescent="0.25">
      <c r="A399" s="5">
        <v>44194</v>
      </c>
      <c r="B399">
        <v>0.52559999999999996</v>
      </c>
      <c r="C399">
        <v>0.53290000000000004</v>
      </c>
      <c r="D399">
        <v>0.45569999999999999</v>
      </c>
      <c r="E399">
        <v>0.49080000000000001</v>
      </c>
      <c r="F399">
        <v>3225314.9</v>
      </c>
      <c r="G399">
        <v>0</v>
      </c>
      <c r="L399" t="s">
        <v>7</v>
      </c>
      <c r="M399" t="s">
        <v>7</v>
      </c>
      <c r="N399" t="s">
        <v>7</v>
      </c>
      <c r="P399">
        <f t="shared" si="974"/>
        <v>-9.0673575129533709E-2</v>
      </c>
      <c r="Q399">
        <f t="shared" si="975"/>
        <v>-292450.83290155447</v>
      </c>
      <c r="R399">
        <f t="shared" si="976"/>
        <v>-131761769.45089546</v>
      </c>
      <c r="S399">
        <f t="shared" si="977"/>
        <v>-1317.6176945089546</v>
      </c>
      <c r="T399">
        <f t="shared" si="978"/>
        <v>-1.3176176945089546</v>
      </c>
    </row>
    <row r="400" spans="1:20" x14ac:dyDescent="0.25">
      <c r="A400" s="5">
        <v>44193</v>
      </c>
      <c r="B400">
        <v>0.55330000000000001</v>
      </c>
      <c r="C400">
        <v>0.59719999999999995</v>
      </c>
      <c r="D400">
        <v>0.51319999999999999</v>
      </c>
      <c r="E400">
        <v>0.52559999999999996</v>
      </c>
      <c r="F400">
        <v>3631571.39</v>
      </c>
      <c r="G400">
        <v>0</v>
      </c>
      <c r="L400" t="s">
        <v>8</v>
      </c>
      <c r="M400" t="s">
        <v>8</v>
      </c>
      <c r="N400" t="s">
        <v>7</v>
      </c>
      <c r="P400">
        <f t="shared" si="974"/>
        <v>-0.70476190476190548</v>
      </c>
      <c r="Q400">
        <f t="shared" si="975"/>
        <v>-2559393.1700952407</v>
      </c>
      <c r="R400">
        <f t="shared" si="976"/>
        <v>-131469318.61799391</v>
      </c>
      <c r="S400">
        <f t="shared" si="977"/>
        <v>-1314.6931861799389</v>
      </c>
      <c r="T400">
        <f t="shared" si="978"/>
        <v>-1.3146931861799389</v>
      </c>
    </row>
    <row r="401" spans="1:20" x14ac:dyDescent="0.25">
      <c r="A401" s="5">
        <v>44192</v>
      </c>
      <c r="B401">
        <v>0.52380000000000004</v>
      </c>
      <c r="C401">
        <v>0.62150000000000005</v>
      </c>
      <c r="D401">
        <v>0.4859</v>
      </c>
      <c r="E401">
        <v>0.55230000000000001</v>
      </c>
      <c r="F401">
        <v>3765096.19</v>
      </c>
      <c r="G401">
        <v>0</v>
      </c>
      <c r="L401" t="s">
        <v>7</v>
      </c>
      <c r="M401" t="s">
        <v>7</v>
      </c>
      <c r="N401" t="s">
        <v>7</v>
      </c>
      <c r="P401">
        <f t="shared" si="974"/>
        <v>-2.0648967551622592E-2</v>
      </c>
      <c r="Q401">
        <f t="shared" si="975"/>
        <v>-77745.349056047853</v>
      </c>
      <c r="R401">
        <f t="shared" si="976"/>
        <v>-128909925.44789867</v>
      </c>
      <c r="S401">
        <f t="shared" si="977"/>
        <v>-1289.0992544789867</v>
      </c>
      <c r="T401">
        <f t="shared" si="978"/>
        <v>-1.2890992544789868</v>
      </c>
    </row>
    <row r="402" spans="1:20" x14ac:dyDescent="0.25">
      <c r="A402" s="5">
        <v>44191</v>
      </c>
      <c r="B402">
        <v>0.56540000000000001</v>
      </c>
      <c r="C402">
        <v>0.59</v>
      </c>
      <c r="D402">
        <v>0.51500000000000001</v>
      </c>
      <c r="E402">
        <v>0.52370000000000005</v>
      </c>
      <c r="F402">
        <v>2740508.07</v>
      </c>
      <c r="G402">
        <v>0</v>
      </c>
      <c r="L402" t="s">
        <v>7</v>
      </c>
      <c r="M402" t="s">
        <v>7</v>
      </c>
      <c r="N402" t="s">
        <v>7</v>
      </c>
      <c r="P402">
        <f t="shared" si="974"/>
        <v>-0.76799999999999879</v>
      </c>
      <c r="Q402">
        <f t="shared" si="975"/>
        <v>-2104710.1977599966</v>
      </c>
      <c r="R402">
        <f t="shared" si="976"/>
        <v>-128832180.09884262</v>
      </c>
      <c r="S402">
        <f t="shared" si="977"/>
        <v>-1288.3218009884263</v>
      </c>
      <c r="T402">
        <f t="shared" si="978"/>
        <v>-1.2883218009884263</v>
      </c>
    </row>
    <row r="403" spans="1:20" x14ac:dyDescent="0.25">
      <c r="A403" s="5">
        <v>44190</v>
      </c>
      <c r="B403">
        <v>0.58840000000000003</v>
      </c>
      <c r="C403">
        <v>0.64980000000000004</v>
      </c>
      <c r="D403">
        <v>0.54810000000000003</v>
      </c>
      <c r="E403">
        <v>0.5675</v>
      </c>
      <c r="F403">
        <v>3353398.39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-0.61848574237954823</v>
      </c>
      <c r="Q403">
        <f t="shared" si="975"/>
        <v>-2074029.092733532</v>
      </c>
      <c r="R403">
        <f t="shared" si="976"/>
        <v>-126727469.90108262</v>
      </c>
      <c r="S403">
        <f t="shared" si="977"/>
        <v>-1267.2746990108262</v>
      </c>
      <c r="T403">
        <f t="shared" si="978"/>
        <v>-1.2672746990108261</v>
      </c>
    </row>
    <row r="404" spans="1:20" x14ac:dyDescent="0.25">
      <c r="A404" s="5">
        <v>44189</v>
      </c>
      <c r="B404">
        <v>0.52849999999999997</v>
      </c>
      <c r="C404">
        <v>0.63990000000000002</v>
      </c>
      <c r="D404">
        <v>0.48</v>
      </c>
      <c r="E404">
        <v>0.58840000000000003</v>
      </c>
      <c r="F404">
        <v>6560243.5300000003</v>
      </c>
      <c r="G404">
        <v>0</v>
      </c>
      <c r="L404" t="s">
        <v>8</v>
      </c>
      <c r="M404" t="s">
        <v>8</v>
      </c>
      <c r="N404" t="s">
        <v>7</v>
      </c>
      <c r="P404">
        <f t="shared" si="974"/>
        <v>0.35584740462789272</v>
      </c>
      <c r="Q404">
        <f t="shared" si="975"/>
        <v>2334445.6338774255</v>
      </c>
      <c r="R404">
        <f t="shared" si="976"/>
        <v>-124653440.80834909</v>
      </c>
      <c r="S404">
        <f t="shared" si="977"/>
        <v>-1246.5344080834909</v>
      </c>
      <c r="T404">
        <f t="shared" si="978"/>
        <v>-1.2465344080834908</v>
      </c>
    </row>
    <row r="405" spans="1:20" x14ac:dyDescent="0.25">
      <c r="A405" s="5">
        <v>44188</v>
      </c>
      <c r="B405">
        <v>0.64400000000000002</v>
      </c>
      <c r="C405">
        <v>0.68930000000000002</v>
      </c>
      <c r="D405">
        <v>0.47</v>
      </c>
      <c r="E405">
        <v>0.52880000000000005</v>
      </c>
      <c r="F405">
        <v>7997315.0199999996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-0.46374829001367934</v>
      </c>
      <c r="Q405">
        <f t="shared" si="975"/>
        <v>-3708741.1652257135</v>
      </c>
      <c r="R405">
        <f t="shared" si="976"/>
        <v>-126987886.44222651</v>
      </c>
      <c r="S405">
        <f t="shared" si="977"/>
        <v>-1269.8788644222652</v>
      </c>
      <c r="T405">
        <f t="shared" si="978"/>
        <v>-1.2698788644222652</v>
      </c>
    </row>
    <row r="406" spans="1:20" x14ac:dyDescent="0.25">
      <c r="A406" s="5">
        <v>44187</v>
      </c>
      <c r="B406">
        <v>0.69010000000000005</v>
      </c>
      <c r="C406">
        <v>0.6956</v>
      </c>
      <c r="D406">
        <v>0.60309999999999997</v>
      </c>
      <c r="E406">
        <v>0.64400000000000002</v>
      </c>
      <c r="F406">
        <v>7069751.2800000003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-0.11567567567567491</v>
      </c>
      <c r="Q406">
        <f t="shared" si="975"/>
        <v>-817798.25617296761</v>
      </c>
      <c r="R406">
        <f t="shared" si="976"/>
        <v>-123279145.2770008</v>
      </c>
      <c r="S406">
        <f t="shared" si="977"/>
        <v>-1232.7914527700079</v>
      </c>
      <c r="T406">
        <f t="shared" si="978"/>
        <v>-1.2327914527700079</v>
      </c>
    </row>
    <row r="407" spans="1:20" x14ac:dyDescent="0.25">
      <c r="A407" s="5">
        <v>44186</v>
      </c>
      <c r="B407">
        <v>0.75349999999999995</v>
      </c>
      <c r="C407">
        <v>0.8</v>
      </c>
      <c r="D407">
        <v>0.64200000000000002</v>
      </c>
      <c r="E407">
        <v>0.69</v>
      </c>
      <c r="F407">
        <v>6964525.1500000004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-0.39240506329114022</v>
      </c>
      <c r="Q407">
        <f t="shared" si="975"/>
        <v>-2732914.9322784878</v>
      </c>
      <c r="R407">
        <f t="shared" si="976"/>
        <v>-122461347.02082783</v>
      </c>
      <c r="S407">
        <f t="shared" si="977"/>
        <v>-1224.6134702082784</v>
      </c>
      <c r="T407">
        <f t="shared" si="978"/>
        <v>-1.2246134702082785</v>
      </c>
    </row>
    <row r="408" spans="1:20" x14ac:dyDescent="0.25">
      <c r="A408" s="5">
        <v>44185</v>
      </c>
      <c r="B408">
        <v>0.85429999999999995</v>
      </c>
      <c r="C408">
        <v>0.87009999999999998</v>
      </c>
      <c r="D408">
        <v>0.7339</v>
      </c>
      <c r="E408">
        <v>0.75349999999999995</v>
      </c>
      <c r="F408">
        <v>6981808.4699999997</v>
      </c>
      <c r="G408">
        <v>0</v>
      </c>
      <c r="L408" t="s">
        <v>7</v>
      </c>
      <c r="M408" t="s">
        <v>7</v>
      </c>
      <c r="N408" t="s">
        <v>7</v>
      </c>
      <c r="P408">
        <f t="shared" si="974"/>
        <v>-0.71218795888399478</v>
      </c>
      <c r="Q408">
        <f t="shared" si="975"/>
        <v>-4972359.923568286</v>
      </c>
      <c r="R408">
        <f t="shared" si="976"/>
        <v>-119728432.08854935</v>
      </c>
      <c r="S408">
        <f t="shared" si="977"/>
        <v>-1197.2843208854933</v>
      </c>
      <c r="T408">
        <f t="shared" si="978"/>
        <v>-1.1972843208854933</v>
      </c>
    </row>
    <row r="409" spans="1:20" x14ac:dyDescent="0.25">
      <c r="A409" s="5">
        <v>44184</v>
      </c>
      <c r="B409">
        <v>0.8548</v>
      </c>
      <c r="C409">
        <v>0.92500000000000004</v>
      </c>
      <c r="D409">
        <v>0.83940000000000003</v>
      </c>
      <c r="E409">
        <v>0.85419999999999996</v>
      </c>
      <c r="F409">
        <v>7824657.3899999997</v>
      </c>
      <c r="G409">
        <v>0</v>
      </c>
      <c r="L409" t="s">
        <v>8</v>
      </c>
      <c r="M409" t="s">
        <v>7</v>
      </c>
      <c r="N409" t="s">
        <v>8</v>
      </c>
      <c r="P409">
        <f t="shared" si="974"/>
        <v>-0.65420560747663736</v>
      </c>
      <c r="Q409">
        <f t="shared" si="975"/>
        <v>-5118934.7411215091</v>
      </c>
      <c r="R409">
        <f t="shared" si="976"/>
        <v>-114756072.16498107</v>
      </c>
      <c r="S409">
        <f t="shared" si="977"/>
        <v>-1147.5607216498106</v>
      </c>
      <c r="T409">
        <f t="shared" si="978"/>
        <v>-1.1475607216498107</v>
      </c>
    </row>
    <row r="410" spans="1:20" x14ac:dyDescent="0.25">
      <c r="A410" s="5">
        <v>44183</v>
      </c>
      <c r="B410">
        <v>0.92630000000000001</v>
      </c>
      <c r="C410">
        <v>0.98980000000000001</v>
      </c>
      <c r="D410">
        <v>0.81950000000000001</v>
      </c>
      <c r="E410">
        <v>0.8548</v>
      </c>
      <c r="F410">
        <v>7055639.3600000003</v>
      </c>
      <c r="G410">
        <v>0</v>
      </c>
      <c r="L410" t="s">
        <v>7</v>
      </c>
      <c r="M410" t="s">
        <v>7</v>
      </c>
      <c r="N410" t="s">
        <v>8</v>
      </c>
      <c r="P410">
        <f t="shared" si="974"/>
        <v>-0.58543746330005875</v>
      </c>
      <c r="Q410">
        <f t="shared" si="975"/>
        <v>-4130635.60887845</v>
      </c>
      <c r="R410">
        <f t="shared" si="976"/>
        <v>-109637137.42385955</v>
      </c>
      <c r="S410">
        <f t="shared" si="977"/>
        <v>-1096.3713742385955</v>
      </c>
      <c r="T410">
        <f t="shared" si="978"/>
        <v>-1.0963713742385954</v>
      </c>
    </row>
    <row r="411" spans="1:20" x14ac:dyDescent="0.25">
      <c r="A411" s="5">
        <v>44182</v>
      </c>
      <c r="B411">
        <v>0.83740000000000003</v>
      </c>
      <c r="C411">
        <v>0.99129999999999996</v>
      </c>
      <c r="D411">
        <v>0.82099999999999995</v>
      </c>
      <c r="E411">
        <v>0.92620000000000002</v>
      </c>
      <c r="F411">
        <v>11497206.880000001</v>
      </c>
      <c r="G411">
        <v>0</v>
      </c>
      <c r="L411" t="s">
        <v>8</v>
      </c>
      <c r="M411" t="s">
        <v>8</v>
      </c>
      <c r="N411" t="s">
        <v>8</v>
      </c>
      <c r="P411">
        <f t="shared" si="974"/>
        <v>0.23546682325308357</v>
      </c>
      <c r="Q411">
        <f t="shared" si="975"/>
        <v>2707210.7803170965</v>
      </c>
      <c r="R411">
        <f t="shared" si="976"/>
        <v>-105506501.8149811</v>
      </c>
      <c r="S411">
        <f t="shared" si="977"/>
        <v>-1055.0650181498111</v>
      </c>
      <c r="T411">
        <f t="shared" si="978"/>
        <v>-1.0550650181498111</v>
      </c>
    </row>
    <row r="412" spans="1:20" x14ac:dyDescent="0.25">
      <c r="A412" s="5">
        <v>44181</v>
      </c>
      <c r="B412">
        <v>0.86470000000000002</v>
      </c>
      <c r="C412">
        <v>0.93</v>
      </c>
      <c r="D412">
        <v>0.81440000000000001</v>
      </c>
      <c r="E412">
        <v>0.83740000000000003</v>
      </c>
      <c r="F412">
        <v>7463484.4400000004</v>
      </c>
      <c r="G412">
        <v>0</v>
      </c>
      <c r="L412" t="s">
        <v>7</v>
      </c>
      <c r="M412" t="s">
        <v>7</v>
      </c>
      <c r="N412" t="s">
        <v>8</v>
      </c>
      <c r="P412">
        <f t="shared" si="974"/>
        <v>-0.60207612456747384</v>
      </c>
      <c r="Q412">
        <f t="shared" si="975"/>
        <v>-4493585.7874048427</v>
      </c>
      <c r="R412">
        <f t="shared" si="976"/>
        <v>-108213712.5952982</v>
      </c>
      <c r="S412">
        <f t="shared" si="977"/>
        <v>-1082.1371259529819</v>
      </c>
      <c r="T412">
        <f t="shared" si="978"/>
        <v>-1.0821371259529819</v>
      </c>
    </row>
    <row r="413" spans="1:20" x14ac:dyDescent="0.25">
      <c r="A413" s="5">
        <v>44180</v>
      </c>
      <c r="B413">
        <v>0.87690000000000001</v>
      </c>
      <c r="C413">
        <v>0.95120000000000005</v>
      </c>
      <c r="D413">
        <v>0.8528</v>
      </c>
      <c r="E413">
        <v>0.86470000000000002</v>
      </c>
      <c r="F413">
        <v>7287924.6900000004</v>
      </c>
      <c r="G413">
        <v>0</v>
      </c>
      <c r="L413" t="s">
        <v>8</v>
      </c>
      <c r="M413" t="s">
        <v>7</v>
      </c>
      <c r="N413" t="s">
        <v>8</v>
      </c>
      <c r="P413">
        <f t="shared" si="974"/>
        <v>-0.75813008130081272</v>
      </c>
      <c r="Q413">
        <f t="shared" si="975"/>
        <v>-5525194.9377439003</v>
      </c>
      <c r="R413">
        <f t="shared" si="976"/>
        <v>-103720126.80789335</v>
      </c>
      <c r="S413">
        <f t="shared" si="977"/>
        <v>-1037.2012680789335</v>
      </c>
      <c r="T413">
        <f t="shared" si="978"/>
        <v>-1.0372012680789335</v>
      </c>
    </row>
    <row r="414" spans="1:20" x14ac:dyDescent="0.25">
      <c r="A414" s="5">
        <v>44179</v>
      </c>
      <c r="B414">
        <v>0.90820000000000001</v>
      </c>
      <c r="C414">
        <v>0.94010000000000005</v>
      </c>
      <c r="D414">
        <v>0.83340000000000003</v>
      </c>
      <c r="E414">
        <v>0.87519999999999998</v>
      </c>
      <c r="F414">
        <v>7021294.3300000001</v>
      </c>
      <c r="G414">
        <v>0</v>
      </c>
      <c r="L414" t="s">
        <v>7</v>
      </c>
      <c r="M414" t="s">
        <v>7</v>
      </c>
      <c r="N414" t="s">
        <v>8</v>
      </c>
      <c r="P414">
        <f t="shared" si="974"/>
        <v>-0.21649484536082583</v>
      </c>
      <c r="Q414">
        <f t="shared" si="975"/>
        <v>-1520074.0302061932</v>
      </c>
      <c r="R414">
        <f t="shared" si="976"/>
        <v>-98194931.870149449</v>
      </c>
      <c r="S414">
        <f t="shared" si="977"/>
        <v>-981.94931870149446</v>
      </c>
      <c r="T414">
        <f t="shared" si="978"/>
        <v>-0.98194931870149449</v>
      </c>
    </row>
    <row r="415" spans="1:20" x14ac:dyDescent="0.25">
      <c r="A415" s="5">
        <v>44178</v>
      </c>
      <c r="B415">
        <v>0.96699999999999997</v>
      </c>
      <c r="C415">
        <v>1.0249999999999999</v>
      </c>
      <c r="D415">
        <v>0.88</v>
      </c>
      <c r="E415">
        <v>0.90820000000000001</v>
      </c>
      <c r="F415">
        <v>8504847.5199999996</v>
      </c>
      <c r="G415">
        <v>0</v>
      </c>
      <c r="L415" t="s">
        <v>7</v>
      </c>
      <c r="M415" t="s">
        <v>8</v>
      </c>
      <c r="N415" t="s">
        <v>8</v>
      </c>
      <c r="P415">
        <f t="shared" si="974"/>
        <v>-0.61103448275862038</v>
      </c>
      <c r="Q415">
        <f t="shared" si="975"/>
        <v>-5196755.1053241352</v>
      </c>
      <c r="R415">
        <f t="shared" si="976"/>
        <v>-96674857.83994326</v>
      </c>
      <c r="S415">
        <f t="shared" si="977"/>
        <v>-966.74857839943263</v>
      </c>
      <c r="T415">
        <f t="shared" si="978"/>
        <v>-0.96674857839943262</v>
      </c>
    </row>
    <row r="416" spans="1:20" x14ac:dyDescent="0.25">
      <c r="A416" s="5">
        <v>44177</v>
      </c>
      <c r="B416">
        <v>0.87790000000000001</v>
      </c>
      <c r="C416">
        <v>1.0458000000000001</v>
      </c>
      <c r="D416">
        <v>0.86499999999999999</v>
      </c>
      <c r="E416">
        <v>0.96599999999999997</v>
      </c>
      <c r="F416">
        <v>15678721.039999999</v>
      </c>
      <c r="G416">
        <v>0</v>
      </c>
      <c r="L416" t="s">
        <v>8</v>
      </c>
      <c r="M416" t="s">
        <v>8</v>
      </c>
      <c r="N416" t="s">
        <v>8</v>
      </c>
      <c r="P416">
        <f t="shared" si="974"/>
        <v>0.11725663716814091</v>
      </c>
      <c r="Q416">
        <f t="shared" si="975"/>
        <v>1838434.1042477768</v>
      </c>
      <c r="R416">
        <f t="shared" si="976"/>
        <v>-91478102.734619126</v>
      </c>
      <c r="S416">
        <f t="shared" si="977"/>
        <v>-914.78102734619131</v>
      </c>
      <c r="T416">
        <f t="shared" si="978"/>
        <v>-0.91478102734619127</v>
      </c>
    </row>
    <row r="417" spans="1:20" x14ac:dyDescent="0.25">
      <c r="A417" s="5">
        <v>44176</v>
      </c>
      <c r="B417">
        <v>0.79430000000000001</v>
      </c>
      <c r="C417">
        <v>0.93889999999999996</v>
      </c>
      <c r="D417">
        <v>0.69340000000000002</v>
      </c>
      <c r="E417">
        <v>0.875</v>
      </c>
      <c r="F417">
        <v>15103287.15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0.47942973523421611</v>
      </c>
      <c r="Q417">
        <f t="shared" si="975"/>
        <v>7240964.9594908385</v>
      </c>
      <c r="R417">
        <f t="shared" si="976"/>
        <v>-93316536.838866904</v>
      </c>
      <c r="S417">
        <f t="shared" si="977"/>
        <v>-933.16536838866909</v>
      </c>
      <c r="T417">
        <f t="shared" si="978"/>
        <v>-0.93316536838866915</v>
      </c>
    </row>
    <row r="418" spans="1:20" x14ac:dyDescent="0.25">
      <c r="A418" s="5">
        <v>44175</v>
      </c>
      <c r="B418">
        <v>0.96409999999999996</v>
      </c>
      <c r="C418">
        <v>0.97689999999999999</v>
      </c>
      <c r="D418">
        <v>0.76500000000000001</v>
      </c>
      <c r="E418">
        <v>0.7944</v>
      </c>
      <c r="F418">
        <v>10300513.189999999</v>
      </c>
      <c r="G418">
        <v>0</v>
      </c>
      <c r="L418" t="s">
        <v>8</v>
      </c>
      <c r="M418" t="s">
        <v>8</v>
      </c>
      <c r="N418" t="s">
        <v>7</v>
      </c>
      <c r="P418">
        <f t="shared" si="974"/>
        <v>-0.72251061821613982</v>
      </c>
      <c r="Q418">
        <f t="shared" si="975"/>
        <v>-7442230.1528504025</v>
      </c>
      <c r="R418">
        <f t="shared" si="976"/>
        <v>-100557501.79835774</v>
      </c>
      <c r="S418">
        <f t="shared" si="977"/>
        <v>-1005.5750179835774</v>
      </c>
      <c r="T418">
        <f t="shared" si="978"/>
        <v>-1.0055750179835774</v>
      </c>
    </row>
    <row r="419" spans="1:20" x14ac:dyDescent="0.25">
      <c r="A419" s="5">
        <v>44174</v>
      </c>
      <c r="B419">
        <v>0.88929999999999998</v>
      </c>
      <c r="C419">
        <v>1.0230999999999999</v>
      </c>
      <c r="D419">
        <v>0.76200000000000001</v>
      </c>
      <c r="E419">
        <v>0.96399999999999997</v>
      </c>
      <c r="F419">
        <v>18290971.710000001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0.54729988510149397</v>
      </c>
      <c r="Q419">
        <f t="shared" si="975"/>
        <v>10010646.715277677</v>
      </c>
      <c r="R419">
        <f t="shared" si="976"/>
        <v>-93115271.645507336</v>
      </c>
      <c r="S419">
        <f t="shared" si="977"/>
        <v>-931.15271645507335</v>
      </c>
      <c r="T419">
        <f t="shared" si="978"/>
        <v>-0.93115271645507336</v>
      </c>
    </row>
    <row r="420" spans="1:20" x14ac:dyDescent="0.25">
      <c r="A420" s="5">
        <v>44173</v>
      </c>
      <c r="B420">
        <v>1.0266</v>
      </c>
      <c r="C420">
        <v>1.2211000000000001</v>
      </c>
      <c r="D420">
        <v>0.875</v>
      </c>
      <c r="E420">
        <v>0.8891</v>
      </c>
      <c r="F420">
        <v>25143675.23</v>
      </c>
      <c r="G420">
        <v>0</v>
      </c>
      <c r="L420" t="s">
        <v>8</v>
      </c>
      <c r="M420" t="s">
        <v>8</v>
      </c>
      <c r="N420" t="s">
        <v>8</v>
      </c>
      <c r="P420">
        <f t="shared" si="974"/>
        <v>-0.91852065876914191</v>
      </c>
      <c r="Q420">
        <f t="shared" si="975"/>
        <v>-23094985.136136957</v>
      </c>
      <c r="R420">
        <f t="shared" si="976"/>
        <v>-103125918.36078501</v>
      </c>
      <c r="S420">
        <f t="shared" si="977"/>
        <v>-1031.25918360785</v>
      </c>
      <c r="T420">
        <f t="shared" si="978"/>
        <v>-1.03125918360785</v>
      </c>
    </row>
    <row r="421" spans="1:20" x14ac:dyDescent="0.25">
      <c r="A421" s="5">
        <v>44172</v>
      </c>
      <c r="B421">
        <v>0.7671</v>
      </c>
      <c r="C421">
        <v>1.07</v>
      </c>
      <c r="D421">
        <v>0.75919999999999999</v>
      </c>
      <c r="E421">
        <v>1.0254000000000001</v>
      </c>
      <c r="F421">
        <v>18309637.039999999</v>
      </c>
      <c r="G421">
        <v>0</v>
      </c>
      <c r="L421" t="s">
        <v>8</v>
      </c>
      <c r="M421" t="s">
        <v>8</v>
      </c>
      <c r="N421" t="s">
        <v>8</v>
      </c>
      <c r="P421">
        <f t="shared" si="974"/>
        <v>0.7129987129987132</v>
      </c>
      <c r="Q421">
        <f t="shared" si="975"/>
        <v>13054747.644993568</v>
      </c>
      <c r="R421">
        <f t="shared" si="976"/>
        <v>-80030933.224648058</v>
      </c>
      <c r="S421">
        <f t="shared" si="977"/>
        <v>-800.30933224648061</v>
      </c>
      <c r="T421">
        <f t="shared" si="978"/>
        <v>-0.8003093322464806</v>
      </c>
    </row>
    <row r="422" spans="1:20" x14ac:dyDescent="0.25">
      <c r="A422" s="5">
        <v>44171</v>
      </c>
      <c r="B422">
        <v>0.7369</v>
      </c>
      <c r="C422">
        <v>0.8881</v>
      </c>
      <c r="D422">
        <v>0.7117</v>
      </c>
      <c r="E422">
        <v>0.7671</v>
      </c>
      <c r="F422">
        <v>15541595.369999999</v>
      </c>
      <c r="G422">
        <v>0</v>
      </c>
      <c r="L422" t="s">
        <v>8</v>
      </c>
      <c r="M422" t="s">
        <v>8</v>
      </c>
      <c r="N422" t="s">
        <v>8</v>
      </c>
      <c r="P422">
        <f t="shared" si="974"/>
        <v>-0.37188208616780039</v>
      </c>
      <c r="Q422">
        <f t="shared" si="975"/>
        <v>-5779640.9085714268</v>
      </c>
      <c r="R422">
        <f t="shared" si="976"/>
        <v>-93085680.869641632</v>
      </c>
      <c r="S422">
        <f t="shared" si="977"/>
        <v>-930.85680869641635</v>
      </c>
      <c r="T422">
        <f t="shared" si="978"/>
        <v>-0.9308568086964164</v>
      </c>
    </row>
    <row r="423" spans="1:20" x14ac:dyDescent="0.25">
      <c r="A423" s="5">
        <v>44170</v>
      </c>
      <c r="B423">
        <v>0.58120000000000005</v>
      </c>
      <c r="C423">
        <v>0.78990000000000005</v>
      </c>
      <c r="D423">
        <v>0.56000000000000005</v>
      </c>
      <c r="E423">
        <v>0.73760000000000003</v>
      </c>
      <c r="F423">
        <v>11633149.58</v>
      </c>
      <c r="G423">
        <v>0</v>
      </c>
      <c r="L423" t="s">
        <v>7</v>
      </c>
      <c r="M423" t="s">
        <v>8</v>
      </c>
      <c r="N423" t="s">
        <v>8</v>
      </c>
      <c r="P423">
        <f t="shared" si="974"/>
        <v>0.5450195737277076</v>
      </c>
      <c r="Q423">
        <f t="shared" si="975"/>
        <v>6340294.2252022605</v>
      </c>
      <c r="R423">
        <f t="shared" si="976"/>
        <v>-87306039.96107021</v>
      </c>
      <c r="S423">
        <f t="shared" si="977"/>
        <v>-873.06039961070212</v>
      </c>
      <c r="T423">
        <f t="shared" si="978"/>
        <v>-0.87306039961070214</v>
      </c>
    </row>
    <row r="424" spans="1:20" x14ac:dyDescent="0.25">
      <c r="A424" s="5">
        <v>44169</v>
      </c>
      <c r="B424">
        <v>0.61650000000000005</v>
      </c>
      <c r="C424">
        <v>0.6462</v>
      </c>
      <c r="D424">
        <v>0.56940000000000002</v>
      </c>
      <c r="E424">
        <v>0.58120000000000005</v>
      </c>
      <c r="F424">
        <v>7123981.3799999999</v>
      </c>
      <c r="G424">
        <v>0</v>
      </c>
      <c r="L424" t="s">
        <v>7</v>
      </c>
      <c r="M424" t="s">
        <v>7</v>
      </c>
      <c r="N424" t="s">
        <v>8</v>
      </c>
      <c r="P424">
        <f t="shared" si="974"/>
        <v>-0.69270833333333237</v>
      </c>
      <c r="Q424">
        <f t="shared" si="975"/>
        <v>-4934841.2684374927</v>
      </c>
      <c r="R424">
        <f t="shared" si="976"/>
        <v>-93646334.186272472</v>
      </c>
      <c r="S424">
        <f t="shared" si="977"/>
        <v>-936.46334186272475</v>
      </c>
      <c r="T424">
        <f t="shared" si="978"/>
        <v>-0.93646334186272473</v>
      </c>
    </row>
    <row r="425" spans="1:20" x14ac:dyDescent="0.25">
      <c r="A425" s="5">
        <v>44168</v>
      </c>
      <c r="B425">
        <v>0.54769999999999996</v>
      </c>
      <c r="C425">
        <v>0.68799999999999994</v>
      </c>
      <c r="D425">
        <v>0.54690000000000005</v>
      </c>
      <c r="E425">
        <v>0.61639999999999995</v>
      </c>
      <c r="F425">
        <v>13363063.84</v>
      </c>
      <c r="G425">
        <v>0</v>
      </c>
      <c r="L425" t="s">
        <v>8</v>
      </c>
      <c r="M425" t="s">
        <v>8</v>
      </c>
      <c r="N425" t="s">
        <v>8</v>
      </c>
      <c r="P425">
        <f t="shared" si="974"/>
        <v>-1.4883061658399031E-2</v>
      </c>
      <c r="Q425">
        <f t="shared" si="975"/>
        <v>-198883.30307584253</v>
      </c>
      <c r="R425">
        <f t="shared" si="976"/>
        <v>-88711492.917834982</v>
      </c>
      <c r="S425">
        <f t="shared" si="977"/>
        <v>-887.11492917834983</v>
      </c>
      <c r="T425">
        <f t="shared" si="978"/>
        <v>-0.88711492917834978</v>
      </c>
    </row>
    <row r="426" spans="1:20" x14ac:dyDescent="0.25">
      <c r="A426" s="5">
        <v>44167</v>
      </c>
      <c r="B426">
        <v>0.49130000000000001</v>
      </c>
      <c r="C426">
        <v>0.57950000000000002</v>
      </c>
      <c r="D426">
        <v>0.47689999999999999</v>
      </c>
      <c r="E426">
        <v>0.54779999999999995</v>
      </c>
      <c r="F426">
        <v>7556943.9400000004</v>
      </c>
      <c r="G426">
        <v>0</v>
      </c>
      <c r="L426" t="s">
        <v>8</v>
      </c>
      <c r="M426" t="s">
        <v>8</v>
      </c>
      <c r="N426" t="s">
        <v>8</v>
      </c>
      <c r="P426">
        <f t="shared" si="974"/>
        <v>0.38206627680311783</v>
      </c>
      <c r="Q426">
        <f t="shared" si="975"/>
        <v>2887253.4351656842</v>
      </c>
      <c r="R426">
        <f t="shared" si="976"/>
        <v>-88512609.614759147</v>
      </c>
      <c r="S426">
        <f t="shared" si="977"/>
        <v>-885.12609614759151</v>
      </c>
      <c r="T426">
        <f t="shared" si="978"/>
        <v>-0.88512609614759152</v>
      </c>
    </row>
    <row r="427" spans="1:20" x14ac:dyDescent="0.25">
      <c r="A427" s="5">
        <v>44166</v>
      </c>
      <c r="B427">
        <v>0.53790000000000004</v>
      </c>
      <c r="C427">
        <v>0.53810000000000002</v>
      </c>
      <c r="D427">
        <v>0.47899999999999998</v>
      </c>
      <c r="E427">
        <v>0.49130000000000001</v>
      </c>
      <c r="F427">
        <v>5176552.83</v>
      </c>
      <c r="G427">
        <v>0</v>
      </c>
      <c r="L427" t="s">
        <v>7</v>
      </c>
      <c r="M427" t="s">
        <v>7</v>
      </c>
      <c r="N427" t="s">
        <v>8</v>
      </c>
      <c r="P427">
        <f t="shared" si="974"/>
        <v>-0.58375634517766417</v>
      </c>
      <c r="Q427">
        <f t="shared" si="975"/>
        <v>-3021845.5606598943</v>
      </c>
      <c r="R427">
        <f t="shared" si="976"/>
        <v>-91399863.049924836</v>
      </c>
      <c r="S427">
        <f t="shared" si="977"/>
        <v>-913.99863049924841</v>
      </c>
      <c r="T427">
        <f t="shared" si="978"/>
        <v>-0.91399863049924845</v>
      </c>
    </row>
    <row r="428" spans="1:20" x14ac:dyDescent="0.25">
      <c r="A428" s="5">
        <v>44165</v>
      </c>
      <c r="B428">
        <v>0.49619999999999997</v>
      </c>
      <c r="C428">
        <v>0.5544</v>
      </c>
      <c r="D428">
        <v>0.49199999999999999</v>
      </c>
      <c r="E428">
        <v>0.53790000000000004</v>
      </c>
      <c r="F428">
        <v>6387800.9400000004</v>
      </c>
      <c r="G428">
        <v>0</v>
      </c>
      <c r="L428" t="s">
        <v>7</v>
      </c>
      <c r="M428" t="s">
        <v>8</v>
      </c>
      <c r="N428" t="s">
        <v>8</v>
      </c>
      <c r="P428">
        <f t="shared" si="974"/>
        <v>0.47115384615384753</v>
      </c>
      <c r="Q428">
        <f t="shared" si="975"/>
        <v>3009636.981346163</v>
      </c>
      <c r="R428">
        <f t="shared" si="976"/>
        <v>-88378017.489264935</v>
      </c>
      <c r="S428">
        <f t="shared" si="977"/>
        <v>-883.78017489264937</v>
      </c>
      <c r="T428">
        <f t="shared" si="978"/>
        <v>-0.88378017489264937</v>
      </c>
    </row>
    <row r="429" spans="1:20" x14ac:dyDescent="0.25">
      <c r="A429" s="5">
        <v>44164</v>
      </c>
      <c r="B429">
        <v>0.51370000000000005</v>
      </c>
      <c r="C429">
        <v>0.55689999999999995</v>
      </c>
      <c r="D429">
        <v>0.48280000000000001</v>
      </c>
      <c r="E429">
        <v>0.49619999999999997</v>
      </c>
      <c r="F429">
        <v>6194669.7599999998</v>
      </c>
      <c r="G429">
        <v>0</v>
      </c>
      <c r="L429" t="s">
        <v>8</v>
      </c>
      <c r="M429" t="s">
        <v>8</v>
      </c>
      <c r="N429" t="s">
        <v>8</v>
      </c>
      <c r="P429">
        <f t="shared" si="974"/>
        <v>-0.63832658569500733</v>
      </c>
      <c r="Q429">
        <f t="shared" si="975"/>
        <v>-3954222.3974089106</v>
      </c>
      <c r="R429">
        <f t="shared" si="976"/>
        <v>-91387654.470611095</v>
      </c>
      <c r="S429">
        <f t="shared" si="977"/>
        <v>-913.87654470611096</v>
      </c>
      <c r="T429">
        <f t="shared" si="978"/>
        <v>-0.91387654470611102</v>
      </c>
    </row>
    <row r="430" spans="1:20" x14ac:dyDescent="0.25">
      <c r="A430" s="5">
        <v>44163</v>
      </c>
      <c r="B430">
        <v>0.48659999999999998</v>
      </c>
      <c r="C430">
        <v>0.54559999999999997</v>
      </c>
      <c r="D430">
        <v>0.45119999999999999</v>
      </c>
      <c r="E430">
        <v>0.51370000000000005</v>
      </c>
      <c r="F430">
        <v>8470608.4900000002</v>
      </c>
      <c r="G430">
        <v>0</v>
      </c>
      <c r="L430" t="s">
        <v>8</v>
      </c>
      <c r="M430" t="s">
        <v>8</v>
      </c>
      <c r="N430" t="s">
        <v>8</v>
      </c>
      <c r="P430">
        <f t="shared" si="974"/>
        <v>0.32415254237288277</v>
      </c>
      <c r="Q430">
        <f t="shared" si="975"/>
        <v>2745769.2774788258</v>
      </c>
      <c r="R430">
        <f t="shared" si="976"/>
        <v>-87433432.073202178</v>
      </c>
      <c r="S430">
        <f t="shared" si="977"/>
        <v>-874.33432073202175</v>
      </c>
      <c r="T430">
        <f t="shared" si="978"/>
        <v>-0.87433432073202177</v>
      </c>
    </row>
    <row r="431" spans="1:20" x14ac:dyDescent="0.25">
      <c r="A431" s="5">
        <v>44162</v>
      </c>
      <c r="B431">
        <v>0.42099999999999999</v>
      </c>
      <c r="C431">
        <v>0.48649999999999999</v>
      </c>
      <c r="D431">
        <v>0.41499999999999998</v>
      </c>
      <c r="E431">
        <v>0.48649999999999999</v>
      </c>
      <c r="F431">
        <v>6083102.4199999999</v>
      </c>
      <c r="G431">
        <v>0</v>
      </c>
      <c r="L431" t="s">
        <v>8</v>
      </c>
      <c r="M431" t="s">
        <v>8</v>
      </c>
      <c r="N431" t="s">
        <v>7</v>
      </c>
      <c r="P431">
        <f t="shared" si="974"/>
        <v>1</v>
      </c>
      <c r="Q431">
        <f t="shared" si="975"/>
        <v>6083102.4199999999</v>
      </c>
      <c r="R431">
        <f t="shared" si="976"/>
        <v>-90179201.350681007</v>
      </c>
      <c r="S431">
        <f t="shared" si="977"/>
        <v>-901.79201350681012</v>
      </c>
      <c r="T431">
        <f t="shared" si="978"/>
        <v>-0.90179201350681015</v>
      </c>
    </row>
    <row r="432" spans="1:20" x14ac:dyDescent="0.25">
      <c r="A432" s="5">
        <v>44161</v>
      </c>
      <c r="B432">
        <v>0.47860000000000003</v>
      </c>
      <c r="C432">
        <v>0.50160000000000005</v>
      </c>
      <c r="D432">
        <v>0.38200000000000001</v>
      </c>
      <c r="E432">
        <v>0.42070000000000002</v>
      </c>
      <c r="F432">
        <v>6237628.6799999997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-0.35284280936454848</v>
      </c>
      <c r="Q432">
        <f t="shared" si="975"/>
        <v>-2200902.4272240801</v>
      </c>
      <c r="R432">
        <f t="shared" si="976"/>
        <v>-96262303.770681009</v>
      </c>
      <c r="S432">
        <f t="shared" si="977"/>
        <v>-962.62303770681012</v>
      </c>
      <c r="T432">
        <f t="shared" si="978"/>
        <v>-0.96262303770681013</v>
      </c>
    </row>
    <row r="433" spans="1:20" x14ac:dyDescent="0.25">
      <c r="A433" s="5">
        <v>44160</v>
      </c>
      <c r="B433">
        <v>0.50119999999999998</v>
      </c>
      <c r="C433">
        <v>0.50560000000000005</v>
      </c>
      <c r="D433">
        <v>0.46210000000000001</v>
      </c>
      <c r="E433">
        <v>0.47860000000000003</v>
      </c>
      <c r="F433">
        <v>5154902.17</v>
      </c>
      <c r="G433">
        <v>0</v>
      </c>
      <c r="L433" t="s">
        <v>8</v>
      </c>
      <c r="M433" t="s">
        <v>7</v>
      </c>
      <c r="N433" t="s">
        <v>7</v>
      </c>
      <c r="P433">
        <f t="shared" si="974"/>
        <v>-0.2413793103448276</v>
      </c>
      <c r="Q433">
        <f t="shared" si="975"/>
        <v>-1244286.7306896553</v>
      </c>
      <c r="R433">
        <f t="shared" si="976"/>
        <v>-94061401.343456924</v>
      </c>
      <c r="S433">
        <f t="shared" si="977"/>
        <v>-940.61401343456919</v>
      </c>
      <c r="T433">
        <f t="shared" si="978"/>
        <v>-0.94061401343456919</v>
      </c>
    </row>
    <row r="434" spans="1:20" x14ac:dyDescent="0.25">
      <c r="A434" s="5">
        <v>44159</v>
      </c>
      <c r="B434">
        <v>0.49320000000000003</v>
      </c>
      <c r="C434">
        <v>0.51200000000000001</v>
      </c>
      <c r="D434">
        <v>0.46029999999999999</v>
      </c>
      <c r="E434">
        <v>0.49969999999999998</v>
      </c>
      <c r="F434">
        <v>4732566.6500000004</v>
      </c>
      <c r="G434">
        <v>0</v>
      </c>
      <c r="L434" t="s">
        <v>7</v>
      </c>
      <c r="M434" t="s">
        <v>7</v>
      </c>
      <c r="N434" t="s">
        <v>7</v>
      </c>
      <c r="P434">
        <f t="shared" si="974"/>
        <v>0.52417794970986353</v>
      </c>
      <c r="Q434">
        <f t="shared" si="975"/>
        <v>2480707.0834622774</v>
      </c>
      <c r="R434">
        <f t="shared" si="976"/>
        <v>-92817114.612767264</v>
      </c>
      <c r="S434">
        <f t="shared" si="977"/>
        <v>-928.17114612767261</v>
      </c>
      <c r="T434">
        <f t="shared" si="978"/>
        <v>-0.9281711461276726</v>
      </c>
    </row>
    <row r="435" spans="1:20" x14ac:dyDescent="0.25">
      <c r="A435" s="5">
        <v>44158</v>
      </c>
      <c r="B435">
        <v>0.47120000000000001</v>
      </c>
      <c r="C435">
        <v>0.52300000000000002</v>
      </c>
      <c r="D435">
        <v>0.47039999999999998</v>
      </c>
      <c r="E435">
        <v>0.49309999999999998</v>
      </c>
      <c r="F435">
        <v>7270858.46</v>
      </c>
      <c r="G435">
        <v>0</v>
      </c>
      <c r="L435" t="s">
        <v>8</v>
      </c>
      <c r="M435" t="s">
        <v>7</v>
      </c>
      <c r="N435" t="s">
        <v>7</v>
      </c>
      <c r="P435">
        <f t="shared" si="974"/>
        <v>-0.13688212927756721</v>
      </c>
      <c r="Q435">
        <f t="shared" si="975"/>
        <v>-995250.58768061327</v>
      </c>
      <c r="R435">
        <f t="shared" si="976"/>
        <v>-95297821.696229547</v>
      </c>
      <c r="S435">
        <f t="shared" si="977"/>
        <v>-952.97821696229551</v>
      </c>
      <c r="T435">
        <f t="shared" si="978"/>
        <v>-0.95297821696229545</v>
      </c>
    </row>
    <row r="436" spans="1:20" x14ac:dyDescent="0.25">
      <c r="A436" s="5">
        <v>44157</v>
      </c>
      <c r="B436">
        <v>0.51859999999999995</v>
      </c>
      <c r="C436">
        <v>0.53449999999999998</v>
      </c>
      <c r="D436">
        <v>0.44180000000000003</v>
      </c>
      <c r="E436">
        <v>0.47120000000000001</v>
      </c>
      <c r="F436">
        <v>7732150.6200000001</v>
      </c>
      <c r="G436">
        <v>0</v>
      </c>
      <c r="L436" t="s">
        <v>7</v>
      </c>
      <c r="M436" t="s">
        <v>7</v>
      </c>
      <c r="N436" t="s">
        <v>7</v>
      </c>
      <c r="P436">
        <f t="shared" si="974"/>
        <v>-0.36569579288025894</v>
      </c>
      <c r="Q436">
        <f t="shared" si="975"/>
        <v>-2827614.9516504859</v>
      </c>
      <c r="R436">
        <f t="shared" si="976"/>
        <v>-94302571.108548939</v>
      </c>
      <c r="S436">
        <f t="shared" si="977"/>
        <v>-943.02571108548943</v>
      </c>
      <c r="T436">
        <f t="shared" si="978"/>
        <v>-0.94302571108548938</v>
      </c>
    </row>
    <row r="437" spans="1:20" x14ac:dyDescent="0.25">
      <c r="A437" s="5">
        <v>44156</v>
      </c>
      <c r="B437">
        <v>0.51280000000000003</v>
      </c>
      <c r="C437">
        <v>0.59989999999999999</v>
      </c>
      <c r="D437">
        <v>0.49719999999999998</v>
      </c>
      <c r="E437">
        <v>0.51770000000000005</v>
      </c>
      <c r="F437">
        <v>9588950.6899999995</v>
      </c>
      <c r="G437">
        <v>0</v>
      </c>
      <c r="L437" t="s">
        <v>8</v>
      </c>
      <c r="M437" t="s">
        <v>8</v>
      </c>
      <c r="N437" t="s">
        <v>7</v>
      </c>
      <c r="P437">
        <f t="shared" si="974"/>
        <v>-0.60077896786757412</v>
      </c>
      <c r="Q437">
        <f t="shared" si="975"/>
        <v>-5760839.8984712623</v>
      </c>
      <c r="R437">
        <f t="shared" si="976"/>
        <v>-91474956.156898454</v>
      </c>
      <c r="S437">
        <f t="shared" si="977"/>
        <v>-914.74956156898452</v>
      </c>
      <c r="T437">
        <f t="shared" si="978"/>
        <v>-0.91474956156898457</v>
      </c>
    </row>
    <row r="438" spans="1:20" x14ac:dyDescent="0.25">
      <c r="A438" s="5">
        <v>44155</v>
      </c>
      <c r="B438">
        <v>0.4955</v>
      </c>
      <c r="C438">
        <v>0.53</v>
      </c>
      <c r="D438">
        <v>0.48110000000000003</v>
      </c>
      <c r="E438">
        <v>0.51339999999999997</v>
      </c>
      <c r="F438">
        <v>10118805.810000001</v>
      </c>
      <c r="G438">
        <v>0</v>
      </c>
      <c r="L438" t="s">
        <v>7</v>
      </c>
      <c r="M438" t="s">
        <v>7</v>
      </c>
      <c r="N438" t="s">
        <v>7</v>
      </c>
      <c r="P438">
        <f t="shared" si="974"/>
        <v>0.32106339468302414</v>
      </c>
      <c r="Q438">
        <f t="shared" si="975"/>
        <v>3248778.1434969078</v>
      </c>
      <c r="R438">
        <f t="shared" si="976"/>
        <v>-85714116.258427188</v>
      </c>
      <c r="S438">
        <f t="shared" si="977"/>
        <v>-857.14116258427191</v>
      </c>
      <c r="T438">
        <f t="shared" si="978"/>
        <v>-0.85714116258427187</v>
      </c>
    </row>
    <row r="439" spans="1:20" x14ac:dyDescent="0.25">
      <c r="A439" s="5">
        <v>44154</v>
      </c>
      <c r="B439">
        <v>0.5232</v>
      </c>
      <c r="C439">
        <v>0.60289999999999999</v>
      </c>
      <c r="D439">
        <v>0.48060000000000003</v>
      </c>
      <c r="E439">
        <v>0.4955</v>
      </c>
      <c r="F439">
        <v>11923264.539999999</v>
      </c>
      <c r="G439">
        <v>0</v>
      </c>
      <c r="L439" t="s">
        <v>8</v>
      </c>
      <c r="M439" t="s">
        <v>8</v>
      </c>
      <c r="N439" t="s">
        <v>7</v>
      </c>
      <c r="P439">
        <f t="shared" si="974"/>
        <v>-0.75633687653311577</v>
      </c>
      <c r="Q439">
        <f t="shared" si="975"/>
        <v>-9018004.6602616571</v>
      </c>
      <c r="R439">
        <f t="shared" si="976"/>
        <v>-88962894.401924089</v>
      </c>
      <c r="S439">
        <f t="shared" si="977"/>
        <v>-889.62894401924086</v>
      </c>
      <c r="T439">
        <f t="shared" si="978"/>
        <v>-0.88962894401924086</v>
      </c>
    </row>
    <row r="440" spans="1:20" x14ac:dyDescent="0.25">
      <c r="A440" s="5">
        <v>44153</v>
      </c>
      <c r="B440">
        <v>0.62150000000000005</v>
      </c>
      <c r="C440">
        <v>0.622</v>
      </c>
      <c r="D440">
        <v>0.48039999999999999</v>
      </c>
      <c r="E440">
        <v>0.52190000000000003</v>
      </c>
      <c r="F440">
        <v>15443500.869999999</v>
      </c>
      <c r="G440">
        <v>0</v>
      </c>
      <c r="L440" t="s">
        <v>7</v>
      </c>
      <c r="M440" t="s">
        <v>7</v>
      </c>
      <c r="N440" t="s">
        <v>7</v>
      </c>
      <c r="P440">
        <f t="shared" si="974"/>
        <v>-0.41384180790960401</v>
      </c>
      <c r="Q440">
        <f t="shared" si="975"/>
        <v>-6391166.3204943417</v>
      </c>
      <c r="R440">
        <f t="shared" si="976"/>
        <v>-79944889.741662428</v>
      </c>
      <c r="S440">
        <f t="shared" si="977"/>
        <v>-799.44889741662428</v>
      </c>
      <c r="T440">
        <f t="shared" si="978"/>
        <v>-0.79944889741662428</v>
      </c>
    </row>
    <row r="441" spans="1:20" x14ac:dyDescent="0.25">
      <c r="A441" s="5">
        <v>44152</v>
      </c>
      <c r="B441">
        <v>0.69379999999999997</v>
      </c>
      <c r="C441">
        <v>0.74</v>
      </c>
      <c r="D441">
        <v>0.55689999999999995</v>
      </c>
      <c r="E441">
        <v>0.62170000000000003</v>
      </c>
      <c r="F441">
        <v>21668897.02</v>
      </c>
      <c r="G441">
        <v>0</v>
      </c>
      <c r="L441" t="s">
        <v>7</v>
      </c>
      <c r="M441" t="s">
        <v>7</v>
      </c>
      <c r="N441" t="s">
        <v>8</v>
      </c>
      <c r="P441">
        <f t="shared" si="974"/>
        <v>-0.29219006007646026</v>
      </c>
      <c r="Q441">
        <f t="shared" si="975"/>
        <v>-6331436.3220644305</v>
      </c>
      <c r="R441">
        <f t="shared" si="976"/>
        <v>-73553723.421168089</v>
      </c>
      <c r="S441">
        <f t="shared" si="977"/>
        <v>-735.53723421168093</v>
      </c>
      <c r="T441">
        <f t="shared" si="978"/>
        <v>-0.73553723421168093</v>
      </c>
    </row>
    <row r="442" spans="1:20" x14ac:dyDescent="0.25">
      <c r="A442" s="5">
        <v>44151</v>
      </c>
      <c r="B442">
        <v>0.442</v>
      </c>
      <c r="C442">
        <v>0.74990000000000001</v>
      </c>
      <c r="D442">
        <v>0.43469999999999998</v>
      </c>
      <c r="E442">
        <v>0.69199999999999995</v>
      </c>
      <c r="F442">
        <v>27887393</v>
      </c>
      <c r="G442">
        <v>0</v>
      </c>
      <c r="L442" t="s">
        <v>8</v>
      </c>
      <c r="M442" t="s">
        <v>8</v>
      </c>
      <c r="N442" t="s">
        <v>8</v>
      </c>
      <c r="P442">
        <f t="shared" si="974"/>
        <v>0.63261421319796918</v>
      </c>
      <c r="Q442">
        <f t="shared" si="975"/>
        <v>17641961.180837553</v>
      </c>
      <c r="R442">
        <f t="shared" si="976"/>
        <v>-67222287.099103659</v>
      </c>
      <c r="S442">
        <f t="shared" si="977"/>
        <v>-672.22287099103664</v>
      </c>
      <c r="T442">
        <f t="shared" si="978"/>
        <v>-0.67222287099103661</v>
      </c>
    </row>
    <row r="443" spans="1:20" x14ac:dyDescent="0.25">
      <c r="A443" s="5">
        <v>44150</v>
      </c>
      <c r="B443">
        <v>0.41070000000000001</v>
      </c>
      <c r="C443">
        <v>0.54979999999999996</v>
      </c>
      <c r="D443">
        <v>0.40799999999999997</v>
      </c>
      <c r="E443">
        <v>0.442</v>
      </c>
      <c r="F443">
        <v>19443543.870000001</v>
      </c>
      <c r="G443">
        <v>0</v>
      </c>
      <c r="L443" t="s">
        <v>8</v>
      </c>
      <c r="M443" t="s">
        <v>8</v>
      </c>
      <c r="N443" t="s">
        <v>8</v>
      </c>
      <c r="P443">
        <f t="shared" si="974"/>
        <v>-0.52045133991537329</v>
      </c>
      <c r="Q443">
        <f t="shared" si="975"/>
        <v>-10119418.459844843</v>
      </c>
      <c r="R443">
        <f t="shared" si="976"/>
        <v>-84864248.279941216</v>
      </c>
      <c r="S443">
        <f t="shared" si="977"/>
        <v>-848.64248279941216</v>
      </c>
      <c r="T443">
        <f t="shared" si="978"/>
        <v>-0.84864248279941212</v>
      </c>
    </row>
    <row r="444" spans="1:20" x14ac:dyDescent="0.25">
      <c r="A444" s="5">
        <v>44149</v>
      </c>
      <c r="B444">
        <v>0.43070000000000003</v>
      </c>
      <c r="C444">
        <v>0.435</v>
      </c>
      <c r="D444">
        <v>0.38109999999999999</v>
      </c>
      <c r="E444">
        <v>0.4108</v>
      </c>
      <c r="F444">
        <v>14138116.27</v>
      </c>
      <c r="G444">
        <v>0</v>
      </c>
      <c r="L444" t="s">
        <v>7</v>
      </c>
      <c r="M444" t="s">
        <v>7</v>
      </c>
      <c r="N444" t="s">
        <v>7</v>
      </c>
      <c r="P444">
        <f t="shared" si="974"/>
        <v>0.1020408163265307</v>
      </c>
      <c r="Q444">
        <f t="shared" si="975"/>
        <v>1442664.9255102053</v>
      </c>
      <c r="R444">
        <f t="shared" si="976"/>
        <v>-74744829.820096374</v>
      </c>
      <c r="S444">
        <f t="shared" si="977"/>
        <v>-747.44829820096379</v>
      </c>
      <c r="T444">
        <f t="shared" si="978"/>
        <v>-0.74744829820096381</v>
      </c>
    </row>
    <row r="445" spans="1:20" x14ac:dyDescent="0.25">
      <c r="A445" s="5">
        <v>44148</v>
      </c>
      <c r="B445">
        <v>0.40799999999999997</v>
      </c>
      <c r="C445">
        <v>0.45500000000000002</v>
      </c>
      <c r="D445">
        <v>0.40029999999999999</v>
      </c>
      <c r="E445">
        <v>0.43070000000000003</v>
      </c>
      <c r="F445">
        <v>16075023.810000001</v>
      </c>
      <c r="G445">
        <v>0</v>
      </c>
      <c r="L445" t="s">
        <v>8</v>
      </c>
      <c r="M445" t="s">
        <v>7</v>
      </c>
      <c r="N445" t="s">
        <v>7</v>
      </c>
      <c r="P445">
        <f t="shared" si="974"/>
        <v>0.11151736745886741</v>
      </c>
      <c r="Q445">
        <f t="shared" si="975"/>
        <v>1792644.3371298129</v>
      </c>
      <c r="R445">
        <f t="shared" si="976"/>
        <v>-76187494.745606586</v>
      </c>
      <c r="S445">
        <f t="shared" si="977"/>
        <v>-761.87494745606591</v>
      </c>
      <c r="T445">
        <f t="shared" si="978"/>
        <v>-0.76187494745606588</v>
      </c>
    </row>
    <row r="446" spans="1:20" x14ac:dyDescent="0.25">
      <c r="A446" s="5">
        <v>44147</v>
      </c>
      <c r="B446">
        <v>0.50060000000000004</v>
      </c>
      <c r="C446">
        <v>0.51</v>
      </c>
      <c r="D446">
        <v>0.4</v>
      </c>
      <c r="E446">
        <v>0.40799999999999997</v>
      </c>
      <c r="F446">
        <v>27832125.52</v>
      </c>
      <c r="G446">
        <v>0</v>
      </c>
      <c r="L446" t="s">
        <v>7</v>
      </c>
      <c r="M446" t="s">
        <v>7</v>
      </c>
      <c r="N446" t="s">
        <v>7</v>
      </c>
      <c r="P446">
        <f t="shared" si="974"/>
        <v>-0.85454545454545539</v>
      </c>
      <c r="Q446">
        <f t="shared" si="975"/>
        <v>-23783816.353454567</v>
      </c>
      <c r="R446">
        <f t="shared" si="976"/>
        <v>-77980139.082736403</v>
      </c>
      <c r="S446">
        <f t="shared" si="977"/>
        <v>-779.801390827364</v>
      </c>
      <c r="T446">
        <f t="shared" si="978"/>
        <v>-0.77980139082736399</v>
      </c>
    </row>
    <row r="447" spans="1:20" x14ac:dyDescent="0.25">
      <c r="A447" s="5">
        <v>44146</v>
      </c>
      <c r="B447">
        <v>0.59730000000000005</v>
      </c>
      <c r="C447">
        <v>0.64259999999999995</v>
      </c>
      <c r="D447">
        <v>0.5</v>
      </c>
      <c r="E447">
        <v>0.50049999999999994</v>
      </c>
      <c r="F447">
        <v>14767007.84</v>
      </c>
      <c r="G447">
        <v>0</v>
      </c>
      <c r="L447" t="s">
        <v>7</v>
      </c>
      <c r="M447" t="s">
        <v>7</v>
      </c>
      <c r="N447" t="s">
        <v>7</v>
      </c>
      <c r="P447">
        <f t="shared" si="974"/>
        <v>-0.99298737727910313</v>
      </c>
      <c r="Q447">
        <f t="shared" si="975"/>
        <v>-14663452.385301555</v>
      </c>
      <c r="R447">
        <f t="shared" si="976"/>
        <v>-54196322.729281828</v>
      </c>
      <c r="S447">
        <f t="shared" si="977"/>
        <v>-541.96322729281826</v>
      </c>
      <c r="T447">
        <f t="shared" si="978"/>
        <v>-0.54196322729281821</v>
      </c>
    </row>
    <row r="448" spans="1:20" x14ac:dyDescent="0.25">
      <c r="A448" s="5">
        <v>44145</v>
      </c>
      <c r="B448">
        <v>0.5806</v>
      </c>
      <c r="C448">
        <v>0.84019999999999995</v>
      </c>
      <c r="D448">
        <v>0.57250000000000001</v>
      </c>
      <c r="E448">
        <v>0.59870000000000001</v>
      </c>
      <c r="F448">
        <v>16233955.57</v>
      </c>
      <c r="G448">
        <v>0</v>
      </c>
      <c r="L448" t="s">
        <v>8</v>
      </c>
      <c r="M448" t="s">
        <v>8</v>
      </c>
      <c r="N448" t="s">
        <v>8</v>
      </c>
      <c r="P448">
        <f t="shared" si="974"/>
        <v>-0.80425849831901375</v>
      </c>
      <c r="Q448">
        <f t="shared" si="975"/>
        <v>-13056296.728505788</v>
      </c>
      <c r="R448">
        <f t="shared" si="976"/>
        <v>-39532870.343980275</v>
      </c>
      <c r="S448">
        <f t="shared" si="977"/>
        <v>-395.32870343980272</v>
      </c>
      <c r="T448">
        <f t="shared" si="978"/>
        <v>-0.3953287034398027</v>
      </c>
    </row>
    <row r="449" spans="1:20" x14ac:dyDescent="0.25">
      <c r="A449" s="5">
        <v>44144</v>
      </c>
      <c r="B449">
        <v>0.68659999999999999</v>
      </c>
      <c r="C449">
        <v>0.69910000000000005</v>
      </c>
      <c r="D449">
        <v>0.56489999999999996</v>
      </c>
      <c r="E449">
        <v>0.57950000000000002</v>
      </c>
      <c r="F449">
        <v>13565069.880000001</v>
      </c>
      <c r="G449">
        <v>0</v>
      </c>
      <c r="L449" t="s">
        <v>7</v>
      </c>
      <c r="M449" t="s">
        <v>7</v>
      </c>
      <c r="N449" t="s">
        <v>7</v>
      </c>
      <c r="P449">
        <f t="shared" si="974"/>
        <v>-0.78241430700447023</v>
      </c>
      <c r="Q449">
        <f t="shared" si="975"/>
        <v>-10613504.749627413</v>
      </c>
      <c r="R449">
        <f t="shared" si="976"/>
        <v>-26476573.615474485</v>
      </c>
      <c r="S449">
        <f t="shared" si="977"/>
        <v>-264.76573615474484</v>
      </c>
      <c r="T449">
        <f t="shared" si="978"/>
        <v>-0.26476573615474486</v>
      </c>
    </row>
    <row r="450" spans="1:20" x14ac:dyDescent="0.25">
      <c r="A450" s="5">
        <v>44143</v>
      </c>
      <c r="B450">
        <v>0.6784</v>
      </c>
      <c r="C450">
        <v>0.74329999999999996</v>
      </c>
      <c r="D450">
        <v>0.65910000000000002</v>
      </c>
      <c r="E450">
        <v>0.68630000000000002</v>
      </c>
      <c r="F450">
        <v>1234515.02</v>
      </c>
      <c r="G450">
        <v>0</v>
      </c>
      <c r="L450" t="s">
        <v>7</v>
      </c>
      <c r="M450" t="s">
        <v>7</v>
      </c>
      <c r="N450" t="s">
        <v>7</v>
      </c>
      <c r="P450">
        <f t="shared" si="974"/>
        <v>-0.35391923990498764</v>
      </c>
      <c r="Q450">
        <f t="shared" si="975"/>
        <v>-436918.61752969061</v>
      </c>
      <c r="R450">
        <f t="shared" si="976"/>
        <v>-15863068.86584707</v>
      </c>
      <c r="S450">
        <f t="shared" si="977"/>
        <v>-158.63068865847069</v>
      </c>
      <c r="T450">
        <f t="shared" si="978"/>
        <v>-0.15863068865847069</v>
      </c>
    </row>
    <row r="451" spans="1:20" x14ac:dyDescent="0.25">
      <c r="A451" s="5">
        <v>44142</v>
      </c>
      <c r="B451">
        <v>0.84540000000000004</v>
      </c>
      <c r="C451">
        <v>0.85940000000000005</v>
      </c>
      <c r="D451">
        <v>0.6744</v>
      </c>
      <c r="E451">
        <v>0.67800000000000005</v>
      </c>
      <c r="F451">
        <v>5013815.5199999996</v>
      </c>
      <c r="G451">
        <v>0</v>
      </c>
      <c r="L451" t="s">
        <v>7</v>
      </c>
      <c r="M451" t="s">
        <v>7</v>
      </c>
      <c r="N451" t="s">
        <v>7</v>
      </c>
      <c r="P451">
        <f t="shared" si="974"/>
        <v>-0.96108108108108059</v>
      </c>
      <c r="Q451">
        <f t="shared" si="975"/>
        <v>-4818683.2403026996</v>
      </c>
      <c r="R451">
        <f t="shared" si="976"/>
        <v>-15426150.24831738</v>
      </c>
      <c r="S451">
        <f t="shared" si="977"/>
        <v>-154.26150248317379</v>
      </c>
      <c r="T451">
        <f t="shared" si="978"/>
        <v>-0.15426150248317377</v>
      </c>
    </row>
    <row r="452" spans="1:20" x14ac:dyDescent="0.25">
      <c r="A452" s="5">
        <v>44141</v>
      </c>
      <c r="B452">
        <v>0.85</v>
      </c>
      <c r="C452">
        <v>6</v>
      </c>
      <c r="D452">
        <v>0.55000000000000004</v>
      </c>
      <c r="E452">
        <v>0.84399999999999997</v>
      </c>
      <c r="F452">
        <v>11890311.640000001</v>
      </c>
      <c r="G452">
        <v>0</v>
      </c>
      <c r="P452">
        <f t="shared" si="974"/>
        <v>-0.89211009174311928</v>
      </c>
      <c r="Q452">
        <f t="shared" si="975"/>
        <v>-10607467.008014679</v>
      </c>
      <c r="R452">
        <f t="shared" si="976"/>
        <v>-10607467.008014679</v>
      </c>
      <c r="S452">
        <f t="shared" si="977"/>
        <v>-106.07467008014679</v>
      </c>
      <c r="T452">
        <f t="shared" si="978"/>
        <v>-0.10607467008014679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IZ619" sqref="IZ619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$A$618</v>
      </c>
      <c r="D111" s="1" t="str">
        <f>ADDRESS(C121-1,D121,1,1)</f>
        <v>$IZ$618</v>
      </c>
      <c r="E111"/>
    </row>
    <row r="112" spans="1:5" x14ac:dyDescent="0.25">
      <c r="A112" s="7">
        <v>12164.144957890772</v>
      </c>
      <c r="C112" s="1" t="str">
        <f>ADDRESS(C121,1,1,1)</f>
        <v>$A$619</v>
      </c>
      <c r="D112" s="1" t="str">
        <f>ADDRESS(C121,D121-1,1,1)</f>
        <v>$IY$619</v>
      </c>
      <c r="E112"/>
    </row>
    <row r="113" spans="1:5" x14ac:dyDescent="0.25">
      <c r="A113" s="7">
        <v>11925.63231165762</v>
      </c>
      <c r="C113" s="1" t="str">
        <f>ADDRESS(C121+1,1,1,1)</f>
        <v>$A$620</v>
      </c>
      <c r="D113" s="1" t="str">
        <f>ADDRESS(C121-1,D121+1,1,1)</f>
        <v>$JA$618</v>
      </c>
    </row>
    <row r="114" spans="1:5" x14ac:dyDescent="0.25">
      <c r="A114" s="7">
        <v>11691.796383978059</v>
      </c>
      <c r="C114" s="1" t="str">
        <f>ADDRESS(C121,D121,1,1)</f>
        <v>$IZ$619</v>
      </c>
      <c r="D114" s="1" t="str">
        <f>ADDRESS(C121+1,D121+1,1,1)</f>
        <v>$JA$620</v>
      </c>
    </row>
    <row r="115" spans="1:5" x14ac:dyDescent="0.25">
      <c r="A115" s="7">
        <v>11462.545474488292</v>
      </c>
      <c r="C115" s="1" t="str">
        <f>ADDRESS(C121+1,D121,1,1)</f>
        <v>$IZ$620</v>
      </c>
    </row>
    <row r="116" spans="1:5" x14ac:dyDescent="0.25">
      <c r="A116" s="7">
        <v>11237.789680870874</v>
      </c>
      <c r="C116" s="1">
        <f>C117-1</f>
        <v>618</v>
      </c>
    </row>
    <row r="117" spans="1:5" x14ac:dyDescent="0.25">
      <c r="A117" s="7">
        <v>11017.440863598895</v>
      </c>
      <c r="C117" s="1">
        <f>C121</f>
        <v>619</v>
      </c>
      <c r="D117" s="1">
        <f>D121</f>
        <v>260</v>
      </c>
    </row>
    <row r="118" spans="1:5" x14ac:dyDescent="0.25">
      <c r="A118" s="7">
        <v>10801.412611371465</v>
      </c>
      <c r="C118" s="1">
        <f>C117+1</f>
        <v>620</v>
      </c>
      <c r="D118" s="1">
        <f>D117+1</f>
        <v>261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619</v>
      </c>
      <c r="D121" s="19">
        <v>260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R619</v>
      </c>
      <c r="D123" s="1" t="str">
        <f>"C"&amp;D121</f>
        <v>C260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0.53063330351779314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95" x14ac:dyDescent="0.25">
      <c r="A529" s="7">
        <v>3.1536243640574906</v>
      </c>
      <c r="B529"/>
      <c r="C529"/>
      <c r="D529"/>
      <c r="E529"/>
    </row>
    <row r="530" spans="1:95" x14ac:dyDescent="0.25">
      <c r="A530" s="7">
        <v>3.0917885922132262</v>
      </c>
      <c r="B530"/>
      <c r="C530"/>
      <c r="D530"/>
      <c r="E530"/>
    </row>
    <row r="531" spans="1:95" x14ac:dyDescent="0.25">
      <c r="A531" s="7">
        <v>3.0311652864835552</v>
      </c>
      <c r="B531"/>
      <c r="C531"/>
      <c r="D531"/>
      <c r="E531"/>
    </row>
    <row r="532" spans="1:95" x14ac:dyDescent="0.25">
      <c r="A532" s="7">
        <v>2.9717306730230932</v>
      </c>
      <c r="B532"/>
      <c r="C532"/>
      <c r="D532"/>
      <c r="E532"/>
      <c r="CC532" s="27" t="s">
        <v>8</v>
      </c>
    </row>
    <row r="533" spans="1:95" x14ac:dyDescent="0.25">
      <c r="A533" s="7">
        <v>2.9134614441402875</v>
      </c>
      <c r="B533"/>
      <c r="C533"/>
      <c r="D533"/>
      <c r="E533"/>
      <c r="CC533" s="27" t="s">
        <v>8</v>
      </c>
      <c r="CD533" s="27" t="s">
        <v>7</v>
      </c>
    </row>
    <row r="534" spans="1:95" x14ac:dyDescent="0.25">
      <c r="A534" s="7">
        <v>2.8563347491571447</v>
      </c>
      <c r="B534"/>
      <c r="C534"/>
      <c r="D534"/>
      <c r="E534"/>
      <c r="CC534" s="27" t="s">
        <v>8</v>
      </c>
      <c r="CD534" s="27" t="s">
        <v>7</v>
      </c>
    </row>
    <row r="535" spans="1:95" x14ac:dyDescent="0.25">
      <c r="A535" s="7">
        <v>2.8003281854481812</v>
      </c>
      <c r="B535"/>
      <c r="C535"/>
      <c r="D535"/>
      <c r="E535"/>
      <c r="CC535" s="27" t="s">
        <v>8</v>
      </c>
      <c r="CD535" s="27" t="s">
        <v>7</v>
      </c>
    </row>
    <row r="536" spans="1:95" x14ac:dyDescent="0.25">
      <c r="A536" s="7">
        <v>2.7454197896550796</v>
      </c>
      <c r="B536"/>
      <c r="C536"/>
      <c r="D536"/>
      <c r="E536"/>
      <c r="CC536" s="27" t="s">
        <v>8</v>
      </c>
      <c r="CD536" s="27" t="s">
        <v>7</v>
      </c>
    </row>
    <row r="537" spans="1:95" x14ac:dyDescent="0.25">
      <c r="A537" s="7">
        <v>2.6915880290736074</v>
      </c>
      <c r="B537"/>
      <c r="C537"/>
      <c r="D537"/>
      <c r="E537"/>
      <c r="CC537" s="27" t="s">
        <v>8</v>
      </c>
      <c r="CD537" s="27" t="s">
        <v>7</v>
      </c>
    </row>
    <row r="538" spans="1:95" x14ac:dyDescent="0.25">
      <c r="A538" s="7">
        <v>2.6388117932094191</v>
      </c>
      <c r="B538"/>
      <c r="C538"/>
      <c r="D538"/>
      <c r="E538"/>
      <c r="BO538" s="27" t="s">
        <v>8</v>
      </c>
      <c r="CC538" s="27" t="s">
        <v>8</v>
      </c>
      <c r="CD538" s="27" t="s">
        <v>7</v>
      </c>
      <c r="CK538" s="27" t="s">
        <v>8</v>
      </c>
    </row>
    <row r="539" spans="1:95" x14ac:dyDescent="0.25">
      <c r="A539" s="7">
        <v>2.5870703854994304</v>
      </c>
      <c r="B539"/>
      <c r="C539"/>
      <c r="D539"/>
      <c r="E539"/>
      <c r="BO539" s="27" t="s">
        <v>8</v>
      </c>
      <c r="BP539" s="27" t="s">
        <v>7</v>
      </c>
      <c r="CC539" s="27" t="s">
        <v>8</v>
      </c>
      <c r="CD539" s="27" t="s">
        <v>7</v>
      </c>
      <c r="CK539" s="27" t="s">
        <v>8</v>
      </c>
      <c r="CL539" s="27" t="s">
        <v>7</v>
      </c>
    </row>
    <row r="540" spans="1:95" x14ac:dyDescent="0.25">
      <c r="A540" s="7">
        <v>2.53634351519552</v>
      </c>
      <c r="B540"/>
      <c r="C540"/>
      <c r="D540"/>
      <c r="E540"/>
      <c r="BO540" s="27" t="s">
        <v>8</v>
      </c>
      <c r="BP540" s="27" t="s">
        <v>7</v>
      </c>
      <c r="CC540" s="27" t="s">
        <v>8</v>
      </c>
      <c r="CD540" s="27" t="s">
        <v>7</v>
      </c>
      <c r="CK540" s="27" t="s">
        <v>8</v>
      </c>
      <c r="CL540" s="27" t="s">
        <v>7</v>
      </c>
    </row>
    <row r="541" spans="1:95" x14ac:dyDescent="0.25">
      <c r="A541" s="7">
        <v>2.4866112894073726</v>
      </c>
      <c r="B541"/>
      <c r="C541"/>
      <c r="D541"/>
      <c r="E541"/>
      <c r="BO541" s="27" t="s">
        <v>8</v>
      </c>
      <c r="BP541" s="27" t="s">
        <v>7</v>
      </c>
      <c r="CC541" s="27" t="s">
        <v>8</v>
      </c>
      <c r="CD541" s="27" t="s">
        <v>7</v>
      </c>
      <c r="CK541" s="27" t="s">
        <v>8</v>
      </c>
      <c r="CL541" s="27" t="s">
        <v>7</v>
      </c>
    </row>
    <row r="542" spans="1:95" x14ac:dyDescent="0.25">
      <c r="A542" s="7">
        <v>2.4378542053013459</v>
      </c>
      <c r="B542"/>
      <c r="C542"/>
      <c r="D542"/>
      <c r="E542"/>
      <c r="BO542" s="27" t="s">
        <v>8</v>
      </c>
      <c r="BP542" s="27" t="s">
        <v>7</v>
      </c>
      <c r="CC542" s="27" t="s">
        <v>8</v>
      </c>
      <c r="CD542" s="27" t="s">
        <v>7</v>
      </c>
      <c r="CG542" s="27" t="s">
        <v>8</v>
      </c>
      <c r="CK542" s="27" t="s">
        <v>8</v>
      </c>
      <c r="CL542" s="27" t="s">
        <v>7</v>
      </c>
    </row>
    <row r="543" spans="1:95" x14ac:dyDescent="0.25">
      <c r="A543" s="7">
        <v>2.3900531424522997</v>
      </c>
      <c r="B543"/>
      <c r="C543"/>
      <c r="D543"/>
      <c r="E543"/>
      <c r="BO543" s="27" t="s">
        <v>8</v>
      </c>
      <c r="BP543" s="27" t="s">
        <v>7</v>
      </c>
      <c r="CC543" s="27" t="s">
        <v>8</v>
      </c>
      <c r="CD543" s="27" t="s">
        <v>7</v>
      </c>
      <c r="CG543" s="27" t="s">
        <v>8</v>
      </c>
      <c r="CH543" s="27" t="s">
        <v>7</v>
      </c>
      <c r="CI543" s="27" t="s">
        <v>8</v>
      </c>
      <c r="CK543" s="27" t="s">
        <v>8</v>
      </c>
      <c r="CL543" s="27" t="s">
        <v>7</v>
      </c>
      <c r="CM543" s="27" t="s">
        <v>8</v>
      </c>
    </row>
    <row r="544" spans="1:95" x14ac:dyDescent="0.25">
      <c r="A544" s="7">
        <v>2.343189355345392</v>
      </c>
      <c r="B544"/>
      <c r="C544"/>
      <c r="D544"/>
      <c r="E544"/>
      <c r="BO544" s="27" t="s">
        <v>8</v>
      </c>
      <c r="BP544" s="27" t="s">
        <v>7</v>
      </c>
      <c r="CC544" s="27" t="s">
        <v>8</v>
      </c>
      <c r="CD544" s="27" t="s">
        <v>7</v>
      </c>
      <c r="CE544" s="27" t="s">
        <v>8</v>
      </c>
      <c r="CG544" s="27" t="s">
        <v>8</v>
      </c>
      <c r="CH544" s="27" t="s">
        <v>7</v>
      </c>
      <c r="CI544" s="27" t="s">
        <v>8</v>
      </c>
      <c r="CJ544" s="27" t="s">
        <v>7</v>
      </c>
      <c r="CK544" s="27" t="s">
        <v>8</v>
      </c>
      <c r="CL544" s="27" t="s">
        <v>7</v>
      </c>
      <c r="CM544" s="27" t="s">
        <v>8</v>
      </c>
      <c r="CN544" s="27" t="s">
        <v>7</v>
      </c>
      <c r="CO544" s="27" t="s">
        <v>8</v>
      </c>
      <c r="CQ544" s="27" t="s">
        <v>8</v>
      </c>
    </row>
    <row r="545" spans="1:111" x14ac:dyDescent="0.25">
      <c r="A545" s="7">
        <v>2.2972444660248938</v>
      </c>
      <c r="B545"/>
      <c r="C545"/>
      <c r="D545"/>
      <c r="E545"/>
      <c r="BO545" s="27" t="s">
        <v>8</v>
      </c>
      <c r="BP545" s="27" t="s">
        <v>7</v>
      </c>
      <c r="CC545" s="27" t="s">
        <v>8</v>
      </c>
      <c r="CD545" s="27" t="s">
        <v>7</v>
      </c>
      <c r="CE545" s="27" t="s">
        <v>8</v>
      </c>
      <c r="CF545" s="27" t="s">
        <v>7</v>
      </c>
      <c r="CG545" s="27" t="s">
        <v>8</v>
      </c>
      <c r="CH545" s="27" t="s">
        <v>7</v>
      </c>
      <c r="CI545" s="27" t="s">
        <v>8</v>
      </c>
      <c r="CJ545" s="27" t="s">
        <v>7</v>
      </c>
      <c r="CK545" s="27" t="s">
        <v>8</v>
      </c>
      <c r="CL545" s="27" t="s">
        <v>7</v>
      </c>
      <c r="CM545" s="27" t="s">
        <v>8</v>
      </c>
      <c r="CN545" s="27" t="s">
        <v>7</v>
      </c>
      <c r="CO545" s="27" t="s">
        <v>8</v>
      </c>
      <c r="CP545" s="27" t="s">
        <v>7</v>
      </c>
      <c r="CQ545" s="27" t="s">
        <v>8</v>
      </c>
      <c r="CR545" s="27" t="s">
        <v>7</v>
      </c>
    </row>
    <row r="546" spans="1:111" x14ac:dyDescent="0.25">
      <c r="A546" s="7">
        <v>2.252200456887151</v>
      </c>
      <c r="B546"/>
      <c r="C546"/>
      <c r="D546"/>
      <c r="E546"/>
      <c r="BO546" s="27" t="s">
        <v>8</v>
      </c>
      <c r="BP546" s="27" t="s">
        <v>7</v>
      </c>
      <c r="CC546" s="27" t="s">
        <v>8</v>
      </c>
      <c r="CD546" s="27" t="s">
        <v>7</v>
      </c>
      <c r="CE546" s="27" t="s">
        <v>8</v>
      </c>
      <c r="CF546" s="27" t="s">
        <v>7</v>
      </c>
      <c r="CG546" s="27" t="s">
        <v>8</v>
      </c>
      <c r="CH546" s="27" t="s">
        <v>7</v>
      </c>
      <c r="CI546" s="27" t="s">
        <v>8</v>
      </c>
      <c r="CJ546" s="27" t="s">
        <v>7</v>
      </c>
      <c r="CK546" s="27" t="s">
        <v>8</v>
      </c>
      <c r="CL546" s="27" t="s">
        <v>7</v>
      </c>
      <c r="CM546" s="27" t="s">
        <v>8</v>
      </c>
      <c r="CN546" s="27" t="s">
        <v>7</v>
      </c>
      <c r="CO546" s="27" t="s">
        <v>8</v>
      </c>
      <c r="CP546" s="27" t="s">
        <v>7</v>
      </c>
      <c r="CQ546" s="27" t="s">
        <v>8</v>
      </c>
      <c r="CR546" s="27" t="s">
        <v>7</v>
      </c>
    </row>
    <row r="547" spans="1:111" x14ac:dyDescent="0.25">
      <c r="A547" s="7">
        <v>2.208039663614854</v>
      </c>
      <c r="B547"/>
      <c r="C547"/>
      <c r="D547"/>
      <c r="E547"/>
      <c r="BO547" s="27" t="s">
        <v>8</v>
      </c>
      <c r="BP547" s="27" t="s">
        <v>7</v>
      </c>
      <c r="CA547" s="27" t="s">
        <v>8</v>
      </c>
      <c r="CC547" s="27" t="s">
        <v>8</v>
      </c>
      <c r="CD547" s="27" t="s">
        <v>7</v>
      </c>
      <c r="CE547" s="27" t="s">
        <v>8</v>
      </c>
      <c r="CF547" s="27" t="s">
        <v>7</v>
      </c>
      <c r="CG547" s="27" t="s">
        <v>8</v>
      </c>
      <c r="CH547" s="27" t="s">
        <v>7</v>
      </c>
      <c r="CI547" s="27" t="s">
        <v>8</v>
      </c>
      <c r="CJ547" s="27" t="s">
        <v>7</v>
      </c>
      <c r="CK547" s="27" t="s">
        <v>8</v>
      </c>
      <c r="CL547" s="27" t="s">
        <v>7</v>
      </c>
      <c r="CM547" s="27" t="s">
        <v>8</v>
      </c>
      <c r="CN547" s="27" t="s">
        <v>7</v>
      </c>
      <c r="CO547" s="27" t="s">
        <v>8</v>
      </c>
      <c r="CP547" s="27" t="s">
        <v>7</v>
      </c>
      <c r="CQ547" s="27" t="s">
        <v>8</v>
      </c>
      <c r="CR547" s="27" t="s">
        <v>7</v>
      </c>
    </row>
    <row r="548" spans="1:111" x14ac:dyDescent="0.25">
      <c r="A548" s="7">
        <v>2.1647447682498568</v>
      </c>
      <c r="B548"/>
      <c r="C548"/>
      <c r="D548"/>
      <c r="E548"/>
      <c r="BO548" s="27" t="s">
        <v>8</v>
      </c>
      <c r="BP548" s="27" t="s">
        <v>7</v>
      </c>
      <c r="CA548" s="27" t="s">
        <v>8</v>
      </c>
      <c r="CB548" s="27" t="s">
        <v>7</v>
      </c>
      <c r="CC548" s="27" t="s">
        <v>8</v>
      </c>
      <c r="CD548" s="27" t="s">
        <v>7</v>
      </c>
      <c r="CE548" s="27" t="s">
        <v>8</v>
      </c>
      <c r="CF548" s="27" t="s">
        <v>7</v>
      </c>
      <c r="CG548" s="27" t="s">
        <v>8</v>
      </c>
      <c r="CH548" s="27" t="s">
        <v>7</v>
      </c>
      <c r="CI548" s="27" t="s">
        <v>8</v>
      </c>
      <c r="CJ548" s="27" t="s">
        <v>7</v>
      </c>
      <c r="CK548" s="27" t="s">
        <v>8</v>
      </c>
      <c r="CL548" s="27" t="s">
        <v>7</v>
      </c>
      <c r="CM548" s="27" t="s">
        <v>8</v>
      </c>
      <c r="CN548" s="27" t="s">
        <v>7</v>
      </c>
      <c r="CP548" s="27" t="s">
        <v>7</v>
      </c>
      <c r="CQ548" s="27" t="s">
        <v>8</v>
      </c>
      <c r="CR548" s="27" t="s">
        <v>7</v>
      </c>
      <c r="CS548" s="27" t="s">
        <v>8</v>
      </c>
    </row>
    <row r="549" spans="1:111" x14ac:dyDescent="0.25">
      <c r="A549" s="7">
        <v>2.1222987924018204</v>
      </c>
      <c r="B549"/>
      <c r="C549"/>
      <c r="D549"/>
      <c r="E549"/>
      <c r="BO549" s="27" t="s">
        <v>8</v>
      </c>
      <c r="BP549" s="27" t="s">
        <v>7</v>
      </c>
      <c r="BQ549" s="27" t="s">
        <v>8</v>
      </c>
      <c r="CA549" s="27" t="s">
        <v>8</v>
      </c>
      <c r="CB549" s="27" t="s">
        <v>7</v>
      </c>
      <c r="CC549" s="27" t="s">
        <v>8</v>
      </c>
      <c r="CD549" s="27" t="s">
        <v>7</v>
      </c>
      <c r="CE549" s="27" t="s">
        <v>8</v>
      </c>
      <c r="CF549" s="27" t="s">
        <v>7</v>
      </c>
      <c r="CG549" s="27" t="s">
        <v>8</v>
      </c>
      <c r="CH549" s="27" t="s">
        <v>7</v>
      </c>
      <c r="CI549" s="27" t="s">
        <v>8</v>
      </c>
      <c r="CJ549" s="27" t="s">
        <v>7</v>
      </c>
      <c r="CK549" s="27" t="s">
        <v>8</v>
      </c>
      <c r="CL549" s="27" t="s">
        <v>7</v>
      </c>
      <c r="CM549" s="27" t="s">
        <v>8</v>
      </c>
      <c r="CP549" s="27" t="s">
        <v>7</v>
      </c>
      <c r="CQ549" s="27" t="s">
        <v>8</v>
      </c>
      <c r="CR549" s="27" t="s">
        <v>7</v>
      </c>
      <c r="CS549" s="27" t="s">
        <v>8</v>
      </c>
      <c r="CT549" s="27" t="s">
        <v>7</v>
      </c>
    </row>
    <row r="550" spans="1:111" x14ac:dyDescent="0.25">
      <c r="A550" s="7">
        <v>2.0806850905900198</v>
      </c>
      <c r="B550"/>
      <c r="C550"/>
      <c r="D550"/>
      <c r="E550"/>
      <c r="BK550" s="27" t="s">
        <v>8</v>
      </c>
      <c r="BO550" s="27" t="s">
        <v>8</v>
      </c>
      <c r="BP550" s="27" t="s">
        <v>7</v>
      </c>
      <c r="BQ550" s="27" t="s">
        <v>8</v>
      </c>
      <c r="BR550" s="27" t="s">
        <v>7</v>
      </c>
      <c r="CA550" s="27" t="s">
        <v>8</v>
      </c>
      <c r="CB550" s="27" t="s">
        <v>7</v>
      </c>
      <c r="CC550" s="27" t="s">
        <v>8</v>
      </c>
      <c r="CD550" s="27" t="s">
        <v>7</v>
      </c>
      <c r="CE550" s="27" t="s">
        <v>8</v>
      </c>
      <c r="CF550" s="27" t="s">
        <v>7</v>
      </c>
      <c r="CG550" s="27" t="s">
        <v>8</v>
      </c>
      <c r="CH550" s="27" t="s">
        <v>7</v>
      </c>
      <c r="CJ550" s="27" t="s">
        <v>7</v>
      </c>
      <c r="CL550" s="27" t="s">
        <v>7</v>
      </c>
      <c r="CM550" s="27" t="s">
        <v>8</v>
      </c>
      <c r="CP550" s="27" t="s">
        <v>7</v>
      </c>
      <c r="CQ550" s="27" t="s">
        <v>8</v>
      </c>
      <c r="CR550" s="27" t="s">
        <v>7</v>
      </c>
      <c r="CS550" s="27" t="s">
        <v>8</v>
      </c>
      <c r="CT550" s="27" t="s">
        <v>7</v>
      </c>
    </row>
    <row r="551" spans="1:111" x14ac:dyDescent="0.25">
      <c r="A551" s="7">
        <v>2.0398873437157055</v>
      </c>
      <c r="B551"/>
      <c r="C551"/>
      <c r="D551"/>
      <c r="E551"/>
      <c r="BK551" s="27" t="s">
        <v>8</v>
      </c>
      <c r="BL551" s="27" t="s">
        <v>7</v>
      </c>
      <c r="BO551" s="27" t="s">
        <v>8</v>
      </c>
      <c r="BP551" s="27" t="s">
        <v>7</v>
      </c>
      <c r="BQ551" s="27" t="s">
        <v>8</v>
      </c>
      <c r="BR551" s="27" t="s">
        <v>7</v>
      </c>
      <c r="CA551" s="27" t="s">
        <v>8</v>
      </c>
      <c r="CB551" s="27" t="s">
        <v>7</v>
      </c>
      <c r="CC551" s="27" t="s">
        <v>8</v>
      </c>
      <c r="CD551" s="27" t="s">
        <v>7</v>
      </c>
      <c r="CF551" s="27" t="s">
        <v>7</v>
      </c>
      <c r="CG551" s="27" t="s">
        <v>8</v>
      </c>
      <c r="CL551" s="27" t="s">
        <v>7</v>
      </c>
      <c r="CP551" s="27" t="s">
        <v>7</v>
      </c>
      <c r="CR551" s="27" t="s">
        <v>7</v>
      </c>
      <c r="CS551" s="27" t="s">
        <v>8</v>
      </c>
      <c r="CT551" s="27" t="s">
        <v>7</v>
      </c>
    </row>
    <row r="552" spans="1:111" x14ac:dyDescent="0.25">
      <c r="A552" s="7">
        <v>1.9998895526624565</v>
      </c>
      <c r="B552"/>
      <c r="C552"/>
      <c r="D552"/>
      <c r="E552"/>
      <c r="BK552" s="27" t="s">
        <v>8</v>
      </c>
      <c r="BL552" s="27" t="s">
        <v>7</v>
      </c>
      <c r="BO552" s="27" t="s">
        <v>8</v>
      </c>
      <c r="BP552" s="27" t="s">
        <v>7</v>
      </c>
      <c r="BQ552" s="27" t="s">
        <v>8</v>
      </c>
      <c r="BR552" s="27" t="s">
        <v>7</v>
      </c>
      <c r="CA552" s="27" t="s">
        <v>8</v>
      </c>
      <c r="CB552" s="27" t="s">
        <v>7</v>
      </c>
      <c r="CC552" s="27" t="s">
        <v>8</v>
      </c>
      <c r="CF552" s="27" t="s">
        <v>7</v>
      </c>
      <c r="CG552" s="27" t="s">
        <v>8</v>
      </c>
      <c r="CR552" s="27" t="s">
        <v>7</v>
      </c>
      <c r="CT552" s="27" t="s">
        <v>7</v>
      </c>
    </row>
    <row r="553" spans="1:111" x14ac:dyDescent="0.25">
      <c r="A553" s="7">
        <v>1.9606760320220162</v>
      </c>
      <c r="B553"/>
      <c r="C553"/>
      <c r="D553"/>
      <c r="E553"/>
      <c r="BK553" s="27" t="s">
        <v>8</v>
      </c>
      <c r="BL553" s="27" t="s">
        <v>7</v>
      </c>
      <c r="BM553" s="27" t="s">
        <v>8</v>
      </c>
      <c r="BO553" s="27" t="s">
        <v>8</v>
      </c>
      <c r="BP553" s="27" t="s">
        <v>7</v>
      </c>
      <c r="BQ553" s="27" t="s">
        <v>8</v>
      </c>
      <c r="BR553" s="27" t="s">
        <v>7</v>
      </c>
      <c r="CA553" s="27" t="s">
        <v>8</v>
      </c>
      <c r="CB553" s="27" t="s">
        <v>7</v>
      </c>
      <c r="CC553" s="27" t="s">
        <v>8</v>
      </c>
      <c r="CF553" s="27" t="s">
        <v>7</v>
      </c>
      <c r="CG553" s="27" t="s">
        <v>8</v>
      </c>
      <c r="CT553" s="27" t="s">
        <v>7</v>
      </c>
    </row>
    <row r="554" spans="1:111" x14ac:dyDescent="0.25">
      <c r="A554" s="7">
        <v>1.9222314039431532</v>
      </c>
      <c r="B554"/>
      <c r="C554"/>
      <c r="D554"/>
      <c r="E554"/>
      <c r="BK554" s="27" t="s">
        <v>8</v>
      </c>
      <c r="BL554" s="27" t="s">
        <v>7</v>
      </c>
      <c r="BM554" s="27" t="s">
        <v>8</v>
      </c>
      <c r="BN554" s="27" t="s">
        <v>7</v>
      </c>
      <c r="BO554" s="27" t="s">
        <v>8</v>
      </c>
      <c r="BP554" s="27" t="s">
        <v>7</v>
      </c>
      <c r="BQ554" s="27" t="s">
        <v>8</v>
      </c>
      <c r="BR554" s="27" t="s">
        <v>7</v>
      </c>
      <c r="CA554" s="27" t="s">
        <v>8</v>
      </c>
      <c r="CB554" s="27" t="s">
        <v>7</v>
      </c>
      <c r="CF554" s="27" t="s">
        <v>7</v>
      </c>
      <c r="CG554" s="27" t="s">
        <v>8</v>
      </c>
      <c r="CT554" s="27" t="s">
        <v>7</v>
      </c>
    </row>
    <row r="555" spans="1:111" x14ac:dyDescent="0.25">
      <c r="A555" s="7">
        <v>1.8845405921011305</v>
      </c>
      <c r="B555"/>
      <c r="C555"/>
      <c r="D555"/>
      <c r="E555"/>
      <c r="BK555" s="27" t="s">
        <v>8</v>
      </c>
      <c r="BL555" s="27" t="s">
        <v>7</v>
      </c>
      <c r="BM555" s="27" t="s">
        <v>8</v>
      </c>
      <c r="BN555" s="27" t="s">
        <v>7</v>
      </c>
      <c r="BO555" s="27" t="s">
        <v>8</v>
      </c>
      <c r="BP555" s="27" t="s">
        <v>7</v>
      </c>
      <c r="BQ555" s="27" t="s">
        <v>8</v>
      </c>
      <c r="BR555" s="27" t="s">
        <v>7</v>
      </c>
      <c r="CA555" s="27" t="s">
        <v>8</v>
      </c>
      <c r="CF555" s="27" t="s">
        <v>7</v>
      </c>
      <c r="CG555" s="27" t="s">
        <v>8</v>
      </c>
      <c r="CT555" s="27" t="s">
        <v>7</v>
      </c>
      <c r="DE555" s="27" t="s">
        <v>8</v>
      </c>
    </row>
    <row r="556" spans="1:111" x14ac:dyDescent="0.25">
      <c r="A556" s="7">
        <v>1.8475888157854219</v>
      </c>
      <c r="B556"/>
      <c r="C556"/>
      <c r="D556"/>
      <c r="E556"/>
      <c r="BK556" s="27" t="s">
        <v>8</v>
      </c>
      <c r="BL556" s="27" t="s">
        <v>7</v>
      </c>
      <c r="BM556" s="27" t="s">
        <v>8</v>
      </c>
      <c r="BN556" s="27" t="s">
        <v>7</v>
      </c>
      <c r="BO556" s="27" t="s">
        <v>8</v>
      </c>
      <c r="BP556" s="27" t="s">
        <v>7</v>
      </c>
      <c r="BQ556" s="27" t="s">
        <v>8</v>
      </c>
      <c r="BR556" s="27" t="s">
        <v>7</v>
      </c>
      <c r="CA556" s="27" t="s">
        <v>8</v>
      </c>
      <c r="CF556" s="27" t="s">
        <v>7</v>
      </c>
      <c r="CG556" s="27" t="s">
        <v>8</v>
      </c>
      <c r="CT556" s="27" t="s">
        <v>7</v>
      </c>
      <c r="DC556" s="27" t="s">
        <v>8</v>
      </c>
      <c r="DE556" s="27" t="s">
        <v>8</v>
      </c>
      <c r="DF556" s="27" t="s">
        <v>7</v>
      </c>
    </row>
    <row r="557" spans="1:111" x14ac:dyDescent="0.25">
      <c r="A557" s="7">
        <v>1.8113615841033548</v>
      </c>
      <c r="B557"/>
      <c r="C557"/>
      <c r="D557"/>
      <c r="E557"/>
      <c r="BK557" s="27" t="s">
        <v>8</v>
      </c>
      <c r="BL557" s="27" t="s">
        <v>7</v>
      </c>
      <c r="BM557" s="27" t="s">
        <v>8</v>
      </c>
      <c r="BN557" s="27" t="s">
        <v>7</v>
      </c>
      <c r="BO557" s="27" t="s">
        <v>8</v>
      </c>
      <c r="BP557" s="27" t="s">
        <v>7</v>
      </c>
      <c r="BQ557" s="27" t="s">
        <v>8</v>
      </c>
      <c r="BR557" s="27" t="s">
        <v>7</v>
      </c>
      <c r="BW557" s="27" t="s">
        <v>8</v>
      </c>
      <c r="CA557" s="27" t="s">
        <v>8</v>
      </c>
      <c r="CF557" s="27" t="s">
        <v>7</v>
      </c>
      <c r="CG557" s="27" t="s">
        <v>8</v>
      </c>
      <c r="CT557" s="27" t="s">
        <v>7</v>
      </c>
      <c r="DA557" s="27" t="s">
        <v>8</v>
      </c>
      <c r="DC557" s="27" t="s">
        <v>8</v>
      </c>
      <c r="DD557" s="27" t="s">
        <v>7</v>
      </c>
      <c r="DE557" s="27" t="s">
        <v>8</v>
      </c>
      <c r="DF557" s="27" t="s">
        <v>7</v>
      </c>
    </row>
    <row r="558" spans="1:111" x14ac:dyDescent="0.25">
      <c r="A558" s="7">
        <v>1.7758446902974065</v>
      </c>
      <c r="B558"/>
      <c r="C558"/>
      <c r="D558"/>
      <c r="E558"/>
      <c r="BK558" s="27" t="s">
        <v>8</v>
      </c>
      <c r="BL558" s="27" t="s">
        <v>7</v>
      </c>
      <c r="BM558" s="27" t="s">
        <v>8</v>
      </c>
      <c r="BN558" s="27" t="s">
        <v>7</v>
      </c>
      <c r="BO558" s="27" t="s">
        <v>8</v>
      </c>
      <c r="BP558" s="27" t="s">
        <v>7</v>
      </c>
      <c r="BR558" s="27" t="s">
        <v>7</v>
      </c>
      <c r="BW558" s="27" t="s">
        <v>8</v>
      </c>
      <c r="BX558" s="27" t="s">
        <v>7</v>
      </c>
      <c r="CA558" s="27" t="s">
        <v>8</v>
      </c>
      <c r="CF558" s="27" t="s">
        <v>7</v>
      </c>
      <c r="CG558" s="27" t="s">
        <v>8</v>
      </c>
      <c r="CT558" s="27" t="s">
        <v>7</v>
      </c>
      <c r="CU558" s="27" t="s">
        <v>8</v>
      </c>
      <c r="DA558" s="27" t="s">
        <v>8</v>
      </c>
      <c r="DB558" s="27" t="s">
        <v>7</v>
      </c>
      <c r="DC558" s="27" t="s">
        <v>8</v>
      </c>
      <c r="DD558" s="27" t="s">
        <v>7</v>
      </c>
      <c r="DE558" s="27" t="s">
        <v>8</v>
      </c>
      <c r="DF558" s="27" t="s">
        <v>7</v>
      </c>
    </row>
    <row r="559" spans="1:111" x14ac:dyDescent="0.25">
      <c r="A559" s="7">
        <v>1.7410242061739281</v>
      </c>
      <c r="B559"/>
      <c r="C559"/>
      <c r="D559"/>
      <c r="E559"/>
      <c r="BK559" s="27" t="s">
        <v>8</v>
      </c>
      <c r="BL559" s="27" t="s">
        <v>7</v>
      </c>
      <c r="BM559" s="27" t="s">
        <v>8</v>
      </c>
      <c r="BN559" s="27" t="s">
        <v>7</v>
      </c>
      <c r="BO559" s="27" t="s">
        <v>8</v>
      </c>
      <c r="BR559" s="27" t="s">
        <v>7</v>
      </c>
      <c r="BS559" s="27" t="s">
        <v>8</v>
      </c>
      <c r="BW559" s="27" t="s">
        <v>8</v>
      </c>
      <c r="BX559" s="27" t="s">
        <v>7</v>
      </c>
      <c r="CA559" s="27" t="s">
        <v>8</v>
      </c>
      <c r="CF559" s="27" t="s">
        <v>7</v>
      </c>
      <c r="CG559" s="27" t="s">
        <v>8</v>
      </c>
      <c r="CT559" s="27" t="s">
        <v>7</v>
      </c>
      <c r="CU559" s="27" t="s">
        <v>8</v>
      </c>
      <c r="CV559" s="27" t="s">
        <v>7</v>
      </c>
      <c r="DA559" s="27" t="s">
        <v>8</v>
      </c>
      <c r="DB559" s="27" t="s">
        <v>7</v>
      </c>
      <c r="DC559" s="27" t="s">
        <v>8</v>
      </c>
      <c r="DD559" s="27" t="s">
        <v>7</v>
      </c>
      <c r="DE559" s="27" t="s">
        <v>8</v>
      </c>
      <c r="DF559" s="27" t="s">
        <v>7</v>
      </c>
    </row>
    <row r="560" spans="1:111" x14ac:dyDescent="0.25">
      <c r="A560" s="7">
        <v>1.7068864766411058</v>
      </c>
      <c r="B560"/>
      <c r="C560"/>
      <c r="D560"/>
      <c r="E560"/>
      <c r="BK560" s="27" t="s">
        <v>8</v>
      </c>
      <c r="BL560" s="27" t="s">
        <v>7</v>
      </c>
      <c r="BM560" s="27" t="s">
        <v>8</v>
      </c>
      <c r="BN560" s="27" t="s">
        <v>7</v>
      </c>
      <c r="BO560" s="27" t="s">
        <v>8</v>
      </c>
      <c r="BR560" s="27" t="s">
        <v>7</v>
      </c>
      <c r="BS560" s="27" t="s">
        <v>8</v>
      </c>
      <c r="BT560" s="27" t="s">
        <v>7</v>
      </c>
      <c r="BW560" s="27" t="s">
        <v>8</v>
      </c>
      <c r="BX560" s="27" t="s">
        <v>7</v>
      </c>
      <c r="CA560" s="27" t="s">
        <v>8</v>
      </c>
      <c r="CF560" s="27" t="s">
        <v>7</v>
      </c>
      <c r="CG560" s="27" t="s">
        <v>8</v>
      </c>
      <c r="CT560" s="27" t="s">
        <v>7</v>
      </c>
      <c r="CU560" s="27" t="s">
        <v>8</v>
      </c>
      <c r="CV560" s="27" t="s">
        <v>7</v>
      </c>
      <c r="DA560" s="27" t="s">
        <v>8</v>
      </c>
      <c r="DB560" s="27" t="s">
        <v>7</v>
      </c>
      <c r="DC560" s="27" t="s">
        <v>8</v>
      </c>
      <c r="DD560" s="27" t="s">
        <v>7</v>
      </c>
      <c r="DE560" s="27" t="s">
        <v>8</v>
      </c>
      <c r="DF560" s="27" t="s">
        <v>7</v>
      </c>
      <c r="DG560" s="27" t="s">
        <v>8</v>
      </c>
    </row>
    <row r="561" spans="1:242" x14ac:dyDescent="0.25">
      <c r="A561" s="7">
        <v>1.6734181143540252</v>
      </c>
      <c r="B561"/>
      <c r="C561"/>
      <c r="D561"/>
      <c r="E561"/>
      <c r="BK561" s="27" t="s">
        <v>8</v>
      </c>
      <c r="BL561" s="27" t="s">
        <v>7</v>
      </c>
      <c r="BN561" s="27" t="s">
        <v>7</v>
      </c>
      <c r="BO561" s="27" t="s">
        <v>8</v>
      </c>
      <c r="BR561" s="27" t="s">
        <v>7</v>
      </c>
      <c r="BS561" s="27" t="s">
        <v>8</v>
      </c>
      <c r="BT561" s="27" t="s">
        <v>7</v>
      </c>
      <c r="BW561" s="27" t="s">
        <v>8</v>
      </c>
      <c r="BX561" s="27" t="s">
        <v>7</v>
      </c>
      <c r="CA561" s="27" t="s">
        <v>8</v>
      </c>
      <c r="CF561" s="27" t="s">
        <v>7</v>
      </c>
      <c r="CT561" s="27" t="s">
        <v>7</v>
      </c>
      <c r="CU561" s="27" t="s">
        <v>8</v>
      </c>
      <c r="CV561" s="27" t="s">
        <v>7</v>
      </c>
      <c r="CW561" s="27" t="s">
        <v>8</v>
      </c>
      <c r="DA561" s="27" t="s">
        <v>8</v>
      </c>
      <c r="DB561" s="27" t="s">
        <v>7</v>
      </c>
      <c r="DC561" s="27" t="s">
        <v>8</v>
      </c>
      <c r="DD561" s="27" t="s">
        <v>7</v>
      </c>
      <c r="DF561" s="27" t="s">
        <v>7</v>
      </c>
      <c r="DG561" s="27" t="s">
        <v>8</v>
      </c>
      <c r="DH561" s="27" t="s">
        <v>7</v>
      </c>
    </row>
    <row r="562" spans="1:242" x14ac:dyDescent="0.25">
      <c r="A562" s="7">
        <v>1.6406059944647307</v>
      </c>
      <c r="B562"/>
      <c r="C562"/>
      <c r="D562"/>
      <c r="E562"/>
      <c r="BK562" s="27" t="s">
        <v>8</v>
      </c>
      <c r="BN562" s="27" t="s">
        <v>7</v>
      </c>
      <c r="BO562" s="27" t="s">
        <v>8</v>
      </c>
      <c r="BR562" s="27" t="s">
        <v>7</v>
      </c>
      <c r="BS562" s="27" t="s">
        <v>8</v>
      </c>
      <c r="BT562" s="27" t="s">
        <v>7</v>
      </c>
      <c r="BW562" s="27" t="s">
        <v>8</v>
      </c>
      <c r="BX562" s="27" t="s">
        <v>7</v>
      </c>
      <c r="CA562" s="27" t="s">
        <v>8</v>
      </c>
      <c r="CT562" s="27" t="s">
        <v>7</v>
      </c>
      <c r="CU562" s="27" t="s">
        <v>8</v>
      </c>
      <c r="CV562" s="27" t="s">
        <v>7</v>
      </c>
      <c r="CW562" s="27" t="s">
        <v>8</v>
      </c>
      <c r="CX562" s="27" t="s">
        <v>7</v>
      </c>
      <c r="DA562" s="27" t="s">
        <v>8</v>
      </c>
      <c r="DB562" s="27" t="s">
        <v>7</v>
      </c>
      <c r="DC562" s="27" t="s">
        <v>8</v>
      </c>
      <c r="DF562" s="27" t="s">
        <v>7</v>
      </c>
      <c r="DG562" s="27" t="s">
        <v>8</v>
      </c>
      <c r="DH562" s="27" t="s">
        <v>7</v>
      </c>
      <c r="DI562" s="27" t="s">
        <v>8</v>
      </c>
    </row>
    <row r="563" spans="1:242" x14ac:dyDescent="0.25">
      <c r="A563" s="7">
        <v>1.6084372494752261</v>
      </c>
      <c r="B563"/>
      <c r="C563"/>
      <c r="D563"/>
      <c r="E563"/>
      <c r="BK563" s="27" t="s">
        <v>8</v>
      </c>
      <c r="BN563" s="27" t="s">
        <v>7</v>
      </c>
      <c r="BO563" s="27" t="s">
        <v>8</v>
      </c>
      <c r="BR563" s="27" t="s">
        <v>7</v>
      </c>
      <c r="BS563" s="27" t="s">
        <v>8</v>
      </c>
      <c r="BT563" s="27" t="s">
        <v>7</v>
      </c>
      <c r="BW563" s="27" t="s">
        <v>8</v>
      </c>
      <c r="BX563" s="27" t="s">
        <v>7</v>
      </c>
      <c r="CA563" s="27" t="s">
        <v>8</v>
      </c>
      <c r="CT563" s="27" t="s">
        <v>7</v>
      </c>
      <c r="CU563" s="27" t="s">
        <v>8</v>
      </c>
      <c r="CV563" s="27" t="s">
        <v>7</v>
      </c>
      <c r="CW563" s="27" t="s">
        <v>8</v>
      </c>
      <c r="CX563" s="27" t="s">
        <v>7</v>
      </c>
      <c r="DA563" s="27" t="s">
        <v>8</v>
      </c>
      <c r="DB563" s="27" t="s">
        <v>7</v>
      </c>
      <c r="DC563" s="27" t="s">
        <v>8</v>
      </c>
      <c r="DF563" s="27" t="s">
        <v>7</v>
      </c>
      <c r="DG563" s="27" t="s">
        <v>8</v>
      </c>
      <c r="DH563" s="27" t="s">
        <v>7</v>
      </c>
      <c r="DI563" s="27" t="s">
        <v>8</v>
      </c>
      <c r="DJ563" s="27" t="s">
        <v>7</v>
      </c>
    </row>
    <row r="564" spans="1:242" x14ac:dyDescent="0.25">
      <c r="A564" s="7">
        <v>1.5768992641913981</v>
      </c>
      <c r="B564"/>
      <c r="C564"/>
      <c r="D564"/>
      <c r="E564"/>
      <c r="BI564" s="27" t="s">
        <v>8</v>
      </c>
      <c r="BK564" s="27" t="s">
        <v>8</v>
      </c>
      <c r="BN564" s="27" t="s">
        <v>7</v>
      </c>
      <c r="BO564" s="27" t="s">
        <v>8</v>
      </c>
      <c r="BR564" s="27" t="s">
        <v>7</v>
      </c>
      <c r="BS564" s="27" t="s">
        <v>8</v>
      </c>
      <c r="BT564" s="27" t="s">
        <v>7</v>
      </c>
      <c r="BW564" s="27" t="s">
        <v>8</v>
      </c>
      <c r="BX564" s="27" t="s">
        <v>7</v>
      </c>
      <c r="CA564" s="27" t="s">
        <v>8</v>
      </c>
      <c r="CT564" s="27" t="s">
        <v>7</v>
      </c>
      <c r="CU564" s="27" t="s">
        <v>8</v>
      </c>
      <c r="CV564" s="27" t="s">
        <v>7</v>
      </c>
      <c r="CW564" s="27" t="s">
        <v>8</v>
      </c>
      <c r="CX564" s="27" t="s">
        <v>7</v>
      </c>
      <c r="DA564" s="27" t="s">
        <v>8</v>
      </c>
      <c r="DB564" s="27" t="s">
        <v>7</v>
      </c>
      <c r="DC564" s="27" t="s">
        <v>8</v>
      </c>
      <c r="DF564" s="27" t="s">
        <v>7</v>
      </c>
      <c r="DH564" s="27" t="s">
        <v>7</v>
      </c>
      <c r="DI564" s="27" t="s">
        <v>8</v>
      </c>
      <c r="DJ564" s="27" t="s">
        <v>7</v>
      </c>
    </row>
    <row r="565" spans="1:242" x14ac:dyDescent="0.25">
      <c r="A565" s="7">
        <v>1.5459796707758806</v>
      </c>
      <c r="B565"/>
      <c r="C565"/>
      <c r="D565"/>
      <c r="E565"/>
      <c r="BI565" s="27" t="s">
        <v>8</v>
      </c>
      <c r="BJ565" s="27" t="s">
        <v>7</v>
      </c>
      <c r="BK565" s="27" t="s">
        <v>8</v>
      </c>
      <c r="BN565" s="27" t="s">
        <v>7</v>
      </c>
      <c r="BO565" s="27" t="s">
        <v>8</v>
      </c>
      <c r="BR565" s="27" t="s">
        <v>7</v>
      </c>
      <c r="BS565" s="27" t="s">
        <v>8</v>
      </c>
      <c r="BT565" s="27" t="s">
        <v>7</v>
      </c>
      <c r="BW565" s="27" t="s">
        <v>8</v>
      </c>
      <c r="BX565" s="27" t="s">
        <v>7</v>
      </c>
      <c r="CA565" s="27" t="s">
        <v>8</v>
      </c>
      <c r="CT565" s="27" t="s">
        <v>7</v>
      </c>
      <c r="CV565" s="27" t="s">
        <v>7</v>
      </c>
      <c r="CW565" s="27" t="s">
        <v>8</v>
      </c>
      <c r="CX565" s="27" t="s">
        <v>7</v>
      </c>
      <c r="DA565" s="27" t="s">
        <v>8</v>
      </c>
      <c r="DB565" s="27" t="s">
        <v>7</v>
      </c>
      <c r="DH565" s="27" t="s">
        <v>7</v>
      </c>
      <c r="DJ565" s="27" t="s">
        <v>7</v>
      </c>
    </row>
    <row r="566" spans="1:242" x14ac:dyDescent="0.25">
      <c r="A566" s="7">
        <v>1.5156663438979221</v>
      </c>
      <c r="B566"/>
      <c r="C566"/>
      <c r="D566"/>
      <c r="E566"/>
      <c r="BI566" s="27" t="s">
        <v>8</v>
      </c>
      <c r="BJ566" s="27" t="s">
        <v>7</v>
      </c>
      <c r="BK566" s="27" t="s">
        <v>8</v>
      </c>
      <c r="BN566" s="27" t="s">
        <v>7</v>
      </c>
      <c r="BO566" s="27" t="s">
        <v>8</v>
      </c>
      <c r="BR566" s="27" t="s">
        <v>7</v>
      </c>
      <c r="BS566" s="27" t="s">
        <v>8</v>
      </c>
      <c r="BT566" s="27" t="s">
        <v>7</v>
      </c>
      <c r="BU566" s="27" t="s">
        <v>8</v>
      </c>
      <c r="BW566" s="27" t="s">
        <v>8</v>
      </c>
      <c r="BX566" s="27" t="s">
        <v>7</v>
      </c>
      <c r="CA566" s="27" t="s">
        <v>8</v>
      </c>
      <c r="CV566" s="27" t="s">
        <v>7</v>
      </c>
      <c r="CW566" s="27" t="s">
        <v>8</v>
      </c>
      <c r="CX566" s="27" t="s">
        <v>7</v>
      </c>
      <c r="DA566" s="27" t="s">
        <v>8</v>
      </c>
      <c r="DJ566" s="27" t="s">
        <v>7</v>
      </c>
      <c r="EC566" s="27" t="s">
        <v>8</v>
      </c>
    </row>
    <row r="567" spans="1:242" x14ac:dyDescent="0.25">
      <c r="A567" s="7">
        <v>1.4859473959783549</v>
      </c>
      <c r="B567"/>
      <c r="C567"/>
      <c r="D567"/>
      <c r="E567"/>
      <c r="BI567" s="27" t="s">
        <v>8</v>
      </c>
      <c r="BJ567" s="27" t="s">
        <v>7</v>
      </c>
      <c r="BK567" s="27" t="s">
        <v>8</v>
      </c>
      <c r="BN567" s="27" t="s">
        <v>7</v>
      </c>
      <c r="BO567" s="27" t="s">
        <v>8</v>
      </c>
      <c r="BR567" s="27" t="s">
        <v>7</v>
      </c>
      <c r="BS567" s="27" t="s">
        <v>8</v>
      </c>
      <c r="BT567" s="27" t="s">
        <v>7</v>
      </c>
      <c r="BU567" s="27" t="s">
        <v>8</v>
      </c>
      <c r="BV567" s="27" t="s">
        <v>7</v>
      </c>
      <c r="BW567" s="27" t="s">
        <v>8</v>
      </c>
      <c r="BX567" s="27" t="s">
        <v>7</v>
      </c>
      <c r="CA567" s="27" t="s">
        <v>8</v>
      </c>
      <c r="CV567" s="27" t="s">
        <v>7</v>
      </c>
      <c r="CW567" s="27" t="s">
        <v>8</v>
      </c>
      <c r="CX567" s="27" t="s">
        <v>7</v>
      </c>
      <c r="CY567" s="27" t="s">
        <v>8</v>
      </c>
      <c r="DA567" s="27" t="s">
        <v>8</v>
      </c>
      <c r="DJ567" s="27" t="s">
        <v>7</v>
      </c>
      <c r="EC567" s="27" t="s">
        <v>8</v>
      </c>
      <c r="ED567" s="27" t="s">
        <v>7</v>
      </c>
    </row>
    <row r="568" spans="1:242" x14ac:dyDescent="0.25">
      <c r="A568" s="7">
        <v>1.4568111725277988</v>
      </c>
      <c r="B568"/>
      <c r="C568"/>
      <c r="D568"/>
      <c r="E568"/>
      <c r="BI568" s="27" t="s">
        <v>8</v>
      </c>
      <c r="BJ568" s="27" t="s">
        <v>7</v>
      </c>
      <c r="BK568" s="27" t="s">
        <v>8</v>
      </c>
      <c r="BN568" s="27" t="s">
        <v>7</v>
      </c>
      <c r="BO568" s="27" t="s">
        <v>8</v>
      </c>
      <c r="BR568" s="27" t="s">
        <v>7</v>
      </c>
      <c r="BS568" s="27" t="s">
        <v>8</v>
      </c>
      <c r="BT568" s="27" t="s">
        <v>7</v>
      </c>
      <c r="BU568" s="27" t="s">
        <v>8</v>
      </c>
      <c r="BV568" s="27" t="s">
        <v>7</v>
      </c>
      <c r="BW568" s="27" t="s">
        <v>8</v>
      </c>
      <c r="BX568" s="27" t="s">
        <v>7</v>
      </c>
      <c r="CA568" s="27" t="s">
        <v>8</v>
      </c>
      <c r="CV568" s="27" t="s">
        <v>7</v>
      </c>
      <c r="CW568" s="27" t="s">
        <v>8</v>
      </c>
      <c r="CX568" s="27" t="s">
        <v>7</v>
      </c>
      <c r="CY568" s="27" t="s">
        <v>8</v>
      </c>
      <c r="CZ568" s="27" t="s">
        <v>7</v>
      </c>
      <c r="DA568" s="27" t="s">
        <v>8</v>
      </c>
      <c r="DJ568" s="27" t="s">
        <v>7</v>
      </c>
      <c r="DK568" s="27" t="s">
        <v>8</v>
      </c>
      <c r="EC568" s="27" t="s">
        <v>8</v>
      </c>
      <c r="ED568" s="27" t="s">
        <v>7</v>
      </c>
      <c r="FO568" s="27" t="s">
        <v>8</v>
      </c>
    </row>
    <row r="569" spans="1:242" x14ac:dyDescent="0.25">
      <c r="A569" s="7">
        <v>1.4282462475762734</v>
      </c>
      <c r="B569"/>
      <c r="C569"/>
      <c r="D569"/>
      <c r="E569"/>
      <c r="BI569" s="27" t="s">
        <v>8</v>
      </c>
      <c r="BJ569" s="27" t="s">
        <v>7</v>
      </c>
      <c r="BK569" s="27" t="s">
        <v>8</v>
      </c>
      <c r="BN569" s="27" t="s">
        <v>7</v>
      </c>
      <c r="BO569" s="27" t="s">
        <v>8</v>
      </c>
      <c r="BR569" s="27" t="s">
        <v>7</v>
      </c>
      <c r="BS569" s="27" t="s">
        <v>8</v>
      </c>
      <c r="BT569" s="27" t="s">
        <v>7</v>
      </c>
      <c r="BU569" s="27" t="s">
        <v>8</v>
      </c>
      <c r="BV569" s="27" t="s">
        <v>7</v>
      </c>
      <c r="BW569" s="27" t="s">
        <v>8</v>
      </c>
      <c r="BX569" s="27" t="s">
        <v>7</v>
      </c>
      <c r="BY569" s="27" t="s">
        <v>8</v>
      </c>
      <c r="CA569" s="27" t="s">
        <v>8</v>
      </c>
      <c r="CV569" s="27" t="s">
        <v>7</v>
      </c>
      <c r="CW569" s="27" t="s">
        <v>8</v>
      </c>
      <c r="CX569" s="27" t="s">
        <v>7</v>
      </c>
      <c r="CY569" s="27" t="s">
        <v>8</v>
      </c>
      <c r="CZ569" s="27" t="s">
        <v>7</v>
      </c>
      <c r="DA569" s="27" t="s">
        <v>8</v>
      </c>
      <c r="DJ569" s="27" t="s">
        <v>7</v>
      </c>
      <c r="DK569" s="27" t="s">
        <v>8</v>
      </c>
      <c r="DL569" s="27" t="s">
        <v>7</v>
      </c>
      <c r="EC569" s="27" t="s">
        <v>8</v>
      </c>
      <c r="ED569" s="27" t="s">
        <v>7</v>
      </c>
      <c r="FO569" s="27" t="s">
        <v>8</v>
      </c>
      <c r="FP569" s="27" t="s">
        <v>7</v>
      </c>
      <c r="FY569" s="27" t="s">
        <v>8</v>
      </c>
    </row>
    <row r="570" spans="1:242" x14ac:dyDescent="0.25">
      <c r="A570" s="7">
        <v>1.4002414191924248</v>
      </c>
      <c r="B570"/>
      <c r="C570"/>
      <c r="D570"/>
      <c r="E570"/>
      <c r="BI570" s="27" t="s">
        <v>8</v>
      </c>
      <c r="BJ570" s="27" t="s">
        <v>7</v>
      </c>
      <c r="BK570" s="27" t="s">
        <v>8</v>
      </c>
      <c r="BN570" s="27" t="s">
        <v>7</v>
      </c>
      <c r="BO570" s="27" t="s">
        <v>8</v>
      </c>
      <c r="BR570" s="27" t="s">
        <v>7</v>
      </c>
      <c r="BS570" s="27" t="s">
        <v>8</v>
      </c>
      <c r="BT570" s="27" t="s">
        <v>7</v>
      </c>
      <c r="BU570" s="27" t="s">
        <v>8</v>
      </c>
      <c r="BV570" s="27" t="s">
        <v>7</v>
      </c>
      <c r="BW570" s="27" t="s">
        <v>8</v>
      </c>
      <c r="BX570" s="27" t="s">
        <v>7</v>
      </c>
      <c r="BY570" s="27" t="s">
        <v>8</v>
      </c>
      <c r="BZ570" s="27" t="s">
        <v>7</v>
      </c>
      <c r="CA570" s="27" t="s">
        <v>8</v>
      </c>
      <c r="CV570" s="27" t="s">
        <v>7</v>
      </c>
      <c r="CX570" s="27" t="s">
        <v>7</v>
      </c>
      <c r="CY570" s="27" t="s">
        <v>8</v>
      </c>
      <c r="CZ570" s="27" t="s">
        <v>7</v>
      </c>
      <c r="DA570" s="27" t="s">
        <v>8</v>
      </c>
      <c r="DJ570" s="27" t="s">
        <v>7</v>
      </c>
      <c r="DK570" s="27" t="s">
        <v>8</v>
      </c>
      <c r="DL570" s="27" t="s">
        <v>7</v>
      </c>
      <c r="EC570" s="27" t="s">
        <v>8</v>
      </c>
      <c r="ED570" s="27" t="s">
        <v>7</v>
      </c>
      <c r="EE570" s="27" t="s">
        <v>8</v>
      </c>
      <c r="FO570" s="27" t="s">
        <v>8</v>
      </c>
      <c r="FP570" s="27" t="s">
        <v>7</v>
      </c>
      <c r="FY570" s="27" t="s">
        <v>8</v>
      </c>
      <c r="FZ570" s="27" t="s">
        <v>7</v>
      </c>
    </row>
    <row r="571" spans="1:242" x14ac:dyDescent="0.25">
      <c r="A571" s="7">
        <v>1.3727857050906125</v>
      </c>
      <c r="B571"/>
      <c r="C571"/>
      <c r="D571"/>
      <c r="E571"/>
      <c r="BI571" s="27" t="s">
        <v>8</v>
      </c>
      <c r="BJ571" s="27" t="s">
        <v>7</v>
      </c>
      <c r="BK571" s="27" t="s">
        <v>8</v>
      </c>
      <c r="BN571" s="27" t="s">
        <v>7</v>
      </c>
      <c r="BO571" s="27" t="s">
        <v>8</v>
      </c>
      <c r="BR571" s="27" t="s">
        <v>7</v>
      </c>
      <c r="BS571" s="27" t="s">
        <v>8</v>
      </c>
      <c r="BT571" s="27" t="s">
        <v>7</v>
      </c>
      <c r="BU571" s="27" t="s">
        <v>8</v>
      </c>
      <c r="BV571" s="27" t="s">
        <v>7</v>
      </c>
      <c r="BW571" s="27" t="s">
        <v>8</v>
      </c>
      <c r="BX571" s="27" t="s">
        <v>7</v>
      </c>
      <c r="BY571" s="27" t="s">
        <v>8</v>
      </c>
      <c r="BZ571" s="27" t="s">
        <v>7</v>
      </c>
      <c r="CA571" s="27" t="s">
        <v>8</v>
      </c>
      <c r="CX571" s="27" t="s">
        <v>7</v>
      </c>
      <c r="CY571" s="27" t="s">
        <v>8</v>
      </c>
      <c r="CZ571" s="27" t="s">
        <v>7</v>
      </c>
      <c r="DA571" s="27" t="s">
        <v>8</v>
      </c>
      <c r="DJ571" s="27" t="s">
        <v>7</v>
      </c>
      <c r="DK571" s="27" t="s">
        <v>8</v>
      </c>
      <c r="DL571" s="27" t="s">
        <v>7</v>
      </c>
      <c r="EC571" s="27" t="s">
        <v>8</v>
      </c>
      <c r="ED571" s="27" t="s">
        <v>7</v>
      </c>
      <c r="EE571" s="27" t="s">
        <v>8</v>
      </c>
      <c r="EF571" s="27" t="s">
        <v>7</v>
      </c>
      <c r="FO571" s="27" t="s">
        <v>8</v>
      </c>
      <c r="FP571" s="27" t="s">
        <v>7</v>
      </c>
      <c r="FY571" s="27" t="s">
        <v>8</v>
      </c>
      <c r="FZ571" s="27" t="s">
        <v>7</v>
      </c>
      <c r="HC571" s="27" t="s">
        <v>8</v>
      </c>
      <c r="HS571" s="27" t="s">
        <v>8</v>
      </c>
      <c r="IG571" s="27" t="s">
        <v>8</v>
      </c>
    </row>
    <row r="572" spans="1:242" x14ac:dyDescent="0.25">
      <c r="A572" s="7">
        <v>1.3458683383241299</v>
      </c>
      <c r="B572"/>
      <c r="C572"/>
      <c r="D572"/>
      <c r="E572"/>
      <c r="BI572" s="27" t="s">
        <v>8</v>
      </c>
      <c r="BJ572" s="27" t="s">
        <v>7</v>
      </c>
      <c r="BK572" s="27" t="s">
        <v>8</v>
      </c>
      <c r="BN572" s="27" t="s">
        <v>7</v>
      </c>
      <c r="BR572" s="27" t="s">
        <v>7</v>
      </c>
      <c r="BS572" s="27" t="s">
        <v>8</v>
      </c>
      <c r="BT572" s="27" t="s">
        <v>7</v>
      </c>
      <c r="BU572" s="27" t="s">
        <v>8</v>
      </c>
      <c r="BV572" s="27" t="s">
        <v>7</v>
      </c>
      <c r="BW572" s="27" t="s">
        <v>8</v>
      </c>
      <c r="BX572" s="27" t="s">
        <v>7</v>
      </c>
      <c r="BZ572" s="27" t="s">
        <v>7</v>
      </c>
      <c r="CX572" s="27" t="s">
        <v>7</v>
      </c>
      <c r="CY572" s="27" t="s">
        <v>8</v>
      </c>
      <c r="CZ572" s="27" t="s">
        <v>7</v>
      </c>
      <c r="DA572" s="27" t="s">
        <v>8</v>
      </c>
      <c r="DJ572" s="27" t="s">
        <v>7</v>
      </c>
      <c r="DK572" s="27" t="s">
        <v>8</v>
      </c>
      <c r="DL572" s="27" t="s">
        <v>7</v>
      </c>
      <c r="DM572" s="27" t="s">
        <v>8</v>
      </c>
      <c r="EC572" s="27" t="s">
        <v>8</v>
      </c>
      <c r="ED572" s="27" t="s">
        <v>7</v>
      </c>
      <c r="EE572" s="27" t="s">
        <v>8</v>
      </c>
      <c r="EF572" s="27" t="s">
        <v>7</v>
      </c>
      <c r="FO572" s="27" t="s">
        <v>8</v>
      </c>
      <c r="FP572" s="27" t="s">
        <v>7</v>
      </c>
      <c r="FY572" s="27" t="s">
        <v>8</v>
      </c>
      <c r="FZ572" s="27" t="s">
        <v>7</v>
      </c>
      <c r="HC572" s="27" t="s">
        <v>8</v>
      </c>
      <c r="HD572" s="27" t="s">
        <v>7</v>
      </c>
      <c r="HS572" s="27" t="s">
        <v>8</v>
      </c>
      <c r="HT572" s="27" t="s">
        <v>7</v>
      </c>
      <c r="IG572" s="27" t="s">
        <v>8</v>
      </c>
      <c r="IH572" s="27" t="s">
        <v>7</v>
      </c>
    </row>
    <row r="573" spans="1:242" x14ac:dyDescent="0.25">
      <c r="A573" s="7">
        <v>1.3194787630628724</v>
      </c>
      <c r="B573"/>
      <c r="C573"/>
      <c r="D573"/>
      <c r="E573"/>
      <c r="BI573" s="27" t="s">
        <v>8</v>
      </c>
      <c r="BJ573" s="27" t="s">
        <v>7</v>
      </c>
      <c r="BK573" s="27" t="s">
        <v>8</v>
      </c>
      <c r="BR573" s="27" t="s">
        <v>7</v>
      </c>
      <c r="BS573" s="27" t="s">
        <v>8</v>
      </c>
      <c r="BT573" s="27" t="s">
        <v>7</v>
      </c>
      <c r="BU573" s="27" t="s">
        <v>8</v>
      </c>
      <c r="BV573" s="27" t="s">
        <v>7</v>
      </c>
      <c r="BW573" s="27" t="s">
        <v>8</v>
      </c>
      <c r="CX573" s="27" t="s">
        <v>7</v>
      </c>
      <c r="CY573" s="27" t="s">
        <v>8</v>
      </c>
      <c r="CZ573" s="27" t="s">
        <v>7</v>
      </c>
      <c r="DA573" s="27" t="s">
        <v>8</v>
      </c>
      <c r="DJ573" s="27" t="s">
        <v>7</v>
      </c>
      <c r="DL573" s="27" t="s">
        <v>7</v>
      </c>
      <c r="DM573" s="27" t="s">
        <v>8</v>
      </c>
      <c r="DN573" s="27" t="s">
        <v>7</v>
      </c>
      <c r="EC573" s="27" t="s">
        <v>8</v>
      </c>
      <c r="ED573" s="27" t="s">
        <v>7</v>
      </c>
      <c r="EE573" s="27" t="s">
        <v>8</v>
      </c>
      <c r="EF573" s="27" t="s">
        <v>7</v>
      </c>
      <c r="FO573" s="27" t="s">
        <v>8</v>
      </c>
      <c r="FP573" s="27" t="s">
        <v>7</v>
      </c>
      <c r="FY573" s="27" t="s">
        <v>8</v>
      </c>
      <c r="FZ573" s="27" t="s">
        <v>7</v>
      </c>
      <c r="HC573" s="27" t="s">
        <v>8</v>
      </c>
      <c r="HD573" s="27" t="s">
        <v>7</v>
      </c>
      <c r="HS573" s="27" t="s">
        <v>8</v>
      </c>
      <c r="HT573" s="27" t="s">
        <v>7</v>
      </c>
      <c r="IG573" s="27" t="s">
        <v>8</v>
      </c>
      <c r="IH573" s="27" t="s">
        <v>7</v>
      </c>
    </row>
    <row r="574" spans="1:242" x14ac:dyDescent="0.25">
      <c r="A574" s="7">
        <v>1.2936066304537963</v>
      </c>
      <c r="B574"/>
      <c r="C574"/>
      <c r="D574"/>
      <c r="E574"/>
      <c r="BI574" s="27" t="s">
        <v>8</v>
      </c>
      <c r="BJ574" s="27" t="s">
        <v>7</v>
      </c>
      <c r="BK574" s="27" t="s">
        <v>8</v>
      </c>
      <c r="BR574" s="27" t="s">
        <v>7</v>
      </c>
      <c r="BS574" s="27" t="s">
        <v>8</v>
      </c>
      <c r="BT574" s="27" t="s">
        <v>7</v>
      </c>
      <c r="BV574" s="27" t="s">
        <v>7</v>
      </c>
      <c r="BW574" s="27" t="s">
        <v>8</v>
      </c>
      <c r="CX574" s="27" t="s">
        <v>7</v>
      </c>
      <c r="CY574" s="27" t="s">
        <v>8</v>
      </c>
      <c r="CZ574" s="27" t="s">
        <v>7</v>
      </c>
      <c r="DA574" s="27" t="s">
        <v>8</v>
      </c>
      <c r="DL574" s="27" t="s">
        <v>7</v>
      </c>
      <c r="DM574" s="27" t="s">
        <v>8</v>
      </c>
      <c r="DN574" s="27" t="s">
        <v>7</v>
      </c>
      <c r="EC574" s="27" t="s">
        <v>8</v>
      </c>
      <c r="ED574" s="27" t="s">
        <v>7</v>
      </c>
      <c r="EE574" s="27" t="s">
        <v>8</v>
      </c>
      <c r="EF574" s="27" t="s">
        <v>7</v>
      </c>
      <c r="FO574" s="27" t="s">
        <v>8</v>
      </c>
      <c r="FP574" s="27" t="s">
        <v>7</v>
      </c>
      <c r="FY574" s="27" t="s">
        <v>8</v>
      </c>
      <c r="FZ574" s="27" t="s">
        <v>7</v>
      </c>
      <c r="GE574" s="27" t="s">
        <v>8</v>
      </c>
      <c r="HC574" s="27" t="s">
        <v>8</v>
      </c>
      <c r="HD574" s="27" t="s">
        <v>7</v>
      </c>
      <c r="HS574" s="27" t="s">
        <v>8</v>
      </c>
      <c r="HT574" s="27" t="s">
        <v>7</v>
      </c>
      <c r="IG574" s="27" t="s">
        <v>8</v>
      </c>
      <c r="IH574" s="27" t="s">
        <v>7</v>
      </c>
    </row>
    <row r="575" spans="1:242" x14ac:dyDescent="0.25">
      <c r="A575" s="7">
        <v>1.2682417945625455</v>
      </c>
      <c r="B575"/>
      <c r="C575"/>
      <c r="D575"/>
      <c r="E575"/>
      <c r="BI575" s="27" t="s">
        <v>8</v>
      </c>
      <c r="BJ575" s="27" t="s">
        <v>7</v>
      </c>
      <c r="BK575" s="27" t="s">
        <v>8</v>
      </c>
      <c r="BR575" s="27" t="s">
        <v>7</v>
      </c>
      <c r="BS575" s="27" t="s">
        <v>8</v>
      </c>
      <c r="BV575" s="27" t="s">
        <v>7</v>
      </c>
      <c r="BW575" s="27" t="s">
        <v>8</v>
      </c>
      <c r="CX575" s="27" t="s">
        <v>7</v>
      </c>
      <c r="CY575" s="27" t="s">
        <v>8</v>
      </c>
      <c r="CZ575" s="27" t="s">
        <v>7</v>
      </c>
      <c r="DA575" s="27" t="s">
        <v>8</v>
      </c>
      <c r="DL575" s="27" t="s">
        <v>7</v>
      </c>
      <c r="DM575" s="27" t="s">
        <v>8</v>
      </c>
      <c r="DN575" s="27" t="s">
        <v>7</v>
      </c>
      <c r="EC575" s="27" t="s">
        <v>8</v>
      </c>
      <c r="ED575" s="27" t="s">
        <v>7</v>
      </c>
      <c r="EE575" s="27" t="s">
        <v>8</v>
      </c>
      <c r="EF575" s="27" t="s">
        <v>7</v>
      </c>
      <c r="FO575" s="27" t="s">
        <v>8</v>
      </c>
      <c r="FP575" s="27" t="s">
        <v>7</v>
      </c>
      <c r="FS575" s="27" t="s">
        <v>8</v>
      </c>
      <c r="FY575" s="27" t="s">
        <v>8</v>
      </c>
      <c r="FZ575" s="27" t="s">
        <v>7</v>
      </c>
      <c r="GE575" s="27" t="s">
        <v>8</v>
      </c>
      <c r="GF575" s="27" t="s">
        <v>7</v>
      </c>
      <c r="HC575" s="27" t="s">
        <v>8</v>
      </c>
      <c r="HD575" s="27" t="s">
        <v>7</v>
      </c>
      <c r="HS575" s="27" t="s">
        <v>8</v>
      </c>
      <c r="HT575" s="27" t="s">
        <v>7</v>
      </c>
      <c r="IG575" s="27" t="s">
        <v>8</v>
      </c>
      <c r="IH575" s="27" t="s">
        <v>7</v>
      </c>
    </row>
    <row r="576" spans="1:242" x14ac:dyDescent="0.25">
      <c r="A576" s="7">
        <v>1.2433743083946525</v>
      </c>
      <c r="B576"/>
      <c r="C576"/>
      <c r="D576"/>
      <c r="E576"/>
      <c r="BI576" s="27" t="s">
        <v>8</v>
      </c>
      <c r="BJ576" s="27" t="s">
        <v>7</v>
      </c>
      <c r="BK576" s="27" t="s">
        <v>8</v>
      </c>
      <c r="BR576" s="27" t="s">
        <v>7</v>
      </c>
      <c r="BS576" s="27" t="s">
        <v>8</v>
      </c>
      <c r="BV576" s="27" t="s">
        <v>7</v>
      </c>
      <c r="BW576" s="27" t="s">
        <v>8</v>
      </c>
      <c r="CX576" s="27" t="s">
        <v>7</v>
      </c>
      <c r="CY576" s="27" t="s">
        <v>8</v>
      </c>
      <c r="CZ576" s="27" t="s">
        <v>7</v>
      </c>
      <c r="DL576" s="27" t="s">
        <v>7</v>
      </c>
      <c r="DM576" s="27" t="s">
        <v>8</v>
      </c>
      <c r="DN576" s="27" t="s">
        <v>7</v>
      </c>
      <c r="EC576" s="27" t="s">
        <v>8</v>
      </c>
      <c r="ED576" s="27" t="s">
        <v>7</v>
      </c>
      <c r="EE576" s="27" t="s">
        <v>8</v>
      </c>
      <c r="EF576" s="27" t="s">
        <v>7</v>
      </c>
      <c r="FM576" s="27" t="s">
        <v>8</v>
      </c>
      <c r="FO576" s="27" t="s">
        <v>8</v>
      </c>
      <c r="FP576" s="27" t="s">
        <v>7</v>
      </c>
      <c r="FQ576" s="27" t="s">
        <v>8</v>
      </c>
      <c r="FS576" s="27" t="s">
        <v>8</v>
      </c>
      <c r="FT576" s="27" t="s">
        <v>7</v>
      </c>
      <c r="FW576" s="27" t="s">
        <v>8</v>
      </c>
      <c r="FY576" s="27" t="s">
        <v>8</v>
      </c>
      <c r="FZ576" s="27" t="s">
        <v>7</v>
      </c>
      <c r="GE576" s="27" t="s">
        <v>8</v>
      </c>
      <c r="GF576" s="27" t="s">
        <v>7</v>
      </c>
      <c r="HC576" s="27" t="s">
        <v>8</v>
      </c>
      <c r="HD576" s="27" t="s">
        <v>7</v>
      </c>
      <c r="HE576" s="27" t="s">
        <v>8</v>
      </c>
      <c r="HS576" s="27" t="s">
        <v>8</v>
      </c>
      <c r="HT576" s="27" t="s">
        <v>7</v>
      </c>
      <c r="IG576" s="27" t="s">
        <v>8</v>
      </c>
      <c r="IH576" s="27" t="s">
        <v>7</v>
      </c>
    </row>
    <row r="577" spans="1:255" x14ac:dyDescent="0.25">
      <c r="A577" s="7">
        <v>1.2189944199947573</v>
      </c>
      <c r="B577"/>
      <c r="C577"/>
      <c r="D577"/>
      <c r="E577"/>
      <c r="Y577" s="27" t="s">
        <v>8</v>
      </c>
      <c r="BI577" s="27" t="s">
        <v>8</v>
      </c>
      <c r="BJ577" s="27" t="s">
        <v>7</v>
      </c>
      <c r="BK577" s="27" t="s">
        <v>8</v>
      </c>
      <c r="BR577" s="27" t="s">
        <v>7</v>
      </c>
      <c r="BV577" s="27" t="s">
        <v>7</v>
      </c>
      <c r="BW577" s="27" t="s">
        <v>8</v>
      </c>
      <c r="CX577" s="27" t="s">
        <v>7</v>
      </c>
      <c r="DL577" s="27" t="s">
        <v>7</v>
      </c>
      <c r="DM577" s="27" t="s">
        <v>8</v>
      </c>
      <c r="DN577" s="27" t="s">
        <v>7</v>
      </c>
      <c r="EC577" s="27" t="s">
        <v>8</v>
      </c>
      <c r="ED577" s="27" t="s">
        <v>7</v>
      </c>
      <c r="EE577" s="27" t="s">
        <v>8</v>
      </c>
      <c r="EF577" s="27" t="s">
        <v>7</v>
      </c>
      <c r="FM577" s="27" t="s">
        <v>8</v>
      </c>
      <c r="FN577" s="27" t="s">
        <v>7</v>
      </c>
      <c r="FO577" s="27" t="s">
        <v>8</v>
      </c>
      <c r="FP577" s="27" t="s">
        <v>7</v>
      </c>
      <c r="FQ577" s="27" t="s">
        <v>8</v>
      </c>
      <c r="FR577" s="27" t="s">
        <v>7</v>
      </c>
      <c r="FS577" s="27" t="s">
        <v>8</v>
      </c>
      <c r="FT577" s="27" t="s">
        <v>7</v>
      </c>
      <c r="FU577" s="27" t="s">
        <v>8</v>
      </c>
      <c r="FW577" s="27" t="s">
        <v>8</v>
      </c>
      <c r="FX577" s="27" t="s">
        <v>7</v>
      </c>
      <c r="FY577" s="27" t="s">
        <v>8</v>
      </c>
      <c r="FZ577" s="27" t="s">
        <v>7</v>
      </c>
      <c r="GE577" s="27" t="s">
        <v>8</v>
      </c>
      <c r="GF577" s="27" t="s">
        <v>7</v>
      </c>
      <c r="GI577" s="27" t="s">
        <v>8</v>
      </c>
      <c r="GQ577" s="27" t="s">
        <v>8</v>
      </c>
      <c r="HC577" s="27" t="s">
        <v>8</v>
      </c>
      <c r="HD577" s="27" t="s">
        <v>7</v>
      </c>
      <c r="HE577" s="27" t="s">
        <v>8</v>
      </c>
      <c r="HF577" s="27" t="s">
        <v>7</v>
      </c>
      <c r="HS577" s="27" t="s">
        <v>8</v>
      </c>
      <c r="HT577" s="27" t="s">
        <v>7</v>
      </c>
      <c r="IG577" s="27" t="s">
        <v>8</v>
      </c>
      <c r="IH577" s="27" t="s">
        <v>7</v>
      </c>
    </row>
    <row r="578" spans="1:255" x14ac:dyDescent="0.25">
      <c r="A578" s="7">
        <v>1.1950925686223111</v>
      </c>
      <c r="B578"/>
      <c r="C578"/>
      <c r="D578"/>
      <c r="E578"/>
      <c r="Y578" s="27" t="s">
        <v>8</v>
      </c>
      <c r="Z578" s="27" t="s">
        <v>7</v>
      </c>
      <c r="BI578" s="27" t="s">
        <v>8</v>
      </c>
      <c r="BJ578" s="27" t="s">
        <v>7</v>
      </c>
      <c r="BV578" s="27" t="s">
        <v>7</v>
      </c>
      <c r="BW578" s="27" t="s">
        <v>8</v>
      </c>
      <c r="DL578" s="27" t="s">
        <v>7</v>
      </c>
      <c r="DM578" s="27" t="s">
        <v>8</v>
      </c>
      <c r="DN578" s="27" t="s">
        <v>7</v>
      </c>
      <c r="EC578" s="27" t="s">
        <v>8</v>
      </c>
      <c r="ED578" s="27" t="s">
        <v>7</v>
      </c>
      <c r="EE578" s="27" t="s">
        <v>8</v>
      </c>
      <c r="EF578" s="27" t="s">
        <v>7</v>
      </c>
      <c r="FM578" s="27" t="s">
        <v>8</v>
      </c>
      <c r="FN578" s="27" t="s">
        <v>7</v>
      </c>
      <c r="FO578" s="27" t="s">
        <v>8</v>
      </c>
      <c r="FP578" s="27" t="s">
        <v>7</v>
      </c>
      <c r="FQ578" s="27" t="s">
        <v>8</v>
      </c>
      <c r="FR578" s="27" t="s">
        <v>7</v>
      </c>
      <c r="FS578" s="27" t="s">
        <v>8</v>
      </c>
      <c r="FT578" s="27" t="s">
        <v>7</v>
      </c>
      <c r="FU578" s="27" t="s">
        <v>8</v>
      </c>
      <c r="FV578" s="27" t="s">
        <v>7</v>
      </c>
      <c r="FW578" s="27" t="s">
        <v>8</v>
      </c>
      <c r="FX578" s="27" t="s">
        <v>7</v>
      </c>
      <c r="FY578" s="27" t="s">
        <v>8</v>
      </c>
      <c r="FZ578" s="27" t="s">
        <v>7</v>
      </c>
      <c r="GE578" s="27" t="s">
        <v>8</v>
      </c>
      <c r="GF578" s="27" t="s">
        <v>7</v>
      </c>
      <c r="GI578" s="27" t="s">
        <v>8</v>
      </c>
      <c r="GJ578" s="27" t="s">
        <v>7</v>
      </c>
      <c r="GQ578" s="27" t="s">
        <v>8</v>
      </c>
      <c r="GR578" s="27" t="s">
        <v>7</v>
      </c>
      <c r="HC578" s="27" t="s">
        <v>8</v>
      </c>
      <c r="HD578" s="27" t="s">
        <v>7</v>
      </c>
      <c r="HE578" s="27" t="s">
        <v>8</v>
      </c>
      <c r="HF578" s="27" t="s">
        <v>7</v>
      </c>
      <c r="HI578" s="27" t="s">
        <v>8</v>
      </c>
      <c r="HS578" s="27" t="s">
        <v>8</v>
      </c>
      <c r="HT578" s="27" t="s">
        <v>7</v>
      </c>
      <c r="IG578" s="27" t="s">
        <v>8</v>
      </c>
      <c r="IH578" s="27" t="s">
        <v>7</v>
      </c>
    </row>
    <row r="579" spans="1:255" x14ac:dyDescent="0.25">
      <c r="A579" s="7">
        <v>1.1716593810022657</v>
      </c>
      <c r="B579"/>
      <c r="C579"/>
      <c r="D579"/>
      <c r="E579"/>
      <c r="Y579" s="27" t="s">
        <v>8</v>
      </c>
      <c r="Z579" s="27" t="s">
        <v>7</v>
      </c>
      <c r="BI579" s="27" t="s">
        <v>8</v>
      </c>
      <c r="BV579" s="27" t="s">
        <v>7</v>
      </c>
      <c r="DL579" s="27" t="s">
        <v>7</v>
      </c>
      <c r="DM579" s="27" t="s">
        <v>8</v>
      </c>
      <c r="DN579" s="27" t="s">
        <v>7</v>
      </c>
      <c r="EC579" s="27" t="s">
        <v>8</v>
      </c>
      <c r="ED579" s="27" t="s">
        <v>7</v>
      </c>
      <c r="EE579" s="27" t="s">
        <v>8</v>
      </c>
      <c r="EF579" s="27" t="s">
        <v>7</v>
      </c>
      <c r="FK579" s="27" t="s">
        <v>8</v>
      </c>
      <c r="FM579" s="27" t="s">
        <v>8</v>
      </c>
      <c r="FN579" s="27" t="s">
        <v>7</v>
      </c>
      <c r="FO579" s="27" t="s">
        <v>8</v>
      </c>
      <c r="FP579" s="27" t="s">
        <v>7</v>
      </c>
      <c r="FQ579" s="27" t="s">
        <v>8</v>
      </c>
      <c r="FR579" s="27" t="s">
        <v>7</v>
      </c>
      <c r="FS579" s="27" t="s">
        <v>8</v>
      </c>
      <c r="FT579" s="27" t="s">
        <v>7</v>
      </c>
      <c r="FU579" s="27" t="s">
        <v>8</v>
      </c>
      <c r="FV579" s="27" t="s">
        <v>7</v>
      </c>
      <c r="FW579" s="27" t="s">
        <v>8</v>
      </c>
      <c r="FX579" s="27" t="s">
        <v>7</v>
      </c>
      <c r="FY579" s="27" t="s">
        <v>8</v>
      </c>
      <c r="FZ579" s="27" t="s">
        <v>7</v>
      </c>
      <c r="GE579" s="27" t="s">
        <v>8</v>
      </c>
      <c r="GF579" s="27" t="s">
        <v>7</v>
      </c>
      <c r="GI579" s="27" t="s">
        <v>8</v>
      </c>
      <c r="GJ579" s="27" t="s">
        <v>7</v>
      </c>
      <c r="GQ579" s="27" t="s">
        <v>8</v>
      </c>
      <c r="GR579" s="27" t="s">
        <v>7</v>
      </c>
      <c r="HC579" s="27" t="s">
        <v>8</v>
      </c>
      <c r="HD579" s="27" t="s">
        <v>7</v>
      </c>
      <c r="HE579" s="27" t="s">
        <v>8</v>
      </c>
      <c r="HF579" s="27" t="s">
        <v>7</v>
      </c>
      <c r="HI579" s="27" t="s">
        <v>8</v>
      </c>
      <c r="HJ579" s="27" t="s">
        <v>7</v>
      </c>
      <c r="HS579" s="27" t="s">
        <v>8</v>
      </c>
      <c r="HT579" s="27" t="s">
        <v>7</v>
      </c>
      <c r="IG579" s="27" t="s">
        <v>8</v>
      </c>
      <c r="IH579" s="27" t="s">
        <v>7</v>
      </c>
    </row>
    <row r="580" spans="1:255" x14ac:dyDescent="0.25">
      <c r="A580" s="7">
        <v>1.14868566764928</v>
      </c>
      <c r="B580"/>
      <c r="C580"/>
      <c r="D580"/>
      <c r="E580"/>
      <c r="Y580" s="27" t="s">
        <v>8</v>
      </c>
      <c r="Z580" s="27" t="s">
        <v>7</v>
      </c>
      <c r="BI580" s="27" t="s">
        <v>8</v>
      </c>
      <c r="DL580" s="27" t="s">
        <v>7</v>
      </c>
      <c r="DM580" s="27" t="s">
        <v>8</v>
      </c>
      <c r="DN580" s="27" t="s">
        <v>7</v>
      </c>
      <c r="EC580" s="27" t="s">
        <v>8</v>
      </c>
      <c r="ED580" s="27" t="s">
        <v>7</v>
      </c>
      <c r="EE580" s="27" t="s">
        <v>8</v>
      </c>
      <c r="EF580" s="27" t="s">
        <v>7</v>
      </c>
      <c r="FK580" s="27" t="s">
        <v>8</v>
      </c>
      <c r="FL580" s="27" t="s">
        <v>7</v>
      </c>
      <c r="FM580" s="27" t="s">
        <v>8</v>
      </c>
      <c r="FN580" s="27" t="s">
        <v>7</v>
      </c>
      <c r="FO580" s="27" t="s">
        <v>8</v>
      </c>
      <c r="FP580" s="27" t="s">
        <v>7</v>
      </c>
      <c r="FQ580" s="27" t="s">
        <v>8</v>
      </c>
      <c r="FR580" s="27" t="s">
        <v>7</v>
      </c>
      <c r="FS580" s="27" t="s">
        <v>8</v>
      </c>
      <c r="FT580" s="27" t="s">
        <v>7</v>
      </c>
      <c r="FU580" s="27" t="s">
        <v>8</v>
      </c>
      <c r="FV580" s="27" t="s">
        <v>7</v>
      </c>
      <c r="FW580" s="27" t="s">
        <v>8</v>
      </c>
      <c r="FX580" s="27" t="s">
        <v>7</v>
      </c>
      <c r="FZ580" s="27" t="s">
        <v>7</v>
      </c>
      <c r="GE580" s="27" t="s">
        <v>8</v>
      </c>
      <c r="GF580" s="27" t="s">
        <v>7</v>
      </c>
      <c r="GI580" s="27" t="s">
        <v>8</v>
      </c>
      <c r="GJ580" s="27" t="s">
        <v>7</v>
      </c>
      <c r="GQ580" s="27" t="s">
        <v>8</v>
      </c>
      <c r="GR580" s="27" t="s">
        <v>7</v>
      </c>
      <c r="GS580" s="27" t="s">
        <v>8</v>
      </c>
      <c r="HC580" s="27" t="s">
        <v>8</v>
      </c>
      <c r="HD580" s="27" t="s">
        <v>7</v>
      </c>
      <c r="HE580" s="27" t="s">
        <v>8</v>
      </c>
      <c r="HF580" s="27" t="s">
        <v>7</v>
      </c>
      <c r="HI580" s="27" t="s">
        <v>8</v>
      </c>
      <c r="HJ580" s="27" t="s">
        <v>7</v>
      </c>
      <c r="HS580" s="27" t="s">
        <v>8</v>
      </c>
      <c r="HT580" s="27" t="s">
        <v>7</v>
      </c>
      <c r="IG580" s="27" t="s">
        <v>8</v>
      </c>
      <c r="IH580" s="27" t="s">
        <v>7</v>
      </c>
    </row>
    <row r="581" spans="1:255" x14ac:dyDescent="0.25">
      <c r="A581" s="7">
        <v>1.1261624192640001</v>
      </c>
      <c r="B581"/>
      <c r="C581"/>
      <c r="D581"/>
      <c r="E581"/>
      <c r="Y581" s="27" t="s">
        <v>8</v>
      </c>
      <c r="Z581" s="27" t="s">
        <v>7</v>
      </c>
      <c r="BI581" s="27" t="s">
        <v>8</v>
      </c>
      <c r="DL581" s="27" t="s">
        <v>7</v>
      </c>
      <c r="DM581" s="27" t="s">
        <v>8</v>
      </c>
      <c r="DN581" s="27" t="s">
        <v>7</v>
      </c>
      <c r="EC581" s="27" t="s">
        <v>8</v>
      </c>
      <c r="ED581" s="27" t="s">
        <v>7</v>
      </c>
      <c r="EE581" s="27" t="s">
        <v>8</v>
      </c>
      <c r="EF581" s="27" t="s">
        <v>7</v>
      </c>
      <c r="FK581" s="27" t="s">
        <v>8</v>
      </c>
      <c r="FL581" s="27" t="s">
        <v>7</v>
      </c>
      <c r="FM581" s="27" t="s">
        <v>8</v>
      </c>
      <c r="FN581" s="27" t="s">
        <v>7</v>
      </c>
      <c r="FO581" s="27" t="s">
        <v>8</v>
      </c>
      <c r="FP581" s="27" t="s">
        <v>7</v>
      </c>
      <c r="FQ581" s="27" t="s">
        <v>8</v>
      </c>
      <c r="FR581" s="27" t="s">
        <v>7</v>
      </c>
      <c r="FS581" s="27" t="s">
        <v>8</v>
      </c>
      <c r="FT581" s="27" t="s">
        <v>7</v>
      </c>
      <c r="FU581" s="27" t="s">
        <v>8</v>
      </c>
      <c r="FV581" s="27" t="s">
        <v>7</v>
      </c>
      <c r="FZ581" s="27" t="s">
        <v>7</v>
      </c>
      <c r="GE581" s="27" t="s">
        <v>8</v>
      </c>
      <c r="GF581" s="27" t="s">
        <v>7</v>
      </c>
      <c r="GI581" s="27" t="s">
        <v>8</v>
      </c>
      <c r="GJ581" s="27" t="s">
        <v>7</v>
      </c>
      <c r="GQ581" s="27" t="s">
        <v>8</v>
      </c>
      <c r="GR581" s="27" t="s">
        <v>7</v>
      </c>
      <c r="GS581" s="27" t="s">
        <v>8</v>
      </c>
      <c r="GT581" s="27" t="s">
        <v>7</v>
      </c>
      <c r="HC581" s="27" t="s">
        <v>8</v>
      </c>
      <c r="HD581" s="27" t="s">
        <v>7</v>
      </c>
      <c r="HE581" s="27" t="s">
        <v>8</v>
      </c>
      <c r="HF581" s="27" t="s">
        <v>7</v>
      </c>
      <c r="HI581" s="27" t="s">
        <v>8</v>
      </c>
      <c r="HJ581" s="27" t="s">
        <v>7</v>
      </c>
      <c r="HQ581" s="27" t="s">
        <v>8</v>
      </c>
      <c r="HS581" s="27" t="s">
        <v>8</v>
      </c>
      <c r="HT581" s="27" t="s">
        <v>7</v>
      </c>
      <c r="IG581" s="27" t="s">
        <v>8</v>
      </c>
      <c r="IH581" s="27" t="s">
        <v>7</v>
      </c>
    </row>
    <row r="582" spans="1:255" x14ac:dyDescent="0.25">
      <c r="A582" s="7">
        <v>1.1040808032</v>
      </c>
      <c r="B582"/>
      <c r="C582"/>
      <c r="D582"/>
      <c r="E582"/>
      <c r="Y582" s="27" t="s">
        <v>8</v>
      </c>
      <c r="Z582" s="27" t="s">
        <v>7</v>
      </c>
      <c r="BI582" s="27" t="s">
        <v>8</v>
      </c>
      <c r="DL582" s="27" t="s">
        <v>7</v>
      </c>
      <c r="DM582" s="27" t="s">
        <v>8</v>
      </c>
      <c r="DN582" s="27" t="s">
        <v>7</v>
      </c>
      <c r="EC582" s="27" t="s">
        <v>8</v>
      </c>
      <c r="ED582" s="27" t="s">
        <v>7</v>
      </c>
      <c r="EE582" s="27" t="s">
        <v>8</v>
      </c>
      <c r="EF582" s="27" t="s">
        <v>7</v>
      </c>
      <c r="EG582" s="27" t="s">
        <v>8</v>
      </c>
      <c r="FK582" s="27" t="s">
        <v>8</v>
      </c>
      <c r="FL582" s="27" t="s">
        <v>7</v>
      </c>
      <c r="FM582" s="27" t="s">
        <v>8</v>
      </c>
      <c r="FN582" s="27" t="s">
        <v>7</v>
      </c>
      <c r="FO582" s="27" t="s">
        <v>8</v>
      </c>
      <c r="FP582" s="27" t="s">
        <v>7</v>
      </c>
      <c r="FR582" s="27" t="s">
        <v>7</v>
      </c>
      <c r="FT582" s="27" t="s">
        <v>7</v>
      </c>
      <c r="FZ582" s="27" t="s">
        <v>7</v>
      </c>
      <c r="GA582" s="27" t="s">
        <v>8</v>
      </c>
      <c r="GE582" s="27" t="s">
        <v>8</v>
      </c>
      <c r="GF582" s="27" t="s">
        <v>7</v>
      </c>
      <c r="GI582" s="27" t="s">
        <v>8</v>
      </c>
      <c r="GJ582" s="27" t="s">
        <v>7</v>
      </c>
      <c r="GQ582" s="27" t="s">
        <v>8</v>
      </c>
      <c r="GR582" s="27" t="s">
        <v>7</v>
      </c>
      <c r="GS582" s="27" t="s">
        <v>8</v>
      </c>
      <c r="GT582" s="27" t="s">
        <v>7</v>
      </c>
      <c r="HA582" s="27" t="s">
        <v>8</v>
      </c>
      <c r="HC582" s="27" t="s">
        <v>8</v>
      </c>
      <c r="HD582" s="27" t="s">
        <v>7</v>
      </c>
      <c r="HE582" s="27" t="s">
        <v>8</v>
      </c>
      <c r="HF582" s="27" t="s">
        <v>7</v>
      </c>
      <c r="HI582" s="27" t="s">
        <v>8</v>
      </c>
      <c r="HJ582" s="27" t="s">
        <v>7</v>
      </c>
      <c r="HK582" s="27" t="s">
        <v>8</v>
      </c>
      <c r="HQ582" s="27" t="s">
        <v>8</v>
      </c>
      <c r="HR582" s="27" t="s">
        <v>7</v>
      </c>
      <c r="HS582" s="27" t="s">
        <v>8</v>
      </c>
      <c r="HT582" s="27" t="s">
        <v>7</v>
      </c>
      <c r="IG582" s="27" t="s">
        <v>8</v>
      </c>
      <c r="IH582" s="27" t="s">
        <v>7</v>
      </c>
    </row>
    <row r="583" spans="1:255" x14ac:dyDescent="0.25">
      <c r="A583" s="7">
        <v>1.08243216</v>
      </c>
      <c r="B583"/>
      <c r="C583"/>
      <c r="D583"/>
      <c r="E583"/>
      <c r="Y583" s="27" t="s">
        <v>8</v>
      </c>
      <c r="Z583" s="27" t="s">
        <v>7</v>
      </c>
      <c r="BI583" s="27" t="s">
        <v>8</v>
      </c>
      <c r="DL583" s="27" t="s">
        <v>7</v>
      </c>
      <c r="DM583" s="27" t="s">
        <v>8</v>
      </c>
      <c r="DN583" s="27" t="s">
        <v>7</v>
      </c>
      <c r="EC583" s="27" t="s">
        <v>8</v>
      </c>
      <c r="ED583" s="27" t="s">
        <v>7</v>
      </c>
      <c r="EE583" s="27" t="s">
        <v>8</v>
      </c>
      <c r="EF583" s="27" t="s">
        <v>7</v>
      </c>
      <c r="EG583" s="27" t="s">
        <v>8</v>
      </c>
      <c r="EH583" s="27" t="s">
        <v>7</v>
      </c>
      <c r="FK583" s="27" t="s">
        <v>8</v>
      </c>
      <c r="FL583" s="27" t="s">
        <v>7</v>
      </c>
      <c r="FM583" s="27" t="s">
        <v>8</v>
      </c>
      <c r="FN583" s="27" t="s">
        <v>7</v>
      </c>
      <c r="FZ583" s="27" t="s">
        <v>7</v>
      </c>
      <c r="GA583" s="27" t="s">
        <v>8</v>
      </c>
      <c r="GB583" s="27" t="s">
        <v>7</v>
      </c>
      <c r="GE583" s="27" t="s">
        <v>8</v>
      </c>
      <c r="GF583" s="27" t="s">
        <v>7</v>
      </c>
      <c r="GI583" s="27" t="s">
        <v>8</v>
      </c>
      <c r="GJ583" s="27" t="s">
        <v>7</v>
      </c>
      <c r="GQ583" s="27" t="s">
        <v>8</v>
      </c>
      <c r="GR583" s="27" t="s">
        <v>7</v>
      </c>
      <c r="GS583" s="27" t="s">
        <v>8</v>
      </c>
      <c r="GT583" s="27" t="s">
        <v>7</v>
      </c>
      <c r="GU583" s="27" t="s">
        <v>8</v>
      </c>
      <c r="GW583" s="27" t="s">
        <v>8</v>
      </c>
      <c r="HA583" s="27" t="s">
        <v>8</v>
      </c>
      <c r="HB583" s="27" t="s">
        <v>7</v>
      </c>
      <c r="HC583" s="27" t="s">
        <v>8</v>
      </c>
      <c r="HD583" s="27" t="s">
        <v>7</v>
      </c>
      <c r="HE583" s="27" t="s">
        <v>8</v>
      </c>
      <c r="HF583" s="27" t="s">
        <v>7</v>
      </c>
      <c r="HI583" s="27" t="s">
        <v>8</v>
      </c>
      <c r="HJ583" s="27" t="s">
        <v>7</v>
      </c>
      <c r="HK583" s="27" t="s">
        <v>8</v>
      </c>
      <c r="HL583" s="27" t="s">
        <v>7</v>
      </c>
      <c r="HM583" s="27" t="s">
        <v>8</v>
      </c>
      <c r="HO583" s="27" t="s">
        <v>8</v>
      </c>
      <c r="HQ583" s="27" t="s">
        <v>8</v>
      </c>
      <c r="HR583" s="27" t="s">
        <v>7</v>
      </c>
      <c r="HS583" s="27" t="s">
        <v>8</v>
      </c>
      <c r="HT583" s="27" t="s">
        <v>7</v>
      </c>
      <c r="IG583" s="27" t="s">
        <v>8</v>
      </c>
      <c r="IH583" s="27" t="s">
        <v>7</v>
      </c>
    </row>
    <row r="584" spans="1:255" x14ac:dyDescent="0.25">
      <c r="A584" s="7">
        <v>1.0612079999999999</v>
      </c>
      <c r="B584"/>
      <c r="C584"/>
      <c r="D584"/>
      <c r="E584"/>
      <c r="Y584" s="27" t="s">
        <v>8</v>
      </c>
      <c r="Z584" s="27" t="s">
        <v>7</v>
      </c>
      <c r="BI584" s="27" t="s">
        <v>8</v>
      </c>
      <c r="DL584" s="27" t="s">
        <v>7</v>
      </c>
      <c r="DM584" s="27" t="s">
        <v>8</v>
      </c>
      <c r="DN584" s="27" t="s">
        <v>7</v>
      </c>
      <c r="EC584" s="27" t="s">
        <v>8</v>
      </c>
      <c r="ED584" s="27" t="s">
        <v>7</v>
      </c>
      <c r="EE584" s="27" t="s">
        <v>8</v>
      </c>
      <c r="EF584" s="27" t="s">
        <v>7</v>
      </c>
      <c r="EG584" s="27" t="s">
        <v>8</v>
      </c>
      <c r="EH584" s="27" t="s">
        <v>7</v>
      </c>
      <c r="FK584" s="27" t="s">
        <v>8</v>
      </c>
      <c r="FL584" s="27" t="s">
        <v>7</v>
      </c>
      <c r="FM584" s="27" t="s">
        <v>8</v>
      </c>
      <c r="FZ584" s="27" t="s">
        <v>7</v>
      </c>
      <c r="GA584" s="27" t="s">
        <v>8</v>
      </c>
      <c r="GB584" s="27" t="s">
        <v>7</v>
      </c>
      <c r="GE584" s="27" t="s">
        <v>8</v>
      </c>
      <c r="GF584" s="27" t="s">
        <v>7</v>
      </c>
      <c r="GI584" s="27" t="s">
        <v>8</v>
      </c>
      <c r="GJ584" s="27" t="s">
        <v>7</v>
      </c>
      <c r="GQ584" s="27" t="s">
        <v>8</v>
      </c>
      <c r="GR584" s="27" t="s">
        <v>7</v>
      </c>
      <c r="GS584" s="27" t="s">
        <v>8</v>
      </c>
      <c r="GT584" s="27" t="s">
        <v>7</v>
      </c>
      <c r="GU584" s="27" t="s">
        <v>8</v>
      </c>
      <c r="GV584" s="27" t="s">
        <v>7</v>
      </c>
      <c r="GW584" s="27" t="s">
        <v>8</v>
      </c>
      <c r="GX584" s="27" t="s">
        <v>7</v>
      </c>
      <c r="HA584" s="27" t="s">
        <v>8</v>
      </c>
      <c r="HB584" s="27" t="s">
        <v>7</v>
      </c>
      <c r="HC584" s="27" t="s">
        <v>8</v>
      </c>
      <c r="HD584" s="27" t="s">
        <v>7</v>
      </c>
      <c r="HE584" s="27" t="s">
        <v>8</v>
      </c>
      <c r="HF584" s="27" t="s">
        <v>7</v>
      </c>
      <c r="HI584" s="27" t="s">
        <v>8</v>
      </c>
      <c r="HJ584" s="27" t="s">
        <v>7</v>
      </c>
      <c r="HK584" s="27" t="s">
        <v>8</v>
      </c>
      <c r="HL584" s="27" t="s">
        <v>7</v>
      </c>
      <c r="HM584" s="27" t="s">
        <v>8</v>
      </c>
      <c r="HN584" s="27" t="s">
        <v>7</v>
      </c>
      <c r="HO584" s="27" t="s">
        <v>8</v>
      </c>
      <c r="HP584" s="27" t="s">
        <v>7</v>
      </c>
      <c r="HQ584" s="27" t="s">
        <v>8</v>
      </c>
      <c r="HR584" s="27" t="s">
        <v>7</v>
      </c>
      <c r="HS584" s="27" t="s">
        <v>8</v>
      </c>
      <c r="HT584" s="27" t="s">
        <v>7</v>
      </c>
      <c r="IG584" s="27" t="s">
        <v>8</v>
      </c>
      <c r="IH584" s="27" t="s">
        <v>7</v>
      </c>
    </row>
    <row r="585" spans="1:255" x14ac:dyDescent="0.25">
      <c r="A585" s="7">
        <v>1.0404</v>
      </c>
      <c r="B585"/>
      <c r="C585"/>
      <c r="D585"/>
      <c r="E585"/>
      <c r="Y585" s="27" t="s">
        <v>8</v>
      </c>
      <c r="Z585" s="27" t="s">
        <v>7</v>
      </c>
      <c r="AC585" s="27" t="s">
        <v>8</v>
      </c>
      <c r="BI585" s="27" t="s">
        <v>8</v>
      </c>
      <c r="DL585" s="27" t="s">
        <v>7</v>
      </c>
      <c r="DN585" s="27" t="s">
        <v>7</v>
      </c>
      <c r="EC585" s="27" t="s">
        <v>8</v>
      </c>
      <c r="ED585" s="27" t="s">
        <v>7</v>
      </c>
      <c r="EE585" s="27" t="s">
        <v>8</v>
      </c>
      <c r="EF585" s="27" t="s">
        <v>7</v>
      </c>
      <c r="EG585" s="27" t="s">
        <v>8</v>
      </c>
      <c r="EH585" s="27" t="s">
        <v>7</v>
      </c>
      <c r="FK585" s="27" t="s">
        <v>8</v>
      </c>
      <c r="FL585" s="27" t="s">
        <v>7</v>
      </c>
      <c r="FM585" s="27" t="s">
        <v>8</v>
      </c>
      <c r="FZ585" s="27" t="s">
        <v>7</v>
      </c>
      <c r="GA585" s="27" t="s">
        <v>8</v>
      </c>
      <c r="GB585" s="27" t="s">
        <v>7</v>
      </c>
      <c r="GE585" s="27" t="s">
        <v>8</v>
      </c>
      <c r="GF585" s="27" t="s">
        <v>7</v>
      </c>
      <c r="GI585" s="27" t="s">
        <v>8</v>
      </c>
      <c r="GJ585" s="27" t="s">
        <v>7</v>
      </c>
      <c r="GQ585" s="27" t="s">
        <v>8</v>
      </c>
      <c r="GR585" s="27" t="s">
        <v>7</v>
      </c>
      <c r="GS585" s="27" t="s">
        <v>8</v>
      </c>
      <c r="GT585" s="27" t="s">
        <v>7</v>
      </c>
      <c r="GU585" s="27" t="s">
        <v>8</v>
      </c>
      <c r="GV585" s="27" t="s">
        <v>7</v>
      </c>
      <c r="GW585" s="27" t="s">
        <v>8</v>
      </c>
      <c r="GX585" s="27" t="s">
        <v>7</v>
      </c>
      <c r="HA585" s="27" t="s">
        <v>8</v>
      </c>
      <c r="HB585" s="27" t="s">
        <v>7</v>
      </c>
      <c r="HC585" s="27" t="s">
        <v>8</v>
      </c>
      <c r="HD585" s="27" t="s">
        <v>7</v>
      </c>
      <c r="HE585" s="27" t="s">
        <v>8</v>
      </c>
      <c r="HF585" s="27" t="s">
        <v>7</v>
      </c>
      <c r="HG585" s="27" t="s">
        <v>8</v>
      </c>
      <c r="HI585" s="27" t="s">
        <v>8</v>
      </c>
      <c r="HJ585" s="27" t="s">
        <v>7</v>
      </c>
      <c r="HK585" s="27" t="s">
        <v>8</v>
      </c>
      <c r="HL585" s="27" t="s">
        <v>7</v>
      </c>
      <c r="HM585" s="27" t="s">
        <v>8</v>
      </c>
      <c r="HN585" s="27" t="s">
        <v>7</v>
      </c>
      <c r="HO585" s="27" t="s">
        <v>8</v>
      </c>
      <c r="HP585" s="27" t="s">
        <v>7</v>
      </c>
      <c r="HQ585" s="27" t="s">
        <v>8</v>
      </c>
      <c r="HR585" s="27" t="s">
        <v>7</v>
      </c>
      <c r="HS585" s="27" t="s">
        <v>8</v>
      </c>
      <c r="HT585" s="27" t="s">
        <v>7</v>
      </c>
      <c r="IG585" s="27" t="s">
        <v>8</v>
      </c>
      <c r="IH585" s="27" t="s">
        <v>7</v>
      </c>
    </row>
    <row r="586" spans="1:255" x14ac:dyDescent="0.25">
      <c r="A586" s="7">
        <v>1.02</v>
      </c>
      <c r="B586"/>
      <c r="C586"/>
      <c r="D586"/>
      <c r="E586"/>
      <c r="Y586" s="27" t="s">
        <v>8</v>
      </c>
      <c r="Z586" s="27" t="s">
        <v>7</v>
      </c>
      <c r="AC586" s="27" t="s">
        <v>8</v>
      </c>
      <c r="AD586" s="27" t="s">
        <v>7</v>
      </c>
      <c r="BI586" s="27" t="s">
        <v>8</v>
      </c>
      <c r="DN586" s="27" t="s">
        <v>7</v>
      </c>
      <c r="EC586" s="27" t="s">
        <v>8</v>
      </c>
      <c r="ED586" s="27" t="s">
        <v>7</v>
      </c>
      <c r="EE586" s="27" t="s">
        <v>8</v>
      </c>
      <c r="EF586" s="27" t="s">
        <v>7</v>
      </c>
      <c r="EG586" s="27" t="s">
        <v>8</v>
      </c>
      <c r="EH586" s="27" t="s">
        <v>7</v>
      </c>
      <c r="FK586" s="27" t="s">
        <v>8</v>
      </c>
      <c r="FL586" s="27" t="s">
        <v>7</v>
      </c>
      <c r="FM586" s="27" t="s">
        <v>8</v>
      </c>
      <c r="FZ586" s="27" t="s">
        <v>7</v>
      </c>
      <c r="GA586" s="27" t="s">
        <v>8</v>
      </c>
      <c r="GB586" s="27" t="s">
        <v>7</v>
      </c>
      <c r="GC586" s="27" t="s">
        <v>8</v>
      </c>
      <c r="GE586" s="27" t="s">
        <v>8</v>
      </c>
      <c r="GF586" s="27" t="s">
        <v>7</v>
      </c>
      <c r="GI586" s="27" t="s">
        <v>8</v>
      </c>
      <c r="GJ586" s="27" t="s">
        <v>7</v>
      </c>
      <c r="GM586" s="27" t="s">
        <v>8</v>
      </c>
      <c r="GQ586" s="27" t="s">
        <v>8</v>
      </c>
      <c r="GR586" s="27" t="s">
        <v>7</v>
      </c>
      <c r="GS586" s="27" t="s">
        <v>8</v>
      </c>
      <c r="GT586" s="27" t="s">
        <v>7</v>
      </c>
      <c r="GU586" s="27" t="s">
        <v>8</v>
      </c>
      <c r="GV586" s="27" t="s">
        <v>7</v>
      </c>
      <c r="GX586" s="27" t="s">
        <v>7</v>
      </c>
      <c r="HA586" s="27" t="s">
        <v>8</v>
      </c>
      <c r="HB586" s="27" t="s">
        <v>7</v>
      </c>
      <c r="HC586" s="27" t="s">
        <v>8</v>
      </c>
      <c r="HD586" s="27" t="s">
        <v>7</v>
      </c>
      <c r="HE586" s="27" t="s">
        <v>8</v>
      </c>
      <c r="HF586" s="27" t="s">
        <v>7</v>
      </c>
      <c r="HG586" s="27" t="s">
        <v>8</v>
      </c>
      <c r="HH586" s="27" t="s">
        <v>7</v>
      </c>
      <c r="HI586" s="27" t="s">
        <v>8</v>
      </c>
      <c r="HJ586" s="27" t="s">
        <v>7</v>
      </c>
      <c r="HL586" s="27" t="s">
        <v>7</v>
      </c>
      <c r="HM586" s="27" t="s">
        <v>8</v>
      </c>
      <c r="HN586" s="27" t="s">
        <v>7</v>
      </c>
      <c r="HO586" s="27" t="s">
        <v>8</v>
      </c>
      <c r="HP586" s="27" t="s">
        <v>7</v>
      </c>
      <c r="HQ586" s="27" t="s">
        <v>8</v>
      </c>
      <c r="HR586" s="27" t="s">
        <v>7</v>
      </c>
      <c r="HS586" s="27" t="s">
        <v>8</v>
      </c>
      <c r="HT586" s="27" t="s">
        <v>7</v>
      </c>
      <c r="IG586" s="27" t="s">
        <v>8</v>
      </c>
      <c r="IH586" s="27" t="s">
        <v>7</v>
      </c>
    </row>
    <row r="587" spans="1:255" x14ac:dyDescent="0.25">
      <c r="A587" s="7">
        <v>1</v>
      </c>
      <c r="B587"/>
      <c r="C587"/>
      <c r="D587"/>
      <c r="E587" s="29" t="s">
        <v>8</v>
      </c>
      <c r="Y587" s="27" t="s">
        <v>8</v>
      </c>
      <c r="Z587" s="27" t="s">
        <v>7</v>
      </c>
      <c r="AC587" s="27" t="s">
        <v>8</v>
      </c>
      <c r="AD587" s="27" t="s">
        <v>7</v>
      </c>
      <c r="BI587" s="27" t="s">
        <v>8</v>
      </c>
      <c r="DN587" s="27" t="s">
        <v>7</v>
      </c>
      <c r="EC587" s="27" t="s">
        <v>8</v>
      </c>
      <c r="ED587" s="27" t="s">
        <v>7</v>
      </c>
      <c r="EE587" s="27" t="s">
        <v>8</v>
      </c>
      <c r="EF587" s="27" t="s">
        <v>7</v>
      </c>
      <c r="EG587" s="27" t="s">
        <v>8</v>
      </c>
      <c r="EH587" s="27" t="s">
        <v>7</v>
      </c>
      <c r="FK587" s="27" t="s">
        <v>8</v>
      </c>
      <c r="FL587" s="27" t="s">
        <v>7</v>
      </c>
      <c r="FM587" s="27" t="s">
        <v>8</v>
      </c>
      <c r="FZ587" s="27" t="s">
        <v>7</v>
      </c>
      <c r="GA587" s="27" t="s">
        <v>8</v>
      </c>
      <c r="GB587" s="27" t="s">
        <v>7</v>
      </c>
      <c r="GC587" s="27" t="s">
        <v>8</v>
      </c>
      <c r="GD587" s="27" t="s">
        <v>7</v>
      </c>
      <c r="GE587" s="27" t="s">
        <v>8</v>
      </c>
      <c r="GF587" s="27" t="s">
        <v>7</v>
      </c>
      <c r="GI587" s="27" t="s">
        <v>8</v>
      </c>
      <c r="GJ587" s="27" t="s">
        <v>7</v>
      </c>
      <c r="GM587" s="27" t="s">
        <v>8</v>
      </c>
      <c r="GN587" s="27" t="s">
        <v>7</v>
      </c>
      <c r="GQ587" s="27" t="s">
        <v>8</v>
      </c>
      <c r="GR587" s="27" t="s">
        <v>7</v>
      </c>
      <c r="GS587" s="27" t="s">
        <v>8</v>
      </c>
      <c r="GT587" s="27" t="s">
        <v>7</v>
      </c>
      <c r="GX587" s="27" t="s">
        <v>7</v>
      </c>
      <c r="GY587" s="27" t="s">
        <v>8</v>
      </c>
      <c r="HA587" s="27" t="s">
        <v>8</v>
      </c>
      <c r="HB587" s="27" t="s">
        <v>7</v>
      </c>
      <c r="HC587" s="27" t="s">
        <v>8</v>
      </c>
      <c r="HD587" s="27" t="s">
        <v>7</v>
      </c>
      <c r="HE587" s="27" t="s">
        <v>8</v>
      </c>
      <c r="HF587" s="27" t="s">
        <v>7</v>
      </c>
      <c r="HG587" s="27" t="s">
        <v>8</v>
      </c>
      <c r="HH587" s="27" t="s">
        <v>7</v>
      </c>
      <c r="HI587" s="27" t="s">
        <v>8</v>
      </c>
      <c r="HL587" s="27" t="s">
        <v>7</v>
      </c>
      <c r="HM587" s="27" t="s">
        <v>8</v>
      </c>
      <c r="HN587" s="27" t="s">
        <v>7</v>
      </c>
      <c r="HO587" s="27" t="s">
        <v>8</v>
      </c>
      <c r="HP587" s="27" t="s">
        <v>7</v>
      </c>
      <c r="HR587" s="27" t="s">
        <v>7</v>
      </c>
      <c r="HT587" s="27" t="s">
        <v>7</v>
      </c>
      <c r="HU587" s="27" t="s">
        <v>8</v>
      </c>
      <c r="IG587" s="27" t="s">
        <v>8</v>
      </c>
      <c r="IH587" s="27" t="s">
        <v>7</v>
      </c>
    </row>
    <row r="588" spans="1:255" x14ac:dyDescent="0.25">
      <c r="A588" s="7">
        <v>0.98039215686274506</v>
      </c>
      <c r="B588"/>
      <c r="C588"/>
      <c r="D588"/>
      <c r="E588"/>
      <c r="F588" s="27" t="s">
        <v>7</v>
      </c>
      <c r="Y588" s="27" t="s">
        <v>8</v>
      </c>
      <c r="Z588" s="27" t="s">
        <v>7</v>
      </c>
      <c r="AC588" s="27" t="s">
        <v>8</v>
      </c>
      <c r="AD588" s="27" t="s">
        <v>7</v>
      </c>
      <c r="AG588" s="27" t="s">
        <v>8</v>
      </c>
      <c r="BI588" s="27" t="s">
        <v>8</v>
      </c>
      <c r="DN588" s="27" t="s">
        <v>7</v>
      </c>
      <c r="EC588" s="27" t="s">
        <v>8</v>
      </c>
      <c r="ED588" s="27" t="s">
        <v>7</v>
      </c>
      <c r="EE588" s="27" t="s">
        <v>8</v>
      </c>
      <c r="EF588" s="27" t="s">
        <v>7</v>
      </c>
      <c r="EG588" s="27" t="s">
        <v>8</v>
      </c>
      <c r="EH588" s="27" t="s">
        <v>7</v>
      </c>
      <c r="FK588" s="27" t="s">
        <v>8</v>
      </c>
      <c r="FL588" s="27" t="s">
        <v>7</v>
      </c>
      <c r="FM588" s="27" t="s">
        <v>8</v>
      </c>
      <c r="FZ588" s="27" t="s">
        <v>7</v>
      </c>
      <c r="GB588" s="27" t="s">
        <v>7</v>
      </c>
      <c r="GC588" s="27" t="s">
        <v>8</v>
      </c>
      <c r="GD588" s="27" t="s">
        <v>7</v>
      </c>
      <c r="GE588" s="27" t="s">
        <v>8</v>
      </c>
      <c r="GF588" s="27" t="s">
        <v>7</v>
      </c>
      <c r="GG588" s="27" t="s">
        <v>8</v>
      </c>
      <c r="GI588" s="27" t="s">
        <v>8</v>
      </c>
      <c r="GJ588" s="27" t="s">
        <v>7</v>
      </c>
      <c r="GM588" s="27" t="s">
        <v>8</v>
      </c>
      <c r="GN588" s="27" t="s">
        <v>7</v>
      </c>
      <c r="GQ588" s="27" t="s">
        <v>8</v>
      </c>
      <c r="GR588" s="27" t="s">
        <v>7</v>
      </c>
      <c r="GS588" s="27" t="s">
        <v>8</v>
      </c>
      <c r="GX588" s="27" t="s">
        <v>7</v>
      </c>
      <c r="GY588" s="27" t="s">
        <v>8</v>
      </c>
      <c r="GZ588" s="27" t="s">
        <v>7</v>
      </c>
      <c r="HA588" s="27" t="s">
        <v>8</v>
      </c>
      <c r="HB588" s="27" t="s">
        <v>7</v>
      </c>
      <c r="HD588" s="27" t="s">
        <v>7</v>
      </c>
      <c r="HF588" s="27" t="s">
        <v>7</v>
      </c>
      <c r="HG588" s="27" t="s">
        <v>8</v>
      </c>
      <c r="HH588" s="27" t="s">
        <v>7</v>
      </c>
      <c r="HI588" s="27" t="s">
        <v>8</v>
      </c>
      <c r="HL588" s="27" t="s">
        <v>7</v>
      </c>
      <c r="HM588" s="27" t="s">
        <v>8</v>
      </c>
      <c r="HN588" s="27" t="s">
        <v>7</v>
      </c>
      <c r="HT588" s="27" t="s">
        <v>7</v>
      </c>
      <c r="HU588" s="27" t="s">
        <v>8</v>
      </c>
      <c r="HV588" s="27" t="s">
        <v>7</v>
      </c>
      <c r="IG588" s="27" t="s">
        <v>8</v>
      </c>
      <c r="IH588" s="27" t="s">
        <v>7</v>
      </c>
    </row>
    <row r="589" spans="1:255" x14ac:dyDescent="0.25">
      <c r="A589" s="7">
        <v>0.96116878123798544</v>
      </c>
      <c r="B589"/>
      <c r="C589"/>
      <c r="D589"/>
      <c r="E589"/>
      <c r="F589" s="27" t="s">
        <v>7</v>
      </c>
      <c r="Y589" s="27" t="s">
        <v>8</v>
      </c>
      <c r="Z589" s="27" t="s">
        <v>7</v>
      </c>
      <c r="AA589" s="27" t="s">
        <v>8</v>
      </c>
      <c r="AC589" s="27" t="s">
        <v>8</v>
      </c>
      <c r="AD589" s="27" t="s">
        <v>7</v>
      </c>
      <c r="AG589" s="27" t="s">
        <v>8</v>
      </c>
      <c r="AH589" s="27" t="s">
        <v>7</v>
      </c>
      <c r="BI589" s="27" t="s">
        <v>8</v>
      </c>
      <c r="DN589" s="27" t="s">
        <v>7</v>
      </c>
      <c r="DS589" s="27" t="s">
        <v>8</v>
      </c>
      <c r="EC589" s="27" t="s">
        <v>8</v>
      </c>
      <c r="ED589" s="27" t="s">
        <v>7</v>
      </c>
      <c r="EE589" s="27" t="s">
        <v>8</v>
      </c>
      <c r="EF589" s="27" t="s">
        <v>7</v>
      </c>
      <c r="EG589" s="27" t="s">
        <v>8</v>
      </c>
      <c r="EH589" s="27" t="s">
        <v>7</v>
      </c>
      <c r="FE589" s="27" t="s">
        <v>8</v>
      </c>
      <c r="FK589" s="27" t="s">
        <v>8</v>
      </c>
      <c r="FL589" s="27" t="s">
        <v>7</v>
      </c>
      <c r="FM589" s="27" t="s">
        <v>8</v>
      </c>
      <c r="GB589" s="27" t="s">
        <v>7</v>
      </c>
      <c r="GD589" s="27" t="s">
        <v>7</v>
      </c>
      <c r="GE589" s="27" t="s">
        <v>8</v>
      </c>
      <c r="GF589" s="27" t="s">
        <v>7</v>
      </c>
      <c r="GG589" s="27" t="s">
        <v>8</v>
      </c>
      <c r="GH589" s="27" t="s">
        <v>7</v>
      </c>
      <c r="GI589" s="27" t="s">
        <v>8</v>
      </c>
      <c r="GJ589" s="27" t="s">
        <v>7</v>
      </c>
      <c r="GM589" s="27" t="s">
        <v>8</v>
      </c>
      <c r="GN589" s="27" t="s">
        <v>7</v>
      </c>
      <c r="GO589" s="27" t="s">
        <v>8</v>
      </c>
      <c r="GQ589" s="27" t="s">
        <v>8</v>
      </c>
      <c r="GR589" s="27" t="s">
        <v>7</v>
      </c>
      <c r="GS589" s="27" t="s">
        <v>8</v>
      </c>
      <c r="GX589" s="27" t="s">
        <v>7</v>
      </c>
      <c r="GY589" s="27" t="s">
        <v>8</v>
      </c>
      <c r="GZ589" s="27" t="s">
        <v>7</v>
      </c>
      <c r="HA589" s="27" t="s">
        <v>8</v>
      </c>
      <c r="HF589" s="27" t="s">
        <v>7</v>
      </c>
      <c r="HH589" s="27" t="s">
        <v>7</v>
      </c>
      <c r="HI589" s="27" t="s">
        <v>8</v>
      </c>
      <c r="HL589" s="27" t="s">
        <v>7</v>
      </c>
      <c r="HM589" s="27" t="s">
        <v>8</v>
      </c>
      <c r="HT589" s="27" t="s">
        <v>7</v>
      </c>
      <c r="HU589" s="27" t="s">
        <v>8</v>
      </c>
      <c r="HV589" s="27" t="s">
        <v>7</v>
      </c>
      <c r="IG589" s="27" t="s">
        <v>8</v>
      </c>
      <c r="IH589" s="27" t="s">
        <v>7</v>
      </c>
    </row>
    <row r="590" spans="1:255" x14ac:dyDescent="0.25">
      <c r="A590" s="7">
        <v>0.94232233454704462</v>
      </c>
      <c r="B590"/>
      <c r="C590"/>
      <c r="D590"/>
      <c r="E590"/>
      <c r="F590" s="27" t="s">
        <v>7</v>
      </c>
      <c r="Y590" s="27" t="s">
        <v>8</v>
      </c>
      <c r="Z590" s="27" t="s">
        <v>7</v>
      </c>
      <c r="AA590" s="27" t="s">
        <v>8</v>
      </c>
      <c r="AB590" s="27" t="s">
        <v>7</v>
      </c>
      <c r="AC590" s="27" t="s">
        <v>8</v>
      </c>
      <c r="AD590" s="27" t="s">
        <v>7</v>
      </c>
      <c r="AE590" s="27" t="s">
        <v>8</v>
      </c>
      <c r="AG590" s="27" t="s">
        <v>8</v>
      </c>
      <c r="AH590" s="27" t="s">
        <v>7</v>
      </c>
      <c r="BC590" s="27" t="s">
        <v>8</v>
      </c>
      <c r="BI590" s="27" t="s">
        <v>8</v>
      </c>
      <c r="DN590" s="27" t="s">
        <v>7</v>
      </c>
      <c r="DS590" s="27" t="s">
        <v>8</v>
      </c>
      <c r="DT590" s="27" t="s">
        <v>7</v>
      </c>
      <c r="EC590" s="27" t="s">
        <v>8</v>
      </c>
      <c r="ED590" s="27" t="s">
        <v>7</v>
      </c>
      <c r="EE590" s="27" t="s">
        <v>8</v>
      </c>
      <c r="EF590" s="27" t="s">
        <v>7</v>
      </c>
      <c r="EG590" s="27" t="s">
        <v>8</v>
      </c>
      <c r="EH590" s="27" t="s">
        <v>7</v>
      </c>
      <c r="FE590" s="27" t="s">
        <v>8</v>
      </c>
      <c r="FF590" s="27" t="s">
        <v>7</v>
      </c>
      <c r="FI590" s="27" t="s">
        <v>8</v>
      </c>
      <c r="FK590" s="27" t="s">
        <v>8</v>
      </c>
      <c r="FL590" s="27" t="s">
        <v>7</v>
      </c>
      <c r="GD590" s="27" t="s">
        <v>7</v>
      </c>
      <c r="GE590" s="27" t="s">
        <v>8</v>
      </c>
      <c r="GF590" s="27" t="s">
        <v>7</v>
      </c>
      <c r="GG590" s="27" t="s">
        <v>8</v>
      </c>
      <c r="GH590" s="27" t="s">
        <v>7</v>
      </c>
      <c r="GI590" s="27" t="s">
        <v>8</v>
      </c>
      <c r="GJ590" s="27" t="s">
        <v>7</v>
      </c>
      <c r="GK590" s="27" t="s">
        <v>8</v>
      </c>
      <c r="GM590" s="27" t="s">
        <v>8</v>
      </c>
      <c r="GN590" s="27" t="s">
        <v>7</v>
      </c>
      <c r="GO590" s="27" t="s">
        <v>8</v>
      </c>
      <c r="GP590" s="27" t="s">
        <v>7</v>
      </c>
      <c r="GQ590" s="27" t="s">
        <v>8</v>
      </c>
      <c r="GR590" s="27" t="s">
        <v>7</v>
      </c>
      <c r="GS590" s="27" t="s">
        <v>8</v>
      </c>
      <c r="GX590" s="27" t="s">
        <v>7</v>
      </c>
      <c r="GY590" s="27" t="s">
        <v>8</v>
      </c>
      <c r="GZ590" s="27" t="s">
        <v>7</v>
      </c>
      <c r="HH590" s="27" t="s">
        <v>7</v>
      </c>
      <c r="HI590" s="27" t="s">
        <v>8</v>
      </c>
      <c r="HL590" s="27" t="s">
        <v>7</v>
      </c>
      <c r="HT590" s="27" t="s">
        <v>7</v>
      </c>
      <c r="HU590" s="27" t="s">
        <v>8</v>
      </c>
      <c r="HV590" s="27" t="s">
        <v>7</v>
      </c>
      <c r="IG590" s="27" t="s">
        <v>8</v>
      </c>
      <c r="IH590" s="27" t="s">
        <v>7</v>
      </c>
    </row>
    <row r="591" spans="1:255" x14ac:dyDescent="0.25">
      <c r="A591" s="7">
        <v>0.92384542602651432</v>
      </c>
      <c r="B591"/>
      <c r="C591"/>
      <c r="D591"/>
      <c r="E591"/>
      <c r="F591" s="27" t="s">
        <v>7</v>
      </c>
      <c r="Y591" s="27" t="s">
        <v>8</v>
      </c>
      <c r="Z591" s="27" t="s">
        <v>7</v>
      </c>
      <c r="AA591" s="27" t="s">
        <v>8</v>
      </c>
      <c r="AB591" s="27" t="s">
        <v>7</v>
      </c>
      <c r="AC591" s="27" t="s">
        <v>8</v>
      </c>
      <c r="AD591" s="27" t="s">
        <v>7</v>
      </c>
      <c r="AE591" s="27" t="s">
        <v>8</v>
      </c>
      <c r="AF591" s="27" t="s">
        <v>7</v>
      </c>
      <c r="AG591" s="27" t="s">
        <v>8</v>
      </c>
      <c r="AH591" s="27" t="s">
        <v>7</v>
      </c>
      <c r="AI591" s="27" t="s">
        <v>8</v>
      </c>
      <c r="BC591" s="27" t="s">
        <v>8</v>
      </c>
      <c r="BD591" s="27" t="s">
        <v>7</v>
      </c>
      <c r="BI591" s="27" t="s">
        <v>8</v>
      </c>
      <c r="DN591" s="27" t="s">
        <v>7</v>
      </c>
      <c r="DS591" s="27" t="s">
        <v>8</v>
      </c>
      <c r="DT591" s="27" t="s">
        <v>7</v>
      </c>
      <c r="EC591" s="27" t="s">
        <v>8</v>
      </c>
      <c r="ED591" s="27" t="s">
        <v>7</v>
      </c>
      <c r="EE591" s="27" t="s">
        <v>8</v>
      </c>
      <c r="EF591" s="27" t="s">
        <v>7</v>
      </c>
      <c r="EG591" s="27" t="s">
        <v>8</v>
      </c>
      <c r="EH591" s="27" t="s">
        <v>7</v>
      </c>
      <c r="FE591" s="27" t="s">
        <v>8</v>
      </c>
      <c r="FF591" s="27" t="s">
        <v>7</v>
      </c>
      <c r="FG591" s="27" t="s">
        <v>8</v>
      </c>
      <c r="FI591" s="27" t="s">
        <v>8</v>
      </c>
      <c r="FJ591" s="27" t="s">
        <v>7</v>
      </c>
      <c r="FK591" s="27" t="s">
        <v>8</v>
      </c>
      <c r="GD591" s="27" t="s">
        <v>7</v>
      </c>
      <c r="GE591" s="27" t="s">
        <v>8</v>
      </c>
      <c r="GF591" s="27" t="s">
        <v>7</v>
      </c>
      <c r="GG591" s="27" t="s">
        <v>8</v>
      </c>
      <c r="GH591" s="27" t="s">
        <v>7</v>
      </c>
      <c r="GJ591" s="27" t="s">
        <v>7</v>
      </c>
      <c r="GK591" s="27" t="s">
        <v>8</v>
      </c>
      <c r="GL591" s="27" t="s">
        <v>7</v>
      </c>
      <c r="GM591" s="27" t="s">
        <v>8</v>
      </c>
      <c r="GN591" s="27" t="s">
        <v>7</v>
      </c>
      <c r="GO591" s="27" t="s">
        <v>8</v>
      </c>
      <c r="GP591" s="27" t="s">
        <v>7</v>
      </c>
      <c r="GQ591" s="27" t="s">
        <v>8</v>
      </c>
      <c r="GR591" s="27" t="s">
        <v>7</v>
      </c>
      <c r="GS591" s="27" t="s">
        <v>8</v>
      </c>
      <c r="GX591" s="27" t="s">
        <v>7</v>
      </c>
      <c r="GY591" s="27" t="s">
        <v>8</v>
      </c>
      <c r="HH591" s="27" t="s">
        <v>7</v>
      </c>
      <c r="HI591" s="27" t="s">
        <v>8</v>
      </c>
      <c r="HT591" s="27" t="s">
        <v>7</v>
      </c>
      <c r="HU591" s="27" t="s">
        <v>8</v>
      </c>
      <c r="HV591" s="27" t="s">
        <v>7</v>
      </c>
      <c r="IG591" s="27" t="s">
        <v>8</v>
      </c>
      <c r="IH591" s="27" t="s">
        <v>7</v>
      </c>
      <c r="II591" s="27" t="s">
        <v>8</v>
      </c>
    </row>
    <row r="592" spans="1:255" x14ac:dyDescent="0.25">
      <c r="A592" s="7">
        <v>0.90573080982991594</v>
      </c>
      <c r="B592"/>
      <c r="C592"/>
      <c r="D592"/>
      <c r="E592"/>
      <c r="F592" s="27" t="s">
        <v>7</v>
      </c>
      <c r="Y592" s="27" t="s">
        <v>8</v>
      </c>
      <c r="Z592" s="27" t="s">
        <v>7</v>
      </c>
      <c r="AA592" s="27" t="s">
        <v>8</v>
      </c>
      <c r="AB592" s="27" t="s">
        <v>7</v>
      </c>
      <c r="AC592" s="27" t="s">
        <v>8</v>
      </c>
      <c r="AD592" s="27" t="s">
        <v>7</v>
      </c>
      <c r="AE592" s="27" t="s">
        <v>8</v>
      </c>
      <c r="AF592" s="27" t="s">
        <v>7</v>
      </c>
      <c r="AG592" s="27" t="s">
        <v>8</v>
      </c>
      <c r="AH592" s="27" t="s">
        <v>7</v>
      </c>
      <c r="AI592" s="27" t="s">
        <v>8</v>
      </c>
      <c r="AJ592" s="27" t="s">
        <v>7</v>
      </c>
      <c r="BC592" s="27" t="s">
        <v>8</v>
      </c>
      <c r="BD592" s="27" t="s">
        <v>7</v>
      </c>
      <c r="BI592" s="27" t="s">
        <v>8</v>
      </c>
      <c r="DN592" s="27" t="s">
        <v>7</v>
      </c>
      <c r="DS592" s="27" t="s">
        <v>8</v>
      </c>
      <c r="DT592" s="27" t="s">
        <v>7</v>
      </c>
      <c r="EC592" s="27" t="s">
        <v>8</v>
      </c>
      <c r="ED592" s="27" t="s">
        <v>7</v>
      </c>
      <c r="EE592" s="27" t="s">
        <v>8</v>
      </c>
      <c r="EF592" s="27" t="s">
        <v>7</v>
      </c>
      <c r="EG592" s="27" t="s">
        <v>8</v>
      </c>
      <c r="EH592" s="27" t="s">
        <v>7</v>
      </c>
      <c r="FE592" s="27" t="s">
        <v>8</v>
      </c>
      <c r="FF592" s="27" t="s">
        <v>7</v>
      </c>
      <c r="FG592" s="27" t="s">
        <v>8</v>
      </c>
      <c r="FH592" s="27" t="s">
        <v>7</v>
      </c>
      <c r="FI592" s="27" t="s">
        <v>8</v>
      </c>
      <c r="FJ592" s="27" t="s">
        <v>7</v>
      </c>
      <c r="FK592" s="27" t="s">
        <v>8</v>
      </c>
      <c r="GD592" s="27" t="s">
        <v>7</v>
      </c>
      <c r="GE592" s="27" t="s">
        <v>8</v>
      </c>
      <c r="GF592" s="27" t="s">
        <v>7</v>
      </c>
      <c r="GG592" s="27" t="s">
        <v>8</v>
      </c>
      <c r="GJ592" s="27" t="s">
        <v>7</v>
      </c>
      <c r="GK592" s="27" t="s">
        <v>8</v>
      </c>
      <c r="GL592" s="27" t="s">
        <v>7</v>
      </c>
      <c r="GM592" s="27" t="s">
        <v>8</v>
      </c>
      <c r="GN592" s="27" t="s">
        <v>7</v>
      </c>
      <c r="GP592" s="27" t="s">
        <v>7</v>
      </c>
      <c r="GR592" s="27" t="s">
        <v>7</v>
      </c>
      <c r="GX592" s="27" t="s">
        <v>7</v>
      </c>
      <c r="GY592" s="27" t="s">
        <v>8</v>
      </c>
      <c r="HH592" s="27" t="s">
        <v>7</v>
      </c>
      <c r="HI592" s="27" t="s">
        <v>8</v>
      </c>
      <c r="HT592" s="27" t="s">
        <v>7</v>
      </c>
      <c r="HU592" s="27" t="s">
        <v>8</v>
      </c>
      <c r="HV592" s="27" t="s">
        <v>7</v>
      </c>
      <c r="IG592" s="27" t="s">
        <v>8</v>
      </c>
      <c r="IH592" s="27" t="s">
        <v>7</v>
      </c>
      <c r="II592" s="27" t="s">
        <v>8</v>
      </c>
      <c r="IJ592" s="27" t="s">
        <v>7</v>
      </c>
      <c r="IU592" s="27" t="s">
        <v>8</v>
      </c>
    </row>
    <row r="593" spans="1:256" x14ac:dyDescent="0.25">
      <c r="A593" s="7">
        <v>0.8879713821861922</v>
      </c>
      <c r="B593"/>
      <c r="C593"/>
      <c r="D593"/>
      <c r="E593"/>
      <c r="F593" s="27" t="s">
        <v>7</v>
      </c>
      <c r="Y593" s="27" t="s">
        <v>8</v>
      </c>
      <c r="Z593" s="27" t="s">
        <v>7</v>
      </c>
      <c r="AA593" s="27" t="s">
        <v>8</v>
      </c>
      <c r="AB593" s="27" t="s">
        <v>7</v>
      </c>
      <c r="AC593" s="27" t="s">
        <v>8</v>
      </c>
      <c r="AD593" s="27" t="s">
        <v>7</v>
      </c>
      <c r="AE593" s="27" t="s">
        <v>8</v>
      </c>
      <c r="AF593" s="27" t="s">
        <v>7</v>
      </c>
      <c r="AG593" s="27" t="s">
        <v>8</v>
      </c>
      <c r="AH593" s="27" t="s">
        <v>7</v>
      </c>
      <c r="AI593" s="27" t="s">
        <v>8</v>
      </c>
      <c r="AJ593" s="27" t="s">
        <v>7</v>
      </c>
      <c r="BC593" s="27" t="s">
        <v>8</v>
      </c>
      <c r="BD593" s="27" t="s">
        <v>7</v>
      </c>
      <c r="BI593" s="27" t="s">
        <v>8</v>
      </c>
      <c r="DN593" s="27" t="s">
        <v>7</v>
      </c>
      <c r="DO593" s="27" t="s">
        <v>8</v>
      </c>
      <c r="DS593" s="27" t="s">
        <v>8</v>
      </c>
      <c r="DT593" s="27" t="s">
        <v>7</v>
      </c>
      <c r="EC593" s="27" t="s">
        <v>8</v>
      </c>
      <c r="ED593" s="27" t="s">
        <v>7</v>
      </c>
      <c r="EE593" s="27" t="s">
        <v>8</v>
      </c>
      <c r="EF593" s="27" t="s">
        <v>7</v>
      </c>
      <c r="EG593" s="27" t="s">
        <v>8</v>
      </c>
      <c r="EH593" s="27" t="s">
        <v>7</v>
      </c>
      <c r="FE593" s="27" t="s">
        <v>8</v>
      </c>
      <c r="FF593" s="27" t="s">
        <v>7</v>
      </c>
      <c r="FG593" s="27" t="s">
        <v>8</v>
      </c>
      <c r="FH593" s="27" t="s">
        <v>7</v>
      </c>
      <c r="FI593" s="27" t="s">
        <v>8</v>
      </c>
      <c r="FJ593" s="27" t="s">
        <v>7</v>
      </c>
      <c r="FK593" s="27" t="s">
        <v>8</v>
      </c>
      <c r="GD593" s="27" t="s">
        <v>7</v>
      </c>
      <c r="GE593" s="27" t="s">
        <v>8</v>
      </c>
      <c r="GF593" s="27" t="s">
        <v>7</v>
      </c>
      <c r="GG593" s="27" t="s">
        <v>8</v>
      </c>
      <c r="GJ593" s="27" t="s">
        <v>7</v>
      </c>
      <c r="GL593" s="27" t="s">
        <v>7</v>
      </c>
      <c r="GM593" s="27" t="s">
        <v>8</v>
      </c>
      <c r="GX593" s="27" t="s">
        <v>7</v>
      </c>
      <c r="HH593" s="27" t="s">
        <v>7</v>
      </c>
      <c r="HT593" s="27" t="s">
        <v>7</v>
      </c>
      <c r="HU593" s="27" t="s">
        <v>8</v>
      </c>
      <c r="HV593" s="27" t="s">
        <v>7</v>
      </c>
      <c r="IG593" s="27" t="s">
        <v>8</v>
      </c>
      <c r="IH593" s="27" t="s">
        <v>7</v>
      </c>
      <c r="II593" s="27" t="s">
        <v>8</v>
      </c>
      <c r="IJ593" s="27" t="s">
        <v>7</v>
      </c>
      <c r="IK593" s="27" t="s">
        <v>8</v>
      </c>
      <c r="IM593" s="27" t="s">
        <v>8</v>
      </c>
      <c r="IU593" s="27" t="s">
        <v>8</v>
      </c>
      <c r="IV593" s="27" t="s">
        <v>7</v>
      </c>
    </row>
    <row r="594" spans="1:256" x14ac:dyDescent="0.25">
      <c r="A594" s="7">
        <v>0.87056017861391399</v>
      </c>
      <c r="B594"/>
      <c r="C594"/>
      <c r="D594"/>
      <c r="E594"/>
      <c r="F594" s="27" t="s">
        <v>7</v>
      </c>
      <c r="Y594" s="27" t="s">
        <v>8</v>
      </c>
      <c r="Z594" s="27" t="s">
        <v>7</v>
      </c>
      <c r="AA594" s="27" t="s">
        <v>8</v>
      </c>
      <c r="AB594" s="27" t="s">
        <v>7</v>
      </c>
      <c r="AC594" s="27" t="s">
        <v>8</v>
      </c>
      <c r="AD594" s="27" t="s">
        <v>7</v>
      </c>
      <c r="AE594" s="27" t="s">
        <v>8</v>
      </c>
      <c r="AF594" s="27" t="s">
        <v>7</v>
      </c>
      <c r="AG594" s="27" t="s">
        <v>8</v>
      </c>
      <c r="AH594" s="27" t="s">
        <v>7</v>
      </c>
      <c r="AI594" s="27" t="s">
        <v>8</v>
      </c>
      <c r="AJ594" s="27" t="s">
        <v>7</v>
      </c>
      <c r="BC594" s="27" t="s">
        <v>8</v>
      </c>
      <c r="BD594" s="27" t="s">
        <v>7</v>
      </c>
      <c r="BE594" s="27" t="s">
        <v>8</v>
      </c>
      <c r="BG594" s="27" t="s">
        <v>8</v>
      </c>
      <c r="BI594" s="27" t="s">
        <v>8</v>
      </c>
      <c r="DN594" s="27" t="s">
        <v>7</v>
      </c>
      <c r="DO594" s="27" t="s">
        <v>8</v>
      </c>
      <c r="DP594" s="27" t="s">
        <v>7</v>
      </c>
      <c r="DS594" s="27" t="s">
        <v>8</v>
      </c>
      <c r="DT594" s="27" t="s">
        <v>7</v>
      </c>
      <c r="DU594" s="27" t="s">
        <v>8</v>
      </c>
      <c r="DY594" s="27" t="s">
        <v>8</v>
      </c>
      <c r="EC594" s="27" t="s">
        <v>8</v>
      </c>
      <c r="ED594" s="27" t="s">
        <v>7</v>
      </c>
      <c r="EE594" s="27" t="s">
        <v>8</v>
      </c>
      <c r="EF594" s="27" t="s">
        <v>7</v>
      </c>
      <c r="EG594" s="27" t="s">
        <v>8</v>
      </c>
      <c r="EH594" s="27" t="s">
        <v>7</v>
      </c>
      <c r="EI594" s="27" t="s">
        <v>8</v>
      </c>
      <c r="FE594" s="27" t="s">
        <v>8</v>
      </c>
      <c r="FF594" s="27" t="s">
        <v>7</v>
      </c>
      <c r="FG594" s="27" t="s">
        <v>8</v>
      </c>
      <c r="FH594" s="27" t="s">
        <v>7</v>
      </c>
      <c r="FI594" s="27" t="s">
        <v>8</v>
      </c>
      <c r="FJ594" s="27" t="s">
        <v>7</v>
      </c>
      <c r="FK594" s="27" t="s">
        <v>8</v>
      </c>
      <c r="GD594" s="27" t="s">
        <v>7</v>
      </c>
      <c r="GF594" s="27" t="s">
        <v>7</v>
      </c>
      <c r="GL594" s="27" t="s">
        <v>7</v>
      </c>
      <c r="GM594" s="27" t="s">
        <v>8</v>
      </c>
      <c r="HT594" s="27" t="s">
        <v>7</v>
      </c>
      <c r="HU594" s="27" t="s">
        <v>8</v>
      </c>
      <c r="HV594" s="27" t="s">
        <v>7</v>
      </c>
      <c r="IG594" s="27" t="s">
        <v>8</v>
      </c>
      <c r="IH594" s="27" t="s">
        <v>7</v>
      </c>
      <c r="II594" s="27" t="s">
        <v>8</v>
      </c>
      <c r="IJ594" s="27" t="s">
        <v>7</v>
      </c>
      <c r="IK594" s="27" t="s">
        <v>8</v>
      </c>
      <c r="IL594" s="27" t="s">
        <v>7</v>
      </c>
      <c r="IM594" s="27" t="s">
        <v>8</v>
      </c>
      <c r="IN594" s="27" t="s">
        <v>7</v>
      </c>
      <c r="IU594" s="27" t="s">
        <v>8</v>
      </c>
      <c r="IV594" s="27" t="s">
        <v>7</v>
      </c>
    </row>
    <row r="595" spans="1:256" x14ac:dyDescent="0.25">
      <c r="A595" s="7">
        <v>0.85349037119011173</v>
      </c>
      <c r="B595"/>
      <c r="C595"/>
      <c r="D595"/>
      <c r="E595"/>
      <c r="F595" s="27" t="s">
        <v>7</v>
      </c>
      <c r="Y595" s="27" t="s">
        <v>8</v>
      </c>
      <c r="Z595" s="27" t="s">
        <v>7</v>
      </c>
      <c r="AA595" s="27" t="s">
        <v>8</v>
      </c>
      <c r="AB595" s="27" t="s">
        <v>7</v>
      </c>
      <c r="AC595" s="27" t="s">
        <v>8</v>
      </c>
      <c r="AD595" s="27" t="s">
        <v>7</v>
      </c>
      <c r="AE595" s="27" t="s">
        <v>8</v>
      </c>
      <c r="AF595" s="27" t="s">
        <v>7</v>
      </c>
      <c r="AG595" s="27" t="s">
        <v>8</v>
      </c>
      <c r="AH595" s="27" t="s">
        <v>7</v>
      </c>
      <c r="AI595" s="27" t="s">
        <v>8</v>
      </c>
      <c r="AJ595" s="27" t="s">
        <v>7</v>
      </c>
      <c r="BC595" s="27" t="s">
        <v>8</v>
      </c>
      <c r="BD595" s="27" t="s">
        <v>7</v>
      </c>
      <c r="BE595" s="27" t="s">
        <v>8</v>
      </c>
      <c r="BF595" s="27" t="s">
        <v>7</v>
      </c>
      <c r="BG595" s="27" t="s">
        <v>8</v>
      </c>
      <c r="BH595" s="27" t="s">
        <v>7</v>
      </c>
      <c r="BI595" s="27" t="s">
        <v>8</v>
      </c>
      <c r="DN595" s="27" t="s">
        <v>7</v>
      </c>
      <c r="DO595" s="27" t="s">
        <v>8</v>
      </c>
      <c r="DP595" s="27" t="s">
        <v>7</v>
      </c>
      <c r="DS595" s="27" t="s">
        <v>8</v>
      </c>
      <c r="DT595" s="27" t="s">
        <v>7</v>
      </c>
      <c r="DU595" s="27" t="s">
        <v>8</v>
      </c>
      <c r="DV595" s="27" t="s">
        <v>7</v>
      </c>
      <c r="DY595" s="27" t="s">
        <v>8</v>
      </c>
      <c r="DZ595" s="27" t="s">
        <v>7</v>
      </c>
      <c r="EC595" s="27" t="s">
        <v>8</v>
      </c>
      <c r="ED595" s="27" t="s">
        <v>7</v>
      </c>
      <c r="EE595" s="27" t="s">
        <v>8</v>
      </c>
      <c r="EF595" s="27" t="s">
        <v>7</v>
      </c>
      <c r="EG595" s="27" t="s">
        <v>8</v>
      </c>
      <c r="EH595" s="27" t="s">
        <v>7</v>
      </c>
      <c r="EI595" s="27" t="s">
        <v>8</v>
      </c>
      <c r="EJ595" s="27" t="s">
        <v>7</v>
      </c>
      <c r="FE595" s="27" t="s">
        <v>8</v>
      </c>
      <c r="FF595" s="27" t="s">
        <v>7</v>
      </c>
      <c r="FG595" s="27" t="s">
        <v>8</v>
      </c>
      <c r="FH595" s="27" t="s">
        <v>7</v>
      </c>
      <c r="FI595" s="27" t="s">
        <v>8</v>
      </c>
      <c r="FJ595" s="27" t="s">
        <v>7</v>
      </c>
      <c r="GL595" s="27" t="s">
        <v>7</v>
      </c>
      <c r="HT595" s="27" t="s">
        <v>7</v>
      </c>
      <c r="HU595" s="27" t="s">
        <v>8</v>
      </c>
      <c r="HV595" s="27" t="s">
        <v>7</v>
      </c>
      <c r="IG595" s="27" t="s">
        <v>8</v>
      </c>
      <c r="IH595" s="27" t="s">
        <v>7</v>
      </c>
      <c r="II595" s="27" t="s">
        <v>8</v>
      </c>
      <c r="IJ595" s="27" t="s">
        <v>7</v>
      </c>
      <c r="IK595" s="27" t="s">
        <v>8</v>
      </c>
      <c r="IL595" s="27" t="s">
        <v>7</v>
      </c>
      <c r="IM595" s="27" t="s">
        <v>8</v>
      </c>
      <c r="IN595" s="27" t="s">
        <v>7</v>
      </c>
      <c r="IU595" s="27" t="s">
        <v>8</v>
      </c>
      <c r="IV595" s="27" t="s">
        <v>7</v>
      </c>
    </row>
    <row r="596" spans="1:256" x14ac:dyDescent="0.25">
      <c r="A596" s="7">
        <v>0.83675526587265858</v>
      </c>
      <c r="B596"/>
      <c r="C596"/>
      <c r="D596"/>
      <c r="E596"/>
      <c r="F596" s="27" t="s">
        <v>7</v>
      </c>
      <c r="G596" s="27" t="s">
        <v>8</v>
      </c>
      <c r="Y596" s="27" t="s">
        <v>8</v>
      </c>
      <c r="Z596" s="27" t="s">
        <v>7</v>
      </c>
      <c r="AA596" s="27" t="s">
        <v>8</v>
      </c>
      <c r="AB596" s="27" t="s">
        <v>7</v>
      </c>
      <c r="AC596" s="27" t="s">
        <v>8</v>
      </c>
      <c r="AD596" s="27" t="s">
        <v>7</v>
      </c>
      <c r="AF596" s="27" t="s">
        <v>7</v>
      </c>
      <c r="AG596" s="27" t="s">
        <v>8</v>
      </c>
      <c r="AH596" s="27" t="s">
        <v>7</v>
      </c>
      <c r="AI596" s="27" t="s">
        <v>8</v>
      </c>
      <c r="AJ596" s="27" t="s">
        <v>7</v>
      </c>
      <c r="BC596" s="27" t="s">
        <v>8</v>
      </c>
      <c r="BD596" s="27" t="s">
        <v>7</v>
      </c>
      <c r="BE596" s="27" t="s">
        <v>8</v>
      </c>
      <c r="BF596" s="27" t="s">
        <v>7</v>
      </c>
      <c r="BG596" s="27" t="s">
        <v>8</v>
      </c>
      <c r="BH596" s="27" t="s">
        <v>7</v>
      </c>
      <c r="BI596" s="27" t="s">
        <v>8</v>
      </c>
      <c r="DN596" s="27" t="s">
        <v>7</v>
      </c>
      <c r="DO596" s="27" t="s">
        <v>8</v>
      </c>
      <c r="DP596" s="27" t="s">
        <v>7</v>
      </c>
      <c r="DS596" s="27" t="s">
        <v>8</v>
      </c>
      <c r="DT596" s="27" t="s">
        <v>7</v>
      </c>
      <c r="DU596" s="27" t="s">
        <v>8</v>
      </c>
      <c r="DV596" s="27" t="s">
        <v>7</v>
      </c>
      <c r="DY596" s="27" t="s">
        <v>8</v>
      </c>
      <c r="DZ596" s="27" t="s">
        <v>7</v>
      </c>
      <c r="EA596" s="27" t="s">
        <v>8</v>
      </c>
      <c r="EC596" s="27" t="s">
        <v>8</v>
      </c>
      <c r="ED596" s="27" t="s">
        <v>7</v>
      </c>
      <c r="EE596" s="27" t="s">
        <v>8</v>
      </c>
      <c r="EF596" s="27" t="s">
        <v>7</v>
      </c>
      <c r="EH596" s="27" t="s">
        <v>7</v>
      </c>
      <c r="EI596" s="27" t="s">
        <v>8</v>
      </c>
      <c r="EJ596" s="27" t="s">
        <v>7</v>
      </c>
      <c r="EK596" s="27" t="s">
        <v>8</v>
      </c>
      <c r="EM596" s="27" t="s">
        <v>8</v>
      </c>
      <c r="FE596" s="27" t="s">
        <v>8</v>
      </c>
      <c r="FF596" s="27" t="s">
        <v>7</v>
      </c>
      <c r="FG596" s="27" t="s">
        <v>8</v>
      </c>
      <c r="FH596" s="27" t="s">
        <v>7</v>
      </c>
      <c r="FI596" s="27" t="s">
        <v>8</v>
      </c>
      <c r="HT596" s="27" t="s">
        <v>7</v>
      </c>
      <c r="HU596" s="27" t="s">
        <v>8</v>
      </c>
      <c r="HV596" s="27" t="s">
        <v>7</v>
      </c>
      <c r="IG596" s="27" t="s">
        <v>8</v>
      </c>
      <c r="IH596" s="27" t="s">
        <v>7</v>
      </c>
      <c r="II596" s="27" t="s">
        <v>8</v>
      </c>
      <c r="IJ596" s="27" t="s">
        <v>7</v>
      </c>
      <c r="IK596" s="27" t="s">
        <v>8</v>
      </c>
      <c r="IL596" s="27" t="s">
        <v>7</v>
      </c>
      <c r="IM596" s="27" t="s">
        <v>8</v>
      </c>
      <c r="IN596" s="27" t="s">
        <v>7</v>
      </c>
      <c r="IU596" s="27" t="s">
        <v>8</v>
      </c>
      <c r="IV596" s="27" t="s">
        <v>7</v>
      </c>
    </row>
    <row r="597" spans="1:256" x14ac:dyDescent="0.25">
      <c r="A597" s="7">
        <v>0.82034829987515545</v>
      </c>
      <c r="B597"/>
      <c r="C597"/>
      <c r="D597"/>
      <c r="E597"/>
      <c r="F597" s="27" t="s">
        <v>7</v>
      </c>
      <c r="G597" s="27" t="s">
        <v>8</v>
      </c>
      <c r="H597" s="27" t="s">
        <v>7</v>
      </c>
      <c r="Y597" s="27" t="s">
        <v>8</v>
      </c>
      <c r="Z597" s="27" t="s">
        <v>7</v>
      </c>
      <c r="AA597" s="27" t="s">
        <v>8</v>
      </c>
      <c r="AB597" s="27" t="s">
        <v>7</v>
      </c>
      <c r="AC597" s="27" t="s">
        <v>8</v>
      </c>
      <c r="AF597" s="27" t="s">
        <v>7</v>
      </c>
      <c r="AH597" s="27" t="s">
        <v>7</v>
      </c>
      <c r="AJ597" s="27" t="s">
        <v>7</v>
      </c>
      <c r="BC597" s="27" t="s">
        <v>8</v>
      </c>
      <c r="BD597" s="27" t="s">
        <v>7</v>
      </c>
      <c r="BE597" s="27" t="s">
        <v>8</v>
      </c>
      <c r="BF597" s="27" t="s">
        <v>7</v>
      </c>
      <c r="BG597" s="27" t="s">
        <v>8</v>
      </c>
      <c r="BH597" s="27" t="s">
        <v>7</v>
      </c>
      <c r="DN597" s="27" t="s">
        <v>7</v>
      </c>
      <c r="DO597" s="27" t="s">
        <v>8</v>
      </c>
      <c r="DP597" s="27" t="s">
        <v>7</v>
      </c>
      <c r="DS597" s="27" t="s">
        <v>8</v>
      </c>
      <c r="DT597" s="27" t="s">
        <v>7</v>
      </c>
      <c r="DU597" s="27" t="s">
        <v>8</v>
      </c>
      <c r="DV597" s="27" t="s">
        <v>7</v>
      </c>
      <c r="DY597" s="27" t="s">
        <v>8</v>
      </c>
      <c r="DZ597" s="27" t="s">
        <v>7</v>
      </c>
      <c r="EA597" s="27" t="s">
        <v>8</v>
      </c>
      <c r="EB597" s="27" t="s">
        <v>7</v>
      </c>
      <c r="EC597" s="27" t="s">
        <v>8</v>
      </c>
      <c r="ED597" s="27" t="s">
        <v>7</v>
      </c>
      <c r="EE597" s="27" t="s">
        <v>8</v>
      </c>
      <c r="EH597" s="27" t="s">
        <v>7</v>
      </c>
      <c r="EI597" s="27" t="s">
        <v>8</v>
      </c>
      <c r="EJ597" s="27" t="s">
        <v>7</v>
      </c>
      <c r="EK597" s="27" t="s">
        <v>8</v>
      </c>
      <c r="EL597" s="27" t="s">
        <v>7</v>
      </c>
      <c r="EM597" s="27" t="s">
        <v>8</v>
      </c>
      <c r="EN597" s="27" t="s">
        <v>7</v>
      </c>
      <c r="FE597" s="27" t="s">
        <v>8</v>
      </c>
      <c r="FF597" s="27" t="s">
        <v>7</v>
      </c>
      <c r="FG597" s="27" t="s">
        <v>8</v>
      </c>
      <c r="FH597" s="27" t="s">
        <v>7</v>
      </c>
      <c r="FI597" s="27" t="s">
        <v>8</v>
      </c>
      <c r="HT597" s="27" t="s">
        <v>7</v>
      </c>
      <c r="HU597" s="27" t="s">
        <v>8</v>
      </c>
      <c r="HV597" s="27" t="s">
        <v>7</v>
      </c>
      <c r="HW597" s="27" t="s">
        <v>8</v>
      </c>
      <c r="IG597" s="27" t="s">
        <v>8</v>
      </c>
      <c r="IH597" s="27" t="s">
        <v>7</v>
      </c>
      <c r="II597" s="27" t="s">
        <v>8</v>
      </c>
      <c r="IJ597" s="27" t="s">
        <v>7</v>
      </c>
      <c r="IK597" s="27" t="s">
        <v>8</v>
      </c>
      <c r="IL597" s="27" t="s">
        <v>7</v>
      </c>
      <c r="IM597" s="27" t="s">
        <v>8</v>
      </c>
      <c r="IN597" s="27" t="s">
        <v>7</v>
      </c>
      <c r="IU597" s="27" t="s">
        <v>8</v>
      </c>
      <c r="IV597" s="27" t="s">
        <v>7</v>
      </c>
    </row>
    <row r="598" spans="1:256" x14ac:dyDescent="0.25">
      <c r="A598" s="7">
        <v>0.80426303909328967</v>
      </c>
      <c r="B598"/>
      <c r="C598"/>
      <c r="D598"/>
      <c r="E598"/>
      <c r="F598" s="27" t="s">
        <v>7</v>
      </c>
      <c r="G598" s="27" t="s">
        <v>8</v>
      </c>
      <c r="H598" s="27" t="s">
        <v>7</v>
      </c>
      <c r="Y598" s="27" t="s">
        <v>8</v>
      </c>
      <c r="Z598" s="27" t="s">
        <v>7</v>
      </c>
      <c r="AA598" s="27" t="s">
        <v>8</v>
      </c>
      <c r="AB598" s="27" t="s">
        <v>7</v>
      </c>
      <c r="AC598" s="27" t="s">
        <v>8</v>
      </c>
      <c r="AJ598" s="27" t="s">
        <v>7</v>
      </c>
      <c r="BC598" s="27" t="s">
        <v>8</v>
      </c>
      <c r="BD598" s="27" t="s">
        <v>7</v>
      </c>
      <c r="BE598" s="27" t="s">
        <v>8</v>
      </c>
      <c r="BF598" s="27" t="s">
        <v>7</v>
      </c>
      <c r="BG598" s="27" t="s">
        <v>8</v>
      </c>
      <c r="DN598" s="27" t="s">
        <v>7</v>
      </c>
      <c r="DO598" s="27" t="s">
        <v>8</v>
      </c>
      <c r="DP598" s="27" t="s">
        <v>7</v>
      </c>
      <c r="DS598" s="27" t="s">
        <v>8</v>
      </c>
      <c r="DT598" s="27" t="s">
        <v>7</v>
      </c>
      <c r="DU598" s="27" t="s">
        <v>8</v>
      </c>
      <c r="DV598" s="27" t="s">
        <v>7</v>
      </c>
      <c r="DY598" s="27" t="s">
        <v>8</v>
      </c>
      <c r="DZ598" s="27" t="s">
        <v>7</v>
      </c>
      <c r="EA598" s="27" t="s">
        <v>8</v>
      </c>
      <c r="EB598" s="27" t="s">
        <v>7</v>
      </c>
      <c r="EC598" s="27" t="s">
        <v>8</v>
      </c>
      <c r="ED598" s="27" t="s">
        <v>7</v>
      </c>
      <c r="EE598" s="27" t="s">
        <v>8</v>
      </c>
      <c r="EH598" s="27" t="s">
        <v>7</v>
      </c>
      <c r="EI598" s="27" t="s">
        <v>8</v>
      </c>
      <c r="EJ598" s="27" t="s">
        <v>7</v>
      </c>
      <c r="EK598" s="27" t="s">
        <v>8</v>
      </c>
      <c r="EL598" s="27" t="s">
        <v>7</v>
      </c>
      <c r="EM598" s="27" t="s">
        <v>8</v>
      </c>
      <c r="EN598" s="27" t="s">
        <v>7</v>
      </c>
      <c r="FE598" s="27" t="s">
        <v>8</v>
      </c>
      <c r="FF598" s="27" t="s">
        <v>7</v>
      </c>
      <c r="FG598" s="27" t="s">
        <v>8</v>
      </c>
      <c r="FH598" s="27" t="s">
        <v>7</v>
      </c>
      <c r="HT598" s="27" t="s">
        <v>7</v>
      </c>
      <c r="HU598" s="27" t="s">
        <v>8</v>
      </c>
      <c r="HV598" s="27" t="s">
        <v>7</v>
      </c>
      <c r="HW598" s="27" t="s">
        <v>8</v>
      </c>
      <c r="HX598" s="27" t="s">
        <v>7</v>
      </c>
      <c r="IE598" s="27" t="s">
        <v>8</v>
      </c>
      <c r="IG598" s="27" t="s">
        <v>8</v>
      </c>
      <c r="IH598" s="27" t="s">
        <v>7</v>
      </c>
      <c r="IJ598" s="27" t="s">
        <v>7</v>
      </c>
      <c r="IK598" s="27" t="s">
        <v>8</v>
      </c>
      <c r="IL598" s="27" t="s">
        <v>7</v>
      </c>
      <c r="IN598" s="27" t="s">
        <v>7</v>
      </c>
      <c r="IU598" s="27" t="s">
        <v>8</v>
      </c>
      <c r="IV598" s="27" t="s">
        <v>7</v>
      </c>
    </row>
    <row r="599" spans="1:256" x14ac:dyDescent="0.25">
      <c r="A599" s="7">
        <v>0.78849317558165644</v>
      </c>
      <c r="B599"/>
      <c r="C599"/>
      <c r="D599"/>
      <c r="E599"/>
      <c r="F599" s="27" t="s">
        <v>7</v>
      </c>
      <c r="G599" s="27" t="s">
        <v>8</v>
      </c>
      <c r="H599" s="27" t="s">
        <v>7</v>
      </c>
      <c r="Y599" s="27" t="s">
        <v>8</v>
      </c>
      <c r="Z599" s="27" t="s">
        <v>7</v>
      </c>
      <c r="AA599" s="27" t="s">
        <v>8</v>
      </c>
      <c r="AB599" s="27" t="s">
        <v>7</v>
      </c>
      <c r="AC599" s="27" t="s">
        <v>8</v>
      </c>
      <c r="AJ599" s="27" t="s">
        <v>7</v>
      </c>
      <c r="BC599" s="27" t="s">
        <v>8</v>
      </c>
      <c r="BD599" s="27" t="s">
        <v>7</v>
      </c>
      <c r="BE599" s="27" t="s">
        <v>8</v>
      </c>
      <c r="BF599" s="27" t="s">
        <v>7</v>
      </c>
      <c r="BG599" s="27" t="s">
        <v>8</v>
      </c>
      <c r="DN599" s="27" t="s">
        <v>7</v>
      </c>
      <c r="DO599" s="27" t="s">
        <v>8</v>
      </c>
      <c r="DP599" s="27" t="s">
        <v>7</v>
      </c>
      <c r="DS599" s="27" t="s">
        <v>8</v>
      </c>
      <c r="DT599" s="27" t="s">
        <v>7</v>
      </c>
      <c r="DU599" s="27" t="s">
        <v>8</v>
      </c>
      <c r="DV599" s="27" t="s">
        <v>7</v>
      </c>
      <c r="DY599" s="27" t="s">
        <v>8</v>
      </c>
      <c r="DZ599" s="27" t="s">
        <v>7</v>
      </c>
      <c r="EA599" s="27" t="s">
        <v>8</v>
      </c>
      <c r="EB599" s="27" t="s">
        <v>7</v>
      </c>
      <c r="EC599" s="27" t="s">
        <v>8</v>
      </c>
      <c r="ED599" s="27" t="s">
        <v>7</v>
      </c>
      <c r="EE599" s="27" t="s">
        <v>8</v>
      </c>
      <c r="EH599" s="27" t="s">
        <v>7</v>
      </c>
      <c r="EI599" s="27" t="s">
        <v>8</v>
      </c>
      <c r="EJ599" s="27" t="s">
        <v>7</v>
      </c>
      <c r="EK599" s="27" t="s">
        <v>8</v>
      </c>
      <c r="EL599" s="27" t="s">
        <v>7</v>
      </c>
      <c r="EM599" s="27" t="s">
        <v>8</v>
      </c>
      <c r="EN599" s="27" t="s">
        <v>7</v>
      </c>
      <c r="ES599" s="27" t="s">
        <v>8</v>
      </c>
      <c r="FE599" s="27" t="s">
        <v>8</v>
      </c>
      <c r="FF599" s="27" t="s">
        <v>7</v>
      </c>
      <c r="HT599" s="27" t="s">
        <v>7</v>
      </c>
      <c r="HU599" s="27" t="s">
        <v>8</v>
      </c>
      <c r="HV599" s="27" t="s">
        <v>7</v>
      </c>
      <c r="HW599" s="27" t="s">
        <v>8</v>
      </c>
      <c r="HX599" s="27" t="s">
        <v>7</v>
      </c>
      <c r="IC599" s="27" t="s">
        <v>8</v>
      </c>
      <c r="IE599" s="27" t="s">
        <v>8</v>
      </c>
      <c r="IF599" s="27" t="s">
        <v>7</v>
      </c>
      <c r="IG599" s="27" t="s">
        <v>8</v>
      </c>
      <c r="IJ599" s="27" t="s">
        <v>7</v>
      </c>
      <c r="IK599" s="27" t="s">
        <v>8</v>
      </c>
      <c r="IN599" s="27" t="s">
        <v>7</v>
      </c>
      <c r="IU599" s="27" t="s">
        <v>8</v>
      </c>
      <c r="IV599" s="27" t="s">
        <v>7</v>
      </c>
    </row>
    <row r="600" spans="1:256" x14ac:dyDescent="0.25">
      <c r="A600" s="7">
        <v>0.77303252508005538</v>
      </c>
      <c r="B600"/>
      <c r="C600"/>
      <c r="D600"/>
      <c r="E600"/>
      <c r="F600" s="27" t="s">
        <v>7</v>
      </c>
      <c r="G600" s="27" t="s">
        <v>8</v>
      </c>
      <c r="H600" s="27" t="s">
        <v>7</v>
      </c>
      <c r="Y600" s="27" t="s">
        <v>8</v>
      </c>
      <c r="Z600" s="27" t="s">
        <v>7</v>
      </c>
      <c r="AB600" s="27" t="s">
        <v>7</v>
      </c>
      <c r="AC600" s="27" t="s">
        <v>8</v>
      </c>
      <c r="AJ600" s="27" t="s">
        <v>7</v>
      </c>
      <c r="BA600" s="27" t="s">
        <v>8</v>
      </c>
      <c r="BC600" s="27" t="s">
        <v>8</v>
      </c>
      <c r="BD600" s="27" t="s">
        <v>7</v>
      </c>
      <c r="BE600" s="27" t="s">
        <v>8</v>
      </c>
      <c r="BF600" s="27" t="s">
        <v>7</v>
      </c>
      <c r="DN600" s="27" t="s">
        <v>7</v>
      </c>
      <c r="DO600" s="27" t="s">
        <v>8</v>
      </c>
      <c r="DP600" s="27" t="s">
        <v>7</v>
      </c>
      <c r="DS600" s="27" t="s">
        <v>8</v>
      </c>
      <c r="DT600" s="27" t="s">
        <v>7</v>
      </c>
      <c r="DU600" s="27" t="s">
        <v>8</v>
      </c>
      <c r="DV600" s="27" t="s">
        <v>7</v>
      </c>
      <c r="DY600" s="27" t="s">
        <v>8</v>
      </c>
      <c r="DZ600" s="27" t="s">
        <v>7</v>
      </c>
      <c r="EA600" s="27" t="s">
        <v>8</v>
      </c>
      <c r="EB600" s="27" t="s">
        <v>7</v>
      </c>
      <c r="EC600" s="27" t="s">
        <v>8</v>
      </c>
      <c r="ED600" s="27" t="s">
        <v>7</v>
      </c>
      <c r="EH600" s="27" t="s">
        <v>7</v>
      </c>
      <c r="EI600" s="27" t="s">
        <v>8</v>
      </c>
      <c r="EJ600" s="27" t="s">
        <v>7</v>
      </c>
      <c r="EK600" s="27" t="s">
        <v>8</v>
      </c>
      <c r="EL600" s="27" t="s">
        <v>7</v>
      </c>
      <c r="EM600" s="27" t="s">
        <v>8</v>
      </c>
      <c r="EN600" s="27" t="s">
        <v>7</v>
      </c>
      <c r="ES600" s="27" t="s">
        <v>8</v>
      </c>
      <c r="ET600" s="27" t="s">
        <v>7</v>
      </c>
      <c r="FE600" s="27" t="s">
        <v>8</v>
      </c>
      <c r="HT600" s="27" t="s">
        <v>7</v>
      </c>
      <c r="HU600" s="27" t="s">
        <v>8</v>
      </c>
      <c r="HV600" s="27" t="s">
        <v>7</v>
      </c>
      <c r="HW600" s="27" t="s">
        <v>8</v>
      </c>
      <c r="HX600" s="27" t="s">
        <v>7</v>
      </c>
      <c r="IC600" s="27" t="s">
        <v>8</v>
      </c>
      <c r="ID600" s="27" t="s">
        <v>7</v>
      </c>
      <c r="IE600" s="27" t="s">
        <v>8</v>
      </c>
      <c r="IF600" s="27" t="s">
        <v>7</v>
      </c>
      <c r="IG600" s="27" t="s">
        <v>8</v>
      </c>
      <c r="IJ600" s="27" t="s">
        <v>7</v>
      </c>
      <c r="IK600" s="27" t="s">
        <v>8</v>
      </c>
      <c r="IN600" s="27" t="s">
        <v>7</v>
      </c>
      <c r="IU600" s="27" t="s">
        <v>8</v>
      </c>
      <c r="IV600" s="27" t="s">
        <v>7</v>
      </c>
    </row>
    <row r="601" spans="1:256" x14ac:dyDescent="0.25">
      <c r="A601" s="7">
        <v>0.75787502458828959</v>
      </c>
      <c r="B601"/>
      <c r="C601"/>
      <c r="D601"/>
      <c r="E601"/>
      <c r="F601" s="27" t="s">
        <v>7</v>
      </c>
      <c r="G601" s="27" t="s">
        <v>8</v>
      </c>
      <c r="H601" s="27" t="s">
        <v>7</v>
      </c>
      <c r="Y601" s="27" t="s">
        <v>8</v>
      </c>
      <c r="AB601" s="27" t="s">
        <v>7</v>
      </c>
      <c r="AC601" s="27" t="s">
        <v>8</v>
      </c>
      <c r="AJ601" s="27" t="s">
        <v>7</v>
      </c>
      <c r="AY601" s="27" t="s">
        <v>8</v>
      </c>
      <c r="BA601" s="27" t="s">
        <v>8</v>
      </c>
      <c r="BB601" s="27" t="s">
        <v>7</v>
      </c>
      <c r="BC601" s="27" t="s">
        <v>8</v>
      </c>
      <c r="BD601" s="27" t="s">
        <v>7</v>
      </c>
      <c r="BE601" s="27" t="s">
        <v>8</v>
      </c>
      <c r="DN601" s="27" t="s">
        <v>7</v>
      </c>
      <c r="DO601" s="27" t="s">
        <v>8</v>
      </c>
      <c r="DP601" s="27" t="s">
        <v>7</v>
      </c>
      <c r="DS601" s="27" t="s">
        <v>8</v>
      </c>
      <c r="DT601" s="27" t="s">
        <v>7</v>
      </c>
      <c r="DU601" s="27" t="s">
        <v>8</v>
      </c>
      <c r="DV601" s="27" t="s">
        <v>7</v>
      </c>
      <c r="DY601" s="27" t="s">
        <v>8</v>
      </c>
      <c r="DZ601" s="27" t="s">
        <v>7</v>
      </c>
      <c r="EA601" s="27" t="s">
        <v>8</v>
      </c>
      <c r="EB601" s="27" t="s">
        <v>7</v>
      </c>
      <c r="EC601" s="27" t="s">
        <v>8</v>
      </c>
      <c r="EH601" s="27" t="s">
        <v>7</v>
      </c>
      <c r="EI601" s="27" t="s">
        <v>8</v>
      </c>
      <c r="EJ601" s="27" t="s">
        <v>7</v>
      </c>
      <c r="EK601" s="27" t="s">
        <v>8</v>
      </c>
      <c r="EL601" s="27" t="s">
        <v>7</v>
      </c>
      <c r="EM601" s="27" t="s">
        <v>8</v>
      </c>
      <c r="EN601" s="27" t="s">
        <v>7</v>
      </c>
      <c r="EO601" s="27" t="s">
        <v>8</v>
      </c>
      <c r="EQ601" s="27" t="s">
        <v>8</v>
      </c>
      <c r="ES601" s="27" t="s">
        <v>8</v>
      </c>
      <c r="ET601" s="27" t="s">
        <v>7</v>
      </c>
      <c r="FC601" s="27" t="s">
        <v>8</v>
      </c>
      <c r="FE601" s="27" t="s">
        <v>8</v>
      </c>
      <c r="HT601" s="27" t="s">
        <v>7</v>
      </c>
      <c r="HV601" s="27" t="s">
        <v>7</v>
      </c>
      <c r="HW601" s="27" t="s">
        <v>8</v>
      </c>
      <c r="HX601" s="27" t="s">
        <v>7</v>
      </c>
      <c r="IC601" s="27" t="s">
        <v>8</v>
      </c>
      <c r="ID601" s="27" t="s">
        <v>7</v>
      </c>
      <c r="IE601" s="27" t="s">
        <v>8</v>
      </c>
      <c r="IF601" s="27" t="s">
        <v>7</v>
      </c>
      <c r="IJ601" s="27" t="s">
        <v>7</v>
      </c>
      <c r="IN601" s="27" t="s">
        <v>7</v>
      </c>
      <c r="IQ601" s="27" t="s">
        <v>8</v>
      </c>
      <c r="IS601" s="27" t="s">
        <v>8</v>
      </c>
      <c r="IU601" s="27" t="s">
        <v>8</v>
      </c>
      <c r="IV601" s="27" t="s">
        <v>7</v>
      </c>
    </row>
    <row r="602" spans="1:256" x14ac:dyDescent="0.25">
      <c r="A602" s="7">
        <v>0.74301472998851925</v>
      </c>
      <c r="B602"/>
      <c r="C602"/>
      <c r="D602"/>
      <c r="E602"/>
      <c r="F602" s="27" t="s">
        <v>7</v>
      </c>
      <c r="G602" s="27" t="s">
        <v>8</v>
      </c>
      <c r="H602" s="27" t="s">
        <v>7</v>
      </c>
      <c r="K602" s="27" t="s">
        <v>8</v>
      </c>
      <c r="Y602" s="27" t="s">
        <v>8</v>
      </c>
      <c r="AB602" s="27" t="s">
        <v>7</v>
      </c>
      <c r="AC602" s="27" t="s">
        <v>8</v>
      </c>
      <c r="AJ602" s="27" t="s">
        <v>7</v>
      </c>
      <c r="AY602" s="27" t="s">
        <v>8</v>
      </c>
      <c r="AZ602" s="27" t="s">
        <v>7</v>
      </c>
      <c r="BA602" s="27" t="s">
        <v>8</v>
      </c>
      <c r="BB602" s="27" t="s">
        <v>7</v>
      </c>
      <c r="BC602" s="27" t="s">
        <v>8</v>
      </c>
      <c r="BD602" s="27" t="s">
        <v>7</v>
      </c>
      <c r="DN602" s="27" t="s">
        <v>7</v>
      </c>
      <c r="DO602" s="27" t="s">
        <v>8</v>
      </c>
      <c r="DP602" s="27" t="s">
        <v>7</v>
      </c>
      <c r="DS602" s="27" t="s">
        <v>8</v>
      </c>
      <c r="DT602" s="27" t="s">
        <v>7</v>
      </c>
      <c r="DV602" s="27" t="s">
        <v>7</v>
      </c>
      <c r="DY602" s="27" t="s">
        <v>8</v>
      </c>
      <c r="DZ602" s="27" t="s">
        <v>7</v>
      </c>
      <c r="EA602" s="27" t="s">
        <v>8</v>
      </c>
      <c r="EB602" s="27" t="s">
        <v>7</v>
      </c>
      <c r="EC602" s="27" t="s">
        <v>8</v>
      </c>
      <c r="EH602" s="27" t="s">
        <v>7</v>
      </c>
      <c r="EI602" s="27" t="s">
        <v>8</v>
      </c>
      <c r="EJ602" s="27" t="s">
        <v>7</v>
      </c>
      <c r="EK602" s="27" t="s">
        <v>8</v>
      </c>
      <c r="EL602" s="27" t="s">
        <v>7</v>
      </c>
      <c r="EN602" s="27" t="s">
        <v>7</v>
      </c>
      <c r="EO602" s="27" t="s">
        <v>8</v>
      </c>
      <c r="EP602" s="27" t="s">
        <v>7</v>
      </c>
      <c r="EQ602" s="27" t="s">
        <v>8</v>
      </c>
      <c r="ER602" s="27" t="s">
        <v>7</v>
      </c>
      <c r="ES602" s="27" t="s">
        <v>8</v>
      </c>
      <c r="ET602" s="27" t="s">
        <v>7</v>
      </c>
      <c r="EU602" s="27" t="s">
        <v>8</v>
      </c>
      <c r="EY602" s="27" t="s">
        <v>8</v>
      </c>
      <c r="FC602" s="27" t="s">
        <v>8</v>
      </c>
      <c r="FD602" s="27" t="s">
        <v>7</v>
      </c>
      <c r="FE602" s="27" t="s">
        <v>8</v>
      </c>
      <c r="HV602" s="27" t="s">
        <v>7</v>
      </c>
      <c r="HW602" s="27" t="s">
        <v>8</v>
      </c>
      <c r="HX602" s="27" t="s">
        <v>7</v>
      </c>
      <c r="HY602" s="27" t="s">
        <v>8</v>
      </c>
      <c r="IA602" s="27" t="s">
        <v>8</v>
      </c>
      <c r="IC602" s="27" t="s">
        <v>8</v>
      </c>
      <c r="ID602" s="27" t="s">
        <v>7</v>
      </c>
      <c r="IE602" s="27" t="s">
        <v>8</v>
      </c>
      <c r="IN602" s="27" t="s">
        <v>7</v>
      </c>
      <c r="IQ602" s="27" t="s">
        <v>8</v>
      </c>
      <c r="IR602" s="27" t="s">
        <v>7</v>
      </c>
      <c r="IS602" s="27" t="s">
        <v>8</v>
      </c>
      <c r="IT602" s="27" t="s">
        <v>7</v>
      </c>
      <c r="IU602" s="27" t="s">
        <v>8</v>
      </c>
      <c r="IV602" s="27" t="s">
        <v>7</v>
      </c>
    </row>
    <row r="603" spans="1:256" x14ac:dyDescent="0.25">
      <c r="A603" s="7">
        <v>0.72844581371423456</v>
      </c>
      <c r="B603"/>
      <c r="C603"/>
      <c r="D603"/>
      <c r="E603"/>
      <c r="F603" s="27" t="s">
        <v>7</v>
      </c>
      <c r="G603" s="27" t="s">
        <v>8</v>
      </c>
      <c r="H603" s="27" t="s">
        <v>7</v>
      </c>
      <c r="K603" s="27" t="s">
        <v>8</v>
      </c>
      <c r="L603" s="27" t="s">
        <v>7</v>
      </c>
      <c r="Y603" s="27" t="s">
        <v>8</v>
      </c>
      <c r="AB603" s="27" t="s">
        <v>7</v>
      </c>
      <c r="AC603" s="27" t="s">
        <v>8</v>
      </c>
      <c r="AJ603" s="27" t="s">
        <v>7</v>
      </c>
      <c r="AY603" s="27" t="s">
        <v>8</v>
      </c>
      <c r="AZ603" s="27" t="s">
        <v>7</v>
      </c>
      <c r="BA603" s="27" t="s">
        <v>8</v>
      </c>
      <c r="BB603" s="27" t="s">
        <v>7</v>
      </c>
      <c r="BC603" s="27" t="s">
        <v>8</v>
      </c>
      <c r="DN603" s="27" t="s">
        <v>7</v>
      </c>
      <c r="DO603" s="27" t="s">
        <v>8</v>
      </c>
      <c r="DP603" s="27" t="s">
        <v>7</v>
      </c>
      <c r="DS603" s="27" t="s">
        <v>8</v>
      </c>
      <c r="DV603" s="27" t="s">
        <v>7</v>
      </c>
      <c r="DY603" s="27" t="s">
        <v>8</v>
      </c>
      <c r="DZ603" s="27" t="s">
        <v>7</v>
      </c>
      <c r="EA603" s="27" t="s">
        <v>8</v>
      </c>
      <c r="EB603" s="27" t="s">
        <v>7</v>
      </c>
      <c r="EC603" s="27" t="s">
        <v>8</v>
      </c>
      <c r="EH603" s="27" t="s">
        <v>7</v>
      </c>
      <c r="EI603" s="27" t="s">
        <v>8</v>
      </c>
      <c r="EJ603" s="27" t="s">
        <v>7</v>
      </c>
      <c r="EK603" s="27" t="s">
        <v>8</v>
      </c>
      <c r="EN603" s="27" t="s">
        <v>7</v>
      </c>
      <c r="EO603" s="27" t="s">
        <v>8</v>
      </c>
      <c r="EP603" s="27" t="s">
        <v>7</v>
      </c>
      <c r="EQ603" s="27" t="s">
        <v>8</v>
      </c>
      <c r="ER603" s="27" t="s">
        <v>7</v>
      </c>
      <c r="ES603" s="27" t="s">
        <v>8</v>
      </c>
      <c r="ET603" s="27" t="s">
        <v>7</v>
      </c>
      <c r="EU603" s="27" t="s">
        <v>8</v>
      </c>
      <c r="EV603" s="27" t="s">
        <v>7</v>
      </c>
      <c r="EY603" s="27" t="s">
        <v>8</v>
      </c>
      <c r="EZ603" s="27" t="s">
        <v>7</v>
      </c>
      <c r="FA603" s="27" t="s">
        <v>8</v>
      </c>
      <c r="FC603" s="27" t="s">
        <v>8</v>
      </c>
      <c r="FD603" s="27" t="s">
        <v>7</v>
      </c>
      <c r="FE603" s="27" t="s">
        <v>8</v>
      </c>
      <c r="HV603" s="27" t="s">
        <v>7</v>
      </c>
      <c r="HX603" s="27" t="s">
        <v>7</v>
      </c>
      <c r="HY603" s="27" t="s">
        <v>8</v>
      </c>
      <c r="HZ603" s="27" t="s">
        <v>7</v>
      </c>
      <c r="IA603" s="27" t="s">
        <v>8</v>
      </c>
      <c r="IB603" s="27" t="s">
        <v>7</v>
      </c>
      <c r="IC603" s="27" t="s">
        <v>8</v>
      </c>
      <c r="ID603" s="27" t="s">
        <v>7</v>
      </c>
      <c r="IE603" s="27" t="s">
        <v>8</v>
      </c>
      <c r="IN603" s="27" t="s">
        <v>7</v>
      </c>
      <c r="IO603" s="27" t="s">
        <v>8</v>
      </c>
      <c r="IQ603" s="27" t="s">
        <v>8</v>
      </c>
      <c r="IR603" s="27" t="s">
        <v>7</v>
      </c>
      <c r="IS603" s="27" t="s">
        <v>8</v>
      </c>
      <c r="IT603" s="27" t="s">
        <v>7</v>
      </c>
      <c r="IU603" s="27" t="s">
        <v>8</v>
      </c>
      <c r="IV603" s="27" t="s">
        <v>7</v>
      </c>
    </row>
    <row r="604" spans="1:256" x14ac:dyDescent="0.25">
      <c r="A604" s="7">
        <v>0.71416256246493581</v>
      </c>
      <c r="B604"/>
      <c r="C604"/>
      <c r="D604"/>
      <c r="E604"/>
      <c r="F604" s="27" t="s">
        <v>7</v>
      </c>
      <c r="G604" s="27" t="s">
        <v>8</v>
      </c>
      <c r="H604" s="27" t="s">
        <v>7</v>
      </c>
      <c r="K604" s="27" t="s">
        <v>8</v>
      </c>
      <c r="L604" s="27" t="s">
        <v>7</v>
      </c>
      <c r="Y604" s="27" t="s">
        <v>8</v>
      </c>
      <c r="AB604" s="27" t="s">
        <v>7</v>
      </c>
      <c r="AC604" s="27" t="s">
        <v>8</v>
      </c>
      <c r="AJ604" s="27" t="s">
        <v>7</v>
      </c>
      <c r="AY604" s="27" t="s">
        <v>8</v>
      </c>
      <c r="AZ604" s="27" t="s">
        <v>7</v>
      </c>
      <c r="BA604" s="27" t="s">
        <v>8</v>
      </c>
      <c r="BB604" s="27" t="s">
        <v>7</v>
      </c>
      <c r="BC604" s="27" t="s">
        <v>8</v>
      </c>
      <c r="DN604" s="27" t="s">
        <v>7</v>
      </c>
      <c r="DO604" s="27" t="s">
        <v>8</v>
      </c>
      <c r="DP604" s="27" t="s">
        <v>7</v>
      </c>
      <c r="DS604" s="27" t="s">
        <v>8</v>
      </c>
      <c r="DV604" s="27" t="s">
        <v>7</v>
      </c>
      <c r="DY604" s="27" t="s">
        <v>8</v>
      </c>
      <c r="DZ604" s="27" t="s">
        <v>7</v>
      </c>
      <c r="EA604" s="27" t="s">
        <v>8</v>
      </c>
      <c r="EB604" s="27" t="s">
        <v>7</v>
      </c>
      <c r="EC604" s="27" t="s">
        <v>8</v>
      </c>
      <c r="EH604" s="27" t="s">
        <v>7</v>
      </c>
      <c r="EI604" s="27" t="s">
        <v>8</v>
      </c>
      <c r="EJ604" s="27" t="s">
        <v>7</v>
      </c>
      <c r="EK604" s="27" t="s">
        <v>8</v>
      </c>
      <c r="EN604" s="27" t="s">
        <v>7</v>
      </c>
      <c r="EO604" s="27" t="s">
        <v>8</v>
      </c>
      <c r="EP604" s="27" t="s">
        <v>7</v>
      </c>
      <c r="ER604" s="27" t="s">
        <v>7</v>
      </c>
      <c r="ES604" s="27" t="s">
        <v>8</v>
      </c>
      <c r="ET604" s="27" t="s">
        <v>7</v>
      </c>
      <c r="EU604" s="27" t="s">
        <v>8</v>
      </c>
      <c r="EV604" s="27" t="s">
        <v>7</v>
      </c>
      <c r="EY604" s="27" t="s">
        <v>8</v>
      </c>
      <c r="EZ604" s="27" t="s">
        <v>7</v>
      </c>
      <c r="FA604" s="27" t="s">
        <v>8</v>
      </c>
      <c r="FB604" s="27" t="s">
        <v>7</v>
      </c>
      <c r="FC604" s="27" t="s">
        <v>8</v>
      </c>
      <c r="FD604" s="27" t="s">
        <v>7</v>
      </c>
      <c r="FE604" s="27" t="s">
        <v>8</v>
      </c>
      <c r="HX604" s="27" t="s">
        <v>7</v>
      </c>
      <c r="HY604" s="27" t="s">
        <v>8</v>
      </c>
      <c r="HZ604" s="27" t="s">
        <v>7</v>
      </c>
      <c r="IA604" s="27" t="s">
        <v>8</v>
      </c>
      <c r="IB604" s="27" t="s">
        <v>7</v>
      </c>
      <c r="IC604" s="27" t="s">
        <v>8</v>
      </c>
      <c r="ID604" s="27" t="s">
        <v>7</v>
      </c>
      <c r="IE604" s="27" t="s">
        <v>8</v>
      </c>
      <c r="IN604" s="27" t="s">
        <v>7</v>
      </c>
      <c r="IO604" s="27" t="s">
        <v>8</v>
      </c>
      <c r="IP604" s="27" t="s">
        <v>7</v>
      </c>
      <c r="IQ604" s="27" t="s">
        <v>8</v>
      </c>
      <c r="IR604" s="27" t="s">
        <v>7</v>
      </c>
      <c r="IS604" s="27" t="s">
        <v>8</v>
      </c>
      <c r="IT604" s="27" t="s">
        <v>7</v>
      </c>
      <c r="IV604" s="27" t="s">
        <v>7</v>
      </c>
    </row>
    <row r="605" spans="1:256" x14ac:dyDescent="0.25">
      <c r="A605" s="7">
        <v>0.7001593749656233</v>
      </c>
      <c r="B605"/>
      <c r="C605"/>
      <c r="D605"/>
      <c r="E605"/>
      <c r="F605" s="27" t="s">
        <v>7</v>
      </c>
      <c r="G605" s="27" t="s">
        <v>8</v>
      </c>
      <c r="H605" s="27" t="s">
        <v>7</v>
      </c>
      <c r="K605" s="27" t="s">
        <v>8</v>
      </c>
      <c r="L605" s="27" t="s">
        <v>7</v>
      </c>
      <c r="Y605" s="27" t="s">
        <v>8</v>
      </c>
      <c r="AB605" s="27" t="s">
        <v>7</v>
      </c>
      <c r="AJ605" s="27" t="s">
        <v>7</v>
      </c>
      <c r="AY605" s="27" t="s">
        <v>8</v>
      </c>
      <c r="AZ605" s="27" t="s">
        <v>7</v>
      </c>
      <c r="BA605" s="27" t="s">
        <v>8</v>
      </c>
      <c r="BB605" s="27" t="s">
        <v>7</v>
      </c>
      <c r="BC605" s="27" t="s">
        <v>8</v>
      </c>
      <c r="DN605" s="27" t="s">
        <v>7</v>
      </c>
      <c r="DO605" s="27" t="s">
        <v>8</v>
      </c>
      <c r="DP605" s="27" t="s">
        <v>7</v>
      </c>
      <c r="DS605" s="27" t="s">
        <v>8</v>
      </c>
      <c r="DV605" s="27" t="s">
        <v>7</v>
      </c>
      <c r="DY605" s="27" t="s">
        <v>8</v>
      </c>
      <c r="DZ605" s="27" t="s">
        <v>7</v>
      </c>
      <c r="EA605" s="27" t="s">
        <v>8</v>
      </c>
      <c r="EB605" s="27" t="s">
        <v>7</v>
      </c>
      <c r="EC605" s="27" t="s">
        <v>8</v>
      </c>
      <c r="EH605" s="27" t="s">
        <v>7</v>
      </c>
      <c r="EI605" s="27" t="s">
        <v>8</v>
      </c>
      <c r="EJ605" s="27" t="s">
        <v>7</v>
      </c>
      <c r="EK605" s="27" t="s">
        <v>8</v>
      </c>
      <c r="EN605" s="27" t="s">
        <v>7</v>
      </c>
      <c r="EO605" s="27" t="s">
        <v>8</v>
      </c>
      <c r="ER605" s="27" t="s">
        <v>7</v>
      </c>
      <c r="ES605" s="27" t="s">
        <v>8</v>
      </c>
      <c r="ET605" s="27" t="s">
        <v>7</v>
      </c>
      <c r="EU605" s="27" t="s">
        <v>8</v>
      </c>
      <c r="EV605" s="27" t="s">
        <v>7</v>
      </c>
      <c r="EY605" s="27" t="s">
        <v>8</v>
      </c>
      <c r="EZ605" s="27" t="s">
        <v>7</v>
      </c>
      <c r="FA605" s="27" t="s">
        <v>8</v>
      </c>
      <c r="FB605" s="27" t="s">
        <v>7</v>
      </c>
      <c r="FC605" s="27" t="s">
        <v>8</v>
      </c>
      <c r="FD605" s="27" t="s">
        <v>7</v>
      </c>
      <c r="HX605" s="27" t="s">
        <v>7</v>
      </c>
      <c r="HY605" s="27" t="s">
        <v>8</v>
      </c>
      <c r="HZ605" s="27" t="s">
        <v>7</v>
      </c>
      <c r="IA605" s="27" t="s">
        <v>8</v>
      </c>
      <c r="IB605" s="27" t="s">
        <v>7</v>
      </c>
      <c r="IC605" s="27" t="s">
        <v>8</v>
      </c>
      <c r="ID605" s="27" t="s">
        <v>7</v>
      </c>
      <c r="IE605" s="27" t="s">
        <v>8</v>
      </c>
      <c r="IN605" s="27" t="s">
        <v>7</v>
      </c>
      <c r="IO605" s="27" t="s">
        <v>8</v>
      </c>
      <c r="IP605" s="27" t="s">
        <v>7</v>
      </c>
      <c r="IQ605" s="27" t="s">
        <v>8</v>
      </c>
      <c r="IR605" s="27" t="s">
        <v>7</v>
      </c>
      <c r="IV605" s="27" t="s">
        <v>7</v>
      </c>
    </row>
    <row r="606" spans="1:256" x14ac:dyDescent="0.25">
      <c r="A606" s="7">
        <v>0.68643075977021883</v>
      </c>
      <c r="B606"/>
      <c r="C606"/>
      <c r="D606"/>
      <c r="E606"/>
      <c r="F606" s="27" t="s">
        <v>7</v>
      </c>
      <c r="G606" s="27" t="s">
        <v>8</v>
      </c>
      <c r="H606" s="27" t="s">
        <v>7</v>
      </c>
      <c r="K606" s="27" t="s">
        <v>8</v>
      </c>
      <c r="L606" s="27" t="s">
        <v>7</v>
      </c>
      <c r="W606" s="27" t="s">
        <v>8</v>
      </c>
      <c r="Y606" s="27" t="s">
        <v>8</v>
      </c>
      <c r="AJ606" s="27" t="s">
        <v>7</v>
      </c>
      <c r="AY606" s="27" t="s">
        <v>8</v>
      </c>
      <c r="AZ606" s="27" t="s">
        <v>7</v>
      </c>
      <c r="BA606" s="27" t="s">
        <v>8</v>
      </c>
      <c r="BB606" s="27" t="s">
        <v>7</v>
      </c>
      <c r="BC606" s="27" t="s">
        <v>8</v>
      </c>
      <c r="DN606" s="27" t="s">
        <v>7</v>
      </c>
      <c r="DO606" s="27" t="s">
        <v>8</v>
      </c>
      <c r="DP606" s="27" t="s">
        <v>7</v>
      </c>
      <c r="DQ606" s="27" t="s">
        <v>8</v>
      </c>
      <c r="DS606" s="27" t="s">
        <v>8</v>
      </c>
      <c r="DV606" s="27" t="s">
        <v>7</v>
      </c>
      <c r="DY606" s="27" t="s">
        <v>8</v>
      </c>
      <c r="DZ606" s="27" t="s">
        <v>7</v>
      </c>
      <c r="EA606" s="27" t="s">
        <v>8</v>
      </c>
      <c r="EB606" s="27" t="s">
        <v>7</v>
      </c>
      <c r="EC606" s="27" t="s">
        <v>8</v>
      </c>
      <c r="EH606" s="27" t="s">
        <v>7</v>
      </c>
      <c r="EI606" s="27" t="s">
        <v>8</v>
      </c>
      <c r="EJ606" s="27" t="s">
        <v>7</v>
      </c>
      <c r="EK606" s="27" t="s">
        <v>8</v>
      </c>
      <c r="EN606" s="27" t="s">
        <v>7</v>
      </c>
      <c r="EO606" s="27" t="s">
        <v>8</v>
      </c>
      <c r="ER606" s="27" t="s">
        <v>7</v>
      </c>
      <c r="ES606" s="27" t="s">
        <v>8</v>
      </c>
      <c r="ET606" s="27" t="s">
        <v>7</v>
      </c>
      <c r="EU606" s="27" t="s">
        <v>8</v>
      </c>
      <c r="EV606" s="27" t="s">
        <v>7</v>
      </c>
      <c r="EW606" s="27" t="s">
        <v>8</v>
      </c>
      <c r="EY606" s="27" t="s">
        <v>8</v>
      </c>
      <c r="EZ606" s="27" t="s">
        <v>7</v>
      </c>
      <c r="FA606" s="27" t="s">
        <v>8</v>
      </c>
      <c r="FB606" s="27" t="s">
        <v>7</v>
      </c>
      <c r="HX606" s="27" t="s">
        <v>7</v>
      </c>
      <c r="HZ606" s="27" t="s">
        <v>7</v>
      </c>
      <c r="IB606" s="27" t="s">
        <v>7</v>
      </c>
      <c r="IC606" s="27" t="s">
        <v>8</v>
      </c>
      <c r="ID606" s="27" t="s">
        <v>7</v>
      </c>
      <c r="IE606" s="27" t="s">
        <v>8</v>
      </c>
      <c r="IN606" s="27" t="s">
        <v>7</v>
      </c>
      <c r="IP606" s="27" t="s">
        <v>7</v>
      </c>
      <c r="IQ606" s="27" t="s">
        <v>8</v>
      </c>
      <c r="IV606" s="27" t="s">
        <v>7</v>
      </c>
    </row>
    <row r="607" spans="1:256" x14ac:dyDescent="0.25">
      <c r="A607" s="7">
        <v>0.67297133310805768</v>
      </c>
      <c r="B607"/>
      <c r="C607"/>
      <c r="D607"/>
      <c r="E607"/>
      <c r="F607" s="27" t="s">
        <v>7</v>
      </c>
      <c r="G607" s="27" t="s">
        <v>8</v>
      </c>
      <c r="H607" s="27" t="s">
        <v>7</v>
      </c>
      <c r="K607" s="27" t="s">
        <v>8</v>
      </c>
      <c r="L607" s="27" t="s">
        <v>7</v>
      </c>
      <c r="W607" s="27" t="s">
        <v>8</v>
      </c>
      <c r="X607" s="27" t="s">
        <v>7</v>
      </c>
      <c r="Y607" s="27" t="s">
        <v>8</v>
      </c>
      <c r="AJ607" s="27" t="s">
        <v>7</v>
      </c>
      <c r="AY607" s="27" t="s">
        <v>8</v>
      </c>
      <c r="AZ607" s="27" t="s">
        <v>7</v>
      </c>
      <c r="BA607" s="27" t="s">
        <v>8</v>
      </c>
      <c r="BB607" s="27" t="s">
        <v>7</v>
      </c>
      <c r="BC607" s="27" t="s">
        <v>8</v>
      </c>
      <c r="DN607" s="27" t="s">
        <v>7</v>
      </c>
      <c r="DO607" s="27" t="s">
        <v>8</v>
      </c>
      <c r="DP607" s="27" t="s">
        <v>7</v>
      </c>
      <c r="DQ607" s="27" t="s">
        <v>8</v>
      </c>
      <c r="DR607" s="27" t="s">
        <v>7</v>
      </c>
      <c r="DS607" s="27" t="s">
        <v>8</v>
      </c>
      <c r="DV607" s="27" t="s">
        <v>7</v>
      </c>
      <c r="DW607" s="27" t="s">
        <v>8</v>
      </c>
      <c r="DY607" s="27" t="s">
        <v>8</v>
      </c>
      <c r="DZ607" s="27" t="s">
        <v>7</v>
      </c>
      <c r="EA607" s="27" t="s">
        <v>8</v>
      </c>
      <c r="EB607" s="27" t="s">
        <v>7</v>
      </c>
      <c r="EC607" s="27" t="s">
        <v>8</v>
      </c>
      <c r="EH607" s="27" t="s">
        <v>7</v>
      </c>
      <c r="EI607" s="27" t="s">
        <v>8</v>
      </c>
      <c r="EJ607" s="27" t="s">
        <v>7</v>
      </c>
      <c r="EK607" s="27" t="s">
        <v>8</v>
      </c>
      <c r="EN607" s="27" t="s">
        <v>7</v>
      </c>
      <c r="ER607" s="27" t="s">
        <v>7</v>
      </c>
      <c r="ES607" s="27" t="s">
        <v>8</v>
      </c>
      <c r="ET607" s="27" t="s">
        <v>7</v>
      </c>
      <c r="EU607" s="27" t="s">
        <v>8</v>
      </c>
      <c r="EV607" s="27" t="s">
        <v>7</v>
      </c>
      <c r="EW607" s="27" t="s">
        <v>8</v>
      </c>
      <c r="EX607" s="27" t="s">
        <v>7</v>
      </c>
      <c r="EY607" s="27" t="s">
        <v>8</v>
      </c>
      <c r="EZ607" s="27" t="s">
        <v>7</v>
      </c>
      <c r="FA607" s="27" t="s">
        <v>8</v>
      </c>
      <c r="IB607" s="27" t="s">
        <v>7</v>
      </c>
      <c r="ID607" s="27" t="s">
        <v>7</v>
      </c>
      <c r="IE607" s="27" t="s">
        <v>8</v>
      </c>
      <c r="IP607" s="27" t="s">
        <v>7</v>
      </c>
      <c r="IQ607" s="27" t="s">
        <v>8</v>
      </c>
      <c r="IV607" s="27" t="s">
        <v>7</v>
      </c>
    </row>
    <row r="608" spans="1:256" x14ac:dyDescent="0.25">
      <c r="A608" s="7">
        <v>0.65977581677260566</v>
      </c>
      <c r="B608"/>
      <c r="C608"/>
      <c r="D608"/>
      <c r="E608"/>
      <c r="F608" s="27" t="s">
        <v>7</v>
      </c>
      <c r="G608" s="27" t="s">
        <v>8</v>
      </c>
      <c r="H608" s="27" t="s">
        <v>7</v>
      </c>
      <c r="K608" s="27" t="s">
        <v>8</v>
      </c>
      <c r="L608" s="27" t="s">
        <v>7</v>
      </c>
      <c r="W608" s="27" t="s">
        <v>8</v>
      </c>
      <c r="X608" s="27" t="s">
        <v>7</v>
      </c>
      <c r="Y608" s="27" t="s">
        <v>8</v>
      </c>
      <c r="AJ608" s="27" t="s">
        <v>7</v>
      </c>
      <c r="AY608" s="27" t="s">
        <v>8</v>
      </c>
      <c r="AZ608" s="27" t="s">
        <v>7</v>
      </c>
      <c r="BA608" s="27" t="s">
        <v>8</v>
      </c>
      <c r="BB608" s="27" t="s">
        <v>7</v>
      </c>
      <c r="BC608" s="27" t="s">
        <v>8</v>
      </c>
      <c r="DN608" s="27" t="s">
        <v>7</v>
      </c>
      <c r="DO608" s="27" t="s">
        <v>8</v>
      </c>
      <c r="DP608" s="27" t="s">
        <v>7</v>
      </c>
      <c r="DQ608" s="27" t="s">
        <v>8</v>
      </c>
      <c r="DR608" s="27" t="s">
        <v>7</v>
      </c>
      <c r="DS608" s="27" t="s">
        <v>8</v>
      </c>
      <c r="DV608" s="27" t="s">
        <v>7</v>
      </c>
      <c r="DW608" s="27" t="s">
        <v>8</v>
      </c>
      <c r="DX608" s="27" t="s">
        <v>7</v>
      </c>
      <c r="DY608" s="27" t="s">
        <v>8</v>
      </c>
      <c r="DZ608" s="27" t="s">
        <v>7</v>
      </c>
      <c r="EA608" s="27" t="s">
        <v>8</v>
      </c>
      <c r="EB608" s="27" t="s">
        <v>7</v>
      </c>
      <c r="EC608" s="27" t="s">
        <v>8</v>
      </c>
      <c r="EH608" s="27" t="s">
        <v>7</v>
      </c>
      <c r="EI608" s="27" t="s">
        <v>8</v>
      </c>
      <c r="EJ608" s="27" t="s">
        <v>7</v>
      </c>
      <c r="EK608" s="27" t="s">
        <v>8</v>
      </c>
      <c r="ER608" s="27" t="s">
        <v>7</v>
      </c>
      <c r="ET608" s="27" t="s">
        <v>7</v>
      </c>
      <c r="EV608" s="27" t="s">
        <v>7</v>
      </c>
      <c r="EW608" s="27" t="s">
        <v>8</v>
      </c>
      <c r="EX608" s="27" t="s">
        <v>7</v>
      </c>
      <c r="EY608" s="27" t="s">
        <v>8</v>
      </c>
      <c r="EZ608" s="27" t="s">
        <v>7</v>
      </c>
      <c r="ID608" s="27" t="s">
        <v>7</v>
      </c>
      <c r="IE608" s="27" t="s">
        <v>8</v>
      </c>
      <c r="IP608" s="27" t="s">
        <v>7</v>
      </c>
      <c r="IQ608" s="27" t="s">
        <v>8</v>
      </c>
      <c r="IV608" s="27" t="s">
        <v>7</v>
      </c>
    </row>
    <row r="609" spans="1:260" x14ac:dyDescent="0.25">
      <c r="A609" s="7">
        <v>0.64683903605157422</v>
      </c>
      <c r="B609"/>
      <c r="C609"/>
      <c r="D609"/>
      <c r="E609"/>
      <c r="F609" s="27" t="s">
        <v>7</v>
      </c>
      <c r="G609" s="27" t="s">
        <v>8</v>
      </c>
      <c r="H609" s="27" t="s">
        <v>7</v>
      </c>
      <c r="K609" s="27" t="s">
        <v>8</v>
      </c>
      <c r="L609" s="27" t="s">
        <v>7</v>
      </c>
      <c r="W609" s="27" t="s">
        <v>8</v>
      </c>
      <c r="X609" s="27" t="s">
        <v>7</v>
      </c>
      <c r="Y609" s="27" t="s">
        <v>8</v>
      </c>
      <c r="AJ609" s="27" t="s">
        <v>7</v>
      </c>
      <c r="AK609" s="27" t="s">
        <v>8</v>
      </c>
      <c r="AY609" s="27" t="s">
        <v>8</v>
      </c>
      <c r="AZ609" s="27" t="s">
        <v>7</v>
      </c>
      <c r="BA609" s="27" t="s">
        <v>8</v>
      </c>
      <c r="BB609" s="27" t="s">
        <v>7</v>
      </c>
      <c r="BC609" s="27" t="s">
        <v>8</v>
      </c>
      <c r="DN609" s="27" t="s">
        <v>7</v>
      </c>
      <c r="DO609" s="27" t="s">
        <v>8</v>
      </c>
      <c r="DP609" s="27" t="s">
        <v>7</v>
      </c>
      <c r="DQ609" s="27" t="s">
        <v>8</v>
      </c>
      <c r="DR609" s="27" t="s">
        <v>7</v>
      </c>
      <c r="DS609" s="27" t="s">
        <v>8</v>
      </c>
      <c r="DV609" s="27" t="s">
        <v>7</v>
      </c>
      <c r="DW609" s="27" t="s">
        <v>8</v>
      </c>
      <c r="DX609" s="27" t="s">
        <v>7</v>
      </c>
      <c r="DY609" s="27" t="s">
        <v>8</v>
      </c>
      <c r="DZ609" s="27" t="s">
        <v>7</v>
      </c>
      <c r="EA609" s="27" t="s">
        <v>8</v>
      </c>
      <c r="EB609" s="27" t="s">
        <v>7</v>
      </c>
      <c r="EC609" s="27" t="s">
        <v>8</v>
      </c>
      <c r="EH609" s="27" t="s">
        <v>7</v>
      </c>
      <c r="EJ609" s="27" t="s">
        <v>7</v>
      </c>
      <c r="EV609" s="27" t="s">
        <v>7</v>
      </c>
      <c r="EW609" s="27" t="s">
        <v>8</v>
      </c>
      <c r="EX609" s="27" t="s">
        <v>7</v>
      </c>
      <c r="EY609" s="27" t="s">
        <v>8</v>
      </c>
      <c r="ID609" s="27" t="s">
        <v>7</v>
      </c>
      <c r="IP609" s="27" t="s">
        <v>7</v>
      </c>
      <c r="IV609" s="27" t="s">
        <v>7</v>
      </c>
    </row>
    <row r="610" spans="1:260" x14ac:dyDescent="0.25">
      <c r="A610" s="7">
        <v>0.63415591769762181</v>
      </c>
      <c r="B610"/>
      <c r="C610"/>
      <c r="D610"/>
      <c r="E610"/>
      <c r="F610" s="27" t="s">
        <v>7</v>
      </c>
      <c r="G610" s="27" t="s">
        <v>8</v>
      </c>
      <c r="H610" s="27" t="s">
        <v>7</v>
      </c>
      <c r="K610" s="27" t="s">
        <v>8</v>
      </c>
      <c r="L610" s="27" t="s">
        <v>7</v>
      </c>
      <c r="W610" s="27" t="s">
        <v>8</v>
      </c>
      <c r="X610" s="27" t="s">
        <v>7</v>
      </c>
      <c r="Y610" s="27" t="s">
        <v>8</v>
      </c>
      <c r="AJ610" s="27" t="s">
        <v>7</v>
      </c>
      <c r="AK610" s="27" t="s">
        <v>8</v>
      </c>
      <c r="AL610" s="27" t="s">
        <v>7</v>
      </c>
      <c r="AU610" s="27" t="s">
        <v>8</v>
      </c>
      <c r="AW610" s="27" t="s">
        <v>8</v>
      </c>
      <c r="AY610" s="27" t="s">
        <v>8</v>
      </c>
      <c r="AZ610" s="27" t="s">
        <v>7</v>
      </c>
      <c r="BA610" s="27" t="s">
        <v>8</v>
      </c>
      <c r="BB610" s="27" t="s">
        <v>7</v>
      </c>
      <c r="DN610" s="27" t="s">
        <v>7</v>
      </c>
      <c r="DP610" s="27" t="s">
        <v>7</v>
      </c>
      <c r="DQ610" s="27" t="s">
        <v>8</v>
      </c>
      <c r="DR610" s="27" t="s">
        <v>7</v>
      </c>
      <c r="DS610" s="27" t="s">
        <v>8</v>
      </c>
      <c r="DV610" s="27" t="s">
        <v>7</v>
      </c>
      <c r="DW610" s="27" t="s">
        <v>8</v>
      </c>
      <c r="DX610" s="27" t="s">
        <v>7</v>
      </c>
      <c r="DY610" s="27" t="s">
        <v>8</v>
      </c>
      <c r="DZ610" s="27" t="s">
        <v>7</v>
      </c>
      <c r="EB610" s="27" t="s">
        <v>7</v>
      </c>
      <c r="EC610" s="27" t="s">
        <v>8</v>
      </c>
      <c r="EV610" s="27" t="s">
        <v>7</v>
      </c>
      <c r="EW610" s="27" t="s">
        <v>8</v>
      </c>
      <c r="EX610" s="27" t="s">
        <v>7</v>
      </c>
      <c r="IV610" s="27" t="s">
        <v>7</v>
      </c>
      <c r="IY610" s="27" t="s">
        <v>8</v>
      </c>
    </row>
    <row r="611" spans="1:260" x14ac:dyDescent="0.25">
      <c r="A611" s="7">
        <v>0.62172148793884496</v>
      </c>
      <c r="B611"/>
      <c r="C611"/>
      <c r="D611"/>
      <c r="E611"/>
      <c r="F611" s="27" t="s">
        <v>7</v>
      </c>
      <c r="G611" s="27" t="s">
        <v>8</v>
      </c>
      <c r="H611" s="27" t="s">
        <v>7</v>
      </c>
      <c r="K611" s="27" t="s">
        <v>8</v>
      </c>
      <c r="L611" s="27" t="s">
        <v>7</v>
      </c>
      <c r="W611" s="27" t="s">
        <v>8</v>
      </c>
      <c r="X611" s="27" t="s">
        <v>7</v>
      </c>
      <c r="Y611" s="27" t="s">
        <v>8</v>
      </c>
      <c r="AJ611" s="27" t="s">
        <v>7</v>
      </c>
      <c r="AK611" s="27" t="s">
        <v>8</v>
      </c>
      <c r="AL611" s="27" t="s">
        <v>7</v>
      </c>
      <c r="AU611" s="27" t="s">
        <v>8</v>
      </c>
      <c r="AV611" s="27" t="s">
        <v>7</v>
      </c>
      <c r="AW611" s="27" t="s">
        <v>8</v>
      </c>
      <c r="AX611" s="27" t="s">
        <v>7</v>
      </c>
      <c r="AY611" s="27" t="s">
        <v>8</v>
      </c>
      <c r="AZ611" s="27" t="s">
        <v>7</v>
      </c>
      <c r="BA611" s="27" t="s">
        <v>8</v>
      </c>
      <c r="DP611" s="27" t="s">
        <v>7</v>
      </c>
      <c r="DQ611" s="27" t="s">
        <v>8</v>
      </c>
      <c r="DR611" s="27" t="s">
        <v>7</v>
      </c>
      <c r="DS611" s="27" t="s">
        <v>8</v>
      </c>
      <c r="DV611" s="27" t="s">
        <v>7</v>
      </c>
      <c r="DW611" s="27" t="s">
        <v>8</v>
      </c>
      <c r="DX611" s="27" t="s">
        <v>7</v>
      </c>
      <c r="EB611" s="27" t="s">
        <v>7</v>
      </c>
      <c r="EC611" s="27" t="s">
        <v>8</v>
      </c>
      <c r="EV611" s="18" t="s">
        <v>7</v>
      </c>
      <c r="EW611" s="27" t="s">
        <v>8</v>
      </c>
      <c r="IV611" s="27" t="s">
        <v>7</v>
      </c>
      <c r="IY611" s="27" t="s">
        <v>8</v>
      </c>
      <c r="IZ611" s="27" t="s">
        <v>7</v>
      </c>
    </row>
    <row r="612" spans="1:260" x14ac:dyDescent="0.25">
      <c r="A612" s="7">
        <v>0.60953087052827937</v>
      </c>
      <c r="B612"/>
      <c r="C612"/>
      <c r="D612"/>
      <c r="E612"/>
      <c r="F612" s="27" t="s">
        <v>7</v>
      </c>
      <c r="G612" s="27" t="s">
        <v>8</v>
      </c>
      <c r="H612" s="27" t="s">
        <v>7</v>
      </c>
      <c r="K612" s="27" t="s">
        <v>8</v>
      </c>
      <c r="L612" s="27" t="s">
        <v>7</v>
      </c>
      <c r="W612" s="27" t="s">
        <v>8</v>
      </c>
      <c r="X612" s="27" t="s">
        <v>7</v>
      </c>
      <c r="Y612" s="27" t="s">
        <v>8</v>
      </c>
      <c r="AJ612" s="27" t="s">
        <v>7</v>
      </c>
      <c r="AK612" s="27" t="s">
        <v>8</v>
      </c>
      <c r="AL612" s="27" t="s">
        <v>7</v>
      </c>
      <c r="AU612" s="27" t="s">
        <v>8</v>
      </c>
      <c r="AV612" s="27" t="s">
        <v>7</v>
      </c>
      <c r="AW612" s="27" t="s">
        <v>8</v>
      </c>
      <c r="AX612" s="27" t="s">
        <v>7</v>
      </c>
      <c r="AY612" s="27" t="s">
        <v>8</v>
      </c>
      <c r="AZ612" s="27" t="s">
        <v>7</v>
      </c>
      <c r="BA612" s="27" t="s">
        <v>8</v>
      </c>
      <c r="DP612" s="27" t="s">
        <v>7</v>
      </c>
      <c r="DR612" s="27" t="s">
        <v>7</v>
      </c>
      <c r="DS612" s="27" t="s">
        <v>8</v>
      </c>
      <c r="DV612" s="27" t="s">
        <v>7</v>
      </c>
      <c r="DW612" s="27" t="s">
        <v>8</v>
      </c>
      <c r="EB612" s="27" t="s">
        <v>7</v>
      </c>
      <c r="EC612" s="27" t="s">
        <v>8</v>
      </c>
      <c r="EV612" s="27" t="s">
        <v>7</v>
      </c>
      <c r="EW612" s="27" t="s">
        <v>8</v>
      </c>
      <c r="IV612" s="27" t="s">
        <v>7</v>
      </c>
      <c r="IY612" s="27" t="s">
        <v>8</v>
      </c>
      <c r="IZ612" s="27" t="s">
        <v>7</v>
      </c>
    </row>
    <row r="613" spans="1:260" x14ac:dyDescent="0.25">
      <c r="A613" s="7">
        <v>0.59757928483164646</v>
      </c>
      <c r="B613"/>
      <c r="C613"/>
      <c r="D613"/>
      <c r="E613"/>
      <c r="F613" s="27" t="s">
        <v>7</v>
      </c>
      <c r="G613" s="27" t="s">
        <v>8</v>
      </c>
      <c r="H613" s="27" t="s">
        <v>7</v>
      </c>
      <c r="K613" s="27" t="s">
        <v>8</v>
      </c>
      <c r="L613" s="27" t="s">
        <v>7</v>
      </c>
      <c r="M613" s="27" t="s">
        <v>8</v>
      </c>
      <c r="O613" s="27" t="s">
        <v>8</v>
      </c>
      <c r="W613" s="27" t="s">
        <v>8</v>
      </c>
      <c r="X613" s="27" t="s">
        <v>7</v>
      </c>
      <c r="Y613" s="27" t="s">
        <v>8</v>
      </c>
      <c r="AJ613" s="27" t="s">
        <v>7</v>
      </c>
      <c r="AK613" s="27" t="s">
        <v>8</v>
      </c>
      <c r="AL613" s="27" t="s">
        <v>7</v>
      </c>
      <c r="AU613" s="27" t="s">
        <v>8</v>
      </c>
      <c r="AV613" s="27" t="s">
        <v>7</v>
      </c>
      <c r="AW613" s="27" t="s">
        <v>8</v>
      </c>
      <c r="AX613" s="27" t="s">
        <v>7</v>
      </c>
      <c r="AY613" s="27" t="s">
        <v>8</v>
      </c>
      <c r="AZ613" s="27" t="s">
        <v>7</v>
      </c>
      <c r="BA613" s="27" t="s">
        <v>8</v>
      </c>
      <c r="DR613" s="27" t="s">
        <v>7</v>
      </c>
      <c r="DS613" s="27" t="s">
        <v>8</v>
      </c>
      <c r="DV613" s="27" t="s">
        <v>7</v>
      </c>
      <c r="DW613" s="27" t="s">
        <v>8</v>
      </c>
      <c r="EB613" s="27" t="s">
        <v>7</v>
      </c>
      <c r="EC613" s="27" t="s">
        <v>8</v>
      </c>
      <c r="EV613" s="27" t="s">
        <v>7</v>
      </c>
      <c r="EW613" s="27" t="s">
        <v>8</v>
      </c>
      <c r="IV613" s="27" t="s">
        <v>7</v>
      </c>
      <c r="IY613" s="27" t="s">
        <v>8</v>
      </c>
      <c r="IZ613" s="27" t="s">
        <v>7</v>
      </c>
    </row>
    <row r="614" spans="1:260" x14ac:dyDescent="0.25">
      <c r="A614" s="7">
        <v>0.58586204395259456</v>
      </c>
      <c r="B614"/>
      <c r="C614"/>
      <c r="D614"/>
      <c r="E614"/>
      <c r="F614" s="27" t="s">
        <v>7</v>
      </c>
      <c r="G614" s="27" t="s">
        <v>8</v>
      </c>
      <c r="H614" s="27" t="s">
        <v>7</v>
      </c>
      <c r="K614" s="27" t="s">
        <v>8</v>
      </c>
      <c r="L614" s="27" t="s">
        <v>7</v>
      </c>
      <c r="M614" s="27" t="s">
        <v>8</v>
      </c>
      <c r="N614" s="27" t="s">
        <v>7</v>
      </c>
      <c r="O614" s="27" t="s">
        <v>8</v>
      </c>
      <c r="P614" s="27" t="s">
        <v>7</v>
      </c>
      <c r="W614" s="27" t="s">
        <v>8</v>
      </c>
      <c r="X614" s="27" t="s">
        <v>7</v>
      </c>
      <c r="Y614" s="27" t="s">
        <v>8</v>
      </c>
      <c r="AJ614" s="27" t="s">
        <v>7</v>
      </c>
      <c r="AK614" s="27" t="s">
        <v>8</v>
      </c>
      <c r="AL614" s="27" t="s">
        <v>7</v>
      </c>
      <c r="AM614" s="27" t="s">
        <v>8</v>
      </c>
      <c r="AU614" s="27" t="s">
        <v>8</v>
      </c>
      <c r="AV614" s="27" t="s">
        <v>7</v>
      </c>
      <c r="AW614" s="27" t="s">
        <v>8</v>
      </c>
      <c r="AX614" s="27" t="s">
        <v>7</v>
      </c>
      <c r="AY614" s="27" t="s">
        <v>8</v>
      </c>
      <c r="AZ614" s="27" t="s">
        <v>7</v>
      </c>
      <c r="BA614" s="27" t="s">
        <v>8</v>
      </c>
      <c r="DR614" s="27" t="s">
        <v>7</v>
      </c>
      <c r="DS614" s="27" t="s">
        <v>8</v>
      </c>
      <c r="DV614" s="27" t="s">
        <v>7</v>
      </c>
      <c r="DW614" s="27" t="s">
        <v>8</v>
      </c>
      <c r="EB614" s="27" t="s">
        <v>7</v>
      </c>
      <c r="EC614" s="27" t="s">
        <v>8</v>
      </c>
      <c r="EV614" s="27" t="s">
        <v>7</v>
      </c>
      <c r="EW614" s="27" t="s">
        <v>8</v>
      </c>
      <c r="IV614" s="27" t="s">
        <v>7</v>
      </c>
      <c r="IY614" s="27" t="s">
        <v>8</v>
      </c>
      <c r="IZ614" s="27" t="s">
        <v>7</v>
      </c>
    </row>
    <row r="615" spans="1:260" x14ac:dyDescent="0.25">
      <c r="A615" s="7">
        <v>0.57437455289470052</v>
      </c>
      <c r="B615"/>
      <c r="C615"/>
      <c r="D615"/>
      <c r="E615"/>
      <c r="F615" s="27" t="s">
        <v>7</v>
      </c>
      <c r="H615" s="27" t="s">
        <v>7</v>
      </c>
      <c r="K615" s="27" t="s">
        <v>8</v>
      </c>
      <c r="L615" s="27" t="s">
        <v>7</v>
      </c>
      <c r="M615" s="27" t="s">
        <v>8</v>
      </c>
      <c r="N615" s="27" t="s">
        <v>7</v>
      </c>
      <c r="O615" s="27" t="s">
        <v>8</v>
      </c>
      <c r="P615" s="27" t="s">
        <v>7</v>
      </c>
      <c r="W615" s="27" t="s">
        <v>8</v>
      </c>
      <c r="X615" s="27" t="s">
        <v>7</v>
      </c>
      <c r="Y615" s="27" t="s">
        <v>8</v>
      </c>
      <c r="AJ615" s="27" t="s">
        <v>7</v>
      </c>
      <c r="AK615" s="27" t="s">
        <v>8</v>
      </c>
      <c r="AL615" s="27" t="s">
        <v>7</v>
      </c>
      <c r="AM615" s="27" t="s">
        <v>8</v>
      </c>
      <c r="AN615" s="27" t="s">
        <v>7</v>
      </c>
      <c r="AS615" s="27" t="s">
        <v>8</v>
      </c>
      <c r="AU615" s="27" t="s">
        <v>8</v>
      </c>
      <c r="AV615" s="27" t="s">
        <v>7</v>
      </c>
      <c r="AW615" s="27" t="s">
        <v>8</v>
      </c>
      <c r="AX615" s="27" t="s">
        <v>7</v>
      </c>
      <c r="AY615" s="27" t="s">
        <v>8</v>
      </c>
      <c r="AZ615" s="27" t="s">
        <v>7</v>
      </c>
      <c r="BA615" s="27" t="s">
        <v>8</v>
      </c>
      <c r="DR615" s="27" t="s">
        <v>7</v>
      </c>
      <c r="DS615" s="27" t="s">
        <v>8</v>
      </c>
      <c r="DV615" s="27" t="s">
        <v>7</v>
      </c>
      <c r="DW615" s="27" t="s">
        <v>8</v>
      </c>
      <c r="EB615" s="27" t="s">
        <v>7</v>
      </c>
      <c r="EC615" s="27" t="s">
        <v>8</v>
      </c>
      <c r="EV615" s="27" t="s">
        <v>7</v>
      </c>
      <c r="EW615" s="27" t="s">
        <v>8</v>
      </c>
      <c r="IV615" s="27" t="s">
        <v>7</v>
      </c>
      <c r="IW615" s="27" t="s">
        <v>8</v>
      </c>
      <c r="IY615" s="27" t="s">
        <v>8</v>
      </c>
      <c r="IZ615" s="27" t="s">
        <v>7</v>
      </c>
    </row>
    <row r="616" spans="1:260" x14ac:dyDescent="0.25">
      <c r="A616" s="7">
        <v>0.56311230675951029</v>
      </c>
      <c r="B616"/>
      <c r="C616"/>
      <c r="D616"/>
      <c r="E616"/>
      <c r="H616" s="27" t="s">
        <v>7</v>
      </c>
      <c r="K616" s="27" t="s">
        <v>8</v>
      </c>
      <c r="L616" s="27" t="s">
        <v>7</v>
      </c>
      <c r="M616" s="27" t="s">
        <v>8</v>
      </c>
      <c r="N616" s="27" t="s">
        <v>7</v>
      </c>
      <c r="O616" s="27" t="s">
        <v>8</v>
      </c>
      <c r="P616" s="27" t="s">
        <v>7</v>
      </c>
      <c r="W616" s="27" t="s">
        <v>8</v>
      </c>
      <c r="X616" s="27" t="s">
        <v>7</v>
      </c>
      <c r="AJ616" s="27" t="s">
        <v>7</v>
      </c>
      <c r="AK616" s="27" t="s">
        <v>8</v>
      </c>
      <c r="AL616" s="27" t="s">
        <v>7</v>
      </c>
      <c r="AM616" s="27" t="s">
        <v>8</v>
      </c>
      <c r="AN616" s="27" t="s">
        <v>7</v>
      </c>
      <c r="AS616" s="27" t="s">
        <v>8</v>
      </c>
      <c r="AT616" s="27" t="s">
        <v>7</v>
      </c>
      <c r="AU616" s="27" t="s">
        <v>8</v>
      </c>
      <c r="AV616" s="27" t="s">
        <v>7</v>
      </c>
      <c r="AW616" s="27" t="s">
        <v>8</v>
      </c>
      <c r="AX616" s="27" t="s">
        <v>7</v>
      </c>
      <c r="AY616" s="27" t="s">
        <v>8</v>
      </c>
      <c r="AZ616" s="27" t="s">
        <v>7</v>
      </c>
      <c r="DR616" s="27" t="s">
        <v>7</v>
      </c>
      <c r="DS616" s="27" t="s">
        <v>8</v>
      </c>
      <c r="DV616" s="27" t="s">
        <v>7</v>
      </c>
      <c r="EB616" s="27" t="s">
        <v>7</v>
      </c>
      <c r="EC616" s="27" t="s">
        <v>8</v>
      </c>
      <c r="EV616" s="27" t="s">
        <v>7</v>
      </c>
      <c r="EW616" s="27" t="s">
        <v>8</v>
      </c>
      <c r="IV616" s="27" t="s">
        <v>7</v>
      </c>
      <c r="IW616" s="27" t="s">
        <v>8</v>
      </c>
      <c r="IX616" s="27" t="s">
        <v>7</v>
      </c>
      <c r="IY616" s="27" t="s">
        <v>8</v>
      </c>
      <c r="IZ616" s="27" t="s">
        <v>7</v>
      </c>
    </row>
    <row r="617" spans="1:260" x14ac:dyDescent="0.25">
      <c r="A617" s="7">
        <v>0.55207088897991208</v>
      </c>
      <c r="B617"/>
      <c r="C617"/>
      <c r="D617"/>
      <c r="E617"/>
      <c r="H617" s="27" t="s">
        <v>7</v>
      </c>
      <c r="K617" s="27" t="s">
        <v>8</v>
      </c>
      <c r="L617" s="27" t="s">
        <v>7</v>
      </c>
      <c r="M617" s="27" t="s">
        <v>8</v>
      </c>
      <c r="N617" s="27" t="s">
        <v>7</v>
      </c>
      <c r="O617" s="27" t="s">
        <v>8</v>
      </c>
      <c r="P617" s="27" t="s">
        <v>7</v>
      </c>
      <c r="U617" s="27" t="s">
        <v>8</v>
      </c>
      <c r="W617" s="27" t="s">
        <v>8</v>
      </c>
      <c r="AJ617" s="27" t="s">
        <v>7</v>
      </c>
      <c r="AK617" s="27" t="s">
        <v>8</v>
      </c>
      <c r="AL617" s="27" t="s">
        <v>7</v>
      </c>
      <c r="AM617" s="27" t="s">
        <v>8</v>
      </c>
      <c r="AN617" s="27" t="s">
        <v>7</v>
      </c>
      <c r="AS617" s="27" t="s">
        <v>8</v>
      </c>
      <c r="AT617" s="27" t="s">
        <v>7</v>
      </c>
      <c r="AU617" s="27" t="s">
        <v>8</v>
      </c>
      <c r="AV617" s="27" t="s">
        <v>7</v>
      </c>
      <c r="AW617" s="27" t="s">
        <v>8</v>
      </c>
      <c r="AX617" s="27" t="s">
        <v>7</v>
      </c>
      <c r="DR617" s="27" t="s">
        <v>7</v>
      </c>
      <c r="DS617" s="27" t="s">
        <v>8</v>
      </c>
      <c r="EB617" s="27" t="s">
        <v>7</v>
      </c>
      <c r="EV617" s="27" t="s">
        <v>7</v>
      </c>
      <c r="IV617" s="27" t="s">
        <v>7</v>
      </c>
      <c r="IW617" s="27" t="s">
        <v>8</v>
      </c>
      <c r="IX617" s="27" t="s">
        <v>7</v>
      </c>
      <c r="IY617" s="27" t="s">
        <v>8</v>
      </c>
      <c r="IZ617" s="27" t="s">
        <v>7</v>
      </c>
    </row>
    <row r="618" spans="1:260" x14ac:dyDescent="0.25">
      <c r="A618" s="7">
        <v>0.54124596958814908</v>
      </c>
      <c r="B618"/>
      <c r="C618"/>
      <c r="D618"/>
      <c r="E618"/>
      <c r="H618" s="27" t="s">
        <v>7</v>
      </c>
      <c r="K618" s="27" t="s">
        <v>8</v>
      </c>
      <c r="L618" s="27" t="s">
        <v>7</v>
      </c>
      <c r="M618" s="27" t="s">
        <v>8</v>
      </c>
      <c r="N618" s="27" t="s">
        <v>7</v>
      </c>
      <c r="O618" s="27" t="s">
        <v>8</v>
      </c>
      <c r="P618" s="27" t="s">
        <v>7</v>
      </c>
      <c r="U618" s="27" t="s">
        <v>8</v>
      </c>
      <c r="V618" s="27" t="s">
        <v>7</v>
      </c>
      <c r="W618" s="27" t="s">
        <v>8</v>
      </c>
      <c r="AJ618" s="27" t="s">
        <v>7</v>
      </c>
      <c r="AK618" s="27" t="s">
        <v>8</v>
      </c>
      <c r="AL618" s="27" t="s">
        <v>7</v>
      </c>
      <c r="AM618" s="27" t="s">
        <v>8</v>
      </c>
      <c r="AN618" s="27" t="s">
        <v>7</v>
      </c>
      <c r="AQ618" s="27" t="s">
        <v>8</v>
      </c>
      <c r="AS618" s="27" t="s">
        <v>8</v>
      </c>
      <c r="AT618" s="27" t="s">
        <v>7</v>
      </c>
      <c r="AU618" s="27" t="s">
        <v>8</v>
      </c>
      <c r="AV618" s="27" t="s">
        <v>7</v>
      </c>
      <c r="AW618" s="27" t="s">
        <v>8</v>
      </c>
      <c r="DR618" s="27" t="s">
        <v>7</v>
      </c>
      <c r="DS618" s="27" t="s">
        <v>8</v>
      </c>
      <c r="IV618" s="27" t="s">
        <v>7</v>
      </c>
      <c r="IW618" s="27" t="s">
        <v>8</v>
      </c>
      <c r="IX618" s="27" t="s">
        <v>7</v>
      </c>
      <c r="IY618" s="27" t="s">
        <v>8</v>
      </c>
      <c r="IZ618" s="27" t="s">
        <v>7</v>
      </c>
    </row>
    <row r="619" spans="1:260" x14ac:dyDescent="0.25">
      <c r="A619" s="7">
        <v>0.53063330351779314</v>
      </c>
      <c r="B619"/>
      <c r="C619"/>
      <c r="D619"/>
      <c r="E619"/>
      <c r="H619" s="27" t="s">
        <v>7</v>
      </c>
      <c r="K619" s="27" t="s">
        <v>8</v>
      </c>
      <c r="L619" s="27" t="s">
        <v>7</v>
      </c>
      <c r="M619" s="27" t="s">
        <v>8</v>
      </c>
      <c r="N619" s="27" t="s">
        <v>7</v>
      </c>
      <c r="O619" s="27" t="s">
        <v>8</v>
      </c>
      <c r="P619" s="27" t="s">
        <v>7</v>
      </c>
      <c r="U619" s="27" t="s">
        <v>8</v>
      </c>
      <c r="V619" s="27" t="s">
        <v>7</v>
      </c>
      <c r="W619" s="27" t="s">
        <v>8</v>
      </c>
      <c r="AJ619" s="27" t="s">
        <v>7</v>
      </c>
      <c r="AK619" s="27" t="s">
        <v>8</v>
      </c>
      <c r="AL619" s="27" t="s">
        <v>7</v>
      </c>
      <c r="AM619" s="27" t="s">
        <v>8</v>
      </c>
      <c r="AN619" s="27" t="s">
        <v>7</v>
      </c>
      <c r="AQ619" s="27" t="s">
        <v>8</v>
      </c>
      <c r="AR619" s="27" t="s">
        <v>7</v>
      </c>
      <c r="AS619" s="27" t="s">
        <v>8</v>
      </c>
      <c r="AT619" s="27" t="s">
        <v>7</v>
      </c>
      <c r="AU619" s="27" t="s">
        <v>8</v>
      </c>
      <c r="AV619" s="27" t="s">
        <v>7</v>
      </c>
      <c r="AW619" s="27" t="s">
        <v>8</v>
      </c>
      <c r="DR619" s="27" t="s">
        <v>7</v>
      </c>
      <c r="DS619" s="27" t="s">
        <v>8</v>
      </c>
      <c r="IV619" s="27" t="s">
        <v>7</v>
      </c>
      <c r="IW619" s="27" t="s">
        <v>8</v>
      </c>
      <c r="IX619" s="27" t="s">
        <v>7</v>
      </c>
      <c r="IY619" s="27" t="s">
        <v>8</v>
      </c>
      <c r="IZ619" s="27" t="s">
        <v>7</v>
      </c>
    </row>
    <row r="620" spans="1:260" x14ac:dyDescent="0.25">
      <c r="A620" s="7">
        <v>0.52022872893901284</v>
      </c>
      <c r="B620"/>
      <c r="C620"/>
      <c r="D620"/>
      <c r="E620"/>
      <c r="H620" s="27" t="s">
        <v>7</v>
      </c>
      <c r="K620" s="27" t="s">
        <v>8</v>
      </c>
      <c r="L620" s="27" t="s">
        <v>7</v>
      </c>
      <c r="M620" s="27" t="s">
        <v>8</v>
      </c>
      <c r="N620" s="27" t="s">
        <v>7</v>
      </c>
      <c r="O620" s="27" t="s">
        <v>8</v>
      </c>
      <c r="P620" s="27" t="s">
        <v>7</v>
      </c>
      <c r="Q620" s="27" t="s">
        <v>8</v>
      </c>
      <c r="U620" s="27" t="s">
        <v>8</v>
      </c>
      <c r="V620" s="27" t="s">
        <v>7</v>
      </c>
      <c r="W620" s="27" t="s">
        <v>8</v>
      </c>
      <c r="AJ620" s="27" t="s">
        <v>7</v>
      </c>
      <c r="AK620" s="27" t="s">
        <v>8</v>
      </c>
      <c r="AL620" s="27" t="s">
        <v>7</v>
      </c>
      <c r="AM620" s="27" t="s">
        <v>8</v>
      </c>
      <c r="AN620" s="27" t="s">
        <v>7</v>
      </c>
      <c r="AO620" s="27" t="s">
        <v>8</v>
      </c>
      <c r="AQ620" s="27" t="s">
        <v>8</v>
      </c>
      <c r="AR620" s="27" t="s">
        <v>7</v>
      </c>
      <c r="AS620" s="27" t="s">
        <v>8</v>
      </c>
      <c r="AT620" s="27" t="s">
        <v>7</v>
      </c>
      <c r="AU620" s="27" t="s">
        <v>8</v>
      </c>
      <c r="AV620" s="27" t="s">
        <v>7</v>
      </c>
      <c r="AW620" s="27" t="s">
        <v>8</v>
      </c>
      <c r="DR620" s="27" t="s">
        <v>7</v>
      </c>
      <c r="DS620" s="27" t="s">
        <v>8</v>
      </c>
      <c r="IV620" s="27" t="s">
        <v>7</v>
      </c>
      <c r="IW620" s="27" t="s">
        <v>8</v>
      </c>
      <c r="IX620" s="27" t="s">
        <v>7</v>
      </c>
      <c r="IY620" s="27" t="s">
        <v>8</v>
      </c>
    </row>
    <row r="621" spans="1:260" x14ac:dyDescent="0.25">
      <c r="A621" s="7">
        <v>0.51002816562648323</v>
      </c>
      <c r="B621"/>
      <c r="C621"/>
      <c r="D621"/>
      <c r="E621"/>
      <c r="H621" s="27" t="s">
        <v>7</v>
      </c>
      <c r="K621" s="27" t="s">
        <v>8</v>
      </c>
      <c r="L621" s="27" t="s">
        <v>7</v>
      </c>
      <c r="M621" s="27" t="s">
        <v>8</v>
      </c>
      <c r="N621" s="27" t="s">
        <v>7</v>
      </c>
      <c r="O621" s="27" t="s">
        <v>8</v>
      </c>
      <c r="P621" s="27" t="s">
        <v>7</v>
      </c>
      <c r="Q621" s="27" t="s">
        <v>8</v>
      </c>
      <c r="R621" s="27" t="s">
        <v>7</v>
      </c>
      <c r="U621" s="27" t="s">
        <v>8</v>
      </c>
      <c r="V621" s="27" t="s">
        <v>7</v>
      </c>
      <c r="W621" s="27" t="s">
        <v>8</v>
      </c>
      <c r="AJ621" s="27" t="s">
        <v>7</v>
      </c>
      <c r="AK621" s="27" t="s">
        <v>8</v>
      </c>
      <c r="AL621" s="27" t="s">
        <v>7</v>
      </c>
      <c r="AM621" s="27" t="s">
        <v>8</v>
      </c>
      <c r="AN621" s="27" t="s">
        <v>7</v>
      </c>
      <c r="AO621" s="27" t="s">
        <v>8</v>
      </c>
      <c r="AP621" s="27" t="s">
        <v>7</v>
      </c>
      <c r="AQ621" s="27" t="s">
        <v>8</v>
      </c>
      <c r="AR621" s="27" t="s">
        <v>7</v>
      </c>
      <c r="AS621" s="27" t="s">
        <v>8</v>
      </c>
      <c r="AT621" s="27" t="s">
        <v>7</v>
      </c>
      <c r="AV621" s="27" t="s">
        <v>7</v>
      </c>
      <c r="AW621" s="27" t="s">
        <v>8</v>
      </c>
      <c r="DR621" s="27" t="s">
        <v>7</v>
      </c>
      <c r="DS621" s="27" t="s">
        <v>8</v>
      </c>
      <c r="IV621" s="27" t="s">
        <v>7</v>
      </c>
      <c r="IW621" s="27" t="s">
        <v>8</v>
      </c>
      <c r="IX621" s="27" t="s">
        <v>7</v>
      </c>
      <c r="IY621" s="27" t="s">
        <v>8</v>
      </c>
    </row>
    <row r="622" spans="1:260" x14ac:dyDescent="0.25">
      <c r="A622" s="7">
        <v>0.50002761335929735</v>
      </c>
      <c r="B622"/>
      <c r="C622"/>
      <c r="D622"/>
      <c r="E622"/>
      <c r="H622" s="27" t="s">
        <v>7</v>
      </c>
      <c r="K622" s="27" t="s">
        <v>8</v>
      </c>
      <c r="L622" s="27" t="s">
        <v>7</v>
      </c>
      <c r="M622" s="27" t="s">
        <v>8</v>
      </c>
      <c r="N622" s="27" t="s">
        <v>7</v>
      </c>
      <c r="O622" s="27" t="s">
        <v>8</v>
      </c>
      <c r="P622" s="27" t="s">
        <v>7</v>
      </c>
      <c r="Q622" s="27" t="s">
        <v>8</v>
      </c>
      <c r="R622" s="27" t="s">
        <v>7</v>
      </c>
      <c r="S622" s="27" t="s">
        <v>8</v>
      </c>
      <c r="U622" s="27" t="s">
        <v>8</v>
      </c>
      <c r="V622" s="27" t="s">
        <v>7</v>
      </c>
      <c r="W622" s="27" t="s">
        <v>8</v>
      </c>
      <c r="AJ622" s="27" t="s">
        <v>7</v>
      </c>
      <c r="AK622" s="27" t="s">
        <v>8</v>
      </c>
      <c r="AL622" s="27" t="s">
        <v>7</v>
      </c>
      <c r="AM622" s="27" t="s">
        <v>8</v>
      </c>
      <c r="AN622" s="27" t="s">
        <v>7</v>
      </c>
      <c r="AO622" s="27" t="s">
        <v>8</v>
      </c>
      <c r="AP622" s="27" t="s">
        <v>7</v>
      </c>
      <c r="AQ622" s="27" t="s">
        <v>8</v>
      </c>
      <c r="AR622" s="27" t="s">
        <v>7</v>
      </c>
      <c r="AS622" s="27" t="s">
        <v>8</v>
      </c>
      <c r="AV622" s="27" t="s">
        <v>7</v>
      </c>
      <c r="AW622" s="27" t="s">
        <v>8</v>
      </c>
      <c r="DR622" s="27" t="s">
        <v>7</v>
      </c>
      <c r="DS622" s="27" t="s">
        <v>8</v>
      </c>
      <c r="IV622" s="27" t="s">
        <v>7</v>
      </c>
      <c r="IX622" s="27" t="s">
        <v>7</v>
      </c>
      <c r="IY622" s="27" t="s">
        <v>8</v>
      </c>
    </row>
    <row r="623" spans="1:260" x14ac:dyDescent="0.25">
      <c r="A623" s="7">
        <v>0.49022315035225228</v>
      </c>
      <c r="B623"/>
      <c r="C623"/>
      <c r="D623"/>
      <c r="E623"/>
      <c r="H623" s="27" t="s">
        <v>7</v>
      </c>
      <c r="K623" s="27" t="s">
        <v>8</v>
      </c>
      <c r="L623" s="27" t="s">
        <v>7</v>
      </c>
      <c r="M623" s="27" t="s">
        <v>8</v>
      </c>
      <c r="N623" s="27" t="s">
        <v>7</v>
      </c>
      <c r="P623" s="27" t="s">
        <v>7</v>
      </c>
      <c r="Q623" s="27" t="s">
        <v>8</v>
      </c>
      <c r="R623" s="27" t="s">
        <v>7</v>
      </c>
      <c r="S623" s="27" t="s">
        <v>8</v>
      </c>
      <c r="T623" s="27" t="s">
        <v>7</v>
      </c>
      <c r="U623" s="27" t="s">
        <v>8</v>
      </c>
      <c r="V623" s="27" t="s">
        <v>7</v>
      </c>
      <c r="W623" s="27" t="s">
        <v>8</v>
      </c>
      <c r="AJ623" s="27" t="s">
        <v>7</v>
      </c>
      <c r="AK623" s="27" t="s">
        <v>8</v>
      </c>
      <c r="AL623" s="27" t="s">
        <v>7</v>
      </c>
      <c r="AN623" s="27" t="s">
        <v>7</v>
      </c>
      <c r="AO623" s="27" t="s">
        <v>8</v>
      </c>
      <c r="AP623" s="27" t="s">
        <v>7</v>
      </c>
      <c r="AQ623" s="27" t="s">
        <v>8</v>
      </c>
      <c r="AR623" s="27" t="s">
        <v>7</v>
      </c>
      <c r="AS623" s="27" t="s">
        <v>8</v>
      </c>
      <c r="AV623" s="27" t="s">
        <v>7</v>
      </c>
      <c r="AW623" s="27" t="s">
        <v>8</v>
      </c>
      <c r="DR623" s="27" t="s">
        <v>7</v>
      </c>
      <c r="DS623" s="27" t="s">
        <v>8</v>
      </c>
      <c r="IX623" s="27" t="s">
        <v>7</v>
      </c>
      <c r="IY623" s="27" t="s">
        <v>8</v>
      </c>
    </row>
    <row r="624" spans="1:260" x14ac:dyDescent="0.25">
      <c r="A624" s="7">
        <v>0.48061093171789437</v>
      </c>
      <c r="B624"/>
      <c r="C624"/>
      <c r="D624"/>
      <c r="E624"/>
      <c r="H624" s="27" t="s">
        <v>7</v>
      </c>
      <c r="K624" s="27" t="s">
        <v>8</v>
      </c>
      <c r="L624" s="27" t="s">
        <v>7</v>
      </c>
      <c r="P624" s="27" t="s">
        <v>7</v>
      </c>
      <c r="Q624" s="27" t="s">
        <v>8</v>
      </c>
      <c r="R624" s="27" t="s">
        <v>7</v>
      </c>
      <c r="S624" s="27" t="s">
        <v>8</v>
      </c>
      <c r="T624" s="27" t="s">
        <v>7</v>
      </c>
      <c r="U624" s="27" t="s">
        <v>8</v>
      </c>
      <c r="V624" s="27" t="s">
        <v>7</v>
      </c>
      <c r="AJ624" s="27" t="s">
        <v>7</v>
      </c>
      <c r="AK624" s="27" t="s">
        <v>8</v>
      </c>
      <c r="AN624" s="27" t="s">
        <v>7</v>
      </c>
      <c r="AO624" s="27" t="s">
        <v>8</v>
      </c>
      <c r="AP624" s="27" t="s">
        <v>7</v>
      </c>
      <c r="AQ624" s="27" t="s">
        <v>8</v>
      </c>
      <c r="AR624" s="27" t="s">
        <v>7</v>
      </c>
      <c r="AS624" s="27" t="s">
        <v>8</v>
      </c>
      <c r="AV624" s="27" t="s">
        <v>7</v>
      </c>
      <c r="AW624" s="27" t="s">
        <v>8</v>
      </c>
      <c r="DR624" s="27" t="s">
        <v>7</v>
      </c>
      <c r="DS624" s="27" t="s">
        <v>8</v>
      </c>
      <c r="IX624" s="27" t="s">
        <v>7</v>
      </c>
    </row>
    <row r="625" spans="1:123" x14ac:dyDescent="0.25">
      <c r="A625" s="7">
        <v>0.47118718795871994</v>
      </c>
      <c r="B625"/>
      <c r="C625"/>
      <c r="D625"/>
      <c r="E625"/>
      <c r="H625" s="27" t="s">
        <v>7</v>
      </c>
      <c r="K625" s="27" t="s">
        <v>8</v>
      </c>
      <c r="P625" s="27" t="s">
        <v>7</v>
      </c>
      <c r="Q625" s="27" t="s">
        <v>8</v>
      </c>
      <c r="R625" s="27" t="s">
        <v>7</v>
      </c>
      <c r="S625" s="27" t="s">
        <v>8</v>
      </c>
      <c r="T625" s="27" t="s">
        <v>7</v>
      </c>
      <c r="U625" s="27" t="s">
        <v>8</v>
      </c>
      <c r="AJ625" s="27" t="s">
        <v>7</v>
      </c>
      <c r="AN625" s="27" t="s">
        <v>7</v>
      </c>
      <c r="AO625" s="27" t="s">
        <v>8</v>
      </c>
      <c r="AP625" s="27" t="s">
        <v>7</v>
      </c>
      <c r="AQ625" s="27" t="s">
        <v>8</v>
      </c>
      <c r="AR625" s="27" t="s">
        <v>7</v>
      </c>
      <c r="AS625" s="27" t="s">
        <v>8</v>
      </c>
      <c r="AV625" s="27" t="s">
        <v>7</v>
      </c>
      <c r="AW625" s="27" t="s">
        <v>8</v>
      </c>
      <c r="DR625" s="27" t="s">
        <v>7</v>
      </c>
      <c r="DS625" s="27" t="s">
        <v>8</v>
      </c>
    </row>
    <row r="626" spans="1:123" x14ac:dyDescent="0.25">
      <c r="A626" s="7">
        <v>0.46194822348894116</v>
      </c>
      <c r="B626"/>
      <c r="C626"/>
      <c r="D626"/>
      <c r="E626"/>
      <c r="H626" s="27" t="s">
        <v>7</v>
      </c>
      <c r="K626" s="27" t="s">
        <v>8</v>
      </c>
      <c r="P626" s="27" t="s">
        <v>7</v>
      </c>
      <c r="Q626" s="27" t="s">
        <v>8</v>
      </c>
      <c r="R626" s="27" t="s">
        <v>7</v>
      </c>
      <c r="T626" s="27" t="s">
        <v>7</v>
      </c>
      <c r="U626" s="27" t="s">
        <v>8</v>
      </c>
      <c r="AN626" s="27" t="s">
        <v>7</v>
      </c>
      <c r="AO626" s="27" t="s">
        <v>8</v>
      </c>
      <c r="AP626" s="27" t="s">
        <v>7</v>
      </c>
      <c r="AQ626" s="27" t="s">
        <v>8</v>
      </c>
      <c r="AR626" s="27" t="s">
        <v>7</v>
      </c>
      <c r="AS626" s="27" t="s">
        <v>8</v>
      </c>
      <c r="AV626" s="27" t="s">
        <v>7</v>
      </c>
      <c r="AW626" s="27" t="s">
        <v>8</v>
      </c>
      <c r="DR626" s="27" t="s">
        <v>7</v>
      </c>
      <c r="DS626" s="27" t="s">
        <v>8</v>
      </c>
    </row>
    <row r="627" spans="1:123" x14ac:dyDescent="0.25">
      <c r="A627" s="7">
        <v>0.45289041518523643</v>
      </c>
      <c r="B627"/>
      <c r="C627"/>
      <c r="D627"/>
      <c r="E627"/>
      <c r="H627" s="27" t="s">
        <v>7</v>
      </c>
      <c r="I627" s="27" t="s">
        <v>8</v>
      </c>
      <c r="K627" s="27" t="s">
        <v>8</v>
      </c>
      <c r="P627" s="27" t="s">
        <v>7</v>
      </c>
      <c r="Q627" s="27" t="s">
        <v>8</v>
      </c>
      <c r="T627" s="27" t="s">
        <v>7</v>
      </c>
      <c r="U627" s="27" t="s">
        <v>8</v>
      </c>
      <c r="AN627" s="27" t="s">
        <v>7</v>
      </c>
      <c r="AO627" s="27" t="s">
        <v>8</v>
      </c>
      <c r="AP627" s="27" t="s">
        <v>7</v>
      </c>
      <c r="AR627" s="27" t="s">
        <v>7</v>
      </c>
      <c r="AV627" s="27" t="s">
        <v>7</v>
      </c>
      <c r="AW627" s="27" t="s">
        <v>8</v>
      </c>
      <c r="DR627" s="27" t="s">
        <v>7</v>
      </c>
      <c r="DS627" s="27" t="s">
        <v>8</v>
      </c>
    </row>
    <row r="628" spans="1:123" x14ac:dyDescent="0.25">
      <c r="A628" s="7">
        <v>0.44401021096591808</v>
      </c>
      <c r="B628"/>
      <c r="C628"/>
      <c r="D628"/>
      <c r="E628"/>
      <c r="H628" s="27" t="s">
        <v>7</v>
      </c>
      <c r="I628" s="27" t="s">
        <v>8</v>
      </c>
      <c r="J628" s="27" t="s">
        <v>7</v>
      </c>
      <c r="K628" s="27" t="s">
        <v>8</v>
      </c>
      <c r="P628" s="27" t="s">
        <v>7</v>
      </c>
      <c r="T628" s="27" t="s">
        <v>7</v>
      </c>
      <c r="U628" s="27" t="s">
        <v>8</v>
      </c>
      <c r="AN628" s="27" t="s">
        <v>7</v>
      </c>
      <c r="AO628" s="27" t="s">
        <v>8</v>
      </c>
      <c r="AV628" s="27" t="s">
        <v>7</v>
      </c>
      <c r="DR628" s="27" t="s">
        <v>7</v>
      </c>
    </row>
    <row r="629" spans="1:123" x14ac:dyDescent="0.25">
      <c r="A629" s="7">
        <v>0.4353041283979589</v>
      </c>
      <c r="B629"/>
      <c r="C629"/>
      <c r="D629"/>
      <c r="E629"/>
      <c r="H629" s="27" t="s">
        <v>7</v>
      </c>
      <c r="I629" s="27" t="s">
        <v>8</v>
      </c>
      <c r="J629" s="27" t="s">
        <v>7</v>
      </c>
      <c r="K629" s="27" t="s">
        <v>8</v>
      </c>
      <c r="T629" s="27" t="s">
        <v>7</v>
      </c>
      <c r="U629" s="27" t="s">
        <v>8</v>
      </c>
      <c r="AN629" s="27" t="s">
        <v>7</v>
      </c>
    </row>
    <row r="630" spans="1:123" x14ac:dyDescent="0.25">
      <c r="A630" s="7">
        <v>0.4267687533313323</v>
      </c>
      <c r="B630"/>
      <c r="C630"/>
      <c r="D630"/>
      <c r="E630"/>
      <c r="H630" s="27" t="s">
        <v>7</v>
      </c>
      <c r="I630" s="27" t="s">
        <v>8</v>
      </c>
      <c r="J630" s="27" t="s">
        <v>7</v>
      </c>
      <c r="K630" s="27" t="s">
        <v>8</v>
      </c>
      <c r="T630" s="27" t="s">
        <v>7</v>
      </c>
      <c r="U630" s="27" t="s">
        <v>8</v>
      </c>
    </row>
    <row r="631" spans="1:123" x14ac:dyDescent="0.25">
      <c r="A631" s="7">
        <v>0.41840073856012971</v>
      </c>
      <c r="B631"/>
      <c r="C631"/>
      <c r="D631"/>
      <c r="E631"/>
      <c r="H631" s="27" t="s">
        <v>7</v>
      </c>
      <c r="I631" s="27" t="s">
        <v>8</v>
      </c>
      <c r="J631" s="27" t="s">
        <v>7</v>
      </c>
      <c r="K631" s="27" t="s">
        <v>8</v>
      </c>
      <c r="T631" s="27" t="s">
        <v>7</v>
      </c>
      <c r="U631" s="27" t="s">
        <v>8</v>
      </c>
    </row>
    <row r="632" spans="1:123" x14ac:dyDescent="0.25">
      <c r="A632" s="7">
        <v>0.41019680250993112</v>
      </c>
      <c r="B632"/>
      <c r="C632"/>
      <c r="D632"/>
      <c r="E632"/>
      <c r="H632" s="27" t="s">
        <v>7</v>
      </c>
      <c r="I632" s="27" t="s">
        <v>8</v>
      </c>
      <c r="J632" s="27" t="s">
        <v>7</v>
      </c>
      <c r="K632" s="27" t="s">
        <v>8</v>
      </c>
      <c r="T632" s="27" t="s">
        <v>7</v>
      </c>
      <c r="U632" s="27" t="s">
        <v>8</v>
      </c>
    </row>
    <row r="633" spans="1:123" x14ac:dyDescent="0.25">
      <c r="A633" s="7">
        <v>0.40215372795091286</v>
      </c>
      <c r="B633"/>
      <c r="C633"/>
      <c r="D633"/>
      <c r="E633"/>
      <c r="H633" s="27" t="s">
        <v>7</v>
      </c>
      <c r="J633" s="27" t="s">
        <v>7</v>
      </c>
      <c r="K633" s="27" t="s">
        <v>8</v>
      </c>
      <c r="T633" s="27" t="s">
        <v>7</v>
      </c>
      <c r="U633" s="27" t="s">
        <v>8</v>
      </c>
    </row>
    <row r="634" spans="1:123" x14ac:dyDescent="0.25">
      <c r="A634" s="7">
        <v>0.39426836073618904</v>
      </c>
      <c r="B634"/>
      <c r="C634"/>
      <c r="D634"/>
      <c r="E634"/>
      <c r="J634" s="27" t="s">
        <v>7</v>
      </c>
      <c r="K634" s="27" t="s">
        <v>8</v>
      </c>
      <c r="T634" s="27" t="s">
        <v>7</v>
      </c>
      <c r="U634" s="27" t="s">
        <v>8</v>
      </c>
    </row>
    <row r="635" spans="1:123" x14ac:dyDescent="0.25">
      <c r="A635" s="7">
        <v>0.38653760856489122</v>
      </c>
      <c r="B635"/>
      <c r="C635"/>
      <c r="D635"/>
      <c r="E635"/>
      <c r="J635" s="27" t="s">
        <v>7</v>
      </c>
      <c r="T635" s="27" t="s">
        <v>7</v>
      </c>
    </row>
    <row r="636" spans="1:123" x14ac:dyDescent="0.25">
      <c r="A636" s="7">
        <v>0.37895843976950117</v>
      </c>
      <c r="B636"/>
      <c r="C636"/>
      <c r="D636"/>
      <c r="E636"/>
    </row>
    <row r="637" spans="1:123" x14ac:dyDescent="0.25">
      <c r="A637" s="7">
        <v>0.37152788212696197</v>
      </c>
      <c r="B637"/>
      <c r="C637"/>
      <c r="D637"/>
      <c r="E637"/>
    </row>
    <row r="638" spans="1:123" x14ac:dyDescent="0.25">
      <c r="A638" s="7">
        <v>0.36424302169310002</v>
      </c>
      <c r="B638"/>
      <c r="C638"/>
      <c r="D638"/>
      <c r="E638"/>
    </row>
    <row r="639" spans="1:123" x14ac:dyDescent="0.25">
      <c r="A639" s="7">
        <v>0.35710100165990194</v>
      </c>
      <c r="B639"/>
      <c r="C639"/>
      <c r="D639"/>
      <c r="E639"/>
    </row>
    <row r="640" spans="1:123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853" operator="equal">
      <formula>$U$1</formula>
    </cfRule>
    <cfRule type="cellIs" dxfId="89" priority="854" operator="equal">
      <formula>$S$1</formula>
    </cfRule>
  </conditionalFormatting>
  <conditionalFormatting sqref="D27">
    <cfRule type="cellIs" dxfId="88" priority="851" operator="equal">
      <formula>$S$1</formula>
    </cfRule>
    <cfRule type="cellIs" dxfId="87" priority="852" operator="equal">
      <formula>$U$1</formula>
    </cfRule>
  </conditionalFormatting>
  <conditionalFormatting sqref="C164">
    <cfRule type="cellIs" dxfId="86" priority="849" operator="equal">
      <formula>$U$1</formula>
    </cfRule>
    <cfRule type="cellIs" dxfId="85" priority="850" operator="equal">
      <formula>$S$1</formula>
    </cfRule>
  </conditionalFormatting>
  <conditionalFormatting sqref="D164">
    <cfRule type="cellIs" dxfId="84" priority="847" operator="equal">
      <formula>$S$1</formula>
    </cfRule>
    <cfRule type="cellIs" dxfId="83" priority="848" operator="equal">
      <formula>$U$1</formula>
    </cfRule>
  </conditionalFormatting>
  <conditionalFormatting sqref="C55">
    <cfRule type="cellIs" dxfId="82" priority="845" operator="equal">
      <formula>$U$1</formula>
    </cfRule>
    <cfRule type="cellIs" dxfId="81" priority="846" operator="equal">
      <formula>$S$1</formula>
    </cfRule>
  </conditionalFormatting>
  <conditionalFormatting sqref="D55">
    <cfRule type="cellIs" dxfId="80" priority="843" operator="equal">
      <formula>$S$1</formula>
    </cfRule>
    <cfRule type="cellIs" dxfId="79" priority="844" operator="equal">
      <formula>$U$1</formula>
    </cfRule>
  </conditionalFormatting>
  <conditionalFormatting sqref="C89">
    <cfRule type="cellIs" dxfId="78" priority="841" operator="equal">
      <formula>$U$1</formula>
    </cfRule>
    <cfRule type="cellIs" dxfId="77" priority="842" operator="equal">
      <formula>$S$1</formula>
    </cfRule>
  </conditionalFormatting>
  <conditionalFormatting sqref="D89">
    <cfRule type="cellIs" dxfId="76" priority="839" operator="equal">
      <formula>$S$1</formula>
    </cfRule>
    <cfRule type="cellIs" dxfId="75" priority="840" operator="equal">
      <formula>$U$1</formula>
    </cfRule>
  </conditionalFormatting>
  <conditionalFormatting sqref="C136">
    <cfRule type="cellIs" dxfId="74" priority="837" operator="equal">
      <formula>$U$1</formula>
    </cfRule>
    <cfRule type="cellIs" dxfId="73" priority="838" operator="equal">
      <formula>$S$1</formula>
    </cfRule>
  </conditionalFormatting>
  <conditionalFormatting sqref="D136">
    <cfRule type="cellIs" dxfId="72" priority="835" operator="equal">
      <formula>$S$1</formula>
    </cfRule>
    <cfRule type="cellIs" dxfId="71" priority="836" operator="equal">
      <formula>$U$1</formula>
    </cfRule>
  </conditionalFormatting>
  <conditionalFormatting sqref="C1">
    <cfRule type="cellIs" dxfId="70" priority="834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18" zoomScale="90" zoomScaleNormal="90" workbookViewId="0">
      <pane xSplit="4" topLeftCell="BB1" activePane="topRight" state="frozen"/>
      <selection activeCell="A109" sqref="A109"/>
      <selection pane="topRight" activeCell="DZ253" sqref="DZ253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$A$252</v>
      </c>
      <c r="D111" s="1" t="str">
        <f>ADDRESS(C121-1,D121,1,1)</f>
        <v>$DZ$252</v>
      </c>
      <c r="E111"/>
    </row>
    <row r="112" spans="1:5" x14ac:dyDescent="0.25">
      <c r="A112" s="30">
        <v>515.50191262726139</v>
      </c>
      <c r="C112" s="1" t="str">
        <f>ADDRESS(C121,1,1,1)</f>
        <v>$A$253</v>
      </c>
      <c r="D112" s="1" t="str">
        <f>ADDRESS(C121,D121-1,1,1)</f>
        <v>$DY$253</v>
      </c>
      <c r="E112"/>
    </row>
    <row r="113" spans="1:5" x14ac:dyDescent="0.25">
      <c r="A113" s="30">
        <v>490.95420250215363</v>
      </c>
      <c r="C113" s="1" t="str">
        <f>ADDRESS(C121+1,1,1,1)</f>
        <v>$A$254</v>
      </c>
      <c r="D113" s="1" t="str">
        <f>ADDRESS(C121-1,D121+1,1,1)</f>
        <v>$EA$252</v>
      </c>
    </row>
    <row r="114" spans="1:5" x14ac:dyDescent="0.25">
      <c r="A114" s="30">
        <v>467.57543095443202</v>
      </c>
      <c r="C114" s="1" t="str">
        <f>ADDRESS(C121,D121,1,1)</f>
        <v>$DZ$253</v>
      </c>
      <c r="D114" s="1" t="str">
        <f>ADDRESS(C121+1,D121+1,1,1)</f>
        <v>$EA$254</v>
      </c>
    </row>
    <row r="115" spans="1:5" x14ac:dyDescent="0.25">
      <c r="A115" s="30">
        <v>445.30993424231622</v>
      </c>
      <c r="C115" s="1" t="str">
        <f>ADDRESS(C121+1,D121,1,1)</f>
        <v>$DZ$254</v>
      </c>
    </row>
    <row r="116" spans="1:5" x14ac:dyDescent="0.25">
      <c r="A116" s="30">
        <v>424.10469927839637</v>
      </c>
      <c r="C116" s="1">
        <f>C117-1</f>
        <v>252</v>
      </c>
    </row>
    <row r="117" spans="1:5" x14ac:dyDescent="0.25">
      <c r="A117" s="30">
        <v>403.9092374079965</v>
      </c>
      <c r="C117" s="1">
        <f>C121</f>
        <v>253</v>
      </c>
      <c r="D117" s="1">
        <f>D121</f>
        <v>130</v>
      </c>
    </row>
    <row r="118" spans="1:5" x14ac:dyDescent="0.25">
      <c r="A118" s="30">
        <v>384.6754641980919</v>
      </c>
      <c r="C118" s="1">
        <f>C117+1</f>
        <v>254</v>
      </c>
      <c r="D118" s="1">
        <f>D117+1</f>
        <v>131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253</v>
      </c>
      <c r="D121" s="19">
        <v>130</v>
      </c>
      <c r="E121" s="19"/>
    </row>
    <row r="122" spans="1:5" x14ac:dyDescent="0.25">
      <c r="A122" s="30">
        <v>316.47345638748612</v>
      </c>
      <c r="C122" s="1" t="str">
        <f>INDEX(1:1048576,C117,D117)</f>
        <v>O</v>
      </c>
    </row>
    <row r="123" spans="1:5" x14ac:dyDescent="0.25">
      <c r="A123" s="30">
        <v>301.40329179760585</v>
      </c>
      <c r="C123" s="1" t="str">
        <f>"R"&amp;C121</f>
        <v>R253</v>
      </c>
      <c r="D123" s="1" t="str">
        <f>"C"&amp;D121</f>
        <v>C130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0.53032135064529184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O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63" x14ac:dyDescent="0.25">
      <c r="A209" s="30">
        <v>4.5380394939082018</v>
      </c>
      <c r="E209"/>
    </row>
    <row r="210" spans="1:63" x14ac:dyDescent="0.25">
      <c r="A210" s="30">
        <v>4.3219423751506678</v>
      </c>
      <c r="C210"/>
      <c r="E210"/>
    </row>
    <row r="211" spans="1:63" x14ac:dyDescent="0.25">
      <c r="A211" s="30">
        <v>4.1161355953815884</v>
      </c>
      <c r="E211"/>
    </row>
    <row r="212" spans="1:63" x14ac:dyDescent="0.25">
      <c r="A212" s="30">
        <v>3.9201291384586554</v>
      </c>
      <c r="E212"/>
    </row>
    <row r="213" spans="1:63" x14ac:dyDescent="0.25">
      <c r="A213" s="30">
        <v>3.7334563223415764</v>
      </c>
      <c r="E213"/>
    </row>
    <row r="214" spans="1:63" x14ac:dyDescent="0.25">
      <c r="A214" s="30">
        <v>3.5556726879443583</v>
      </c>
      <c r="E214"/>
    </row>
    <row r="215" spans="1:63" x14ac:dyDescent="0.25">
      <c r="A215" s="30">
        <v>3.3863549408993889</v>
      </c>
      <c r="E215"/>
    </row>
    <row r="216" spans="1:63" x14ac:dyDescent="0.25">
      <c r="A216" s="30">
        <v>3.2250999437137038</v>
      </c>
      <c r="E216"/>
    </row>
    <row r="217" spans="1:63" x14ac:dyDescent="0.25">
      <c r="A217" s="30">
        <v>3.0715237559178128</v>
      </c>
      <c r="E217"/>
    </row>
    <row r="218" spans="1:63" x14ac:dyDescent="0.25">
      <c r="A218" s="30">
        <v>2.9252607199217264</v>
      </c>
      <c r="E218"/>
      <c r="BC218" s="27" t="s">
        <v>8</v>
      </c>
    </row>
    <row r="219" spans="1:63" x14ac:dyDescent="0.25">
      <c r="A219" s="30">
        <v>2.7859625904016441</v>
      </c>
      <c r="E219"/>
      <c r="BC219" s="27" t="s">
        <v>8</v>
      </c>
      <c r="BD219" s="27" t="s">
        <v>7</v>
      </c>
    </row>
    <row r="220" spans="1:63" x14ac:dyDescent="0.25">
      <c r="A220" s="30">
        <v>2.6532977051444226</v>
      </c>
      <c r="E220"/>
      <c r="AU220" s="27" t="s">
        <v>8</v>
      </c>
      <c r="BC220" s="27" t="s">
        <v>8</v>
      </c>
      <c r="BD220" s="27" t="s">
        <v>7</v>
      </c>
      <c r="BG220" s="31" t="s">
        <v>8</v>
      </c>
    </row>
    <row r="221" spans="1:63" x14ac:dyDescent="0.25">
      <c r="A221" s="30">
        <v>2.5269501953756404</v>
      </c>
      <c r="E221"/>
      <c r="AU221" s="27" t="s">
        <v>8</v>
      </c>
      <c r="AV221" s="27" t="s">
        <v>7</v>
      </c>
      <c r="BC221" s="27" t="s">
        <v>8</v>
      </c>
      <c r="BD221" s="27" t="s">
        <v>7</v>
      </c>
      <c r="BG221" s="27" t="s">
        <v>8</v>
      </c>
      <c r="BH221" s="31" t="s">
        <v>7</v>
      </c>
    </row>
    <row r="222" spans="1:63" x14ac:dyDescent="0.25">
      <c r="A222" s="30">
        <v>2.4066192336910861</v>
      </c>
      <c r="E222"/>
      <c r="AU222" s="27" t="s">
        <v>8</v>
      </c>
      <c r="AV222" s="27" t="s">
        <v>7</v>
      </c>
      <c r="BC222" s="27" t="s">
        <v>8</v>
      </c>
      <c r="BD222" s="27" t="s">
        <v>7</v>
      </c>
      <c r="BE222" s="27" t="s">
        <v>8</v>
      </c>
      <c r="BG222" s="27" t="s">
        <v>8</v>
      </c>
      <c r="BH222" s="27" t="s">
        <v>7</v>
      </c>
      <c r="BI222" s="31"/>
    </row>
    <row r="223" spans="1:63" x14ac:dyDescent="0.25">
      <c r="A223" s="30">
        <v>2.2920183178010345</v>
      </c>
      <c r="E223"/>
      <c r="AU223" s="27" t="s">
        <v>8</v>
      </c>
      <c r="AV223" s="27" t="s">
        <v>7</v>
      </c>
      <c r="BC223" s="27" t="s">
        <v>8</v>
      </c>
      <c r="BD223" s="27" t="s">
        <v>7</v>
      </c>
      <c r="BE223" s="27" t="s">
        <v>8</v>
      </c>
      <c r="BF223" s="27" t="s">
        <v>7</v>
      </c>
      <c r="BG223" s="27" t="s">
        <v>8</v>
      </c>
      <c r="BH223" s="27" t="s">
        <v>7</v>
      </c>
      <c r="BJ223" s="31"/>
    </row>
    <row r="224" spans="1:63" x14ac:dyDescent="0.25">
      <c r="A224" s="30">
        <v>2.1828745883819374</v>
      </c>
      <c r="E224"/>
      <c r="AU224" s="27" t="s">
        <v>8</v>
      </c>
      <c r="AV224" s="27" t="s">
        <v>7</v>
      </c>
      <c r="BC224" s="27" t="s">
        <v>8</v>
      </c>
      <c r="BD224" s="27" t="s">
        <v>7</v>
      </c>
      <c r="BE224" s="27" t="s">
        <v>8</v>
      </c>
      <c r="BF224" s="27" t="s">
        <v>7</v>
      </c>
      <c r="BG224" s="27" t="s">
        <v>8</v>
      </c>
      <c r="BH224" s="27" t="s">
        <v>7</v>
      </c>
      <c r="BK224" s="31"/>
    </row>
    <row r="225" spans="1:126" x14ac:dyDescent="0.25">
      <c r="A225" s="30">
        <v>2.0789281794113688</v>
      </c>
      <c r="E225"/>
      <c r="AQ225" s="27" t="s">
        <v>8</v>
      </c>
      <c r="AU225" s="27" t="s">
        <v>8</v>
      </c>
      <c r="AV225" s="27" t="s">
        <v>7</v>
      </c>
      <c r="AW225" s="27" t="s">
        <v>8</v>
      </c>
      <c r="BC225" s="27" t="s">
        <v>8</v>
      </c>
      <c r="BD225" s="27" t="s">
        <v>7</v>
      </c>
      <c r="BE225" s="27" t="s">
        <v>8</v>
      </c>
      <c r="BF225" s="27" t="s">
        <v>7</v>
      </c>
      <c r="BH225" s="27" t="s">
        <v>7</v>
      </c>
      <c r="BL225" s="31"/>
    </row>
    <row r="226" spans="1:126" x14ac:dyDescent="0.25">
      <c r="A226" s="30">
        <v>1.9799315994393987</v>
      </c>
      <c r="E226"/>
      <c r="AQ226" s="27" t="s">
        <v>8</v>
      </c>
      <c r="AR226" s="27" t="s">
        <v>7</v>
      </c>
      <c r="AS226" s="27" t="s">
        <v>8</v>
      </c>
      <c r="AU226" s="27" t="s">
        <v>8</v>
      </c>
      <c r="AV226" s="27" t="s">
        <v>7</v>
      </c>
      <c r="AW226" s="27" t="s">
        <v>8</v>
      </c>
      <c r="AX226" s="27" t="s">
        <v>7</v>
      </c>
      <c r="BC226" s="27" t="s">
        <v>8</v>
      </c>
      <c r="BD226" s="27" t="s">
        <v>7</v>
      </c>
      <c r="BE226" s="27" t="s">
        <v>8</v>
      </c>
      <c r="BH226" s="27" t="s">
        <v>7</v>
      </c>
      <c r="BM226" s="31"/>
    </row>
    <row r="227" spans="1:126" x14ac:dyDescent="0.25">
      <c r="A227" s="30">
        <v>1.8856491423232367</v>
      </c>
      <c r="E227"/>
      <c r="AQ227" s="27" t="s">
        <v>8</v>
      </c>
      <c r="AR227" s="27" t="s">
        <v>7</v>
      </c>
      <c r="AS227" s="27" t="s">
        <v>8</v>
      </c>
      <c r="AT227" s="27" t="s">
        <v>7</v>
      </c>
      <c r="AU227" s="27" t="s">
        <v>8</v>
      </c>
      <c r="AV227" s="27" t="s">
        <v>7</v>
      </c>
      <c r="AW227" s="27" t="s">
        <v>8</v>
      </c>
      <c r="AX227" s="27" t="s">
        <v>7</v>
      </c>
      <c r="BC227" s="27" t="s">
        <v>8</v>
      </c>
      <c r="BD227" s="27" t="s">
        <v>7</v>
      </c>
      <c r="BE227" s="27" t="s">
        <v>8</v>
      </c>
      <c r="BH227" s="27" t="s">
        <v>7</v>
      </c>
      <c r="BN227" s="31"/>
      <c r="BQ227" s="31" t="s">
        <v>8</v>
      </c>
    </row>
    <row r="228" spans="1:126" x14ac:dyDescent="0.25">
      <c r="A228" s="30">
        <v>1.7958563260221301</v>
      </c>
      <c r="C228" s="7"/>
      <c r="D228"/>
      <c r="E228"/>
      <c r="AQ228" s="27" t="s">
        <v>8</v>
      </c>
      <c r="AR228" s="27" t="s">
        <v>7</v>
      </c>
      <c r="AS228" s="27" t="s">
        <v>8</v>
      </c>
      <c r="AT228" s="27" t="s">
        <v>7</v>
      </c>
      <c r="AU228" s="27" t="s">
        <v>8</v>
      </c>
      <c r="AV228" s="27" t="s">
        <v>7</v>
      </c>
      <c r="AX228" s="27" t="s">
        <v>7</v>
      </c>
      <c r="BA228" s="27" t="s">
        <v>8</v>
      </c>
      <c r="BC228" s="27" t="s">
        <v>8</v>
      </c>
      <c r="BD228" s="27" t="s">
        <v>7</v>
      </c>
      <c r="BE228" s="27" t="s">
        <v>8</v>
      </c>
      <c r="BH228" s="27" t="s">
        <v>7</v>
      </c>
      <c r="BI228" s="27" t="s">
        <v>8</v>
      </c>
      <c r="BO228" s="31" t="s">
        <v>8</v>
      </c>
      <c r="BQ228" s="27" t="s">
        <v>8</v>
      </c>
      <c r="BR228" s="31" t="s">
        <v>7</v>
      </c>
    </row>
    <row r="229" spans="1:126" x14ac:dyDescent="0.25">
      <c r="A229" s="30">
        <v>1.7103393581163142</v>
      </c>
      <c r="E229"/>
      <c r="AQ229" s="27" t="s">
        <v>8</v>
      </c>
      <c r="AR229" s="27" t="s">
        <v>7</v>
      </c>
      <c r="AT229" s="27" t="s">
        <v>7</v>
      </c>
      <c r="AU229" s="27" t="s">
        <v>8</v>
      </c>
      <c r="AX229" s="27" t="s">
        <v>7</v>
      </c>
      <c r="AY229" s="27" t="s">
        <v>8</v>
      </c>
      <c r="BA229" s="27" t="s">
        <v>8</v>
      </c>
      <c r="BB229" s="27" t="s">
        <v>7</v>
      </c>
      <c r="BC229" s="27" t="s">
        <v>8</v>
      </c>
      <c r="BD229" s="27" t="s">
        <v>7</v>
      </c>
      <c r="BH229" s="27" t="s">
        <v>7</v>
      </c>
      <c r="BI229" s="27" t="s">
        <v>8</v>
      </c>
      <c r="BJ229" s="27" t="s">
        <v>7</v>
      </c>
      <c r="BO229" s="27" t="s">
        <v>8</v>
      </c>
      <c r="BP229" s="31" t="s">
        <v>7</v>
      </c>
      <c r="BQ229" s="27" t="s">
        <v>8</v>
      </c>
      <c r="BR229" s="27" t="s">
        <v>7</v>
      </c>
      <c r="BS229" s="31"/>
    </row>
    <row r="230" spans="1:126" x14ac:dyDescent="0.25">
      <c r="A230" s="30">
        <v>1.628894626777442</v>
      </c>
      <c r="E230"/>
      <c r="AQ230" s="27" t="s">
        <v>8</v>
      </c>
      <c r="AT230" s="27" t="s">
        <v>7</v>
      </c>
      <c r="AU230" s="27" t="s">
        <v>8</v>
      </c>
      <c r="AX230" s="27" t="s">
        <v>7</v>
      </c>
      <c r="AY230" s="27" t="s">
        <v>8</v>
      </c>
      <c r="AZ230" s="27" t="s">
        <v>7</v>
      </c>
      <c r="BA230" s="27" t="s">
        <v>8</v>
      </c>
      <c r="BB230" s="27" t="s">
        <v>7</v>
      </c>
      <c r="BC230" s="27" t="s">
        <v>8</v>
      </c>
      <c r="BH230" s="27" t="s">
        <v>7</v>
      </c>
      <c r="BI230" s="27" t="s">
        <v>8</v>
      </c>
      <c r="BJ230" s="27" t="s">
        <v>7</v>
      </c>
      <c r="BK230" s="27" t="s">
        <v>8</v>
      </c>
      <c r="BO230" s="27" t="s">
        <v>8</v>
      </c>
      <c r="BP230" s="27" t="s">
        <v>7</v>
      </c>
      <c r="BQ230" s="27" t="s">
        <v>8</v>
      </c>
      <c r="BR230" s="27" t="s">
        <v>7</v>
      </c>
      <c r="BT230" s="31"/>
    </row>
    <row r="231" spans="1:126" x14ac:dyDescent="0.25">
      <c r="A231" s="30">
        <v>1.5513282159785162</v>
      </c>
      <c r="C231"/>
      <c r="D231"/>
      <c r="E231"/>
      <c r="AO231" s="27" t="s">
        <v>8</v>
      </c>
      <c r="AQ231" s="27" t="s">
        <v>8</v>
      </c>
      <c r="AT231" s="27" t="s">
        <v>7</v>
      </c>
      <c r="AU231" s="27" t="s">
        <v>8</v>
      </c>
      <c r="AX231" s="27" t="s">
        <v>7</v>
      </c>
      <c r="AY231" s="27" t="s">
        <v>8</v>
      </c>
      <c r="AZ231" s="27" t="s">
        <v>7</v>
      </c>
      <c r="BA231" s="27" t="s">
        <v>8</v>
      </c>
      <c r="BB231" s="27" t="s">
        <v>7</v>
      </c>
      <c r="BC231" s="27" t="s">
        <v>8</v>
      </c>
      <c r="BH231" s="27" t="s">
        <v>7</v>
      </c>
      <c r="BJ231" s="27" t="s">
        <v>7</v>
      </c>
      <c r="BK231" s="27" t="s">
        <v>8</v>
      </c>
      <c r="BL231" s="27" t="s">
        <v>7</v>
      </c>
      <c r="BO231" s="27" t="s">
        <v>8</v>
      </c>
      <c r="BP231" s="27" t="s">
        <v>7</v>
      </c>
      <c r="BR231" s="27" t="s">
        <v>7</v>
      </c>
      <c r="BU231" s="31"/>
    </row>
    <row r="232" spans="1:126" x14ac:dyDescent="0.25">
      <c r="A232" s="30">
        <v>1.477455443789063</v>
      </c>
      <c r="E232"/>
      <c r="AO232" s="27" t="s">
        <v>8</v>
      </c>
      <c r="AP232" s="27" t="s">
        <v>7</v>
      </c>
      <c r="AQ232" s="27" t="s">
        <v>8</v>
      </c>
      <c r="AT232" s="27" t="s">
        <v>7</v>
      </c>
      <c r="AU232" s="27" t="s">
        <v>8</v>
      </c>
      <c r="AX232" s="27" t="s">
        <v>7</v>
      </c>
      <c r="AY232" s="27" t="s">
        <v>8</v>
      </c>
      <c r="AZ232" s="27" t="s">
        <v>7</v>
      </c>
      <c r="BA232" s="27" t="s">
        <v>8</v>
      </c>
      <c r="BB232" s="27" t="s">
        <v>7</v>
      </c>
      <c r="BC232" s="27" t="s">
        <v>8</v>
      </c>
      <c r="BJ232" s="27" t="s">
        <v>7</v>
      </c>
      <c r="BK232" s="27" t="s">
        <v>8</v>
      </c>
      <c r="BL232" s="27" t="s">
        <v>7</v>
      </c>
      <c r="BM232" s="27" t="s">
        <v>8</v>
      </c>
      <c r="BO232" s="27" t="s">
        <v>8</v>
      </c>
      <c r="BR232" s="27" t="s">
        <v>7</v>
      </c>
      <c r="BV232" s="31"/>
      <c r="CE232" s="27" t="s">
        <v>8</v>
      </c>
    </row>
    <row r="233" spans="1:126" x14ac:dyDescent="0.25">
      <c r="A233" s="30">
        <v>1.4071004226562505</v>
      </c>
      <c r="E233"/>
      <c r="AO233" s="27" t="s">
        <v>8</v>
      </c>
      <c r="AP233" s="27" t="s">
        <v>7</v>
      </c>
      <c r="AQ233" s="27" t="s">
        <v>8</v>
      </c>
      <c r="AT233" s="27" t="s">
        <v>7</v>
      </c>
      <c r="AU233" s="27" t="s">
        <v>8</v>
      </c>
      <c r="AX233" s="27" t="s">
        <v>7</v>
      </c>
      <c r="AY233" s="27" t="s">
        <v>8</v>
      </c>
      <c r="AZ233" s="27" t="s">
        <v>7</v>
      </c>
      <c r="BA233" s="27" t="s">
        <v>8</v>
      </c>
      <c r="BB233" s="27" t="s">
        <v>7</v>
      </c>
      <c r="BC233" s="27" t="s">
        <v>8</v>
      </c>
      <c r="BJ233" s="27" t="s">
        <v>7</v>
      </c>
      <c r="BL233" s="27" t="s">
        <v>7</v>
      </c>
      <c r="BM233" s="27" t="s">
        <v>8</v>
      </c>
      <c r="BN233" s="27" t="s">
        <v>7</v>
      </c>
      <c r="BO233" s="27" t="s">
        <v>8</v>
      </c>
      <c r="BR233" s="27" t="s">
        <v>7</v>
      </c>
      <c r="BW233" s="31"/>
      <c r="CE233" s="27" t="s">
        <v>8</v>
      </c>
      <c r="CF233" s="27" t="s">
        <v>7</v>
      </c>
      <c r="CG233" s="27" t="s">
        <v>8</v>
      </c>
      <c r="CU233" s="27" t="s">
        <v>8</v>
      </c>
      <c r="CY233" s="27" t="s">
        <v>8</v>
      </c>
    </row>
    <row r="234" spans="1:126" x14ac:dyDescent="0.25">
      <c r="A234" s="30">
        <v>1.3400956406250004</v>
      </c>
      <c r="E234"/>
      <c r="AO234" s="27" t="s">
        <v>8</v>
      </c>
      <c r="AP234" s="27" t="s">
        <v>7</v>
      </c>
      <c r="AQ234" s="27" t="s">
        <v>8</v>
      </c>
      <c r="AT234" s="27" t="s">
        <v>7</v>
      </c>
      <c r="AX234" s="27" t="s">
        <v>7</v>
      </c>
      <c r="AY234" s="27" t="s">
        <v>8</v>
      </c>
      <c r="AZ234" s="27" t="s">
        <v>7</v>
      </c>
      <c r="BA234" s="27" t="s">
        <v>8</v>
      </c>
      <c r="BB234" s="27" t="s">
        <v>7</v>
      </c>
      <c r="BL234" s="27" t="s">
        <v>7</v>
      </c>
      <c r="BM234" s="27" t="s">
        <v>8</v>
      </c>
      <c r="BN234" s="27" t="s">
        <v>7</v>
      </c>
      <c r="BO234" s="27" t="s">
        <v>8</v>
      </c>
      <c r="BR234" s="27" t="s">
        <v>7</v>
      </c>
      <c r="BS234" s="27" t="s">
        <v>8</v>
      </c>
      <c r="BX234" s="31"/>
      <c r="CE234" s="27" t="s">
        <v>8</v>
      </c>
      <c r="CF234" s="27" t="s">
        <v>7</v>
      </c>
      <c r="CG234" s="27" t="s">
        <v>8</v>
      </c>
      <c r="CH234" s="27" t="s">
        <v>7</v>
      </c>
      <c r="CU234" s="27" t="s">
        <v>8</v>
      </c>
      <c r="CV234" s="27" t="s">
        <v>7</v>
      </c>
      <c r="CY234" s="27" t="s">
        <v>8</v>
      </c>
      <c r="CZ234" s="27" t="s">
        <v>7</v>
      </c>
      <c r="DI234" s="27" t="s">
        <v>8</v>
      </c>
      <c r="DO234" s="27" t="s">
        <v>8</v>
      </c>
      <c r="DU234" s="27" t="s">
        <v>8</v>
      </c>
    </row>
    <row r="235" spans="1:126" x14ac:dyDescent="0.25">
      <c r="A235" s="30">
        <v>1.2762815625000004</v>
      </c>
      <c r="C235"/>
      <c r="E235"/>
      <c r="AO235" s="27" t="s">
        <v>8</v>
      </c>
      <c r="AP235" s="27" t="s">
        <v>7</v>
      </c>
      <c r="AQ235" s="27" t="s">
        <v>8</v>
      </c>
      <c r="AX235" s="27" t="s">
        <v>7</v>
      </c>
      <c r="AY235" s="27" t="s">
        <v>8</v>
      </c>
      <c r="AZ235" s="27" t="s">
        <v>7</v>
      </c>
      <c r="BA235" s="27" t="s">
        <v>8</v>
      </c>
      <c r="BL235" s="27" t="s">
        <v>7</v>
      </c>
      <c r="BM235" s="27" t="s">
        <v>8</v>
      </c>
      <c r="BN235" s="27" t="s">
        <v>7</v>
      </c>
      <c r="BR235" s="27" t="s">
        <v>7</v>
      </c>
      <c r="BS235" s="27" t="s">
        <v>8</v>
      </c>
      <c r="BT235" s="27" t="s">
        <v>7</v>
      </c>
      <c r="BY235" s="31"/>
      <c r="CE235" s="27" t="s">
        <v>8</v>
      </c>
      <c r="CF235" s="27" t="s">
        <v>7</v>
      </c>
      <c r="CG235" s="27" t="s">
        <v>8</v>
      </c>
      <c r="CH235" s="27" t="s">
        <v>7</v>
      </c>
      <c r="CU235" s="27" t="s">
        <v>8</v>
      </c>
      <c r="CV235" s="27" t="s">
        <v>7</v>
      </c>
      <c r="CW235" s="27" t="s">
        <v>8</v>
      </c>
      <c r="CY235" s="27" t="s">
        <v>8</v>
      </c>
      <c r="CZ235" s="27" t="s">
        <v>7</v>
      </c>
      <c r="DA235" s="27" t="s">
        <v>8</v>
      </c>
      <c r="DI235" s="27" t="s">
        <v>8</v>
      </c>
      <c r="DJ235" s="27" t="s">
        <v>7</v>
      </c>
      <c r="DO235" s="27" t="s">
        <v>8</v>
      </c>
      <c r="DP235" s="27" t="s">
        <v>7</v>
      </c>
      <c r="DU235" s="27" t="s">
        <v>8</v>
      </c>
      <c r="DV235" s="27" t="s">
        <v>7</v>
      </c>
    </row>
    <row r="236" spans="1:126" x14ac:dyDescent="0.25">
      <c r="A236" s="30">
        <v>1.2155062500000002</v>
      </c>
      <c r="E236"/>
      <c r="S236" s="27" t="s">
        <v>8</v>
      </c>
      <c r="AO236" s="27" t="s">
        <v>8</v>
      </c>
      <c r="AP236" s="27" t="s">
        <v>7</v>
      </c>
      <c r="AX236" s="27" t="s">
        <v>7</v>
      </c>
      <c r="AZ236" s="27" t="s">
        <v>7</v>
      </c>
      <c r="BA236" s="27" t="s">
        <v>8</v>
      </c>
      <c r="BL236" s="27" t="s">
        <v>7</v>
      </c>
      <c r="BR236" s="27" t="s">
        <v>7</v>
      </c>
      <c r="BS236" s="27" t="s">
        <v>8</v>
      </c>
      <c r="BT236" s="27" t="s">
        <v>7</v>
      </c>
      <c r="BZ236" s="31"/>
      <c r="CE236" s="27" t="s">
        <v>8</v>
      </c>
      <c r="CF236" s="27" t="s">
        <v>7</v>
      </c>
      <c r="CG236" s="27" t="s">
        <v>8</v>
      </c>
      <c r="CH236" s="27" t="s">
        <v>7</v>
      </c>
      <c r="CU236" s="27" t="s">
        <v>8</v>
      </c>
      <c r="CV236" s="27" t="s">
        <v>7</v>
      </c>
      <c r="CW236" s="27" t="s">
        <v>8</v>
      </c>
      <c r="CX236" s="27" t="s">
        <v>7</v>
      </c>
      <c r="CY236" s="27" t="s">
        <v>8</v>
      </c>
      <c r="CZ236" s="27" t="s">
        <v>7</v>
      </c>
      <c r="DA236" s="27" t="s">
        <v>8</v>
      </c>
      <c r="DB236" s="27" t="s">
        <v>7</v>
      </c>
      <c r="DC236" s="27" t="s">
        <v>8</v>
      </c>
      <c r="DE236" s="27" t="s">
        <v>8</v>
      </c>
      <c r="DI236" s="27" t="s">
        <v>8</v>
      </c>
      <c r="DJ236" s="27" t="s">
        <v>7</v>
      </c>
      <c r="DK236" s="27" t="s">
        <v>8</v>
      </c>
      <c r="DO236" s="27" t="s">
        <v>8</v>
      </c>
      <c r="DP236" s="27" t="s">
        <v>7</v>
      </c>
      <c r="DU236" s="27" t="s">
        <v>8</v>
      </c>
      <c r="DV236" s="27" t="s">
        <v>7</v>
      </c>
    </row>
    <row r="237" spans="1:126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S237" s="27" t="s">
        <v>8</v>
      </c>
      <c r="T237" s="27" t="s">
        <v>7</v>
      </c>
      <c r="AO237" s="27" t="s">
        <v>8</v>
      </c>
      <c r="AZ237" s="27" t="s">
        <v>7</v>
      </c>
      <c r="BR237" s="27" t="s">
        <v>7</v>
      </c>
      <c r="BS237" s="27" t="s">
        <v>8</v>
      </c>
      <c r="BT237" s="27" t="s">
        <v>7</v>
      </c>
      <c r="CA237" s="31"/>
      <c r="CE237" s="27" t="s">
        <v>8</v>
      </c>
      <c r="CF237" s="27" t="s">
        <v>7</v>
      </c>
      <c r="CG237" s="27" t="s">
        <v>8</v>
      </c>
      <c r="CH237" s="27" t="s">
        <v>7</v>
      </c>
      <c r="CS237" s="27" t="s">
        <v>8</v>
      </c>
      <c r="CU237" s="27" t="s">
        <v>8</v>
      </c>
      <c r="CV237" s="27" t="s">
        <v>7</v>
      </c>
      <c r="CW237" s="27" t="s">
        <v>8</v>
      </c>
      <c r="CX237" s="27" t="s">
        <v>7</v>
      </c>
      <c r="CY237" s="27" t="s">
        <v>8</v>
      </c>
      <c r="CZ237" s="27" t="s">
        <v>7</v>
      </c>
      <c r="DA237" s="27" t="s">
        <v>8</v>
      </c>
      <c r="DB237" s="27" t="s">
        <v>7</v>
      </c>
      <c r="DC237" s="27" t="s">
        <v>8</v>
      </c>
      <c r="DD237" s="27" t="s">
        <v>7</v>
      </c>
      <c r="DE237" s="27" t="s">
        <v>8</v>
      </c>
      <c r="DF237" s="27" t="s">
        <v>7</v>
      </c>
      <c r="DG237" s="27" t="s">
        <v>8</v>
      </c>
      <c r="DI237" s="27" t="s">
        <v>8</v>
      </c>
      <c r="DJ237" s="27" t="s">
        <v>7</v>
      </c>
      <c r="DK237" s="27" t="s">
        <v>8</v>
      </c>
      <c r="DL237" s="27" t="s">
        <v>7</v>
      </c>
      <c r="DM237" s="27" t="s">
        <v>8</v>
      </c>
      <c r="DO237" s="27" t="s">
        <v>8</v>
      </c>
      <c r="DP237" s="27" t="s">
        <v>7</v>
      </c>
      <c r="DU237" s="27" t="s">
        <v>8</v>
      </c>
      <c r="DV237" s="27" t="s">
        <v>7</v>
      </c>
    </row>
    <row r="238" spans="1:126" x14ac:dyDescent="0.25">
      <c r="A238" s="30">
        <v>1.1025</v>
      </c>
      <c r="E238"/>
      <c r="S238" s="27" t="s">
        <v>8</v>
      </c>
      <c r="T238" s="27" t="s">
        <v>7</v>
      </c>
      <c r="AO238" s="27" t="s">
        <v>8</v>
      </c>
      <c r="BR238" s="27" t="s">
        <v>7</v>
      </c>
      <c r="BS238" s="27" t="s">
        <v>8</v>
      </c>
      <c r="BT238" s="27" t="s">
        <v>7</v>
      </c>
      <c r="CB238" s="31"/>
      <c r="CE238" s="27" t="s">
        <v>8</v>
      </c>
      <c r="CF238" s="27" t="s">
        <v>7</v>
      </c>
      <c r="CG238" s="27" t="s">
        <v>8</v>
      </c>
      <c r="CH238" s="27" t="s">
        <v>7</v>
      </c>
      <c r="CI238" s="27" t="s">
        <v>8</v>
      </c>
      <c r="CS238" s="27" t="s">
        <v>8</v>
      </c>
      <c r="CT238" s="27" t="s">
        <v>7</v>
      </c>
      <c r="CU238" s="27" t="s">
        <v>8</v>
      </c>
      <c r="CV238" s="27" t="s">
        <v>7</v>
      </c>
      <c r="CX238" s="27" t="s">
        <v>7</v>
      </c>
      <c r="CZ238" s="27" t="s">
        <v>7</v>
      </c>
      <c r="DA238" s="27" t="s">
        <v>8</v>
      </c>
      <c r="DB238" s="27" t="s">
        <v>7</v>
      </c>
      <c r="DC238" s="27" t="s">
        <v>8</v>
      </c>
      <c r="DD238" s="27" t="s">
        <v>7</v>
      </c>
      <c r="DE238" s="27" t="s">
        <v>8</v>
      </c>
      <c r="DF238" s="27" t="s">
        <v>7</v>
      </c>
      <c r="DG238" s="27" t="s">
        <v>8</v>
      </c>
      <c r="DH238" s="27" t="s">
        <v>7</v>
      </c>
      <c r="DI238" s="27" t="s">
        <v>8</v>
      </c>
      <c r="DJ238" s="27" t="s">
        <v>7</v>
      </c>
      <c r="DK238" s="27" t="s">
        <v>8</v>
      </c>
      <c r="DL238" s="27" t="s">
        <v>7</v>
      </c>
      <c r="DM238" s="27" t="s">
        <v>8</v>
      </c>
      <c r="DN238" s="27" t="s">
        <v>7</v>
      </c>
      <c r="DO238" s="27" t="s">
        <v>8</v>
      </c>
      <c r="DP238" s="27" t="s">
        <v>7</v>
      </c>
      <c r="DU238" s="27" t="s">
        <v>8</v>
      </c>
      <c r="DV238" s="27" t="s">
        <v>7</v>
      </c>
    </row>
    <row r="239" spans="1:126" x14ac:dyDescent="0.25">
      <c r="A239" s="30">
        <v>1.05</v>
      </c>
      <c r="E239"/>
      <c r="S239" s="27" t="s">
        <v>8</v>
      </c>
      <c r="T239" s="27" t="s">
        <v>7</v>
      </c>
      <c r="AO239" s="27" t="s">
        <v>8</v>
      </c>
      <c r="BR239" s="27" t="s">
        <v>7</v>
      </c>
      <c r="BT239" s="27" t="s">
        <v>7</v>
      </c>
      <c r="CC239" s="31"/>
      <c r="CE239" s="27" t="s">
        <v>8</v>
      </c>
      <c r="CF239" s="27" t="s">
        <v>7</v>
      </c>
      <c r="CG239" s="27" t="s">
        <v>8</v>
      </c>
      <c r="CH239" s="27" t="s">
        <v>7</v>
      </c>
      <c r="CI239" s="27" t="s">
        <v>8</v>
      </c>
      <c r="CJ239" s="27" t="s">
        <v>7</v>
      </c>
      <c r="CS239" s="27" t="s">
        <v>8</v>
      </c>
      <c r="CT239" s="27" t="s">
        <v>7</v>
      </c>
      <c r="CU239" s="27" t="s">
        <v>8</v>
      </c>
      <c r="CZ239" s="27" t="s">
        <v>7</v>
      </c>
      <c r="DA239" s="27" t="s">
        <v>8</v>
      </c>
      <c r="DB239" s="27" t="s">
        <v>7</v>
      </c>
      <c r="DC239" s="27" t="s">
        <v>8</v>
      </c>
      <c r="DD239" s="27" t="s">
        <v>7</v>
      </c>
      <c r="DE239" s="27" t="s">
        <v>8</v>
      </c>
      <c r="DF239" s="27" t="s">
        <v>7</v>
      </c>
      <c r="DG239" s="27" t="s">
        <v>8</v>
      </c>
      <c r="DH239" s="27" t="s">
        <v>7</v>
      </c>
      <c r="DI239" s="27" t="s">
        <v>8</v>
      </c>
      <c r="DJ239" s="27" t="s">
        <v>7</v>
      </c>
      <c r="DK239" s="27" t="s">
        <v>8</v>
      </c>
      <c r="DL239" s="27" t="s">
        <v>7</v>
      </c>
      <c r="DM239" s="27" t="s">
        <v>8</v>
      </c>
      <c r="DN239" s="27" t="s">
        <v>7</v>
      </c>
      <c r="DO239" s="27" t="s">
        <v>8</v>
      </c>
      <c r="DP239" s="27" t="s">
        <v>7</v>
      </c>
      <c r="DU239" s="27" t="s">
        <v>8</v>
      </c>
      <c r="DV239" s="27" t="s">
        <v>7</v>
      </c>
    </row>
    <row r="240" spans="1:126" x14ac:dyDescent="0.25">
      <c r="A240" s="30">
        <v>1</v>
      </c>
      <c r="E240" s="29" t="s">
        <v>8</v>
      </c>
      <c r="S240" s="27" t="s">
        <v>8</v>
      </c>
      <c r="T240" s="27" t="s">
        <v>7</v>
      </c>
      <c r="W240" s="27" t="s">
        <v>8</v>
      </c>
      <c r="AO240" s="27" t="s">
        <v>8</v>
      </c>
      <c r="BT240" s="27" t="s">
        <v>7</v>
      </c>
      <c r="CD240" s="31"/>
      <c r="CE240" s="27" t="s">
        <v>8</v>
      </c>
      <c r="CF240" s="27" t="s">
        <v>7</v>
      </c>
      <c r="CG240" s="27" t="s">
        <v>8</v>
      </c>
      <c r="CH240" s="27" t="s">
        <v>7</v>
      </c>
      <c r="CI240" s="27" t="s">
        <v>8</v>
      </c>
      <c r="CJ240" s="27" t="s">
        <v>7</v>
      </c>
      <c r="CS240" s="27" t="s">
        <v>8</v>
      </c>
      <c r="CT240" s="27" t="s">
        <v>7</v>
      </c>
      <c r="CU240" s="27" t="s">
        <v>8</v>
      </c>
      <c r="CZ240" s="27" t="s">
        <v>7</v>
      </c>
      <c r="DA240" s="27" t="s">
        <v>8</v>
      </c>
      <c r="DB240" s="27" t="s">
        <v>7</v>
      </c>
      <c r="DC240" s="27" t="s">
        <v>8</v>
      </c>
      <c r="DD240" s="27" t="s">
        <v>7</v>
      </c>
      <c r="DE240" s="27" t="s">
        <v>8</v>
      </c>
      <c r="DF240" s="27" t="s">
        <v>7</v>
      </c>
      <c r="DG240" s="27" t="s">
        <v>8</v>
      </c>
      <c r="DH240" s="27" t="s">
        <v>7</v>
      </c>
      <c r="DI240" s="27" t="s">
        <v>8</v>
      </c>
      <c r="DJ240" s="27" t="s">
        <v>7</v>
      </c>
      <c r="DL240" s="27" t="s">
        <v>7</v>
      </c>
      <c r="DM240" s="27" t="s">
        <v>8</v>
      </c>
      <c r="DN240" s="27" t="s">
        <v>7</v>
      </c>
      <c r="DO240" s="27" t="s">
        <v>8</v>
      </c>
      <c r="DP240" s="27" t="s">
        <v>7</v>
      </c>
      <c r="DQ240" s="27" t="s">
        <v>8</v>
      </c>
      <c r="DU240" s="27" t="s">
        <v>8</v>
      </c>
      <c r="DV240" s="27" t="s">
        <v>7</v>
      </c>
    </row>
    <row r="241" spans="1:130" x14ac:dyDescent="0.25">
      <c r="A241" s="30">
        <v>0.952380952380952</v>
      </c>
      <c r="B241"/>
      <c r="C241"/>
      <c r="D241"/>
      <c r="E241"/>
      <c r="F241" s="27" t="s">
        <v>7</v>
      </c>
      <c r="S241" s="27" t="s">
        <v>8</v>
      </c>
      <c r="T241" s="27" t="s">
        <v>7</v>
      </c>
      <c r="U241" s="27" t="s">
        <v>8</v>
      </c>
      <c r="W241" s="27" t="s">
        <v>8</v>
      </c>
      <c r="X241" s="27" t="s">
        <v>7</v>
      </c>
      <c r="Y241" s="27" t="s">
        <v>8</v>
      </c>
      <c r="AO241" s="27" t="s">
        <v>8</v>
      </c>
      <c r="BT241" s="27" t="s">
        <v>7</v>
      </c>
      <c r="BW241" s="27" t="s">
        <v>8</v>
      </c>
      <c r="CE241" s="31" t="s">
        <v>8</v>
      </c>
      <c r="CF241" s="27" t="s">
        <v>7</v>
      </c>
      <c r="CG241" s="27" t="s">
        <v>8</v>
      </c>
      <c r="CH241" s="27" t="s">
        <v>7</v>
      </c>
      <c r="CI241" s="27" t="s">
        <v>8</v>
      </c>
      <c r="CJ241" s="27" t="s">
        <v>7</v>
      </c>
      <c r="CQ241" s="27" t="s">
        <v>8</v>
      </c>
      <c r="CS241" s="27" t="s">
        <v>8</v>
      </c>
      <c r="CT241" s="27" t="s">
        <v>7</v>
      </c>
      <c r="CZ241" s="27" t="s">
        <v>7</v>
      </c>
      <c r="DA241" s="27" t="s">
        <v>8</v>
      </c>
      <c r="DB241" s="27" t="s">
        <v>7</v>
      </c>
      <c r="DC241" s="27" t="s">
        <v>8</v>
      </c>
      <c r="DD241" s="27" t="s">
        <v>7</v>
      </c>
      <c r="DE241" s="27" t="s">
        <v>8</v>
      </c>
      <c r="DF241" s="27" t="s">
        <v>7</v>
      </c>
      <c r="DG241" s="27" t="s">
        <v>8</v>
      </c>
      <c r="DH241" s="27" t="s">
        <v>7</v>
      </c>
      <c r="DI241" s="27" t="s">
        <v>8</v>
      </c>
      <c r="DL241" s="27" t="s">
        <v>7</v>
      </c>
      <c r="DM241" s="27" t="s">
        <v>8</v>
      </c>
      <c r="DN241" s="27" t="s">
        <v>7</v>
      </c>
      <c r="DP241" s="27" t="s">
        <v>7</v>
      </c>
      <c r="DQ241" s="27" t="s">
        <v>8</v>
      </c>
      <c r="DR241" s="27" t="s">
        <v>7</v>
      </c>
      <c r="DU241" s="27" t="s">
        <v>8</v>
      </c>
      <c r="DV241" s="27" t="s">
        <v>7</v>
      </c>
    </row>
    <row r="242" spans="1:130" x14ac:dyDescent="0.25">
      <c r="A242" s="30">
        <v>0.90702947845804915</v>
      </c>
      <c r="B242"/>
      <c r="C242"/>
      <c r="D242"/>
      <c r="E242"/>
      <c r="F242" s="27" t="s">
        <v>7</v>
      </c>
      <c r="S242" s="27" t="s">
        <v>8</v>
      </c>
      <c r="T242" s="27" t="s">
        <v>7</v>
      </c>
      <c r="U242" s="27" t="s">
        <v>8</v>
      </c>
      <c r="V242" s="27" t="s">
        <v>7</v>
      </c>
      <c r="W242" s="27" t="s">
        <v>8</v>
      </c>
      <c r="X242" s="27" t="s">
        <v>7</v>
      </c>
      <c r="Y242" s="27" t="s">
        <v>8</v>
      </c>
      <c r="Z242" s="27" t="s">
        <v>7</v>
      </c>
      <c r="AM242" s="27" t="s">
        <v>8</v>
      </c>
      <c r="AO242" s="27" t="s">
        <v>8</v>
      </c>
      <c r="BT242" s="27" t="s">
        <v>7</v>
      </c>
      <c r="BW242" s="33" t="s">
        <v>8</v>
      </c>
      <c r="BX242" s="27" t="s">
        <v>7</v>
      </c>
      <c r="CE242" s="27" t="s">
        <v>8</v>
      </c>
      <c r="CF242" s="27" t="s">
        <v>7</v>
      </c>
      <c r="CG242" s="27" t="s">
        <v>8</v>
      </c>
      <c r="CH242" s="27" t="s">
        <v>7</v>
      </c>
      <c r="CI242" s="27" t="s">
        <v>8</v>
      </c>
      <c r="CJ242" s="27" t="s">
        <v>7</v>
      </c>
      <c r="CQ242" s="27" t="s">
        <v>8</v>
      </c>
      <c r="CR242" s="27" t="s">
        <v>7</v>
      </c>
      <c r="CS242" s="27" t="s">
        <v>8</v>
      </c>
      <c r="CZ242" s="27" t="s">
        <v>7</v>
      </c>
      <c r="DB242" s="27" t="s">
        <v>7</v>
      </c>
      <c r="DC242" s="27" t="s">
        <v>8</v>
      </c>
      <c r="DD242" s="27" t="s">
        <v>7</v>
      </c>
      <c r="DE242" s="27" t="s">
        <v>8</v>
      </c>
      <c r="DF242" s="27" t="s">
        <v>7</v>
      </c>
      <c r="DH242" s="27" t="s">
        <v>7</v>
      </c>
      <c r="DL242" s="27" t="s">
        <v>7</v>
      </c>
      <c r="DP242" s="27" t="s">
        <v>7</v>
      </c>
      <c r="DQ242" s="27" t="s">
        <v>8</v>
      </c>
      <c r="DR242" s="27" t="s">
        <v>7</v>
      </c>
      <c r="DU242" s="27" t="s">
        <v>8</v>
      </c>
      <c r="DV242" s="27" t="s">
        <v>7</v>
      </c>
      <c r="DW242" s="27" t="s">
        <v>8</v>
      </c>
    </row>
    <row r="243" spans="1:130" x14ac:dyDescent="0.25">
      <c r="A243" s="30">
        <v>0.86383759853147501</v>
      </c>
      <c r="B243"/>
      <c r="C243"/>
      <c r="D243"/>
      <c r="E243"/>
      <c r="F243" s="27" t="s">
        <v>7</v>
      </c>
      <c r="S243" s="27" t="s">
        <v>8</v>
      </c>
      <c r="T243" s="27" t="s">
        <v>7</v>
      </c>
      <c r="U243" s="27" t="s">
        <v>8</v>
      </c>
      <c r="V243" s="27" t="s">
        <v>7</v>
      </c>
      <c r="W243" s="27" t="s">
        <v>8</v>
      </c>
      <c r="X243" s="27" t="s">
        <v>7</v>
      </c>
      <c r="Y243" s="27" t="s">
        <v>8</v>
      </c>
      <c r="Z243" s="27" t="s">
        <v>7</v>
      </c>
      <c r="AM243" s="27" t="s">
        <v>8</v>
      </c>
      <c r="AN243" s="27" t="s">
        <v>7</v>
      </c>
      <c r="AO243" s="27" t="s">
        <v>8</v>
      </c>
      <c r="BT243" s="27" t="s">
        <v>7</v>
      </c>
      <c r="BU243" s="27" t="s">
        <v>8</v>
      </c>
      <c r="BW243" s="27" t="s">
        <v>8</v>
      </c>
      <c r="BX243" s="27" t="s">
        <v>7</v>
      </c>
      <c r="BY243" s="32" t="s">
        <v>8</v>
      </c>
      <c r="CA243" s="32" t="s">
        <v>8</v>
      </c>
      <c r="CE243" s="33" t="s">
        <v>8</v>
      </c>
      <c r="CF243" s="27" t="s">
        <v>7</v>
      </c>
      <c r="CG243" s="27" t="s">
        <v>8</v>
      </c>
      <c r="CH243" s="27" t="s">
        <v>7</v>
      </c>
      <c r="CJ243" s="27" t="s">
        <v>7</v>
      </c>
      <c r="CK243" s="27" t="s">
        <v>8</v>
      </c>
      <c r="CQ243" s="27" t="s">
        <v>8</v>
      </c>
      <c r="CR243" s="27" t="s">
        <v>7</v>
      </c>
      <c r="CS243" s="27" t="s">
        <v>8</v>
      </c>
      <c r="DB243" s="27" t="s">
        <v>7</v>
      </c>
      <c r="DD243" s="27" t="s">
        <v>7</v>
      </c>
      <c r="DP243" s="27" t="s">
        <v>7</v>
      </c>
      <c r="DQ243" s="27" t="s">
        <v>8</v>
      </c>
      <c r="DR243" s="27" t="s">
        <v>7</v>
      </c>
      <c r="DU243" s="27" t="s">
        <v>8</v>
      </c>
      <c r="DV243" s="27" t="s">
        <v>7</v>
      </c>
      <c r="DW243" s="27" t="s">
        <v>8</v>
      </c>
      <c r="DX243" s="27" t="s">
        <v>7</v>
      </c>
    </row>
    <row r="244" spans="1:130" x14ac:dyDescent="0.25">
      <c r="A244" s="30">
        <v>0.82270247479188063</v>
      </c>
      <c r="B244"/>
      <c r="C244"/>
      <c r="D244"/>
      <c r="E244"/>
      <c r="F244" s="27" t="s">
        <v>7</v>
      </c>
      <c r="G244" s="27" t="s">
        <v>8</v>
      </c>
      <c r="S244" s="27" t="s">
        <v>8</v>
      </c>
      <c r="T244" s="27" t="s">
        <v>7</v>
      </c>
      <c r="U244" s="27" t="s">
        <v>8</v>
      </c>
      <c r="V244" s="27" t="s">
        <v>7</v>
      </c>
      <c r="W244" s="27" t="s">
        <v>8</v>
      </c>
      <c r="X244" s="27" t="s">
        <v>7</v>
      </c>
      <c r="Z244" s="27" t="s">
        <v>7</v>
      </c>
      <c r="AM244" s="27" t="s">
        <v>8</v>
      </c>
      <c r="AN244" s="27" t="s">
        <v>7</v>
      </c>
      <c r="AO244" s="27" t="s">
        <v>8</v>
      </c>
      <c r="BT244" s="27" t="s">
        <v>7</v>
      </c>
      <c r="BU244" s="27" t="s">
        <v>8</v>
      </c>
      <c r="BV244" s="27" t="s">
        <v>7</v>
      </c>
      <c r="BW244" s="27" t="s">
        <v>8</v>
      </c>
      <c r="BX244" s="27" t="s">
        <v>7</v>
      </c>
      <c r="BY244" s="27" t="s">
        <v>8</v>
      </c>
      <c r="BZ244" s="27" t="s">
        <v>7</v>
      </c>
      <c r="CA244" s="27" t="s">
        <v>8</v>
      </c>
      <c r="CB244" s="27" t="s">
        <v>7</v>
      </c>
      <c r="CC244" s="27" t="s">
        <v>8</v>
      </c>
      <c r="CE244" s="27" t="s">
        <v>8</v>
      </c>
      <c r="CF244" s="27" t="s">
        <v>7</v>
      </c>
      <c r="CG244" s="27" t="s">
        <v>8</v>
      </c>
      <c r="CJ244" s="35" t="s">
        <v>7</v>
      </c>
      <c r="CK244" s="27" t="s">
        <v>8</v>
      </c>
      <c r="CL244" s="27" t="s">
        <v>7</v>
      </c>
      <c r="CM244" s="27" t="s">
        <v>8</v>
      </c>
      <c r="CQ244" s="33" t="s">
        <v>8</v>
      </c>
      <c r="CR244" s="27" t="s">
        <v>7</v>
      </c>
      <c r="CS244" s="27" t="s">
        <v>8</v>
      </c>
      <c r="DP244" s="27" t="s">
        <v>7</v>
      </c>
      <c r="DQ244" s="27" t="s">
        <v>8</v>
      </c>
      <c r="DR244" s="27" t="s">
        <v>7</v>
      </c>
      <c r="DU244" s="27" t="s">
        <v>8</v>
      </c>
      <c r="DV244" s="27" t="s">
        <v>7</v>
      </c>
      <c r="DW244" s="27" t="s">
        <v>8</v>
      </c>
      <c r="DX244" s="27" t="s">
        <v>7</v>
      </c>
    </row>
    <row r="245" spans="1:130" x14ac:dyDescent="0.25">
      <c r="A245" s="30">
        <v>0.78352616646845741</v>
      </c>
      <c r="B245"/>
      <c r="C245"/>
      <c r="D245"/>
      <c r="E245"/>
      <c r="F245" s="27" t="s">
        <v>7</v>
      </c>
      <c r="G245" s="27" t="s">
        <v>8</v>
      </c>
      <c r="H245" s="27" t="s">
        <v>7</v>
      </c>
      <c r="S245" s="27" t="s">
        <v>8</v>
      </c>
      <c r="T245" s="27" t="s">
        <v>7</v>
      </c>
      <c r="V245" s="27" t="s">
        <v>7</v>
      </c>
      <c r="W245" s="27" t="s">
        <v>8</v>
      </c>
      <c r="Z245" s="27" t="s">
        <v>7</v>
      </c>
      <c r="AK245" s="27" t="s">
        <v>8</v>
      </c>
      <c r="AM245" s="27" t="s">
        <v>8</v>
      </c>
      <c r="AN245" s="27" t="s">
        <v>7</v>
      </c>
      <c r="AO245" s="27" t="s">
        <v>8</v>
      </c>
      <c r="BT245" s="27" t="s">
        <v>7</v>
      </c>
      <c r="BU245" s="27" t="s">
        <v>8</v>
      </c>
      <c r="BV245" s="27" t="s">
        <v>7</v>
      </c>
      <c r="BW245" s="27" t="s">
        <v>8</v>
      </c>
      <c r="BX245" s="27" t="s">
        <v>7</v>
      </c>
      <c r="BY245" s="27" t="s">
        <v>8</v>
      </c>
      <c r="BZ245" s="27" t="s">
        <v>7</v>
      </c>
      <c r="CA245" s="27" t="s">
        <v>8</v>
      </c>
      <c r="CB245" s="27" t="s">
        <v>7</v>
      </c>
      <c r="CC245" s="27" t="s">
        <v>8</v>
      </c>
      <c r="CD245" s="27" t="s">
        <v>7</v>
      </c>
      <c r="CE245" s="27" t="s">
        <v>8</v>
      </c>
      <c r="CF245" s="27" t="s">
        <v>7</v>
      </c>
      <c r="CJ245" s="27" t="s">
        <v>7</v>
      </c>
      <c r="CK245" s="27" t="s">
        <v>8</v>
      </c>
      <c r="CL245" s="27" t="s">
        <v>7</v>
      </c>
      <c r="CM245" s="27" t="s">
        <v>8</v>
      </c>
      <c r="CN245" s="27" t="s">
        <v>7</v>
      </c>
      <c r="CO245" s="27" t="s">
        <v>8</v>
      </c>
      <c r="CQ245" s="27" t="s">
        <v>8</v>
      </c>
      <c r="CR245" s="27" t="s">
        <v>7</v>
      </c>
      <c r="DP245" s="27" t="s">
        <v>7</v>
      </c>
      <c r="DR245" s="27" t="s">
        <v>7</v>
      </c>
      <c r="DS245" s="27" t="s">
        <v>8</v>
      </c>
      <c r="DU245" s="27" t="s">
        <v>8</v>
      </c>
      <c r="DV245" s="27" t="s">
        <v>7</v>
      </c>
      <c r="DW245" s="27" t="s">
        <v>8</v>
      </c>
      <c r="DX245" s="27" t="s">
        <v>7</v>
      </c>
    </row>
    <row r="246" spans="1:130" x14ac:dyDescent="0.25">
      <c r="A246" s="30">
        <v>0.74621539663662584</v>
      </c>
      <c r="B246"/>
      <c r="C246"/>
      <c r="D246"/>
      <c r="E246"/>
      <c r="F246" s="27" t="s">
        <v>7</v>
      </c>
      <c r="G246" s="27" t="s">
        <v>8</v>
      </c>
      <c r="H246" s="27" t="s">
        <v>7</v>
      </c>
      <c r="I246" s="27" t="s">
        <v>8</v>
      </c>
      <c r="S246" s="27" t="s">
        <v>8</v>
      </c>
      <c r="V246" s="27" t="s">
        <v>7</v>
      </c>
      <c r="W246" s="27" t="s">
        <v>8</v>
      </c>
      <c r="Z246" s="27" t="s">
        <v>7</v>
      </c>
      <c r="AI246" s="27" t="s">
        <v>8</v>
      </c>
      <c r="AK246" s="27" t="s">
        <v>8</v>
      </c>
      <c r="AL246" s="27" t="s">
        <v>7</v>
      </c>
      <c r="AM246" s="27" t="s">
        <v>8</v>
      </c>
      <c r="AN246" s="27" t="s">
        <v>7</v>
      </c>
      <c r="BT246" s="27" t="s">
        <v>7</v>
      </c>
      <c r="BU246" s="27" t="s">
        <v>8</v>
      </c>
      <c r="BV246" s="27" t="s">
        <v>7</v>
      </c>
      <c r="BW246" s="27" t="s">
        <v>8</v>
      </c>
      <c r="BX246" s="27" t="s">
        <v>7</v>
      </c>
      <c r="BZ246" s="27" t="s">
        <v>7</v>
      </c>
      <c r="CA246" s="27" t="s">
        <v>8</v>
      </c>
      <c r="CB246" s="27" t="s">
        <v>7</v>
      </c>
      <c r="CC246" s="27" t="s">
        <v>8</v>
      </c>
      <c r="CD246" s="27" t="s">
        <v>7</v>
      </c>
      <c r="CE246" s="27" t="s">
        <v>8</v>
      </c>
      <c r="CJ246" s="31" t="s">
        <v>7</v>
      </c>
      <c r="CK246" s="27" t="s">
        <v>8</v>
      </c>
      <c r="CL246" s="27" t="s">
        <v>7</v>
      </c>
      <c r="CM246" s="27" t="s">
        <v>8</v>
      </c>
      <c r="CN246" s="27" t="s">
        <v>7</v>
      </c>
      <c r="CO246" s="27" t="s">
        <v>8</v>
      </c>
      <c r="CP246" s="27" t="s">
        <v>7</v>
      </c>
      <c r="CQ246" s="27" t="s">
        <v>8</v>
      </c>
      <c r="DR246" s="27" t="s">
        <v>7</v>
      </c>
      <c r="DS246" s="27" t="s">
        <v>8</v>
      </c>
      <c r="DT246" s="27" t="s">
        <v>7</v>
      </c>
      <c r="DU246" s="27" t="s">
        <v>8</v>
      </c>
      <c r="DV246" s="27" t="s">
        <v>7</v>
      </c>
      <c r="DW246" s="27" t="s">
        <v>8</v>
      </c>
      <c r="DX246" s="27" t="s">
        <v>7</v>
      </c>
    </row>
    <row r="247" spans="1:130" x14ac:dyDescent="0.25">
      <c r="A247" s="30">
        <v>0.71068133013011958</v>
      </c>
      <c r="B247"/>
      <c r="C247"/>
      <c r="D247"/>
      <c r="E247"/>
      <c r="F247" s="27" t="s">
        <v>7</v>
      </c>
      <c r="G247" s="27" t="s">
        <v>8</v>
      </c>
      <c r="H247" s="27" t="s">
        <v>7</v>
      </c>
      <c r="I247" s="27" t="s">
        <v>8</v>
      </c>
      <c r="J247" s="27" t="s">
        <v>7</v>
      </c>
      <c r="S247" s="27" t="s">
        <v>8</v>
      </c>
      <c r="V247" s="27" t="s">
        <v>7</v>
      </c>
      <c r="Z247" s="27" t="s">
        <v>7</v>
      </c>
      <c r="AI247" s="27" t="s">
        <v>8</v>
      </c>
      <c r="AJ247" s="27" t="s">
        <v>7</v>
      </c>
      <c r="AK247" s="27" t="s">
        <v>8</v>
      </c>
      <c r="AL247" s="27" t="s">
        <v>7</v>
      </c>
      <c r="AM247" s="27" t="s">
        <v>8</v>
      </c>
      <c r="BT247" s="27" t="s">
        <v>7</v>
      </c>
      <c r="BU247" s="27" t="s">
        <v>8</v>
      </c>
      <c r="BV247" s="27" t="s">
        <v>7</v>
      </c>
      <c r="BW247" s="27" t="s">
        <v>8</v>
      </c>
      <c r="BZ247" s="34" t="s">
        <v>7</v>
      </c>
      <c r="CA247" s="27" t="s">
        <v>8</v>
      </c>
      <c r="CB247" s="27" t="s">
        <v>7</v>
      </c>
      <c r="CC247" s="27" t="s">
        <v>8</v>
      </c>
      <c r="CD247" s="27" t="s">
        <v>7</v>
      </c>
      <c r="CE247" s="27" t="s">
        <v>8</v>
      </c>
      <c r="CI247" s="31"/>
      <c r="CJ247" s="27" t="s">
        <v>7</v>
      </c>
      <c r="CK247" s="27" t="s">
        <v>8</v>
      </c>
      <c r="CL247" s="27" t="s">
        <v>7</v>
      </c>
      <c r="CM247" s="27" t="s">
        <v>8</v>
      </c>
      <c r="CN247" s="27" t="s">
        <v>7</v>
      </c>
      <c r="CO247" s="27" t="s">
        <v>8</v>
      </c>
      <c r="CP247" s="27" t="s">
        <v>7</v>
      </c>
      <c r="CQ247" s="27" t="s">
        <v>8</v>
      </c>
      <c r="DR247" s="27" t="s">
        <v>7</v>
      </c>
      <c r="DS247" s="27" t="s">
        <v>8</v>
      </c>
      <c r="DT247" s="27" t="s">
        <v>7</v>
      </c>
      <c r="DU247" s="27" t="s">
        <v>8</v>
      </c>
      <c r="DV247" s="27" t="s">
        <v>7</v>
      </c>
      <c r="DW247" s="27" t="s">
        <v>8</v>
      </c>
      <c r="DX247" s="27" t="s">
        <v>7</v>
      </c>
    </row>
    <row r="248" spans="1:130" x14ac:dyDescent="0.25">
      <c r="A248" s="30">
        <v>0.676839362028685</v>
      </c>
      <c r="B248"/>
      <c r="C248"/>
      <c r="D248"/>
      <c r="E248"/>
      <c r="F248" s="27" t="s">
        <v>7</v>
      </c>
      <c r="G248" s="27" t="s">
        <v>8</v>
      </c>
      <c r="H248" s="27" t="s">
        <v>7</v>
      </c>
      <c r="I248" s="27" t="s">
        <v>8</v>
      </c>
      <c r="J248" s="27" t="s">
        <v>7</v>
      </c>
      <c r="Q248" s="27" t="s">
        <v>8</v>
      </c>
      <c r="S248" s="27" t="s">
        <v>8</v>
      </c>
      <c r="Z248" s="27" t="s">
        <v>7</v>
      </c>
      <c r="AI248" s="27" t="s">
        <v>8</v>
      </c>
      <c r="AJ248" s="27" t="s">
        <v>7</v>
      </c>
      <c r="AK248" s="27" t="s">
        <v>8</v>
      </c>
      <c r="AL248" s="27" t="s">
        <v>7</v>
      </c>
      <c r="AM248" s="27" t="s">
        <v>8</v>
      </c>
      <c r="BT248" s="27" t="s">
        <v>7</v>
      </c>
      <c r="BU248" s="27" t="s">
        <v>8</v>
      </c>
      <c r="BV248" s="27" t="s">
        <v>7</v>
      </c>
      <c r="BW248" s="27" t="s">
        <v>8</v>
      </c>
      <c r="BZ248" s="27" t="s">
        <v>7</v>
      </c>
      <c r="CA248" s="27" t="s">
        <v>8</v>
      </c>
      <c r="CB248" s="27" t="s">
        <v>7</v>
      </c>
      <c r="CC248" s="27" t="s">
        <v>8</v>
      </c>
      <c r="CD248" s="27" t="s">
        <v>7</v>
      </c>
      <c r="CE248" s="27" t="s">
        <v>8</v>
      </c>
      <c r="CH248" s="31"/>
      <c r="CJ248" s="27" t="s">
        <v>7</v>
      </c>
      <c r="CK248" s="27" t="s">
        <v>8</v>
      </c>
      <c r="CL248" s="27" t="s">
        <v>7</v>
      </c>
      <c r="CM248" s="27" t="s">
        <v>8</v>
      </c>
      <c r="CN248" s="27" t="s">
        <v>7</v>
      </c>
      <c r="CP248" s="27" t="s">
        <v>7</v>
      </c>
      <c r="CQ248" s="27" t="s">
        <v>8</v>
      </c>
      <c r="DR248" s="27" t="s">
        <v>7</v>
      </c>
      <c r="DT248" s="27" t="s">
        <v>7</v>
      </c>
      <c r="DU248" s="27" t="s">
        <v>8</v>
      </c>
      <c r="DV248" s="27" t="s">
        <v>7</v>
      </c>
      <c r="DW248" s="27" t="s">
        <v>8</v>
      </c>
      <c r="DX248" s="27" t="s">
        <v>7</v>
      </c>
    </row>
    <row r="249" spans="1:130" x14ac:dyDescent="0.25">
      <c r="A249" s="30">
        <v>0.64460891621779492</v>
      </c>
      <c r="B249"/>
      <c r="C249"/>
      <c r="D249"/>
      <c r="E249"/>
      <c r="F249" s="27" t="s">
        <v>7</v>
      </c>
      <c r="G249" s="27" t="s">
        <v>8</v>
      </c>
      <c r="H249" s="27" t="s">
        <v>7</v>
      </c>
      <c r="I249" s="27" t="s">
        <v>8</v>
      </c>
      <c r="J249" s="27" t="s">
        <v>7</v>
      </c>
      <c r="Q249" s="27" t="s">
        <v>8</v>
      </c>
      <c r="R249" s="27" t="s">
        <v>7</v>
      </c>
      <c r="S249" s="27" t="s">
        <v>8</v>
      </c>
      <c r="Z249" s="27" t="s">
        <v>7</v>
      </c>
      <c r="AA249" s="27" t="s">
        <v>8</v>
      </c>
      <c r="AI249" s="27" t="s">
        <v>8</v>
      </c>
      <c r="AJ249" s="27" t="s">
        <v>7</v>
      </c>
      <c r="AK249" s="27" t="s">
        <v>8</v>
      </c>
      <c r="AL249" s="27" t="s">
        <v>7</v>
      </c>
      <c r="BT249" s="27" t="s">
        <v>7</v>
      </c>
      <c r="BV249" s="27" t="s">
        <v>7</v>
      </c>
      <c r="BW249" s="27" t="s">
        <v>8</v>
      </c>
      <c r="BZ249" s="27" t="s">
        <v>7</v>
      </c>
      <c r="CA249" s="27" t="s">
        <v>8</v>
      </c>
      <c r="CB249" s="27" t="s">
        <v>7</v>
      </c>
      <c r="CD249" s="27" t="s">
        <v>7</v>
      </c>
      <c r="CE249" s="27" t="s">
        <v>8</v>
      </c>
      <c r="CG249" s="31"/>
      <c r="CJ249" s="32" t="s">
        <v>7</v>
      </c>
      <c r="CL249" s="32" t="s">
        <v>7</v>
      </c>
      <c r="CP249" s="18" t="s">
        <v>7</v>
      </c>
      <c r="CQ249" s="27" t="s">
        <v>8</v>
      </c>
      <c r="DT249" s="27" t="s">
        <v>7</v>
      </c>
      <c r="DV249" s="27" t="s">
        <v>7</v>
      </c>
      <c r="DX249" s="27" t="s">
        <v>7</v>
      </c>
    </row>
    <row r="250" spans="1:130" x14ac:dyDescent="0.25">
      <c r="A250" s="30">
        <v>0.61391325354075688</v>
      </c>
      <c r="B250"/>
      <c r="C250"/>
      <c r="D250"/>
      <c r="E250"/>
      <c r="F250" s="27" t="s">
        <v>7</v>
      </c>
      <c r="G250" s="27" t="s">
        <v>8</v>
      </c>
      <c r="H250" s="27" t="s">
        <v>7</v>
      </c>
      <c r="I250" s="27" t="s">
        <v>8</v>
      </c>
      <c r="J250" s="27" t="s">
        <v>7</v>
      </c>
      <c r="Q250" s="27" t="s">
        <v>8</v>
      </c>
      <c r="R250" s="27" t="s">
        <v>7</v>
      </c>
      <c r="S250" s="27" t="s">
        <v>8</v>
      </c>
      <c r="Z250" s="27" t="s">
        <v>7</v>
      </c>
      <c r="AA250" s="27" t="s">
        <v>8</v>
      </c>
      <c r="AB250" s="27" t="s">
        <v>7</v>
      </c>
      <c r="AG250" s="27" t="s">
        <v>8</v>
      </c>
      <c r="AI250" s="27" t="s">
        <v>8</v>
      </c>
      <c r="AJ250" s="27" t="s">
        <v>7</v>
      </c>
      <c r="AK250" s="27" t="s">
        <v>8</v>
      </c>
      <c r="BV250" s="27" t="s">
        <v>7</v>
      </c>
      <c r="BW250" s="27" t="s">
        <v>8</v>
      </c>
      <c r="BZ250" s="27" t="s">
        <v>7</v>
      </c>
      <c r="CA250" s="27" t="s">
        <v>8</v>
      </c>
      <c r="CD250" s="27" t="s">
        <v>7</v>
      </c>
      <c r="CE250" s="27" t="s">
        <v>8</v>
      </c>
      <c r="CF250" s="31"/>
      <c r="CP250" s="27" t="s">
        <v>7</v>
      </c>
      <c r="CQ250" s="27" t="s">
        <v>8</v>
      </c>
      <c r="DX250" s="27" t="s">
        <v>7</v>
      </c>
      <c r="DY250" s="27" t="s">
        <v>8</v>
      </c>
    </row>
    <row r="251" spans="1:130" x14ac:dyDescent="0.25">
      <c r="A251" s="30">
        <v>0.58467928908643485</v>
      </c>
      <c r="B251"/>
      <c r="C251"/>
      <c r="D251"/>
      <c r="E251"/>
      <c r="F251" s="27" t="s">
        <v>7</v>
      </c>
      <c r="H251" s="27" t="s">
        <v>7</v>
      </c>
      <c r="I251" s="27" t="s">
        <v>8</v>
      </c>
      <c r="J251" s="27" t="s">
        <v>7</v>
      </c>
      <c r="K251" s="27" t="s">
        <v>8</v>
      </c>
      <c r="M251" s="27" t="s">
        <v>8</v>
      </c>
      <c r="Q251" s="27" t="s">
        <v>8</v>
      </c>
      <c r="R251" s="27" t="s">
        <v>7</v>
      </c>
      <c r="Z251" s="27" t="s">
        <v>7</v>
      </c>
      <c r="AA251" s="27" t="s">
        <v>8</v>
      </c>
      <c r="AB251" s="27" t="s">
        <v>7</v>
      </c>
      <c r="AC251" s="27" t="s">
        <v>8</v>
      </c>
      <c r="AG251" s="27" t="s">
        <v>8</v>
      </c>
      <c r="AH251" s="27" t="s">
        <v>7</v>
      </c>
      <c r="AI251" s="27" t="s">
        <v>8</v>
      </c>
      <c r="AJ251" s="27" t="s">
        <v>7</v>
      </c>
      <c r="AK251" s="27" t="s">
        <v>8</v>
      </c>
      <c r="BV251" s="27" t="s">
        <v>7</v>
      </c>
      <c r="BW251" s="27" t="s">
        <v>8</v>
      </c>
      <c r="BZ251" s="27" t="s">
        <v>7</v>
      </c>
      <c r="CD251" s="27" t="s">
        <v>7</v>
      </c>
      <c r="CE251" s="31" t="s">
        <v>8</v>
      </c>
      <c r="CP251" s="27" t="s">
        <v>7</v>
      </c>
      <c r="CQ251" s="27" t="s">
        <v>8</v>
      </c>
      <c r="DX251" s="27" t="s">
        <v>7</v>
      </c>
      <c r="DY251" s="27" t="s">
        <v>8</v>
      </c>
      <c r="DZ251" s="27" t="s">
        <v>7</v>
      </c>
    </row>
    <row r="252" spans="1:130" x14ac:dyDescent="0.25">
      <c r="A252" s="30">
        <v>0.55683741817755672</v>
      </c>
      <c r="B252"/>
      <c r="C252"/>
      <c r="D252"/>
      <c r="E252"/>
      <c r="H252" s="27" t="s">
        <v>7</v>
      </c>
      <c r="I252" s="27" t="s">
        <v>8</v>
      </c>
      <c r="J252" s="27" t="s">
        <v>7</v>
      </c>
      <c r="K252" s="27" t="s">
        <v>8</v>
      </c>
      <c r="L252" s="27" t="s">
        <v>7</v>
      </c>
      <c r="M252" s="27" t="s">
        <v>8</v>
      </c>
      <c r="N252" s="27" t="s">
        <v>7</v>
      </c>
      <c r="O252" s="27" t="s">
        <v>8</v>
      </c>
      <c r="Q252" s="27" t="s">
        <v>8</v>
      </c>
      <c r="Z252" s="27" t="s">
        <v>7</v>
      </c>
      <c r="AA252" s="27" t="s">
        <v>8</v>
      </c>
      <c r="AB252" s="27" t="s">
        <v>7</v>
      </c>
      <c r="AC252" s="27" t="s">
        <v>8</v>
      </c>
      <c r="AD252" s="27" t="s">
        <v>7</v>
      </c>
      <c r="AG252" s="27" t="s">
        <v>8</v>
      </c>
      <c r="AH252" s="27" t="s">
        <v>7</v>
      </c>
      <c r="AI252" s="27" t="s">
        <v>8</v>
      </c>
      <c r="AJ252" s="27" t="s">
        <v>7</v>
      </c>
      <c r="BV252" s="27" t="s">
        <v>7</v>
      </c>
      <c r="BW252" s="27" t="s">
        <v>8</v>
      </c>
      <c r="CD252" s="31" t="s">
        <v>7</v>
      </c>
      <c r="CP252" s="27" t="s">
        <v>7</v>
      </c>
      <c r="DX252" s="27" t="s">
        <v>7</v>
      </c>
      <c r="DY252" s="27" t="s">
        <v>8</v>
      </c>
      <c r="DZ252" s="27" t="s">
        <v>7</v>
      </c>
    </row>
    <row r="253" spans="1:130" x14ac:dyDescent="0.25">
      <c r="A253" s="30">
        <v>0.53032135064529184</v>
      </c>
      <c r="B253"/>
      <c r="C253"/>
      <c r="D253"/>
      <c r="E253"/>
      <c r="H253" s="27" t="s">
        <v>7</v>
      </c>
      <c r="I253" s="27" t="s">
        <v>8</v>
      </c>
      <c r="J253" s="27" t="s">
        <v>7</v>
      </c>
      <c r="K253" s="27" t="s">
        <v>8</v>
      </c>
      <c r="L253" s="27" t="s">
        <v>7</v>
      </c>
      <c r="M253" s="27" t="s">
        <v>8</v>
      </c>
      <c r="N253" s="27" t="s">
        <v>7</v>
      </c>
      <c r="O253" s="27" t="s">
        <v>8</v>
      </c>
      <c r="P253" s="27" t="s">
        <v>7</v>
      </c>
      <c r="Q253" s="27" t="s">
        <v>8</v>
      </c>
      <c r="Z253" s="27" t="s">
        <v>7</v>
      </c>
      <c r="AA253" s="27" t="s">
        <v>8</v>
      </c>
      <c r="AB253" s="27" t="s">
        <v>7</v>
      </c>
      <c r="AC253" s="27" t="s">
        <v>8</v>
      </c>
      <c r="AD253" s="27" t="s">
        <v>7</v>
      </c>
      <c r="AE253" s="27" t="s">
        <v>8</v>
      </c>
      <c r="AG253" s="27" t="s">
        <v>8</v>
      </c>
      <c r="AH253" s="27" t="s">
        <v>7</v>
      </c>
      <c r="AI253" s="27" t="s">
        <v>8</v>
      </c>
      <c r="BV253" s="27" t="s">
        <v>7</v>
      </c>
      <c r="BW253" s="27" t="s">
        <v>8</v>
      </c>
      <c r="DX253" s="27" t="s">
        <v>7</v>
      </c>
      <c r="DY253" s="27" t="s">
        <v>8</v>
      </c>
      <c r="DZ253" s="27" t="s">
        <v>7</v>
      </c>
    </row>
    <row r="254" spans="1:130" x14ac:dyDescent="0.25">
      <c r="A254" s="30">
        <v>0.50506795299551588</v>
      </c>
      <c r="B254"/>
      <c r="C254"/>
      <c r="D254"/>
      <c r="E254"/>
      <c r="H254" s="27" t="s">
        <v>7</v>
      </c>
      <c r="I254" s="27" t="s">
        <v>8</v>
      </c>
      <c r="J254" s="27" t="s">
        <v>7</v>
      </c>
      <c r="K254" s="27" t="s">
        <v>8</v>
      </c>
      <c r="L254" s="27" t="s">
        <v>7</v>
      </c>
      <c r="N254" s="27" t="s">
        <v>7</v>
      </c>
      <c r="O254" s="27" t="s">
        <v>8</v>
      </c>
      <c r="P254" s="27" t="s">
        <v>7</v>
      </c>
      <c r="Q254" s="27" t="s">
        <v>8</v>
      </c>
      <c r="Z254" s="27" t="s">
        <v>7</v>
      </c>
      <c r="AA254" s="27" t="s">
        <v>8</v>
      </c>
      <c r="AB254" s="27" t="s">
        <v>7</v>
      </c>
      <c r="AD254" s="27" t="s">
        <v>7</v>
      </c>
      <c r="AE254" s="27" t="s">
        <v>8</v>
      </c>
      <c r="AF254" s="27" t="s">
        <v>7</v>
      </c>
      <c r="AG254" s="27" t="s">
        <v>8</v>
      </c>
      <c r="AH254" s="27" t="s">
        <v>7</v>
      </c>
      <c r="AI254" s="27" t="s">
        <v>8</v>
      </c>
      <c r="BV254" s="27" t="s">
        <v>7</v>
      </c>
      <c r="BW254" s="27" t="s">
        <v>8</v>
      </c>
      <c r="DX254" s="27" t="s">
        <v>7</v>
      </c>
      <c r="DY254" s="27" t="s">
        <v>8</v>
      </c>
    </row>
    <row r="255" spans="1:130" x14ac:dyDescent="0.25">
      <c r="A255" s="30">
        <v>0.48101709809096732</v>
      </c>
      <c r="E255"/>
      <c r="H255" s="27" t="s">
        <v>7</v>
      </c>
      <c r="I255" s="27" t="s">
        <v>8</v>
      </c>
      <c r="J255" s="27" t="s">
        <v>7</v>
      </c>
      <c r="N255" s="27" t="s">
        <v>7</v>
      </c>
      <c r="O255" s="27" t="s">
        <v>8</v>
      </c>
      <c r="P255" s="27" t="s">
        <v>7</v>
      </c>
      <c r="Z255" s="27" t="s">
        <v>7</v>
      </c>
      <c r="AD255" s="27" t="s">
        <v>7</v>
      </c>
      <c r="AE255" s="27" t="s">
        <v>8</v>
      </c>
      <c r="AF255" s="27" t="s">
        <v>7</v>
      </c>
      <c r="AG255" s="27" t="s">
        <v>8</v>
      </c>
      <c r="AH255" s="27" t="s">
        <v>7</v>
      </c>
      <c r="AI255" s="27" t="s">
        <v>8</v>
      </c>
      <c r="BV255" s="27" t="s">
        <v>7</v>
      </c>
      <c r="BW255" s="27" t="s">
        <v>8</v>
      </c>
      <c r="DX255" s="27" t="s">
        <v>7</v>
      </c>
    </row>
    <row r="256" spans="1:130" x14ac:dyDescent="0.25">
      <c r="A256" s="30">
        <v>0.45811152199139726</v>
      </c>
      <c r="E256"/>
      <c r="H256" s="27" t="s">
        <v>7</v>
      </c>
      <c r="I256" s="27" t="s">
        <v>8</v>
      </c>
      <c r="N256" s="27" t="s">
        <v>7</v>
      </c>
      <c r="O256" s="27" t="s">
        <v>8</v>
      </c>
      <c r="AD256" s="27" t="s">
        <v>7</v>
      </c>
      <c r="AE256" s="27" t="s">
        <v>8</v>
      </c>
      <c r="AF256" s="27" t="s">
        <v>7</v>
      </c>
      <c r="AH256" s="27" t="s">
        <v>7</v>
      </c>
      <c r="BV256" s="27" t="s">
        <v>7</v>
      </c>
    </row>
    <row r="257" spans="1:30" x14ac:dyDescent="0.25">
      <c r="A257" s="30">
        <v>0.43629668761085438</v>
      </c>
      <c r="B257"/>
      <c r="C257"/>
      <c r="D257"/>
      <c r="E257"/>
      <c r="H257" s="27" t="s">
        <v>7</v>
      </c>
      <c r="I257" s="27" t="s">
        <v>8</v>
      </c>
      <c r="N257" s="27" t="s">
        <v>7</v>
      </c>
      <c r="O257" s="27" t="s">
        <v>8</v>
      </c>
      <c r="AD257" s="27" t="s">
        <v>7</v>
      </c>
    </row>
    <row r="258" spans="1:30" x14ac:dyDescent="0.25">
      <c r="A258" s="30">
        <v>0.41552065486748019</v>
      </c>
      <c r="B258"/>
      <c r="C258"/>
      <c r="D258"/>
      <c r="E258"/>
      <c r="H258" s="27" t="s">
        <v>7</v>
      </c>
      <c r="I258" s="27" t="s">
        <v>8</v>
      </c>
      <c r="N258" s="27" t="s">
        <v>7</v>
      </c>
      <c r="O258" s="27" t="s">
        <v>8</v>
      </c>
    </row>
    <row r="259" spans="1:30" x14ac:dyDescent="0.25">
      <c r="A259" s="30">
        <v>0.39573395701664765</v>
      </c>
      <c r="B259"/>
      <c r="C259"/>
      <c r="D259"/>
      <c r="E259"/>
      <c r="H259" s="27" t="s">
        <v>7</v>
      </c>
      <c r="N259" s="27" t="s">
        <v>7</v>
      </c>
    </row>
    <row r="260" spans="1:30" x14ac:dyDescent="0.25">
      <c r="A260" s="30">
        <v>0.37688948287299762</v>
      </c>
      <c r="B260"/>
      <c r="C260"/>
      <c r="D260"/>
      <c r="E260"/>
    </row>
    <row r="261" spans="1:30" x14ac:dyDescent="0.25">
      <c r="A261" s="30">
        <v>0.35894236464094997</v>
      </c>
      <c r="B261"/>
      <c r="C261"/>
      <c r="D261"/>
      <c r="E261"/>
    </row>
    <row r="262" spans="1:30" x14ac:dyDescent="0.25">
      <c r="A262" s="30">
        <v>0.34184987108661891</v>
      </c>
      <c r="B262"/>
      <c r="C262"/>
      <c r="D262"/>
      <c r="E262"/>
    </row>
    <row r="263" spans="1:30" x14ac:dyDescent="0.25">
      <c r="A263" s="30">
        <v>0.32557130579677979</v>
      </c>
      <c r="B263"/>
      <c r="C263"/>
      <c r="D263"/>
      <c r="E263"/>
    </row>
    <row r="264" spans="1:30" x14ac:dyDescent="0.25">
      <c r="A264" s="30">
        <v>0.3100679102826473</v>
      </c>
      <c r="B264"/>
      <c r="C264"/>
      <c r="D264"/>
      <c r="E264"/>
    </row>
    <row r="265" spans="1:30" x14ac:dyDescent="0.25">
      <c r="A265" s="30">
        <v>0.2953027716977592</v>
      </c>
      <c r="B265"/>
      <c r="C265"/>
      <c r="D265"/>
      <c r="E265"/>
    </row>
    <row r="266" spans="1:30" x14ac:dyDescent="0.25">
      <c r="A266" s="30">
        <v>0.28124073495024676</v>
      </c>
      <c r="B266"/>
      <c r="C266"/>
      <c r="D266"/>
      <c r="E266"/>
    </row>
    <row r="267" spans="1:30" x14ac:dyDescent="0.25">
      <c r="A267" s="30">
        <v>0.26784831900023492</v>
      </c>
      <c r="B267"/>
      <c r="C267"/>
      <c r="D267"/>
      <c r="E267"/>
    </row>
    <row r="268" spans="1:30" x14ac:dyDescent="0.25">
      <c r="A268" s="30">
        <v>0.25509363714308075</v>
      </c>
      <c r="B268"/>
      <c r="C268"/>
      <c r="D268"/>
      <c r="E268"/>
    </row>
    <row r="269" spans="1:30" x14ac:dyDescent="0.25">
      <c r="A269" s="30">
        <v>0.24294632108864825</v>
      </c>
      <c r="B269"/>
      <c r="C269"/>
      <c r="D269"/>
      <c r="E269"/>
    </row>
    <row r="270" spans="1:30" x14ac:dyDescent="0.25">
      <c r="A270" s="30">
        <v>0.23137744865585538</v>
      </c>
      <c r="B270"/>
      <c r="C270"/>
      <c r="D270"/>
      <c r="E270"/>
    </row>
    <row r="271" spans="1:30" x14ac:dyDescent="0.25">
      <c r="A271" s="30">
        <v>0.22035947491033836</v>
      </c>
      <c r="B271"/>
      <c r="C271"/>
      <c r="D271"/>
      <c r="E271"/>
    </row>
    <row r="272" spans="1:30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868" operator="equal">
      <formula>$U$1</formula>
    </cfRule>
    <cfRule type="cellIs" dxfId="67" priority="869" operator="equal">
      <formula>$S$1</formula>
    </cfRule>
  </conditionalFormatting>
  <conditionalFormatting sqref="D136">
    <cfRule type="cellIs" dxfId="66" priority="866" operator="equal">
      <formula>$S$1</formula>
    </cfRule>
    <cfRule type="cellIs" dxfId="65" priority="867" operator="equal">
      <formula>$U$1</formula>
    </cfRule>
  </conditionalFormatting>
  <conditionalFormatting sqref="C162">
    <cfRule type="cellIs" dxfId="64" priority="864" operator="equal">
      <formula>$U$1</formula>
    </cfRule>
    <cfRule type="cellIs" dxfId="63" priority="865" operator="equal">
      <formula>$S$1</formula>
    </cfRule>
  </conditionalFormatting>
  <conditionalFormatting sqref="D162">
    <cfRule type="cellIs" dxfId="62" priority="862" operator="equal">
      <formula>$S$1</formula>
    </cfRule>
    <cfRule type="cellIs" dxfId="61" priority="863" operator="equal">
      <formula>$U$1</formula>
    </cfRule>
  </conditionalFormatting>
  <conditionalFormatting sqref="C187">
    <cfRule type="cellIs" dxfId="60" priority="860" operator="equal">
      <formula>$U$1</formula>
    </cfRule>
    <cfRule type="cellIs" dxfId="59" priority="861" operator="equal">
      <formula>$S$1</formula>
    </cfRule>
  </conditionalFormatting>
  <conditionalFormatting sqref="D187">
    <cfRule type="cellIs" dxfId="58" priority="858" operator="equal">
      <formula>$S$1</formula>
    </cfRule>
    <cfRule type="cellIs" dxfId="57" priority="859" operator="equal">
      <formula>$U$1</formula>
    </cfRule>
  </conditionalFormatting>
  <conditionalFormatting sqref="C212">
    <cfRule type="cellIs" dxfId="56" priority="856" operator="equal">
      <formula>$U$1</formula>
    </cfRule>
    <cfRule type="cellIs" dxfId="55" priority="857" operator="equal">
      <formula>$S$1</formula>
    </cfRule>
  </conditionalFormatting>
  <conditionalFormatting sqref="D212">
    <cfRule type="cellIs" dxfId="54" priority="854" operator="equal">
      <formula>$S$1</formula>
    </cfRule>
    <cfRule type="cellIs" dxfId="53" priority="855" operator="equal">
      <formula>$U$1</formula>
    </cfRule>
  </conditionalFormatting>
  <conditionalFormatting sqref="C237">
    <cfRule type="cellIs" dxfId="52" priority="852" operator="equal">
      <formula>$U$1</formula>
    </cfRule>
    <cfRule type="cellIs" dxfId="51" priority="853" operator="equal">
      <formula>$S$1</formula>
    </cfRule>
  </conditionalFormatting>
  <conditionalFormatting sqref="D237">
    <cfRule type="cellIs" dxfId="50" priority="850" operator="equal">
      <formula>$S$1</formula>
    </cfRule>
    <cfRule type="cellIs" dxfId="49" priority="851" operator="equal">
      <formula>$U$1</formula>
    </cfRule>
  </conditionalFormatting>
  <conditionalFormatting sqref="C106">
    <cfRule type="cellIs" dxfId="48" priority="848" operator="equal">
      <formula>$U$1</formula>
    </cfRule>
    <cfRule type="cellIs" dxfId="47" priority="849" operator="equal">
      <formula>$S$1</formula>
    </cfRule>
  </conditionalFormatting>
  <conditionalFormatting sqref="D106">
    <cfRule type="cellIs" dxfId="46" priority="846" operator="equal">
      <formula>$S$1</formula>
    </cfRule>
    <cfRule type="cellIs" dxfId="45" priority="847" operator="equal">
      <formula>$U$1</formula>
    </cfRule>
  </conditionalFormatting>
  <conditionalFormatting sqref="C81">
    <cfRule type="cellIs" dxfId="44" priority="844" operator="equal">
      <formula>$U$1</formula>
    </cfRule>
    <cfRule type="cellIs" dxfId="43" priority="845" operator="equal">
      <formula>$S$1</formula>
    </cfRule>
  </conditionalFormatting>
  <conditionalFormatting sqref="D81">
    <cfRule type="cellIs" dxfId="42" priority="842" operator="equal">
      <formula>$S$1</formula>
    </cfRule>
    <cfRule type="cellIs" dxfId="41" priority="843" operator="equal">
      <formula>$U$1</formula>
    </cfRule>
  </conditionalFormatting>
  <conditionalFormatting sqref="C56">
    <cfRule type="cellIs" dxfId="40" priority="840" operator="equal">
      <formula>$U$1</formula>
    </cfRule>
    <cfRule type="cellIs" dxfId="39" priority="841" operator="equal">
      <formula>$S$1</formula>
    </cfRule>
  </conditionalFormatting>
  <conditionalFormatting sqref="D56">
    <cfRule type="cellIs" dxfId="38" priority="838" operator="equal">
      <formula>$S$1</formula>
    </cfRule>
    <cfRule type="cellIs" dxfId="37" priority="839" operator="equal">
      <formula>$U$1</formula>
    </cfRule>
  </conditionalFormatting>
  <conditionalFormatting sqref="C31">
    <cfRule type="cellIs" dxfId="36" priority="836" operator="equal">
      <formula>$U$1</formula>
    </cfRule>
    <cfRule type="cellIs" dxfId="35" priority="837" operator="equal">
      <formula>$S$1</formula>
    </cfRule>
  </conditionalFormatting>
  <conditionalFormatting sqref="D31">
    <cfRule type="cellIs" dxfId="34" priority="834" operator="equal">
      <formula>$S$1</formula>
    </cfRule>
    <cfRule type="cellIs" dxfId="33" priority="835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BF128" sqref="BF128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30" x14ac:dyDescent="0.25">
      <c r="A97" s="30">
        <v>9.849732675807628</v>
      </c>
      <c r="E97"/>
    </row>
    <row r="98" spans="1:30" x14ac:dyDescent="0.25">
      <c r="A98" s="30">
        <v>8.9543024325523888</v>
      </c>
      <c r="C98" s="1" t="s">
        <v>13</v>
      </c>
      <c r="E98"/>
    </row>
    <row r="99" spans="1:30" x14ac:dyDescent="0.25">
      <c r="A99" s="30">
        <v>8.140274938683989</v>
      </c>
      <c r="C99" s="1">
        <f>C88</f>
        <v>0</v>
      </c>
      <c r="E99"/>
    </row>
    <row r="100" spans="1:30" x14ac:dyDescent="0.25">
      <c r="A100" s="30">
        <v>7.4002499442581717</v>
      </c>
      <c r="C100"/>
      <c r="D100"/>
      <c r="E100"/>
    </row>
    <row r="101" spans="1:30" x14ac:dyDescent="0.25">
      <c r="A101" s="30">
        <v>6.72749994932561</v>
      </c>
      <c r="C101" s="1" t="s">
        <v>14</v>
      </c>
      <c r="E101"/>
    </row>
    <row r="102" spans="1:30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30" x14ac:dyDescent="0.25">
      <c r="A103" s="30">
        <v>5.5599173134922388</v>
      </c>
      <c r="E103"/>
    </row>
    <row r="104" spans="1:30" x14ac:dyDescent="0.25">
      <c r="A104" s="30">
        <v>5.0544702849929442</v>
      </c>
      <c r="E104"/>
    </row>
    <row r="105" spans="1:30" x14ac:dyDescent="0.25">
      <c r="A105" s="30">
        <v>4.594972986357222</v>
      </c>
      <c r="E105"/>
    </row>
    <row r="106" spans="1:30" x14ac:dyDescent="0.25">
      <c r="A106" s="30">
        <v>4.1772481694156562</v>
      </c>
      <c r="E106"/>
    </row>
    <row r="107" spans="1:30" x14ac:dyDescent="0.25">
      <c r="A107" s="30">
        <v>3.7974983358324148</v>
      </c>
      <c r="E107"/>
    </row>
    <row r="108" spans="1:30" x14ac:dyDescent="0.25">
      <c r="A108" s="30">
        <v>3.4522712143931042</v>
      </c>
      <c r="E108"/>
    </row>
    <row r="109" spans="1:30" x14ac:dyDescent="0.25">
      <c r="A109" s="30">
        <v>3.1384283767210035</v>
      </c>
      <c r="E109"/>
    </row>
    <row r="110" spans="1:30" x14ac:dyDescent="0.25">
      <c r="A110" s="30">
        <v>2.8531167061100029</v>
      </c>
      <c r="E110"/>
      <c r="AA110" s="27" t="s">
        <v>8</v>
      </c>
    </row>
    <row r="111" spans="1:30" x14ac:dyDescent="0.25">
      <c r="A111" s="30">
        <v>2.5937424601000023</v>
      </c>
      <c r="C111" s="1" t="str">
        <f>ADDRESS(C121-1,1,1,1)</f>
        <v>$A$127</v>
      </c>
      <c r="D111" s="1" t="str">
        <f>ADDRESS(C121-1,D121,1,1)</f>
        <v>$BF$127</v>
      </c>
      <c r="E111"/>
      <c r="U111" s="27" t="s">
        <v>8</v>
      </c>
      <c r="AA111" s="27" t="s">
        <v>8</v>
      </c>
      <c r="AB111" s="27" t="s">
        <v>7</v>
      </c>
      <c r="AC111" s="27" t="s">
        <v>8</v>
      </c>
    </row>
    <row r="112" spans="1:30" x14ac:dyDescent="0.25">
      <c r="A112" s="30">
        <v>2.3579476910000019</v>
      </c>
      <c r="C112" s="1" t="str">
        <f>ADDRESS(C121,1,1,1)</f>
        <v>$A$128</v>
      </c>
      <c r="D112" s="1" t="str">
        <f>ADDRESS(C121,D121-1,1,1)</f>
        <v>$BE$128</v>
      </c>
      <c r="E112"/>
      <c r="U112" s="27" t="s">
        <v>8</v>
      </c>
      <c r="V112" s="27" t="s">
        <v>7</v>
      </c>
      <c r="AA112" s="27" t="s">
        <v>8</v>
      </c>
      <c r="AB112" s="27" t="s">
        <v>7</v>
      </c>
      <c r="AC112" s="27" t="s">
        <v>8</v>
      </c>
      <c r="AD112" s="27" t="s">
        <v>7</v>
      </c>
    </row>
    <row r="113" spans="1:58" x14ac:dyDescent="0.25">
      <c r="A113" s="30">
        <v>2.1435888100000016</v>
      </c>
      <c r="C113" s="1" t="str">
        <f>ADDRESS(C121+1,1,1,1)</f>
        <v>$A$129</v>
      </c>
      <c r="D113" s="1" t="str">
        <f>ADDRESS(C121-1,D121+1,1,1)</f>
        <v>$BG$127</v>
      </c>
      <c r="U113" s="27" t="s">
        <v>8</v>
      </c>
      <c r="V113" s="27" t="s">
        <v>7</v>
      </c>
      <c r="AA113" s="27" t="s">
        <v>8</v>
      </c>
      <c r="AB113" s="27" t="s">
        <v>7</v>
      </c>
      <c r="AC113" s="27" t="s">
        <v>8</v>
      </c>
      <c r="AD113" s="27" t="s">
        <v>7</v>
      </c>
    </row>
    <row r="114" spans="1:58" x14ac:dyDescent="0.25">
      <c r="A114" s="30">
        <v>1.9487171000000014</v>
      </c>
      <c r="C114" s="1" t="str">
        <f>ADDRESS(C121,D121,1,1)</f>
        <v>$BF$128</v>
      </c>
      <c r="D114" s="1" t="str">
        <f>ADDRESS(C121+1,D121+1,1,1)</f>
        <v>$BG$129</v>
      </c>
      <c r="S114" s="27" t="s">
        <v>8</v>
      </c>
      <c r="U114" s="27" t="s">
        <v>8</v>
      </c>
      <c r="V114" s="27" t="s">
        <v>7</v>
      </c>
      <c r="AA114" s="27" t="s">
        <v>8</v>
      </c>
      <c r="AB114" s="27" t="s">
        <v>7</v>
      </c>
      <c r="AC114" s="27" t="s">
        <v>8</v>
      </c>
      <c r="AD114" s="27" t="s">
        <v>7</v>
      </c>
    </row>
    <row r="115" spans="1:58" x14ac:dyDescent="0.25">
      <c r="A115" s="30">
        <v>1.7715610000000011</v>
      </c>
      <c r="C115" s="1" t="str">
        <f>ADDRESS(C121+1,D121,1,1)</f>
        <v>$BF$129</v>
      </c>
      <c r="S115" s="27" t="s">
        <v>8</v>
      </c>
      <c r="T115" s="27" t="s">
        <v>7</v>
      </c>
      <c r="U115" s="27" t="s">
        <v>8</v>
      </c>
      <c r="V115" s="27" t="s">
        <v>7</v>
      </c>
      <c r="W115" s="27" t="s">
        <v>8</v>
      </c>
      <c r="Y115" s="27" t="s">
        <v>8</v>
      </c>
      <c r="AA115" s="27" t="s">
        <v>8</v>
      </c>
      <c r="AB115" s="27" t="s">
        <v>7</v>
      </c>
      <c r="AD115" s="27" t="s">
        <v>7</v>
      </c>
      <c r="AE115" s="27" t="s">
        <v>8</v>
      </c>
    </row>
    <row r="116" spans="1:58" x14ac:dyDescent="0.25">
      <c r="A116" s="30">
        <v>1.6105100000000008</v>
      </c>
      <c r="C116" s="1">
        <f>C117-1</f>
        <v>127</v>
      </c>
      <c r="S116" s="27" t="s">
        <v>8</v>
      </c>
      <c r="T116" s="27" t="s">
        <v>7</v>
      </c>
      <c r="U116" s="27" t="s">
        <v>8</v>
      </c>
      <c r="V116" s="27" t="s">
        <v>7</v>
      </c>
      <c r="W116" s="27" t="s">
        <v>8</v>
      </c>
      <c r="X116" s="27" t="s">
        <v>7</v>
      </c>
      <c r="Y116" s="27" t="s">
        <v>8</v>
      </c>
      <c r="Z116" s="27" t="s">
        <v>7</v>
      </c>
      <c r="AA116" s="27" t="s">
        <v>8</v>
      </c>
      <c r="AD116" s="27" t="s">
        <v>7</v>
      </c>
      <c r="AE116" s="27" t="s">
        <v>8</v>
      </c>
      <c r="AF116" s="27" t="s">
        <v>7</v>
      </c>
    </row>
    <row r="117" spans="1:58" x14ac:dyDescent="0.25">
      <c r="A117" s="30">
        <v>1.4641000000000006</v>
      </c>
      <c r="C117" s="1">
        <f>C121</f>
        <v>128</v>
      </c>
      <c r="D117" s="1">
        <f>D121</f>
        <v>58</v>
      </c>
      <c r="S117" s="27" t="s">
        <v>8</v>
      </c>
      <c r="T117" s="27" t="s">
        <v>7</v>
      </c>
      <c r="U117" s="27" t="s">
        <v>8</v>
      </c>
      <c r="V117" s="27" t="s">
        <v>7</v>
      </c>
      <c r="W117" s="27" t="s">
        <v>8</v>
      </c>
      <c r="X117" s="27" t="s">
        <v>7</v>
      </c>
      <c r="Y117" s="27" t="s">
        <v>8</v>
      </c>
      <c r="Z117" s="27" t="s">
        <v>7</v>
      </c>
      <c r="AA117" s="27" t="s">
        <v>8</v>
      </c>
      <c r="AD117" s="27" t="s">
        <v>7</v>
      </c>
      <c r="AE117" s="27" t="s">
        <v>8</v>
      </c>
      <c r="AF117" s="27" t="s">
        <v>7</v>
      </c>
      <c r="AK117" s="27" t="s">
        <v>8</v>
      </c>
    </row>
    <row r="118" spans="1:58" x14ac:dyDescent="0.25">
      <c r="A118" s="30">
        <v>1.3310000000000004</v>
      </c>
      <c r="C118" s="1">
        <f>C117+1</f>
        <v>129</v>
      </c>
      <c r="D118" s="1">
        <f>D117+1</f>
        <v>59</v>
      </c>
      <c r="S118" s="27" t="s">
        <v>8</v>
      </c>
      <c r="T118" s="27" t="s">
        <v>7</v>
      </c>
      <c r="V118" s="27" t="s">
        <v>7</v>
      </c>
      <c r="W118" s="27" t="s">
        <v>8</v>
      </c>
      <c r="X118" s="27" t="s">
        <v>7</v>
      </c>
      <c r="Y118" s="27" t="s">
        <v>8</v>
      </c>
      <c r="Z118" s="27" t="s">
        <v>7</v>
      </c>
      <c r="AD118" s="27" t="s">
        <v>7</v>
      </c>
      <c r="AE118" s="27" t="s">
        <v>8</v>
      </c>
      <c r="AF118" s="27" t="s">
        <v>7</v>
      </c>
      <c r="AK118" s="27" t="s">
        <v>8</v>
      </c>
      <c r="AL118" s="27" t="s">
        <v>7</v>
      </c>
      <c r="AM118" s="27" t="s">
        <v>8</v>
      </c>
      <c r="AQ118" s="27" t="s">
        <v>8</v>
      </c>
      <c r="AY118" s="27" t="s">
        <v>8</v>
      </c>
      <c r="BA118" s="27" t="s">
        <v>8</v>
      </c>
      <c r="BC118" s="27" t="s">
        <v>8</v>
      </c>
    </row>
    <row r="119" spans="1:58" x14ac:dyDescent="0.25">
      <c r="A119" s="30">
        <v>1.2100000000000002</v>
      </c>
      <c r="K119" s="27" t="s">
        <v>8</v>
      </c>
      <c r="S119" s="27" t="s">
        <v>8</v>
      </c>
      <c r="V119" s="27" t="s">
        <v>7</v>
      </c>
      <c r="X119" s="27" t="s">
        <v>7</v>
      </c>
      <c r="AD119" s="27" t="s">
        <v>7</v>
      </c>
      <c r="AF119" s="27" t="s">
        <v>7</v>
      </c>
      <c r="AK119" s="27" t="s">
        <v>8</v>
      </c>
      <c r="AL119" s="27" t="s">
        <v>7</v>
      </c>
      <c r="AM119" s="27" t="s">
        <v>8</v>
      </c>
      <c r="AN119" s="27" t="s">
        <v>7</v>
      </c>
      <c r="AQ119" s="27" t="s">
        <v>8</v>
      </c>
      <c r="AR119" s="27" t="s">
        <v>7</v>
      </c>
      <c r="AS119" s="27" t="s">
        <v>8</v>
      </c>
      <c r="AU119" s="27" t="s">
        <v>8</v>
      </c>
      <c r="AW119" s="27" t="s">
        <v>8</v>
      </c>
      <c r="AY119" s="27" t="s">
        <v>8</v>
      </c>
      <c r="AZ119" s="27" t="s">
        <v>7</v>
      </c>
      <c r="BA119" s="27" t="s">
        <v>8</v>
      </c>
      <c r="BB119" s="27" t="s">
        <v>7</v>
      </c>
      <c r="BC119" s="27" t="s">
        <v>8</v>
      </c>
      <c r="BD119" s="27" t="s">
        <v>7</v>
      </c>
    </row>
    <row r="120" spans="1:58" x14ac:dyDescent="0.25">
      <c r="A120" s="30">
        <v>1.1000000000000001</v>
      </c>
      <c r="C120" s="1" t="s">
        <v>9</v>
      </c>
      <c r="K120" s="27" t="s">
        <v>8</v>
      </c>
      <c r="L120" s="27" t="s">
        <v>7</v>
      </c>
      <c r="S120" s="27" t="s">
        <v>8</v>
      </c>
      <c r="AF120" s="27" t="s">
        <v>7</v>
      </c>
      <c r="AK120" s="27" t="s">
        <v>8</v>
      </c>
      <c r="AL120" s="27" t="s">
        <v>7</v>
      </c>
      <c r="AM120" s="27" t="s">
        <v>8</v>
      </c>
      <c r="AN120" s="27" t="s">
        <v>7</v>
      </c>
      <c r="AO120" s="27" t="s">
        <v>8</v>
      </c>
      <c r="AQ120" s="27" t="s">
        <v>8</v>
      </c>
      <c r="AR120" s="27" t="s">
        <v>7</v>
      </c>
      <c r="AS120" s="27" t="s">
        <v>8</v>
      </c>
      <c r="AT120" s="27" t="s">
        <v>7</v>
      </c>
      <c r="AU120" s="27" t="s">
        <v>8</v>
      </c>
      <c r="AV120" s="27" t="s">
        <v>7</v>
      </c>
      <c r="AW120" s="27" t="s">
        <v>8</v>
      </c>
      <c r="AX120" s="27" t="s">
        <v>7</v>
      </c>
      <c r="AY120" s="27" t="s">
        <v>8</v>
      </c>
      <c r="AZ120" s="27" t="s">
        <v>7</v>
      </c>
      <c r="BA120" s="27" t="s">
        <v>8</v>
      </c>
      <c r="BB120" s="27" t="s">
        <v>7</v>
      </c>
      <c r="BC120" s="27" t="s">
        <v>8</v>
      </c>
      <c r="BD120" s="27" t="s">
        <v>7</v>
      </c>
    </row>
    <row r="121" spans="1:58" x14ac:dyDescent="0.25">
      <c r="A121" s="30">
        <v>1</v>
      </c>
      <c r="C121" s="18">
        <v>128</v>
      </c>
      <c r="D121" s="19">
        <v>58</v>
      </c>
      <c r="E121" s="18" t="s">
        <v>8</v>
      </c>
      <c r="K121" s="27" t="s">
        <v>8</v>
      </c>
      <c r="L121" s="27" t="s">
        <v>7</v>
      </c>
      <c r="M121" s="27" t="s">
        <v>8</v>
      </c>
      <c r="S121" s="27" t="s">
        <v>8</v>
      </c>
      <c r="AF121" s="27" t="s">
        <v>7</v>
      </c>
      <c r="AK121" s="27" t="s">
        <v>8</v>
      </c>
      <c r="AL121" s="27" t="s">
        <v>7</v>
      </c>
      <c r="AM121" s="27" t="s">
        <v>8</v>
      </c>
      <c r="AN121" s="27" t="s">
        <v>7</v>
      </c>
      <c r="AO121" s="27" t="s">
        <v>8</v>
      </c>
      <c r="AP121" s="27" t="s">
        <v>7</v>
      </c>
      <c r="AQ121" s="27" t="s">
        <v>8</v>
      </c>
      <c r="AR121" s="27" t="s">
        <v>7</v>
      </c>
      <c r="AS121" s="27" t="s">
        <v>8</v>
      </c>
      <c r="AT121" s="27" t="s">
        <v>7</v>
      </c>
      <c r="AU121" s="27" t="s">
        <v>8</v>
      </c>
      <c r="AV121" s="27" t="s">
        <v>7</v>
      </c>
      <c r="AW121" s="27" t="s">
        <v>8</v>
      </c>
      <c r="AX121" s="27" t="s">
        <v>7</v>
      </c>
      <c r="AY121" s="27" t="s">
        <v>8</v>
      </c>
      <c r="AZ121" s="27" t="s">
        <v>7</v>
      </c>
      <c r="BA121" s="27" t="s">
        <v>8</v>
      </c>
      <c r="BB121" s="27" t="s">
        <v>7</v>
      </c>
      <c r="BC121" s="27" t="s">
        <v>8</v>
      </c>
      <c r="BD121" s="27" t="s">
        <v>7</v>
      </c>
    </row>
    <row r="122" spans="1:58" x14ac:dyDescent="0.25">
      <c r="A122" s="30">
        <v>0.90909090909090895</v>
      </c>
      <c r="C122" s="1" t="str">
        <f>INDEX(1:1048576,C117,D117)</f>
        <v>O</v>
      </c>
      <c r="F122" s="27" t="s">
        <v>7</v>
      </c>
      <c r="K122" s="27" t="s">
        <v>8</v>
      </c>
      <c r="L122" s="27" t="s">
        <v>7</v>
      </c>
      <c r="M122" s="27" t="s">
        <v>8</v>
      </c>
      <c r="N122" s="27" t="s">
        <v>7</v>
      </c>
      <c r="S122" s="27" t="s">
        <v>8</v>
      </c>
      <c r="AF122" s="27" t="s">
        <v>7</v>
      </c>
      <c r="AG122" s="27" t="s">
        <v>8</v>
      </c>
      <c r="AK122" s="27" t="s">
        <v>8</v>
      </c>
      <c r="AL122" s="27" t="s">
        <v>7</v>
      </c>
      <c r="AM122" s="27" t="s">
        <v>8</v>
      </c>
      <c r="AN122" s="27" t="s">
        <v>7</v>
      </c>
      <c r="AO122" s="27" t="s">
        <v>8</v>
      </c>
      <c r="AP122" s="27" t="s">
        <v>7</v>
      </c>
      <c r="AQ122" s="27" t="s">
        <v>8</v>
      </c>
      <c r="AR122" s="27" t="s">
        <v>7</v>
      </c>
      <c r="AT122" s="27" t="s">
        <v>7</v>
      </c>
      <c r="AV122" s="27" t="s">
        <v>7</v>
      </c>
      <c r="AX122" s="27" t="s">
        <v>7</v>
      </c>
      <c r="AZ122" s="27" t="s">
        <v>7</v>
      </c>
      <c r="BB122" s="27" t="s">
        <v>7</v>
      </c>
      <c r="BC122" s="27" t="s">
        <v>8</v>
      </c>
      <c r="BD122" s="27" t="s">
        <v>7</v>
      </c>
      <c r="BE122" s="27" t="s">
        <v>8</v>
      </c>
    </row>
    <row r="123" spans="1:58" x14ac:dyDescent="0.25">
      <c r="A123" s="30">
        <v>0.82644628099173523</v>
      </c>
      <c r="C123" s="1" t="str">
        <f>"R"&amp;C121</f>
        <v>R128</v>
      </c>
      <c r="D123" s="1" t="str">
        <f>"C"&amp;D121</f>
        <v>C58</v>
      </c>
      <c r="F123" s="27" t="s">
        <v>7</v>
      </c>
      <c r="G123" s="27" t="s">
        <v>8</v>
      </c>
      <c r="K123" s="27" t="s">
        <v>8</v>
      </c>
      <c r="L123" s="27" t="s">
        <v>7</v>
      </c>
      <c r="M123" s="27" t="s">
        <v>8</v>
      </c>
      <c r="N123" s="27" t="s">
        <v>7</v>
      </c>
      <c r="S123" s="27" t="s">
        <v>8</v>
      </c>
      <c r="AF123" s="27" t="s">
        <v>7</v>
      </c>
      <c r="AG123" s="27" t="s">
        <v>8</v>
      </c>
      <c r="AH123" s="27" t="s">
        <v>7</v>
      </c>
      <c r="AI123" s="27" t="s">
        <v>8</v>
      </c>
      <c r="AK123" s="27" t="s">
        <v>8</v>
      </c>
      <c r="AL123" s="27" t="s">
        <v>7</v>
      </c>
      <c r="AN123" s="27" t="s">
        <v>7</v>
      </c>
      <c r="AP123" s="27" t="s">
        <v>7</v>
      </c>
      <c r="AQ123" s="27" t="s">
        <v>8</v>
      </c>
      <c r="BB123" s="27" t="s">
        <v>7</v>
      </c>
      <c r="BC123" s="27" t="s">
        <v>8</v>
      </c>
      <c r="BD123" s="27" t="s">
        <v>7</v>
      </c>
      <c r="BE123" s="27" t="s">
        <v>8</v>
      </c>
      <c r="BF123" s="27" t="s">
        <v>7</v>
      </c>
    </row>
    <row r="124" spans="1:58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G124" s="27" t="s">
        <v>8</v>
      </c>
      <c r="H124" s="27" t="s">
        <v>7</v>
      </c>
      <c r="K124" s="27" t="s">
        <v>8</v>
      </c>
      <c r="L124" s="27" t="s">
        <v>7</v>
      </c>
      <c r="N124" s="27" t="s">
        <v>7</v>
      </c>
      <c r="Q124" s="27" t="s">
        <v>8</v>
      </c>
      <c r="S124" s="27" t="s">
        <v>8</v>
      </c>
      <c r="AF124" s="27" t="s">
        <v>7</v>
      </c>
      <c r="AG124" s="27" t="s">
        <v>8</v>
      </c>
      <c r="AH124" s="27" t="s">
        <v>7</v>
      </c>
      <c r="AI124" s="27" t="s">
        <v>8</v>
      </c>
      <c r="AJ124" s="27" t="s">
        <v>7</v>
      </c>
      <c r="AK124" s="27" t="s">
        <v>8</v>
      </c>
      <c r="AP124" s="27" t="s">
        <v>7</v>
      </c>
      <c r="AQ124" s="27" t="s">
        <v>8</v>
      </c>
      <c r="BB124" s="27" t="s">
        <v>7</v>
      </c>
      <c r="BC124" s="27" t="s">
        <v>8</v>
      </c>
      <c r="BD124" s="27" t="s">
        <v>7</v>
      </c>
      <c r="BE124" s="27" t="s">
        <v>8</v>
      </c>
      <c r="BF124" s="27" t="s">
        <v>7</v>
      </c>
    </row>
    <row r="125" spans="1:58" x14ac:dyDescent="0.25">
      <c r="A125" s="30">
        <v>0.68301345536507019</v>
      </c>
      <c r="F125" s="27" t="s">
        <v>7</v>
      </c>
      <c r="G125" s="27" t="s">
        <v>8</v>
      </c>
      <c r="H125" s="27" t="s">
        <v>7</v>
      </c>
      <c r="I125" s="27" t="s">
        <v>8</v>
      </c>
      <c r="K125" s="27" t="s">
        <v>8</v>
      </c>
      <c r="N125" s="27" t="s">
        <v>7</v>
      </c>
      <c r="Q125" s="27" t="s">
        <v>8</v>
      </c>
      <c r="R125" s="27" t="s">
        <v>7</v>
      </c>
      <c r="S125" s="27" t="s">
        <v>8</v>
      </c>
      <c r="AF125" s="27" t="s">
        <v>7</v>
      </c>
      <c r="AG125" s="27" t="s">
        <v>8</v>
      </c>
      <c r="AH125" s="27" t="s">
        <v>7</v>
      </c>
      <c r="AI125" s="27" t="s">
        <v>8</v>
      </c>
      <c r="AJ125" s="27" t="s">
        <v>7</v>
      </c>
      <c r="AK125" s="27" t="s">
        <v>8</v>
      </c>
      <c r="AP125" s="27" t="s">
        <v>7</v>
      </c>
      <c r="AQ125" s="27" t="s">
        <v>8</v>
      </c>
      <c r="BB125" s="27" t="s">
        <v>7</v>
      </c>
      <c r="BD125" s="27" t="s">
        <v>7</v>
      </c>
      <c r="BF125" s="27" t="s">
        <v>7</v>
      </c>
    </row>
    <row r="126" spans="1:58" x14ac:dyDescent="0.25">
      <c r="A126" s="30">
        <v>0.6209213230591546</v>
      </c>
      <c r="C126" s="1" t="s">
        <v>10</v>
      </c>
      <c r="F126" s="27" t="s">
        <v>7</v>
      </c>
      <c r="H126" s="27" t="s">
        <v>7</v>
      </c>
      <c r="I126" s="27" t="s">
        <v>8</v>
      </c>
      <c r="J126" s="27" t="s">
        <v>7</v>
      </c>
      <c r="K126" s="27" t="s">
        <v>8</v>
      </c>
      <c r="N126" s="27" t="s">
        <v>7</v>
      </c>
      <c r="O126" s="27" t="s">
        <v>8</v>
      </c>
      <c r="Q126" s="27" t="s">
        <v>8</v>
      </c>
      <c r="R126" s="27" t="s">
        <v>7</v>
      </c>
      <c r="S126" s="27" t="s">
        <v>8</v>
      </c>
      <c r="AF126" s="27" t="s">
        <v>7</v>
      </c>
      <c r="AG126" s="27" t="s">
        <v>8</v>
      </c>
      <c r="AH126" s="27" t="s">
        <v>7</v>
      </c>
      <c r="AI126" s="27" t="s">
        <v>8</v>
      </c>
      <c r="AJ126" s="27" t="s">
        <v>7</v>
      </c>
      <c r="AK126" s="27" t="s">
        <v>8</v>
      </c>
      <c r="AP126" s="18" t="s">
        <v>7</v>
      </c>
      <c r="AQ126" s="27" t="s">
        <v>8</v>
      </c>
      <c r="BF126" s="27" t="s">
        <v>7</v>
      </c>
    </row>
    <row r="127" spans="1:58" x14ac:dyDescent="0.25">
      <c r="A127" s="30">
        <v>0.56447393005377677</v>
      </c>
      <c r="C127" s="30">
        <v>0.51315811823070612</v>
      </c>
      <c r="D127"/>
      <c r="H127" s="27" t="s">
        <v>7</v>
      </c>
      <c r="I127" s="27" t="s">
        <v>8</v>
      </c>
      <c r="J127" s="27" t="s">
        <v>7</v>
      </c>
      <c r="K127" s="27" t="s">
        <v>8</v>
      </c>
      <c r="N127" s="27" t="s">
        <v>7</v>
      </c>
      <c r="O127" s="27" t="s">
        <v>8</v>
      </c>
      <c r="P127" s="27" t="s">
        <v>7</v>
      </c>
      <c r="Q127" s="27" t="s">
        <v>8</v>
      </c>
      <c r="R127" s="27" t="s">
        <v>7</v>
      </c>
      <c r="AF127" s="27" t="s">
        <v>7</v>
      </c>
      <c r="AG127" s="27" t="s">
        <v>8</v>
      </c>
      <c r="AH127" s="27" t="s">
        <v>7</v>
      </c>
      <c r="AJ127" s="27" t="s">
        <v>7</v>
      </c>
      <c r="AP127" s="27" t="s">
        <v>7</v>
      </c>
      <c r="BF127" s="27" t="s">
        <v>7</v>
      </c>
    </row>
    <row r="128" spans="1:58" x14ac:dyDescent="0.25">
      <c r="A128" s="30">
        <v>0.51315811823070612</v>
      </c>
      <c r="H128" s="27" t="s">
        <v>7</v>
      </c>
      <c r="I128" s="27" t="s">
        <v>8</v>
      </c>
      <c r="J128" s="27" t="s">
        <v>7</v>
      </c>
      <c r="K128" s="27" t="s">
        <v>8</v>
      </c>
      <c r="N128" s="27" t="s">
        <v>7</v>
      </c>
      <c r="O128" s="27" t="s">
        <v>8</v>
      </c>
      <c r="P128" s="27" t="s">
        <v>7</v>
      </c>
      <c r="Q128" s="27" t="s">
        <v>8</v>
      </c>
      <c r="AF128" s="27" t="s">
        <v>7</v>
      </c>
      <c r="AG128" s="27" t="s">
        <v>8</v>
      </c>
      <c r="BF128" s="27" t="s">
        <v>7</v>
      </c>
    </row>
    <row r="129" spans="1:32" x14ac:dyDescent="0.25">
      <c r="A129" s="30">
        <v>0.46650738020973276</v>
      </c>
      <c r="C129" s="1" t="s">
        <v>11</v>
      </c>
      <c r="D129" s="1" t="s">
        <v>12</v>
      </c>
      <c r="E129"/>
      <c r="H129" s="27" t="s">
        <v>7</v>
      </c>
      <c r="I129" s="27" t="s">
        <v>8</v>
      </c>
      <c r="J129" s="27" t="s">
        <v>7</v>
      </c>
      <c r="K129" s="27" t="s">
        <v>8</v>
      </c>
      <c r="N129" s="27" t="s">
        <v>7</v>
      </c>
      <c r="O129" s="27" t="s">
        <v>8</v>
      </c>
      <c r="P129" s="27" t="s">
        <v>7</v>
      </c>
      <c r="AF129" s="27" t="s">
        <v>7</v>
      </c>
    </row>
    <row r="130" spans="1:32" x14ac:dyDescent="0.25">
      <c r="A130" s="30">
        <v>0.42409761837248428</v>
      </c>
      <c r="C130" s="6"/>
      <c r="D130" s="6"/>
      <c r="E130"/>
      <c r="H130" s="27" t="s">
        <v>7</v>
      </c>
      <c r="I130" s="27" t="s">
        <v>8</v>
      </c>
      <c r="J130" s="27" t="s">
        <v>7</v>
      </c>
      <c r="K130" s="27" t="s">
        <v>8</v>
      </c>
      <c r="N130" s="27" t="s">
        <v>7</v>
      </c>
    </row>
    <row r="131" spans="1:32" x14ac:dyDescent="0.25">
      <c r="A131" s="30">
        <v>0.38554328942953109</v>
      </c>
      <c r="E131"/>
      <c r="H131" s="27" t="s">
        <v>7</v>
      </c>
      <c r="J131" s="27" t="s">
        <v>7</v>
      </c>
    </row>
    <row r="132" spans="1:32" x14ac:dyDescent="0.25">
      <c r="A132" s="30">
        <v>0.35049389948139187</v>
      </c>
      <c r="C132" s="1" t="s">
        <v>13</v>
      </c>
      <c r="E132"/>
    </row>
    <row r="133" spans="1:32" x14ac:dyDescent="0.25">
      <c r="A133" s="30">
        <v>0.31863081771035617</v>
      </c>
      <c r="C133" s="1" t="str">
        <f>C122</f>
        <v>O</v>
      </c>
      <c r="E133"/>
    </row>
    <row r="134" spans="1:32" x14ac:dyDescent="0.25">
      <c r="A134" s="30">
        <v>0.28966437973668741</v>
      </c>
      <c r="C134"/>
      <c r="D134"/>
      <c r="E134"/>
    </row>
    <row r="135" spans="1:32" x14ac:dyDescent="0.25">
      <c r="A135" s="30">
        <v>0.2633312543060794</v>
      </c>
      <c r="C135" s="1" t="s">
        <v>14</v>
      </c>
      <c r="E135"/>
    </row>
    <row r="136" spans="1:32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32" x14ac:dyDescent="0.25">
      <c r="A137" s="30">
        <v>0.2176291357901482</v>
      </c>
      <c r="E137"/>
    </row>
    <row r="138" spans="1:32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32" x14ac:dyDescent="0.25">
      <c r="A139" s="30">
        <v>0.17985878990921333</v>
      </c>
      <c r="E139"/>
    </row>
    <row r="140" spans="1:32" x14ac:dyDescent="0.25">
      <c r="A140" s="30">
        <v>0.16350799082655756</v>
      </c>
      <c r="C140" s="1">
        <v>0</v>
      </c>
      <c r="E140"/>
    </row>
    <row r="141" spans="1:32" x14ac:dyDescent="0.25">
      <c r="A141" s="30">
        <v>0.14864362802414322</v>
      </c>
      <c r="C141" s="1">
        <v>1</v>
      </c>
      <c r="E141"/>
    </row>
    <row r="142" spans="1:32" x14ac:dyDescent="0.25">
      <c r="A142" s="30">
        <v>0.13513057093103928</v>
      </c>
      <c r="C142" s="1">
        <v>2</v>
      </c>
      <c r="E142"/>
    </row>
    <row r="143" spans="1:32" x14ac:dyDescent="0.25">
      <c r="A143" s="30">
        <v>0.12284597357367205</v>
      </c>
      <c r="C143" s="1">
        <v>3</v>
      </c>
      <c r="E143"/>
    </row>
    <row r="144" spans="1:32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852" operator="equal">
      <formula>$U$1</formula>
    </cfRule>
    <cfRule type="cellIs" dxfId="30" priority="853" operator="equal">
      <formula>$S$1</formula>
    </cfRule>
  </conditionalFormatting>
  <conditionalFormatting sqref="D136">
    <cfRule type="cellIs" dxfId="29" priority="850" operator="equal">
      <formula>$S$1</formula>
    </cfRule>
    <cfRule type="cellIs" dxfId="28" priority="851" operator="equal">
      <formula>$U$1</formula>
    </cfRule>
  </conditionalFormatting>
  <conditionalFormatting sqref="C102">
    <cfRule type="cellIs" dxfId="27" priority="848" operator="equal">
      <formula>$U$1</formula>
    </cfRule>
    <cfRule type="cellIs" dxfId="26" priority="849" operator="equal">
      <formula>$S$1</formula>
    </cfRule>
  </conditionalFormatting>
  <conditionalFormatting sqref="D102">
    <cfRule type="cellIs" dxfId="25" priority="846" operator="equal">
      <formula>$S$1</formula>
    </cfRule>
    <cfRule type="cellIs" dxfId="24" priority="847" operator="equal">
      <formula>$U$1</formula>
    </cfRule>
  </conditionalFormatting>
  <conditionalFormatting sqref="C77">
    <cfRule type="cellIs" dxfId="23" priority="844" operator="equal">
      <formula>$U$1</formula>
    </cfRule>
    <cfRule type="cellIs" dxfId="22" priority="845" operator="equal">
      <formula>$S$1</formula>
    </cfRule>
  </conditionalFormatting>
  <conditionalFormatting sqref="D77">
    <cfRule type="cellIs" dxfId="21" priority="842" operator="equal">
      <formula>$S$1</formula>
    </cfRule>
    <cfRule type="cellIs" dxfId="20" priority="843" operator="equal">
      <formula>$U$1</formula>
    </cfRule>
  </conditionalFormatting>
  <conditionalFormatting sqref="C52">
    <cfRule type="cellIs" dxfId="19" priority="840" operator="equal">
      <formula>$U$1</formula>
    </cfRule>
    <cfRule type="cellIs" dxfId="18" priority="841" operator="equal">
      <formula>$S$1</formula>
    </cfRule>
  </conditionalFormatting>
  <conditionalFormatting sqref="D52">
    <cfRule type="cellIs" dxfId="17" priority="838" operator="equal">
      <formula>$S$1</formula>
    </cfRule>
    <cfRule type="cellIs" dxfId="16" priority="839" operator="equal">
      <formula>$U$1</formula>
    </cfRule>
  </conditionalFormatting>
  <conditionalFormatting sqref="C26">
    <cfRule type="cellIs" dxfId="15" priority="836" operator="equal">
      <formula>$U$1</formula>
    </cfRule>
    <cfRule type="cellIs" dxfId="14" priority="837" operator="equal">
      <formula>$S$1</formula>
    </cfRule>
  </conditionalFormatting>
  <conditionalFormatting sqref="D26">
    <cfRule type="cellIs" dxfId="13" priority="834" operator="equal">
      <formula>$S$1</formula>
    </cfRule>
    <cfRule type="cellIs" dxfId="12" priority="835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6" t="s">
        <v>17</v>
      </c>
      <c r="C1" s="36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2022-01-28T01:17:19Z</dcterms:modified>
</cp:coreProperties>
</file>