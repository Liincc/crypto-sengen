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5BC862AC-5026-46F5-9132-A258C1F2E24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98" i="1" l="1"/>
  <c r="Q198" i="1" s="1"/>
  <c r="P199" i="1"/>
  <c r="Q199" i="1" s="1"/>
  <c r="P200" i="1"/>
  <c r="Q200" i="1" s="1"/>
  <c r="P201" i="1"/>
  <c r="Q201" i="1" s="1"/>
  <c r="P202" i="1"/>
  <c r="Q202" i="1" s="1"/>
  <c r="P203" i="1"/>
  <c r="Q203" i="1" s="1"/>
  <c r="P204" i="1"/>
  <c r="Q204" i="1" s="1"/>
  <c r="P205" i="1"/>
  <c r="Q205" i="1" s="1"/>
  <c r="P206" i="1"/>
  <c r="Q206" i="1" s="1"/>
  <c r="P207" i="1"/>
  <c r="Q207" i="1" s="1"/>
  <c r="P208" i="1"/>
  <c r="Q208" i="1" s="1"/>
  <c r="P209" i="1"/>
  <c r="Q209" i="1" s="1"/>
  <c r="P210" i="1"/>
  <c r="Q210" i="1" s="1"/>
  <c r="P211" i="1"/>
  <c r="Q211" i="1" s="1"/>
  <c r="P212" i="1"/>
  <c r="Q212" i="1" s="1"/>
  <c r="P213" i="1"/>
  <c r="Q213" i="1" s="1"/>
  <c r="P214" i="1"/>
  <c r="Q214" i="1" s="1"/>
  <c r="P215" i="1"/>
  <c r="Q215" i="1" s="1"/>
  <c r="P216" i="1"/>
  <c r="Q216" i="1" s="1"/>
  <c r="P217" i="1"/>
  <c r="Q217" i="1" s="1"/>
  <c r="P218" i="1"/>
  <c r="Q218" i="1" s="1"/>
  <c r="P219" i="1"/>
  <c r="Q219" i="1" s="1"/>
  <c r="P220" i="1"/>
  <c r="Q220" i="1" s="1"/>
  <c r="P221" i="1"/>
  <c r="Q221" i="1" s="1"/>
  <c r="P222" i="1"/>
  <c r="Q222" i="1" s="1"/>
  <c r="P223" i="1"/>
  <c r="Q223" i="1" s="1"/>
  <c r="P224" i="1"/>
  <c r="Q224" i="1" s="1"/>
  <c r="P225" i="1"/>
  <c r="Q225" i="1" s="1"/>
  <c r="P226" i="1"/>
  <c r="Q226" i="1" s="1"/>
  <c r="P227" i="1"/>
  <c r="Q227" i="1" s="1"/>
  <c r="P228" i="1"/>
  <c r="Q228" i="1" s="1"/>
  <c r="P229" i="1"/>
  <c r="Q229" i="1" s="1"/>
  <c r="P230" i="1"/>
  <c r="Q230" i="1" s="1"/>
  <c r="P231" i="1"/>
  <c r="Q231" i="1" s="1"/>
  <c r="P232" i="1"/>
  <c r="Q232" i="1" s="1"/>
  <c r="P233" i="1"/>
  <c r="Q233" i="1" s="1"/>
  <c r="P234" i="1"/>
  <c r="Q234" i="1" s="1"/>
  <c r="P235" i="1"/>
  <c r="Q235" i="1" s="1"/>
  <c r="P236" i="1"/>
  <c r="Q236" i="1" s="1"/>
  <c r="P237" i="1"/>
  <c r="Q237" i="1" s="1"/>
  <c r="P238" i="1"/>
  <c r="Q238" i="1" s="1"/>
  <c r="P239" i="1"/>
  <c r="Q239" i="1" s="1"/>
  <c r="P240" i="1"/>
  <c r="Q240" i="1" s="1"/>
  <c r="P241" i="1"/>
  <c r="Q241" i="1" s="1"/>
  <c r="P242" i="1"/>
  <c r="Q242" i="1" s="1"/>
  <c r="P243" i="1"/>
  <c r="Q243" i="1" s="1"/>
  <c r="P244" i="1"/>
  <c r="Q244" i="1" s="1"/>
  <c r="P245" i="1"/>
  <c r="Q245" i="1" s="1"/>
  <c r="P246" i="1"/>
  <c r="Q246" i="1" s="1"/>
  <c r="P247" i="1"/>
  <c r="Q247" i="1" s="1"/>
  <c r="P248" i="1"/>
  <c r="Q248" i="1" s="1"/>
  <c r="P249" i="1"/>
  <c r="Q249" i="1" s="1"/>
  <c r="P250" i="1"/>
  <c r="Q250" i="1" s="1"/>
  <c r="P251" i="1"/>
  <c r="Q251" i="1" s="1"/>
  <c r="P252" i="1"/>
  <c r="Q252" i="1" s="1"/>
  <c r="P253" i="1"/>
  <c r="Q253" i="1" s="1"/>
  <c r="P254" i="1"/>
  <c r="Q254" i="1" s="1"/>
  <c r="P255" i="1"/>
  <c r="Q255" i="1" s="1"/>
  <c r="P256" i="1"/>
  <c r="Q256" i="1" s="1"/>
  <c r="P257" i="1"/>
  <c r="Q257" i="1" s="1"/>
  <c r="P258" i="1"/>
  <c r="Q258" i="1" s="1"/>
  <c r="P259" i="1"/>
  <c r="Q259" i="1" s="1"/>
  <c r="P260" i="1"/>
  <c r="Q260" i="1" s="1"/>
  <c r="P261" i="1"/>
  <c r="Q261" i="1" s="1"/>
  <c r="P262" i="1"/>
  <c r="Q262" i="1" s="1"/>
  <c r="P263" i="1"/>
  <c r="Q263" i="1" s="1"/>
  <c r="P264" i="1"/>
  <c r="Q264" i="1" s="1"/>
  <c r="P265" i="1"/>
  <c r="Q265" i="1" s="1"/>
  <c r="P266" i="1"/>
  <c r="Q266" i="1" s="1"/>
  <c r="P267" i="1"/>
  <c r="Q267" i="1" s="1"/>
  <c r="P268" i="1"/>
  <c r="Q268" i="1" s="1"/>
  <c r="P269" i="1"/>
  <c r="Q269" i="1" s="1"/>
  <c r="P270" i="1"/>
  <c r="Q270" i="1" s="1"/>
  <c r="P271" i="1"/>
  <c r="Q271" i="1" s="1"/>
  <c r="P272" i="1"/>
  <c r="Q272" i="1" s="1"/>
  <c r="P273" i="1"/>
  <c r="Q273" i="1" s="1"/>
  <c r="P274" i="1"/>
  <c r="Q274" i="1" s="1"/>
  <c r="P275" i="1"/>
  <c r="Q275" i="1" s="1"/>
  <c r="P276" i="1"/>
  <c r="Q276" i="1" s="1"/>
  <c r="P277" i="1"/>
  <c r="Q277" i="1" s="1"/>
  <c r="P278" i="1"/>
  <c r="Q278" i="1" s="1"/>
  <c r="P279" i="1"/>
  <c r="Q279" i="1" s="1"/>
  <c r="P280" i="1"/>
  <c r="Q280" i="1" s="1"/>
  <c r="P281" i="1"/>
  <c r="Q281" i="1" s="1"/>
  <c r="P282" i="1"/>
  <c r="Q282" i="1" s="1"/>
  <c r="P283" i="1"/>
  <c r="Q283" i="1" s="1"/>
  <c r="P284" i="1"/>
  <c r="Q284" i="1" s="1"/>
  <c r="P285" i="1"/>
  <c r="Q285" i="1" s="1"/>
  <c r="P286" i="1"/>
  <c r="Q286" i="1" s="1"/>
  <c r="P287" i="1"/>
  <c r="Q287" i="1" s="1"/>
  <c r="P288" i="1"/>
  <c r="Q288" i="1" s="1"/>
  <c r="P289" i="1"/>
  <c r="Q289" i="1" s="1"/>
  <c r="P290" i="1"/>
  <c r="Q290" i="1" s="1"/>
  <c r="P291" i="1"/>
  <c r="Q291" i="1" s="1"/>
  <c r="P292" i="1"/>
  <c r="Q292" i="1" s="1"/>
  <c r="P293" i="1"/>
  <c r="Q293" i="1" s="1"/>
  <c r="P294" i="1"/>
  <c r="Q294" i="1" s="1"/>
  <c r="P295" i="1"/>
  <c r="Q295" i="1" s="1"/>
  <c r="P296" i="1"/>
  <c r="Q296" i="1" s="1"/>
  <c r="P297" i="1"/>
  <c r="Q297" i="1" s="1"/>
  <c r="P298" i="1"/>
  <c r="Q298" i="1" s="1"/>
  <c r="P299" i="1"/>
  <c r="Q299" i="1" s="1"/>
  <c r="P300" i="1"/>
  <c r="Q300" i="1" s="1"/>
  <c r="P301" i="1"/>
  <c r="Q301" i="1" s="1"/>
  <c r="P302" i="1"/>
  <c r="Q302" i="1" s="1"/>
  <c r="P303" i="1"/>
  <c r="Q303" i="1" s="1"/>
  <c r="P304" i="1"/>
  <c r="Q304" i="1" s="1"/>
  <c r="P305" i="1"/>
  <c r="Q305" i="1" s="1"/>
  <c r="P306" i="1"/>
  <c r="Q306" i="1" s="1"/>
  <c r="P307" i="1"/>
  <c r="Q307" i="1" s="1"/>
  <c r="P308" i="1"/>
  <c r="Q308" i="1" s="1"/>
  <c r="P309" i="1"/>
  <c r="Q309" i="1" s="1"/>
  <c r="P310" i="1"/>
  <c r="Q310" i="1" s="1"/>
  <c r="P311" i="1"/>
  <c r="Q311" i="1" s="1"/>
  <c r="P312" i="1"/>
  <c r="Q312" i="1" s="1"/>
  <c r="P313" i="1"/>
  <c r="Q313" i="1" s="1"/>
  <c r="P314" i="1"/>
  <c r="Q314" i="1" s="1"/>
  <c r="P315" i="1"/>
  <c r="Q315" i="1" s="1"/>
  <c r="P316" i="1"/>
  <c r="Q316" i="1" s="1"/>
  <c r="P317" i="1"/>
  <c r="Q317" i="1" s="1"/>
  <c r="P318" i="1"/>
  <c r="Q318" i="1" s="1"/>
  <c r="P319" i="1"/>
  <c r="Q319" i="1" s="1"/>
  <c r="P320" i="1"/>
  <c r="Q320" i="1" s="1"/>
  <c r="P321" i="1"/>
  <c r="Q321" i="1" s="1"/>
  <c r="P322" i="1"/>
  <c r="Q322" i="1" s="1"/>
  <c r="P323" i="1"/>
  <c r="Q323" i="1" s="1"/>
  <c r="P324" i="1"/>
  <c r="Q324" i="1" s="1"/>
  <c r="P325" i="1"/>
  <c r="Q325" i="1" s="1"/>
  <c r="P326" i="1"/>
  <c r="Q326" i="1" s="1"/>
  <c r="P327" i="1"/>
  <c r="Q327" i="1" s="1"/>
  <c r="P328" i="1"/>
  <c r="Q328" i="1" s="1"/>
  <c r="P329" i="1"/>
  <c r="Q329" i="1" s="1"/>
  <c r="P330" i="1"/>
  <c r="Q330" i="1" s="1"/>
  <c r="P331" i="1"/>
  <c r="Q331" i="1" s="1"/>
  <c r="P332" i="1"/>
  <c r="Q332" i="1" s="1"/>
  <c r="P333" i="1"/>
  <c r="Q333" i="1" s="1"/>
  <c r="P334" i="1"/>
  <c r="Q334" i="1" s="1"/>
  <c r="P335" i="1"/>
  <c r="Q335" i="1" s="1"/>
  <c r="P336" i="1"/>
  <c r="Q336" i="1" s="1"/>
  <c r="P337" i="1"/>
  <c r="Q337" i="1" s="1"/>
  <c r="P338" i="1"/>
  <c r="Q338" i="1" s="1"/>
  <c r="P339" i="1"/>
  <c r="Q339" i="1" s="1"/>
  <c r="P340" i="1"/>
  <c r="Q340" i="1" s="1"/>
  <c r="P341" i="1"/>
  <c r="Q341" i="1" s="1"/>
  <c r="P342" i="1"/>
  <c r="Q342" i="1" s="1"/>
  <c r="P343" i="1"/>
  <c r="Q343" i="1" s="1"/>
  <c r="P344" i="1"/>
  <c r="Q344" i="1" s="1"/>
  <c r="P345" i="1"/>
  <c r="Q345" i="1" s="1"/>
  <c r="P346" i="1"/>
  <c r="Q346" i="1" s="1"/>
  <c r="P347" i="1"/>
  <c r="Q347" i="1" s="1"/>
  <c r="P348" i="1"/>
  <c r="Q348" i="1" s="1"/>
  <c r="P349" i="1"/>
  <c r="Q349" i="1" s="1"/>
  <c r="P350" i="1"/>
  <c r="Q350" i="1" s="1"/>
  <c r="P351" i="1"/>
  <c r="Q351" i="1" s="1"/>
  <c r="P352" i="1"/>
  <c r="Q352" i="1" s="1"/>
  <c r="P353" i="1"/>
  <c r="Q353" i="1" s="1"/>
  <c r="P354" i="1"/>
  <c r="Q354" i="1" s="1"/>
  <c r="P355" i="1"/>
  <c r="Q355" i="1" s="1"/>
  <c r="P356" i="1"/>
  <c r="Q356" i="1" s="1"/>
  <c r="P357" i="1"/>
  <c r="Q357" i="1" s="1"/>
  <c r="P358" i="1"/>
  <c r="Q358" i="1" s="1"/>
  <c r="P359" i="1"/>
  <c r="Q359" i="1" s="1"/>
  <c r="P360" i="1"/>
  <c r="Q360" i="1" s="1"/>
  <c r="P361" i="1"/>
  <c r="Q361" i="1" s="1"/>
  <c r="P362" i="1"/>
  <c r="Q362" i="1" s="1"/>
  <c r="P363" i="1"/>
  <c r="Q363" i="1" s="1"/>
  <c r="P364" i="1"/>
  <c r="Q364" i="1" s="1"/>
  <c r="P365" i="1"/>
  <c r="Q365" i="1" s="1"/>
  <c r="P366" i="1"/>
  <c r="Q366" i="1" s="1"/>
  <c r="P367" i="1"/>
  <c r="Q367" i="1" s="1"/>
  <c r="P368" i="1"/>
  <c r="Q368" i="1" s="1"/>
  <c r="P369" i="1"/>
  <c r="Q369" i="1" s="1"/>
  <c r="P370" i="1"/>
  <c r="Q370" i="1" s="1"/>
  <c r="P371" i="1"/>
  <c r="Q371" i="1" s="1"/>
  <c r="P372" i="1"/>
  <c r="Q372" i="1" s="1"/>
  <c r="P373" i="1"/>
  <c r="Q373" i="1" s="1"/>
  <c r="P374" i="1"/>
  <c r="Q374" i="1" s="1"/>
  <c r="P375" i="1"/>
  <c r="Q375" i="1" s="1"/>
  <c r="P376" i="1"/>
  <c r="Q376" i="1" s="1"/>
  <c r="P377" i="1"/>
  <c r="Q377" i="1" s="1"/>
  <c r="P378" i="1"/>
  <c r="Q378" i="1" s="1"/>
  <c r="P379" i="1"/>
  <c r="Q379" i="1" s="1"/>
  <c r="P380" i="1"/>
  <c r="Q380" i="1" s="1"/>
  <c r="P381" i="1"/>
  <c r="Q381" i="1" s="1"/>
  <c r="P382" i="1"/>
  <c r="Q382" i="1" s="1"/>
  <c r="P383" i="1"/>
  <c r="Q383" i="1" s="1"/>
  <c r="P384" i="1"/>
  <c r="Q384" i="1" s="1"/>
  <c r="P385" i="1"/>
  <c r="Q385" i="1" s="1"/>
  <c r="P386" i="1"/>
  <c r="Q386" i="1" s="1"/>
  <c r="P387" i="1"/>
  <c r="Q387" i="1" s="1"/>
  <c r="P388" i="1"/>
  <c r="Q388" i="1" s="1"/>
  <c r="P389" i="1"/>
  <c r="Q389" i="1" s="1"/>
  <c r="P390" i="1"/>
  <c r="Q390" i="1" s="1"/>
  <c r="P391" i="1"/>
  <c r="Q391" i="1" s="1"/>
  <c r="P392" i="1"/>
  <c r="Q392" i="1" s="1"/>
  <c r="P393" i="1"/>
  <c r="Q393" i="1" s="1"/>
  <c r="P394" i="1"/>
  <c r="Q394" i="1" s="1"/>
  <c r="P395" i="1"/>
  <c r="Q395" i="1" s="1"/>
  <c r="P396" i="1"/>
  <c r="Q396" i="1" s="1"/>
  <c r="P397" i="1"/>
  <c r="Q397" i="1" s="1"/>
  <c r="P398" i="1"/>
  <c r="Q398" i="1" s="1"/>
  <c r="P399" i="1"/>
  <c r="Q399" i="1" s="1"/>
  <c r="P400" i="1"/>
  <c r="Q400" i="1" s="1"/>
  <c r="P401" i="1"/>
  <c r="Q401" i="1" s="1"/>
  <c r="P402" i="1"/>
  <c r="Q402" i="1" s="1"/>
  <c r="P403" i="1"/>
  <c r="Q403" i="1" s="1"/>
  <c r="P404" i="1"/>
  <c r="Q404" i="1" s="1"/>
  <c r="P405" i="1"/>
  <c r="Q405" i="1" s="1"/>
  <c r="P406" i="1"/>
  <c r="Q406" i="1" s="1"/>
  <c r="P407" i="1"/>
  <c r="Q407" i="1" s="1"/>
  <c r="P408" i="1"/>
  <c r="Q408" i="1" s="1"/>
  <c r="P409" i="1"/>
  <c r="Q409" i="1" s="1"/>
  <c r="P410" i="1"/>
  <c r="Q410" i="1" s="1"/>
  <c r="P411" i="1"/>
  <c r="Q411" i="1" s="1"/>
  <c r="P412" i="1"/>
  <c r="Q412" i="1" s="1"/>
  <c r="P413" i="1"/>
  <c r="Q413" i="1" s="1"/>
  <c r="P414" i="1"/>
  <c r="Q414" i="1" s="1"/>
  <c r="P415" i="1"/>
  <c r="Q415" i="1" s="1"/>
  <c r="P416" i="1"/>
  <c r="Q416" i="1" s="1"/>
  <c r="P417" i="1"/>
  <c r="Q417" i="1" s="1"/>
  <c r="P418" i="1"/>
  <c r="Q418" i="1" s="1"/>
  <c r="P419" i="1"/>
  <c r="Q419" i="1" s="1"/>
  <c r="P420" i="1"/>
  <c r="Q420" i="1" s="1"/>
  <c r="P421" i="1"/>
  <c r="Q421" i="1" s="1"/>
  <c r="P422" i="1"/>
  <c r="Q422" i="1" s="1"/>
  <c r="P423" i="1"/>
  <c r="Q423" i="1" s="1"/>
  <c r="P424" i="1"/>
  <c r="Q424" i="1" s="1"/>
  <c r="P425" i="1"/>
  <c r="Q425" i="1" s="1"/>
  <c r="P426" i="1"/>
  <c r="Q426" i="1" s="1"/>
  <c r="P427" i="1"/>
  <c r="Q427" i="1" s="1"/>
  <c r="P428" i="1"/>
  <c r="Q428" i="1" s="1"/>
  <c r="P429" i="1"/>
  <c r="Q429" i="1" s="1"/>
  <c r="P430" i="1"/>
  <c r="Q430" i="1" s="1"/>
  <c r="P431" i="1"/>
  <c r="Q431" i="1" s="1"/>
  <c r="P432" i="1"/>
  <c r="Q432" i="1" s="1"/>
  <c r="P433" i="1"/>
  <c r="Q433" i="1" s="1"/>
  <c r="P434" i="1"/>
  <c r="Q434" i="1" s="1"/>
  <c r="P435" i="1"/>
  <c r="Q435" i="1" s="1"/>
  <c r="P436" i="1"/>
  <c r="Q436" i="1" s="1"/>
  <c r="P437" i="1"/>
  <c r="Q437" i="1" s="1"/>
  <c r="P438" i="1"/>
  <c r="Q438" i="1" s="1"/>
  <c r="P439" i="1"/>
  <c r="Q439" i="1" s="1"/>
  <c r="P440" i="1"/>
  <c r="Q440" i="1" s="1"/>
  <c r="P441" i="1"/>
  <c r="Q441" i="1" s="1"/>
  <c r="P442" i="1"/>
  <c r="Q442" i="1" s="1"/>
  <c r="P443" i="1"/>
  <c r="Q443" i="1" s="1"/>
  <c r="P444" i="1"/>
  <c r="Q444" i="1" s="1"/>
  <c r="P445" i="1"/>
  <c r="Q445" i="1" s="1"/>
  <c r="P446" i="1"/>
  <c r="Q446" i="1" s="1"/>
  <c r="P447" i="1"/>
  <c r="Q447" i="1" s="1"/>
  <c r="P448" i="1"/>
  <c r="Q448" i="1" s="1"/>
  <c r="P449" i="1"/>
  <c r="Q449" i="1" s="1"/>
  <c r="P450" i="1"/>
  <c r="Q450" i="1" s="1"/>
  <c r="P451" i="1"/>
  <c r="Q451" i="1" s="1"/>
  <c r="P452" i="1"/>
  <c r="Q452" i="1" s="1"/>
  <c r="P453" i="1"/>
  <c r="Q453" i="1" s="1"/>
  <c r="P454" i="1"/>
  <c r="Q454" i="1" s="1"/>
  <c r="P455" i="1"/>
  <c r="Q455" i="1" s="1"/>
  <c r="P456" i="1"/>
  <c r="Q456" i="1" s="1"/>
  <c r="P457" i="1"/>
  <c r="Q457" i="1" s="1"/>
  <c r="P458" i="1"/>
  <c r="Q458" i="1" s="1"/>
  <c r="P459" i="1"/>
  <c r="Q459" i="1" s="1"/>
  <c r="P460" i="1"/>
  <c r="Q460" i="1" s="1"/>
  <c r="P461" i="1"/>
  <c r="Q461" i="1" s="1"/>
  <c r="P462" i="1"/>
  <c r="Q462" i="1" s="1"/>
  <c r="P463" i="1"/>
  <c r="Q463" i="1" s="1"/>
  <c r="P464" i="1"/>
  <c r="Q464" i="1" s="1"/>
  <c r="P465" i="1"/>
  <c r="Q465" i="1" s="1"/>
  <c r="P466" i="1"/>
  <c r="Q466" i="1" s="1"/>
  <c r="P467" i="1"/>
  <c r="Q467" i="1" s="1"/>
  <c r="P468" i="1"/>
  <c r="Q468" i="1" s="1"/>
  <c r="P469" i="1"/>
  <c r="Q469" i="1" s="1"/>
  <c r="P470" i="1"/>
  <c r="Q470" i="1" s="1"/>
  <c r="P471" i="1"/>
  <c r="Q471" i="1" s="1"/>
  <c r="P472" i="1"/>
  <c r="Q472" i="1" s="1"/>
  <c r="P473" i="1"/>
  <c r="Q473" i="1" s="1"/>
  <c r="P474" i="1"/>
  <c r="Q474" i="1" s="1"/>
  <c r="P475" i="1"/>
  <c r="Q475" i="1" s="1"/>
  <c r="P476" i="1"/>
  <c r="Q476" i="1" s="1"/>
  <c r="P477" i="1"/>
  <c r="Q477" i="1" s="1"/>
  <c r="P478" i="1"/>
  <c r="Q478" i="1" s="1"/>
  <c r="P479" i="1"/>
  <c r="Q479" i="1" s="1"/>
  <c r="P480" i="1"/>
  <c r="Q480" i="1" s="1"/>
  <c r="P481" i="1"/>
  <c r="Q481" i="1" s="1"/>
  <c r="P482" i="1"/>
  <c r="Q482" i="1" s="1"/>
  <c r="P483" i="1"/>
  <c r="Q483" i="1" s="1"/>
  <c r="P484" i="1"/>
  <c r="Q484" i="1" s="1"/>
  <c r="P485" i="1"/>
  <c r="Q485" i="1" s="1"/>
  <c r="P486" i="1"/>
  <c r="Q486" i="1" s="1"/>
  <c r="P487" i="1"/>
  <c r="Q487" i="1" s="1"/>
  <c r="P488" i="1"/>
  <c r="Q488" i="1" s="1"/>
  <c r="P489" i="1"/>
  <c r="Q489" i="1" s="1"/>
  <c r="P490" i="1"/>
  <c r="Q490" i="1" s="1"/>
  <c r="P491" i="1"/>
  <c r="Q491" i="1" s="1"/>
  <c r="P492" i="1"/>
  <c r="Q492" i="1" s="1"/>
  <c r="P493" i="1"/>
  <c r="Q493" i="1" s="1"/>
  <c r="P494" i="1"/>
  <c r="Q494" i="1" s="1"/>
  <c r="P495" i="1"/>
  <c r="Q495" i="1" s="1"/>
  <c r="P496" i="1"/>
  <c r="Q496" i="1" s="1"/>
  <c r="P497" i="1"/>
  <c r="Q497" i="1" s="1"/>
  <c r="P498" i="1"/>
  <c r="Q498" i="1" s="1"/>
  <c r="P499" i="1"/>
  <c r="Q499" i="1" s="1"/>
  <c r="P500" i="1"/>
  <c r="Q500" i="1" s="1"/>
  <c r="P501" i="1"/>
  <c r="Q501" i="1" s="1"/>
  <c r="P502" i="1"/>
  <c r="Q502" i="1" s="1"/>
  <c r="P503" i="1"/>
  <c r="Q503" i="1" s="1"/>
  <c r="P504" i="1"/>
  <c r="Q504" i="1" s="1"/>
  <c r="P505" i="1"/>
  <c r="Q505" i="1" s="1"/>
  <c r="P506" i="1"/>
  <c r="Q506" i="1" s="1"/>
  <c r="P507" i="1"/>
  <c r="Q507" i="1" s="1"/>
  <c r="P508" i="1"/>
  <c r="Q508" i="1" s="1"/>
  <c r="P509" i="1"/>
  <c r="Q509" i="1" s="1"/>
  <c r="P510" i="1"/>
  <c r="Q510" i="1" s="1"/>
  <c r="P511" i="1"/>
  <c r="Q511" i="1" s="1"/>
  <c r="P512" i="1"/>
  <c r="Q512" i="1" s="1"/>
  <c r="P513" i="1"/>
  <c r="Q513" i="1" s="1"/>
  <c r="P514" i="1"/>
  <c r="Q514" i="1" s="1"/>
  <c r="P515" i="1"/>
  <c r="Q515" i="1" s="1"/>
  <c r="P516" i="1"/>
  <c r="Q516" i="1" s="1"/>
  <c r="P517" i="1"/>
  <c r="Q517" i="1" s="1"/>
  <c r="P518" i="1"/>
  <c r="Q518" i="1" s="1"/>
  <c r="P519" i="1"/>
  <c r="Q519" i="1" s="1"/>
  <c r="P520" i="1"/>
  <c r="Q520" i="1" s="1"/>
  <c r="P521" i="1"/>
  <c r="Q521" i="1" s="1"/>
  <c r="P522" i="1"/>
  <c r="Q522" i="1" s="1"/>
  <c r="P523" i="1"/>
  <c r="Q523" i="1" s="1"/>
  <c r="P524" i="1"/>
  <c r="Q524" i="1" s="1"/>
  <c r="P525" i="1"/>
  <c r="Q525" i="1" s="1"/>
  <c r="P526" i="1"/>
  <c r="Q526" i="1" s="1"/>
  <c r="P527" i="1"/>
  <c r="Q527" i="1" s="1"/>
  <c r="P528" i="1"/>
  <c r="Q528" i="1" s="1"/>
  <c r="P529" i="1"/>
  <c r="Q529" i="1" s="1"/>
  <c r="P530" i="1"/>
  <c r="Q530" i="1" s="1"/>
  <c r="P531" i="1"/>
  <c r="Q531" i="1" s="1"/>
  <c r="P532" i="1"/>
  <c r="Q532" i="1" s="1"/>
  <c r="P533" i="1"/>
  <c r="Q533" i="1" s="1"/>
  <c r="P534" i="1"/>
  <c r="Q534" i="1" s="1"/>
  <c r="P535" i="1"/>
  <c r="Q535" i="1" s="1"/>
  <c r="P536" i="1"/>
  <c r="Q536" i="1" s="1"/>
  <c r="P537" i="1"/>
  <c r="Q537" i="1" s="1"/>
  <c r="P538" i="1"/>
  <c r="Q538" i="1" s="1"/>
  <c r="P539" i="1"/>
  <c r="Q539" i="1" s="1"/>
  <c r="P540" i="1"/>
  <c r="Q540" i="1" s="1"/>
  <c r="P541" i="1"/>
  <c r="Q541" i="1" s="1"/>
  <c r="P542" i="1"/>
  <c r="Q542" i="1" s="1"/>
  <c r="P543" i="1"/>
  <c r="Q543" i="1" s="1"/>
  <c r="P544" i="1"/>
  <c r="Q544" i="1" s="1"/>
  <c r="P545" i="1"/>
  <c r="Q545" i="1" s="1"/>
  <c r="P546" i="1"/>
  <c r="Q546" i="1" s="1"/>
  <c r="P547" i="1"/>
  <c r="Q547" i="1" s="1"/>
  <c r="P548" i="1"/>
  <c r="Q548" i="1" s="1"/>
  <c r="P549" i="1"/>
  <c r="Q549" i="1" s="1"/>
  <c r="P550" i="1"/>
  <c r="Q550" i="1" s="1"/>
  <c r="P551" i="1"/>
  <c r="Q551" i="1" s="1"/>
  <c r="P552" i="1"/>
  <c r="Q552" i="1" s="1"/>
  <c r="P553" i="1"/>
  <c r="Q553" i="1" s="1"/>
  <c r="P554" i="1"/>
  <c r="Q554" i="1" s="1"/>
  <c r="P555" i="1"/>
  <c r="Q555" i="1" s="1"/>
  <c r="P556" i="1"/>
  <c r="Q556" i="1" s="1"/>
  <c r="P557" i="1"/>
  <c r="Q557" i="1" s="1"/>
  <c r="P558" i="1"/>
  <c r="Q558" i="1" s="1"/>
  <c r="P559" i="1"/>
  <c r="Q559" i="1" s="1"/>
  <c r="P560" i="1"/>
  <c r="Q560" i="1" s="1"/>
  <c r="P561" i="1"/>
  <c r="Q561" i="1" s="1"/>
  <c r="P562" i="1"/>
  <c r="Q562" i="1" s="1"/>
  <c r="P563" i="1"/>
  <c r="Q563" i="1" s="1"/>
  <c r="P564" i="1"/>
  <c r="Q564" i="1" s="1"/>
  <c r="P565" i="1"/>
  <c r="Q565" i="1" s="1"/>
  <c r="P566" i="1"/>
  <c r="Q566" i="1" s="1"/>
  <c r="P567" i="1"/>
  <c r="Q567" i="1" s="1"/>
  <c r="P568" i="1"/>
  <c r="Q568" i="1" s="1"/>
  <c r="P569" i="1"/>
  <c r="Q569" i="1" s="1"/>
  <c r="P570" i="1"/>
  <c r="Q570" i="1" s="1"/>
  <c r="P571" i="1"/>
  <c r="Q571" i="1" s="1"/>
  <c r="P572" i="1"/>
  <c r="Q572" i="1" s="1"/>
  <c r="P573" i="1"/>
  <c r="Q573" i="1" s="1"/>
  <c r="P574" i="1"/>
  <c r="Q574" i="1" s="1"/>
  <c r="P575" i="1"/>
  <c r="Q575" i="1" s="1"/>
  <c r="P576" i="1"/>
  <c r="Q576" i="1" s="1"/>
  <c r="P577" i="1"/>
  <c r="Q577" i="1" s="1"/>
  <c r="P578" i="1"/>
  <c r="Q578" i="1" s="1"/>
  <c r="P579" i="1"/>
  <c r="Q579" i="1" s="1"/>
  <c r="P580" i="1"/>
  <c r="Q580" i="1" s="1"/>
  <c r="P581" i="1"/>
  <c r="Q581" i="1" s="1"/>
  <c r="P582" i="1"/>
  <c r="Q582" i="1" s="1"/>
  <c r="P583" i="1"/>
  <c r="Q583" i="1" s="1"/>
  <c r="P584" i="1"/>
  <c r="Q584" i="1" s="1"/>
  <c r="P585" i="1"/>
  <c r="Q585" i="1" s="1"/>
  <c r="P586" i="1"/>
  <c r="Q586" i="1" s="1"/>
  <c r="P587" i="1"/>
  <c r="Q587" i="1" s="1"/>
  <c r="P588" i="1"/>
  <c r="Q588" i="1" s="1"/>
  <c r="P589" i="1"/>
  <c r="Q589" i="1" s="1"/>
  <c r="P590" i="1"/>
  <c r="Q590" i="1" s="1"/>
  <c r="P591" i="1"/>
  <c r="Q591" i="1" s="1"/>
  <c r="P592" i="1"/>
  <c r="Q592" i="1" s="1"/>
  <c r="P593" i="1"/>
  <c r="Q593" i="1" s="1"/>
  <c r="P594" i="1"/>
  <c r="Q594" i="1" s="1"/>
  <c r="P595" i="1"/>
  <c r="Q595" i="1" s="1"/>
  <c r="P596" i="1"/>
  <c r="Q596" i="1" s="1"/>
  <c r="P597" i="1"/>
  <c r="Q597" i="1" s="1"/>
  <c r="P598" i="1"/>
  <c r="Q598" i="1" s="1"/>
  <c r="P599" i="1"/>
  <c r="Q599" i="1" s="1"/>
  <c r="P600" i="1"/>
  <c r="Q600" i="1" s="1"/>
  <c r="P601" i="1"/>
  <c r="Q601" i="1" s="1"/>
  <c r="P602" i="1"/>
  <c r="Q602" i="1" s="1"/>
  <c r="P603" i="1"/>
  <c r="Q603" i="1" s="1"/>
  <c r="P604" i="1"/>
  <c r="Q604" i="1" s="1"/>
  <c r="P605" i="1"/>
  <c r="Q605" i="1" s="1"/>
  <c r="P606" i="1"/>
  <c r="Q606" i="1" s="1"/>
  <c r="P607" i="1"/>
  <c r="Q607" i="1" s="1"/>
  <c r="P608" i="1"/>
  <c r="Q608" i="1" s="1"/>
  <c r="P609" i="1"/>
  <c r="Q609" i="1" s="1"/>
  <c r="P610" i="1"/>
  <c r="Q610" i="1" s="1"/>
  <c r="P611" i="1"/>
  <c r="Q611" i="1" s="1"/>
  <c r="P612" i="1"/>
  <c r="Q612" i="1" s="1"/>
  <c r="P613" i="1"/>
  <c r="Q613" i="1" s="1"/>
  <c r="P614" i="1"/>
  <c r="Q614" i="1" s="1"/>
  <c r="P615" i="1"/>
  <c r="Q615" i="1" s="1"/>
  <c r="P616" i="1"/>
  <c r="Q616" i="1" s="1"/>
  <c r="P617" i="1"/>
  <c r="Q617" i="1" s="1"/>
  <c r="P618" i="1"/>
  <c r="Q618" i="1" s="1"/>
  <c r="P619" i="1"/>
  <c r="Q619" i="1" s="1"/>
  <c r="P620" i="1"/>
  <c r="Q620" i="1" s="1"/>
  <c r="P621" i="1"/>
  <c r="Q621" i="1" s="1"/>
  <c r="P622" i="1"/>
  <c r="Q622" i="1" s="1"/>
  <c r="P623" i="1"/>
  <c r="Q623" i="1" s="1"/>
  <c r="P624" i="1"/>
  <c r="Q624" i="1" s="1"/>
  <c r="P625" i="1"/>
  <c r="Q625" i="1" s="1"/>
  <c r="P626" i="1"/>
  <c r="Q626" i="1" s="1"/>
  <c r="P627" i="1"/>
  <c r="Q627" i="1" s="1"/>
  <c r="P628" i="1"/>
  <c r="Q628" i="1" s="1"/>
  <c r="P629" i="1"/>
  <c r="Q629" i="1" s="1"/>
  <c r="P630" i="1"/>
  <c r="Q630" i="1" s="1"/>
  <c r="P631" i="1"/>
  <c r="Q631" i="1" s="1"/>
  <c r="P632" i="1"/>
  <c r="Q632" i="1" s="1"/>
  <c r="P633" i="1"/>
  <c r="Q633" i="1" s="1"/>
  <c r="P634" i="1"/>
  <c r="Q634" i="1" s="1"/>
  <c r="P635" i="1"/>
  <c r="Q635" i="1" s="1"/>
  <c r="P636" i="1"/>
  <c r="Q636" i="1" s="1"/>
  <c r="P637" i="1"/>
  <c r="Q637" i="1" s="1"/>
  <c r="P638" i="1"/>
  <c r="Q638" i="1" s="1"/>
  <c r="P639" i="1"/>
  <c r="Q639" i="1" s="1"/>
  <c r="P640" i="1"/>
  <c r="Q640" i="1" s="1"/>
  <c r="P641" i="1"/>
  <c r="Q641" i="1" s="1"/>
  <c r="P642" i="1"/>
  <c r="Q642" i="1" s="1"/>
  <c r="P643" i="1"/>
  <c r="Q643" i="1" s="1"/>
  <c r="P644" i="1"/>
  <c r="Q644" i="1" s="1"/>
  <c r="P645" i="1"/>
  <c r="Q645" i="1" s="1"/>
  <c r="P646" i="1"/>
  <c r="Q646" i="1" s="1"/>
  <c r="P647" i="1"/>
  <c r="Q647" i="1" s="1"/>
  <c r="P648" i="1"/>
  <c r="Q648" i="1" s="1"/>
  <c r="P649" i="1"/>
  <c r="Q649" i="1" s="1"/>
  <c r="P650" i="1"/>
  <c r="Q650" i="1" s="1"/>
  <c r="P651" i="1"/>
  <c r="Q651" i="1" s="1"/>
  <c r="P652" i="1"/>
  <c r="Q652" i="1" s="1"/>
  <c r="P653" i="1"/>
  <c r="Q653" i="1" s="1"/>
  <c r="P654" i="1"/>
  <c r="Q654" i="1" s="1"/>
  <c r="P655" i="1"/>
  <c r="Q655" i="1" s="1"/>
  <c r="P656" i="1"/>
  <c r="Q656" i="1" s="1"/>
  <c r="P657" i="1"/>
  <c r="Q657" i="1" s="1"/>
  <c r="P658" i="1"/>
  <c r="Q658" i="1" s="1"/>
  <c r="P659" i="1"/>
  <c r="Q659" i="1" s="1"/>
  <c r="P660" i="1"/>
  <c r="Q660" i="1" s="1"/>
  <c r="P661" i="1"/>
  <c r="Q661" i="1" s="1"/>
  <c r="P662" i="1"/>
  <c r="Q662" i="1" s="1"/>
  <c r="P663" i="1"/>
  <c r="Q663" i="1" s="1"/>
  <c r="P664" i="1"/>
  <c r="Q664" i="1" s="1"/>
  <c r="P665" i="1"/>
  <c r="Q665" i="1" s="1"/>
  <c r="P666" i="1"/>
  <c r="Q666" i="1" s="1"/>
  <c r="P667" i="1"/>
  <c r="Q667" i="1" s="1"/>
  <c r="P668" i="1"/>
  <c r="Q668" i="1" s="1"/>
  <c r="P669" i="1"/>
  <c r="Q669" i="1" s="1"/>
  <c r="P670" i="1"/>
  <c r="Q670" i="1" s="1"/>
  <c r="P671" i="1"/>
  <c r="Q671" i="1" s="1"/>
  <c r="P672" i="1"/>
  <c r="Q672" i="1" s="1"/>
  <c r="P673" i="1"/>
  <c r="Q673" i="1" s="1"/>
  <c r="P674" i="1"/>
  <c r="Q674" i="1" s="1"/>
  <c r="P675" i="1"/>
  <c r="Q675" i="1" s="1"/>
  <c r="P676" i="1"/>
  <c r="Q676" i="1" s="1"/>
  <c r="P677" i="1"/>
  <c r="Q677" i="1" s="1"/>
  <c r="P678" i="1"/>
  <c r="Q678" i="1" s="1"/>
  <c r="P679" i="1"/>
  <c r="Q679" i="1" s="1"/>
  <c r="P680" i="1"/>
  <c r="Q680" i="1" s="1"/>
  <c r="P681" i="1"/>
  <c r="Q681" i="1" s="1"/>
  <c r="P682" i="1"/>
  <c r="Q682" i="1" s="1"/>
  <c r="P683" i="1"/>
  <c r="Q683" i="1" s="1"/>
  <c r="P684" i="1"/>
  <c r="Q684" i="1" s="1"/>
  <c r="P685" i="1"/>
  <c r="Q685" i="1" s="1"/>
  <c r="P686" i="1"/>
  <c r="Q686" i="1" s="1"/>
  <c r="P687" i="1"/>
  <c r="Q687" i="1" s="1"/>
  <c r="P688" i="1"/>
  <c r="Q688" i="1" s="1"/>
  <c r="P689" i="1"/>
  <c r="Q689" i="1" s="1"/>
  <c r="P690" i="1"/>
  <c r="Q690" i="1" s="1"/>
  <c r="P691" i="1"/>
  <c r="Q691" i="1" s="1"/>
  <c r="P692" i="1"/>
  <c r="Q692" i="1" s="1"/>
  <c r="P693" i="1"/>
  <c r="Q693" i="1" s="1"/>
  <c r="P694" i="1"/>
  <c r="Q694" i="1" s="1"/>
  <c r="P695" i="1"/>
  <c r="Q695" i="1" s="1"/>
  <c r="P696" i="1"/>
  <c r="Q696" i="1" s="1"/>
  <c r="P697" i="1"/>
  <c r="Q697" i="1" s="1"/>
  <c r="P698" i="1"/>
  <c r="Q698" i="1" s="1"/>
  <c r="P699" i="1"/>
  <c r="Q699" i="1" s="1"/>
  <c r="P700" i="1"/>
  <c r="Q700" i="1" s="1"/>
  <c r="P701" i="1"/>
  <c r="Q701" i="1" s="1"/>
  <c r="P702" i="1"/>
  <c r="Q702" i="1" s="1"/>
  <c r="P703" i="1"/>
  <c r="Q703" i="1" s="1"/>
  <c r="P704" i="1"/>
  <c r="Q704" i="1" s="1"/>
  <c r="P705" i="1"/>
  <c r="Q705" i="1" s="1"/>
  <c r="P706" i="1"/>
  <c r="Q706" i="1" s="1"/>
  <c r="P707" i="1"/>
  <c r="Q707" i="1" s="1"/>
  <c r="P708" i="1"/>
  <c r="Q708" i="1" s="1"/>
  <c r="P709" i="1"/>
  <c r="Q709" i="1" s="1"/>
  <c r="P710" i="1"/>
  <c r="Q710" i="1" s="1"/>
  <c r="P711" i="1"/>
  <c r="Q711" i="1" s="1"/>
  <c r="P712" i="1"/>
  <c r="Q712" i="1" s="1"/>
  <c r="P713" i="1"/>
  <c r="Q713" i="1" s="1"/>
  <c r="P714" i="1"/>
  <c r="Q714" i="1" s="1"/>
  <c r="P715" i="1"/>
  <c r="Q715" i="1" s="1"/>
  <c r="P716" i="1"/>
  <c r="Q716" i="1" s="1"/>
  <c r="P717" i="1"/>
  <c r="Q717" i="1" s="1"/>
  <c r="P718" i="1"/>
  <c r="Q718" i="1" s="1"/>
  <c r="P719" i="1"/>
  <c r="Q719" i="1" s="1"/>
  <c r="P720" i="1"/>
  <c r="Q720" i="1" s="1"/>
  <c r="P721" i="1"/>
  <c r="Q721" i="1" s="1"/>
  <c r="P722" i="1"/>
  <c r="Q722" i="1" s="1"/>
  <c r="P723" i="1"/>
  <c r="Q723" i="1" s="1"/>
  <c r="P724" i="1"/>
  <c r="Q724" i="1" s="1"/>
  <c r="P725" i="1"/>
  <c r="Q725" i="1" s="1"/>
  <c r="P726" i="1"/>
  <c r="Q726" i="1" s="1"/>
  <c r="P727" i="1"/>
  <c r="Q727" i="1" s="1"/>
  <c r="P728" i="1"/>
  <c r="Q728" i="1" s="1"/>
  <c r="P729" i="1"/>
  <c r="Q729" i="1" s="1"/>
  <c r="P730" i="1"/>
  <c r="Q730" i="1" s="1"/>
  <c r="P731" i="1"/>
  <c r="Q731" i="1" s="1"/>
  <c r="P732" i="1"/>
  <c r="Q732" i="1" s="1"/>
  <c r="P733" i="1"/>
  <c r="Q733" i="1" s="1"/>
  <c r="P734" i="1"/>
  <c r="Q734" i="1" s="1"/>
  <c r="P735" i="1"/>
  <c r="Q735" i="1" s="1"/>
  <c r="P736" i="1"/>
  <c r="Q736" i="1" s="1"/>
  <c r="P737" i="1"/>
  <c r="Q737" i="1" s="1"/>
  <c r="P738" i="1"/>
  <c r="Q738" i="1" s="1"/>
  <c r="P739" i="1"/>
  <c r="Q739" i="1" s="1"/>
  <c r="P740" i="1"/>
  <c r="Q740" i="1" s="1"/>
  <c r="P741" i="1"/>
  <c r="Q741" i="1" s="1"/>
  <c r="P742" i="1"/>
  <c r="Q742" i="1" s="1"/>
  <c r="P743" i="1"/>
  <c r="Q743" i="1" s="1"/>
  <c r="P744" i="1"/>
  <c r="Q744" i="1" s="1"/>
  <c r="P745" i="1"/>
  <c r="Q745" i="1" s="1"/>
  <c r="P746" i="1"/>
  <c r="Q746" i="1" s="1"/>
  <c r="P747" i="1"/>
  <c r="Q747" i="1" s="1"/>
  <c r="P748" i="1"/>
  <c r="Q748" i="1" s="1"/>
  <c r="P749" i="1"/>
  <c r="Q749" i="1" s="1"/>
  <c r="P750" i="1"/>
  <c r="Q750" i="1" s="1"/>
  <c r="P751" i="1"/>
  <c r="Q751" i="1" s="1"/>
  <c r="P752" i="1"/>
  <c r="Q752" i="1" s="1"/>
  <c r="P753" i="1"/>
  <c r="Q753" i="1" s="1"/>
  <c r="P754" i="1"/>
  <c r="Q754" i="1" s="1"/>
  <c r="P755" i="1"/>
  <c r="Q755" i="1" s="1"/>
  <c r="P756" i="1"/>
  <c r="Q756" i="1" s="1"/>
  <c r="P757" i="1"/>
  <c r="Q757" i="1" s="1"/>
  <c r="P758" i="1"/>
  <c r="Q758" i="1" s="1"/>
  <c r="P759" i="1"/>
  <c r="Q759" i="1" s="1"/>
  <c r="P760" i="1"/>
  <c r="Q760" i="1" s="1"/>
  <c r="P761" i="1"/>
  <c r="Q761" i="1" s="1"/>
  <c r="P762" i="1"/>
  <c r="Q762" i="1" s="1"/>
  <c r="P763" i="1"/>
  <c r="Q763" i="1" s="1"/>
  <c r="P764" i="1"/>
  <c r="Q764" i="1" s="1"/>
  <c r="P765" i="1"/>
  <c r="Q765" i="1" s="1"/>
  <c r="P766" i="1"/>
  <c r="Q766" i="1" s="1"/>
  <c r="R766" i="1" s="1"/>
  <c r="P197" i="1"/>
  <c r="Q197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22" i="5" s="1"/>
  <c r="C133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C122" i="4"/>
  <c r="C133" i="4" s="1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3"/>
  <c r="C133" i="3" s="1"/>
  <c r="D136" i="3" s="1"/>
  <c r="C116" i="5"/>
  <c r="C118" i="5"/>
  <c r="C116" i="4"/>
  <c r="C118" i="3"/>
  <c r="D136" i="5"/>
  <c r="C136" i="5"/>
  <c r="C136" i="4"/>
  <c r="D136" i="4"/>
  <c r="C116" i="3"/>
  <c r="R765" i="1"/>
  <c r="S766" i="1"/>
  <c r="T766" i="1" s="1"/>
  <c r="C136" i="3" l="1"/>
  <c r="C138" i="3" s="1"/>
  <c r="C138" i="5"/>
  <c r="C138" i="4"/>
  <c r="R764" i="1"/>
  <c r="S765" i="1"/>
  <c r="T765" i="1" s="1"/>
  <c r="R763" i="1" l="1"/>
  <c r="S764" i="1"/>
  <c r="T764" i="1" s="1"/>
  <c r="S763" i="1" l="1"/>
  <c r="T763" i="1" s="1"/>
  <c r="R762" i="1"/>
  <c r="R761" i="1" l="1"/>
  <c r="S762" i="1"/>
  <c r="T762" i="1" s="1"/>
  <c r="S761" i="1" l="1"/>
  <c r="T761" i="1" s="1"/>
  <c r="R760" i="1"/>
  <c r="S760" i="1" l="1"/>
  <c r="T760" i="1" s="1"/>
  <c r="R759" i="1"/>
  <c r="R758" i="1" l="1"/>
  <c r="S759" i="1"/>
  <c r="T759" i="1" s="1"/>
  <c r="S758" i="1" l="1"/>
  <c r="T758" i="1" s="1"/>
  <c r="R757" i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S753" i="1" l="1"/>
  <c r="T753" i="1" s="1"/>
  <c r="R752" i="1"/>
  <c r="R751" i="1" l="1"/>
  <c r="S752" i="1"/>
  <c r="T752" i="1" s="1"/>
  <c r="R750" i="1" l="1"/>
  <c r="S751" i="1"/>
  <c r="T751" i="1" s="1"/>
  <c r="S750" i="1" l="1"/>
  <c r="T750" i="1" s="1"/>
  <c r="R749" i="1"/>
  <c r="R748" i="1" l="1"/>
  <c r="S749" i="1"/>
  <c r="T749" i="1" s="1"/>
  <c r="S748" i="1" l="1"/>
  <c r="T748" i="1" s="1"/>
  <c r="R747" i="1"/>
  <c r="S747" i="1" l="1"/>
  <c r="T747" i="1" s="1"/>
  <c r="R746" i="1"/>
  <c r="R745" i="1" l="1"/>
  <c r="S746" i="1"/>
  <c r="T746" i="1" s="1"/>
  <c r="S745" i="1" l="1"/>
  <c r="T745" i="1" s="1"/>
  <c r="R744" i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S739" i="1" l="1"/>
  <c r="T739" i="1" s="1"/>
  <c r="R738" i="1"/>
  <c r="R737" i="1" l="1"/>
  <c r="S738" i="1"/>
  <c r="T738" i="1" s="1"/>
  <c r="S737" i="1" l="1"/>
  <c r="T737" i="1" s="1"/>
  <c r="R736" i="1"/>
  <c r="R735" i="1" l="1"/>
  <c r="S736" i="1"/>
  <c r="T736" i="1" s="1"/>
  <c r="R734" i="1" l="1"/>
  <c r="S735" i="1"/>
  <c r="T735" i="1" s="1"/>
  <c r="S734" i="1" l="1"/>
  <c r="T734" i="1" s="1"/>
  <c r="R733" i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S729" i="1" l="1"/>
  <c r="T729" i="1" s="1"/>
  <c r="R728" i="1"/>
  <c r="S728" i="1" l="1"/>
  <c r="T728" i="1" s="1"/>
  <c r="R727" i="1"/>
  <c r="R726" i="1" l="1"/>
  <c r="S727" i="1"/>
  <c r="T727" i="1" s="1"/>
  <c r="R725" i="1" l="1"/>
  <c r="S726" i="1"/>
  <c r="T726" i="1" s="1"/>
  <c r="R724" i="1" l="1"/>
  <c r="S725" i="1"/>
  <c r="T725" i="1" s="1"/>
  <c r="S724" i="1" l="1"/>
  <c r="T724" i="1" s="1"/>
  <c r="R723" i="1"/>
  <c r="R722" i="1" l="1"/>
  <c r="S723" i="1"/>
  <c r="T723" i="1" s="1"/>
  <c r="R721" i="1" l="1"/>
  <c r="S722" i="1"/>
  <c r="T722" i="1" s="1"/>
  <c r="S721" i="1" l="1"/>
  <c r="T721" i="1" s="1"/>
  <c r="R720" i="1"/>
  <c r="S720" i="1" l="1"/>
  <c r="T720" i="1" s="1"/>
  <c r="R719" i="1"/>
  <c r="S719" i="1" l="1"/>
  <c r="T719" i="1" s="1"/>
  <c r="R718" i="1"/>
  <c r="R717" i="1" l="1"/>
  <c r="S718" i="1"/>
  <c r="T718" i="1" s="1"/>
  <c r="S717" i="1" l="1"/>
  <c r="T717" i="1" s="1"/>
  <c r="R716" i="1"/>
  <c r="R715" i="1" l="1"/>
  <c r="S716" i="1"/>
  <c r="T716" i="1" s="1"/>
  <c r="S715" i="1" l="1"/>
  <c r="T715" i="1" s="1"/>
  <c r="R714" i="1"/>
  <c r="S714" i="1" l="1"/>
  <c r="T714" i="1" s="1"/>
  <c r="R713" i="1"/>
  <c r="S713" i="1" l="1"/>
  <c r="T713" i="1" s="1"/>
  <c r="R712" i="1"/>
  <c r="S712" i="1" l="1"/>
  <c r="T712" i="1" s="1"/>
  <c r="R711" i="1"/>
  <c r="R710" i="1" l="1"/>
  <c r="S711" i="1"/>
  <c r="T711" i="1" s="1"/>
  <c r="S710" i="1" l="1"/>
  <c r="T710" i="1" s="1"/>
  <c r="R709" i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S705" i="1" l="1"/>
  <c r="T705" i="1" s="1"/>
  <c r="R704" i="1"/>
  <c r="S704" i="1" l="1"/>
  <c r="T704" i="1" s="1"/>
  <c r="R703" i="1"/>
  <c r="S703" i="1" l="1"/>
  <c r="T703" i="1" s="1"/>
  <c r="R702" i="1"/>
  <c r="R701" i="1" l="1"/>
  <c r="S702" i="1"/>
  <c r="T702" i="1" s="1"/>
  <c r="R700" i="1" l="1"/>
  <c r="S701" i="1"/>
  <c r="T701" i="1" s="1"/>
  <c r="S700" i="1" l="1"/>
  <c r="T700" i="1" s="1"/>
  <c r="R699" i="1"/>
  <c r="S699" i="1" l="1"/>
  <c r="T699" i="1" s="1"/>
  <c r="R698" i="1"/>
  <c r="R697" i="1" l="1"/>
  <c r="S698" i="1"/>
  <c r="T698" i="1" s="1"/>
  <c r="S697" i="1" l="1"/>
  <c r="T697" i="1" s="1"/>
  <c r="R696" i="1"/>
  <c r="R695" i="1" l="1"/>
  <c r="S696" i="1"/>
  <c r="T696" i="1" s="1"/>
  <c r="S695" i="1" l="1"/>
  <c r="T695" i="1" s="1"/>
  <c r="R694" i="1"/>
  <c r="S694" i="1" l="1"/>
  <c r="T694" i="1" s="1"/>
  <c r="R693" i="1"/>
  <c r="R692" i="1" l="1"/>
  <c r="S693" i="1"/>
  <c r="T693" i="1" s="1"/>
  <c r="R691" i="1" l="1"/>
  <c r="S692" i="1"/>
  <c r="T692" i="1" s="1"/>
  <c r="S691" i="1" l="1"/>
  <c r="T691" i="1" s="1"/>
  <c r="R690" i="1"/>
  <c r="R689" i="1" l="1"/>
  <c r="S690" i="1"/>
  <c r="T690" i="1" s="1"/>
  <c r="S689" i="1" l="1"/>
  <c r="T689" i="1" s="1"/>
  <c r="R688" i="1"/>
  <c r="R687" i="1" l="1"/>
  <c r="S688" i="1"/>
  <c r="T688" i="1" s="1"/>
  <c r="R686" i="1" l="1"/>
  <c r="S687" i="1"/>
  <c r="T687" i="1" s="1"/>
  <c r="S686" i="1" l="1"/>
  <c r="T686" i="1" s="1"/>
  <c r="R685" i="1"/>
  <c r="S685" i="1" l="1"/>
  <c r="T685" i="1" s="1"/>
  <c r="R684" i="1"/>
  <c r="S684" i="1" l="1"/>
  <c r="T684" i="1" s="1"/>
  <c r="R683" i="1"/>
  <c r="R682" i="1" l="1"/>
  <c r="S683" i="1"/>
  <c r="T683" i="1" s="1"/>
  <c r="R681" i="1" l="1"/>
  <c r="S682" i="1"/>
  <c r="T682" i="1" s="1"/>
  <c r="S681" i="1" l="1"/>
  <c r="T681" i="1" s="1"/>
  <c r="R680" i="1"/>
  <c r="S680" i="1" l="1"/>
  <c r="T680" i="1" s="1"/>
  <c r="R679" i="1"/>
  <c r="S679" i="1" l="1"/>
  <c r="T679" i="1" s="1"/>
  <c r="R678" i="1"/>
  <c r="R677" i="1" l="1"/>
  <c r="S678" i="1"/>
  <c r="T678" i="1" s="1"/>
  <c r="R676" i="1" l="1"/>
  <c r="S677" i="1"/>
  <c r="T677" i="1" s="1"/>
  <c r="R675" i="1" l="1"/>
  <c r="S676" i="1"/>
  <c r="T676" i="1" s="1"/>
  <c r="S675" i="1" l="1"/>
  <c r="T675" i="1" s="1"/>
  <c r="R674" i="1"/>
  <c r="R673" i="1" l="1"/>
  <c r="S674" i="1"/>
  <c r="T674" i="1" s="1"/>
  <c r="S673" i="1" l="1"/>
  <c r="T673" i="1" s="1"/>
  <c r="R672" i="1"/>
  <c r="R671" i="1" l="1"/>
  <c r="S672" i="1"/>
  <c r="T672" i="1" s="1"/>
  <c r="R670" i="1" l="1"/>
  <c r="S671" i="1"/>
  <c r="T671" i="1" s="1"/>
  <c r="S670" i="1" l="1"/>
  <c r="T670" i="1" s="1"/>
  <c r="R669" i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S665" i="1" l="1"/>
  <c r="T665" i="1" s="1"/>
  <c r="R664" i="1"/>
  <c r="R663" i="1" l="1"/>
  <c r="S664" i="1"/>
  <c r="T664" i="1" s="1"/>
  <c r="R662" i="1" l="1"/>
  <c r="S663" i="1"/>
  <c r="T663" i="1" s="1"/>
  <c r="S662" i="1" l="1"/>
  <c r="T662" i="1" s="1"/>
  <c r="R661" i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S657" i="1" l="1"/>
  <c r="T657" i="1" s="1"/>
  <c r="R656" i="1"/>
  <c r="S656" i="1" l="1"/>
  <c r="T656" i="1" s="1"/>
  <c r="R655" i="1"/>
  <c r="S655" i="1" l="1"/>
  <c r="T655" i="1" s="1"/>
  <c r="R654" i="1"/>
  <c r="R653" i="1" l="1"/>
  <c r="S654" i="1"/>
  <c r="T654" i="1" s="1"/>
  <c r="R652" i="1" l="1"/>
  <c r="S653" i="1"/>
  <c r="T653" i="1" s="1"/>
  <c r="R651" i="1" l="1"/>
  <c r="S652" i="1"/>
  <c r="T652" i="1" s="1"/>
  <c r="S651" i="1" l="1"/>
  <c r="T651" i="1" s="1"/>
  <c r="R650" i="1"/>
  <c r="R649" i="1" l="1"/>
  <c r="S650" i="1"/>
  <c r="T650" i="1" s="1"/>
  <c r="S649" i="1" l="1"/>
  <c r="T649" i="1" s="1"/>
  <c r="R648" i="1"/>
  <c r="R647" i="1" l="1"/>
  <c r="S648" i="1"/>
  <c r="T648" i="1" s="1"/>
  <c r="R646" i="1" l="1"/>
  <c r="S647" i="1"/>
  <c r="T647" i="1" s="1"/>
  <c r="S646" i="1" l="1"/>
  <c r="T646" i="1" s="1"/>
  <c r="R645" i="1"/>
  <c r="S645" i="1" l="1"/>
  <c r="T645" i="1" s="1"/>
  <c r="R644" i="1"/>
  <c r="R643" i="1" l="1"/>
  <c r="S644" i="1"/>
  <c r="T644" i="1" s="1"/>
  <c r="R642" i="1" l="1"/>
  <c r="S643" i="1"/>
  <c r="T643" i="1" s="1"/>
  <c r="R641" i="1" l="1"/>
  <c r="S642" i="1"/>
  <c r="T642" i="1" s="1"/>
  <c r="S641" i="1" l="1"/>
  <c r="T641" i="1" s="1"/>
  <c r="R640" i="1"/>
  <c r="S640" i="1" l="1"/>
  <c r="T640" i="1" s="1"/>
  <c r="R639" i="1"/>
  <c r="R638" i="1" l="1"/>
  <c r="S639" i="1"/>
  <c r="T639" i="1" s="1"/>
  <c r="S638" i="1" l="1"/>
  <c r="T638" i="1" s="1"/>
  <c r="R637" i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S633" i="1" l="1"/>
  <c r="T633" i="1" s="1"/>
  <c r="R632" i="1"/>
  <c r="S632" i="1" l="1"/>
  <c r="T632" i="1" s="1"/>
  <c r="R631" i="1"/>
  <c r="S631" i="1" l="1"/>
  <c r="T631" i="1" s="1"/>
  <c r="R630" i="1"/>
  <c r="S630" i="1" l="1"/>
  <c r="T630" i="1" s="1"/>
  <c r="R629" i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S625" i="1" l="1"/>
  <c r="T625" i="1" s="1"/>
  <c r="R624" i="1"/>
  <c r="R623" i="1" l="1"/>
  <c r="S624" i="1"/>
  <c r="T624" i="1" s="1"/>
  <c r="R622" i="1" l="1"/>
  <c r="S623" i="1"/>
  <c r="T623" i="1" s="1"/>
  <c r="R621" i="1" l="1"/>
  <c r="S622" i="1"/>
  <c r="T622" i="1" s="1"/>
  <c r="S621" i="1" l="1"/>
  <c r="T621" i="1" s="1"/>
  <c r="R620" i="1"/>
  <c r="R619" i="1" l="1"/>
  <c r="S620" i="1"/>
  <c r="T620" i="1" s="1"/>
  <c r="R618" i="1" l="1"/>
  <c r="S619" i="1"/>
  <c r="T619" i="1" s="1"/>
  <c r="R617" i="1" l="1"/>
  <c r="S618" i="1"/>
  <c r="T618" i="1" s="1"/>
  <c r="S617" i="1" l="1"/>
  <c r="T617" i="1" s="1"/>
  <c r="R616" i="1"/>
  <c r="S616" i="1" l="1"/>
  <c r="T616" i="1" s="1"/>
  <c r="R615" i="1"/>
  <c r="R614" i="1" l="1"/>
  <c r="S615" i="1"/>
  <c r="T615" i="1" s="1"/>
  <c r="S614" i="1" l="1"/>
  <c r="T614" i="1" s="1"/>
  <c r="R613" i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S609" i="1" l="1"/>
  <c r="T609" i="1" s="1"/>
  <c r="R608" i="1"/>
  <c r="S608" i="1" l="1"/>
  <c r="T608" i="1" s="1"/>
  <c r="R607" i="1"/>
  <c r="R606" i="1" l="1"/>
  <c r="S607" i="1"/>
  <c r="T607" i="1" s="1"/>
  <c r="S606" i="1" l="1"/>
  <c r="T606" i="1" s="1"/>
  <c r="R605" i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S593" i="1" l="1"/>
  <c r="T593" i="1" s="1"/>
  <c r="R592" i="1"/>
  <c r="R591" i="1" l="1"/>
  <c r="S592" i="1"/>
  <c r="T592" i="1" s="1"/>
  <c r="S591" i="1" l="1"/>
  <c r="T591" i="1" s="1"/>
  <c r="R590" i="1"/>
  <c r="S590" i="1" l="1"/>
  <c r="T590" i="1" s="1"/>
  <c r="R589" i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S585" i="1" l="1"/>
  <c r="T585" i="1" s="1"/>
  <c r="R584" i="1"/>
  <c r="S584" i="1" l="1"/>
  <c r="T584" i="1" s="1"/>
  <c r="R583" i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S577" i="1" l="1"/>
  <c r="T577" i="1" s="1"/>
  <c r="R576" i="1"/>
  <c r="S576" i="1" l="1"/>
  <c r="T576" i="1" s="1"/>
  <c r="R575" i="1"/>
  <c r="R574" i="1" l="1"/>
  <c r="S575" i="1"/>
  <c r="T575" i="1" s="1"/>
  <c r="R573" i="1" l="1"/>
  <c r="S574" i="1"/>
  <c r="T574" i="1" s="1"/>
  <c r="S573" i="1" l="1"/>
  <c r="T573" i="1" s="1"/>
  <c r="R572" i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S565" i="1" l="1"/>
  <c r="T565" i="1" s="1"/>
  <c r="R564" i="1"/>
  <c r="R563" i="1" l="1"/>
  <c r="S564" i="1"/>
  <c r="T564" i="1" s="1"/>
  <c r="R562" i="1" l="1"/>
  <c r="S563" i="1"/>
  <c r="T563" i="1" s="1"/>
  <c r="R561" i="1" l="1"/>
  <c r="S562" i="1"/>
  <c r="T562" i="1" s="1"/>
  <c r="S561" i="1" l="1"/>
  <c r="T561" i="1" s="1"/>
  <c r="R560" i="1"/>
  <c r="S560" i="1" l="1"/>
  <c r="T560" i="1" s="1"/>
  <c r="R559" i="1"/>
  <c r="S559" i="1" l="1"/>
  <c r="T559" i="1" s="1"/>
  <c r="R558" i="1"/>
  <c r="R557" i="1" l="1"/>
  <c r="S558" i="1"/>
  <c r="T558" i="1" s="1"/>
  <c r="S557" i="1" l="1"/>
  <c r="T557" i="1" s="1"/>
  <c r="R556" i="1"/>
  <c r="S556" i="1" l="1"/>
  <c r="T556" i="1" s="1"/>
  <c r="R555" i="1"/>
  <c r="S555" i="1" l="1"/>
  <c r="T555" i="1" s="1"/>
  <c r="R554" i="1"/>
  <c r="R553" i="1" l="1"/>
  <c r="S554" i="1"/>
  <c r="T554" i="1" s="1"/>
  <c r="S553" i="1" l="1"/>
  <c r="T553" i="1" s="1"/>
  <c r="R552" i="1"/>
  <c r="R551" i="1" l="1"/>
  <c r="S552" i="1"/>
  <c r="T552" i="1" s="1"/>
  <c r="R550" i="1" l="1"/>
  <c r="S551" i="1"/>
  <c r="T551" i="1" s="1"/>
  <c r="R549" i="1" l="1"/>
  <c r="S550" i="1"/>
  <c r="T550" i="1" s="1"/>
  <c r="S549" i="1" l="1"/>
  <c r="T549" i="1" s="1"/>
  <c r="R548" i="1"/>
  <c r="R547" i="1" l="1"/>
  <c r="S548" i="1"/>
  <c r="T548" i="1" s="1"/>
  <c r="R546" i="1" l="1"/>
  <c r="S547" i="1"/>
  <c r="T547" i="1" s="1"/>
  <c r="R545" i="1" l="1"/>
  <c r="S546" i="1"/>
  <c r="T546" i="1" s="1"/>
  <c r="S545" i="1" l="1"/>
  <c r="T545" i="1" s="1"/>
  <c r="R544" i="1"/>
  <c r="R543" i="1" l="1"/>
  <c r="S544" i="1"/>
  <c r="T544" i="1" s="1"/>
  <c r="R542" i="1" l="1"/>
  <c r="S543" i="1"/>
  <c r="T543" i="1" s="1"/>
  <c r="R541" i="1" l="1"/>
  <c r="S542" i="1"/>
  <c r="T542" i="1" s="1"/>
  <c r="S541" i="1" l="1"/>
  <c r="T541" i="1" s="1"/>
  <c r="R540" i="1"/>
  <c r="S540" i="1" l="1"/>
  <c r="T540" i="1" s="1"/>
  <c r="R539" i="1"/>
  <c r="R538" i="1" l="1"/>
  <c r="S539" i="1"/>
  <c r="T539" i="1" s="1"/>
  <c r="R537" i="1" l="1"/>
  <c r="S538" i="1"/>
  <c r="T538" i="1" s="1"/>
  <c r="S537" i="1" l="1"/>
  <c r="T537" i="1" s="1"/>
  <c r="R536" i="1"/>
  <c r="R535" i="1" l="1"/>
  <c r="S536" i="1"/>
  <c r="T536" i="1" s="1"/>
  <c r="S535" i="1" l="1"/>
  <c r="T535" i="1" s="1"/>
  <c r="R534" i="1"/>
  <c r="R533" i="1" l="1"/>
  <c r="S534" i="1"/>
  <c r="T534" i="1" s="1"/>
  <c r="S533" i="1" l="1"/>
  <c r="T533" i="1" s="1"/>
  <c r="R532" i="1"/>
  <c r="R531" i="1" l="1"/>
  <c r="S532" i="1"/>
  <c r="T532" i="1" s="1"/>
  <c r="S531" i="1" l="1"/>
  <c r="T531" i="1" s="1"/>
  <c r="R530" i="1"/>
  <c r="R529" i="1" l="1"/>
  <c r="S530" i="1"/>
  <c r="T530" i="1" s="1"/>
  <c r="S529" i="1" l="1"/>
  <c r="T529" i="1" s="1"/>
  <c r="R528" i="1"/>
  <c r="R527" i="1" l="1"/>
  <c r="S528" i="1"/>
  <c r="T528" i="1" s="1"/>
  <c r="R526" i="1" l="1"/>
  <c r="S527" i="1"/>
  <c r="T527" i="1" s="1"/>
  <c r="R525" i="1" l="1"/>
  <c r="S526" i="1"/>
  <c r="T526" i="1" s="1"/>
  <c r="S525" i="1" l="1"/>
  <c r="T525" i="1" s="1"/>
  <c r="R524" i="1"/>
  <c r="R523" i="1" l="1"/>
  <c r="S524" i="1"/>
  <c r="T524" i="1" s="1"/>
  <c r="R522" i="1" l="1"/>
  <c r="S523" i="1"/>
  <c r="T523" i="1" s="1"/>
  <c r="R521" i="1" l="1"/>
  <c r="S522" i="1"/>
  <c r="T522" i="1" s="1"/>
  <c r="S521" i="1" l="1"/>
  <c r="T521" i="1" s="1"/>
  <c r="R520" i="1"/>
  <c r="S520" i="1" l="1"/>
  <c r="T520" i="1" s="1"/>
  <c r="R519" i="1"/>
  <c r="R518" i="1" l="1"/>
  <c r="S519" i="1"/>
  <c r="T519" i="1" s="1"/>
  <c r="R517" i="1" l="1"/>
  <c r="S518" i="1"/>
  <c r="T518" i="1" s="1"/>
  <c r="S517" i="1" l="1"/>
  <c r="T517" i="1" s="1"/>
  <c r="R516" i="1"/>
  <c r="S516" i="1" l="1"/>
  <c r="T516" i="1" s="1"/>
  <c r="R515" i="1"/>
  <c r="R514" i="1" l="1"/>
  <c r="S515" i="1"/>
  <c r="T515" i="1" s="1"/>
  <c r="R513" i="1" l="1"/>
  <c r="S514" i="1"/>
  <c r="T514" i="1" s="1"/>
  <c r="S513" i="1" l="1"/>
  <c r="T513" i="1" s="1"/>
  <c r="R512" i="1"/>
  <c r="S512" i="1" l="1"/>
  <c r="T512" i="1" s="1"/>
  <c r="R511" i="1"/>
  <c r="S511" i="1" l="1"/>
  <c r="T511" i="1" s="1"/>
  <c r="R510" i="1"/>
  <c r="R509" i="1" l="1"/>
  <c r="S510" i="1"/>
  <c r="T510" i="1" s="1"/>
  <c r="S509" i="1" l="1"/>
  <c r="T509" i="1" s="1"/>
  <c r="R508" i="1"/>
  <c r="R507" i="1" l="1"/>
  <c r="S508" i="1"/>
  <c r="T508" i="1" s="1"/>
  <c r="R506" i="1" l="1"/>
  <c r="S507" i="1"/>
  <c r="T507" i="1" s="1"/>
  <c r="R505" i="1" l="1"/>
  <c r="S506" i="1"/>
  <c r="T506" i="1" s="1"/>
  <c r="S505" i="1" l="1"/>
  <c r="T505" i="1" s="1"/>
  <c r="R504" i="1"/>
  <c r="R503" i="1" l="1"/>
  <c r="S504" i="1"/>
  <c r="T504" i="1" s="1"/>
  <c r="R502" i="1" l="1"/>
  <c r="S503" i="1"/>
  <c r="T503" i="1" s="1"/>
  <c r="R501" i="1" l="1"/>
  <c r="S502" i="1"/>
  <c r="T502" i="1" s="1"/>
  <c r="S501" i="1" l="1"/>
  <c r="T501" i="1" s="1"/>
  <c r="R500" i="1"/>
  <c r="R499" i="1" l="1"/>
  <c r="S500" i="1"/>
  <c r="T500" i="1" s="1"/>
  <c r="R498" i="1" l="1"/>
  <c r="S499" i="1"/>
  <c r="T499" i="1" s="1"/>
  <c r="R497" i="1" l="1"/>
  <c r="S498" i="1"/>
  <c r="T498" i="1" s="1"/>
  <c r="S497" i="1" l="1"/>
  <c r="T497" i="1" s="1"/>
  <c r="R496" i="1"/>
  <c r="S496" i="1" l="1"/>
  <c r="T496" i="1" s="1"/>
  <c r="R495" i="1"/>
  <c r="S495" i="1" l="1"/>
  <c r="T495" i="1" s="1"/>
  <c r="R494" i="1"/>
  <c r="R493" i="1" l="1"/>
  <c r="S494" i="1"/>
  <c r="T494" i="1" s="1"/>
  <c r="S493" i="1" l="1"/>
  <c r="T493" i="1" s="1"/>
  <c r="R492" i="1"/>
  <c r="R491" i="1" l="1"/>
  <c r="S492" i="1"/>
  <c r="T492" i="1" s="1"/>
  <c r="R490" i="1" l="1"/>
  <c r="S491" i="1"/>
  <c r="T491" i="1" s="1"/>
  <c r="S490" i="1" l="1"/>
  <c r="T490" i="1" s="1"/>
  <c r="R489" i="1"/>
  <c r="S489" i="1" l="1"/>
  <c r="T489" i="1" s="1"/>
  <c r="R488" i="1"/>
  <c r="S488" i="1" l="1"/>
  <c r="T488" i="1" s="1"/>
  <c r="R487" i="1"/>
  <c r="R486" i="1" l="1"/>
  <c r="S487" i="1"/>
  <c r="T487" i="1" s="1"/>
  <c r="R485" i="1" l="1"/>
  <c r="S486" i="1"/>
  <c r="T486" i="1" s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S481" i="1" l="1"/>
  <c r="T481" i="1" s="1"/>
  <c r="R480" i="1"/>
  <c r="S480" i="1" l="1"/>
  <c r="T480" i="1" s="1"/>
  <c r="R479" i="1"/>
  <c r="R478" i="1" l="1"/>
  <c r="S479" i="1"/>
  <c r="T479" i="1" s="1"/>
  <c r="R477" i="1" l="1"/>
  <c r="S478" i="1"/>
  <c r="T478" i="1" s="1"/>
  <c r="S477" i="1" l="1"/>
  <c r="T477" i="1" s="1"/>
  <c r="R476" i="1"/>
  <c r="R475" i="1" l="1"/>
  <c r="S476" i="1"/>
  <c r="T476" i="1" s="1"/>
  <c r="S475" i="1" l="1"/>
  <c r="T475" i="1" s="1"/>
  <c r="R474" i="1"/>
  <c r="R473" i="1" l="1"/>
  <c r="S474" i="1"/>
  <c r="T474" i="1" s="1"/>
  <c r="S473" i="1" l="1"/>
  <c r="T473" i="1" s="1"/>
  <c r="R472" i="1"/>
  <c r="R471" i="1" l="1"/>
  <c r="S472" i="1"/>
  <c r="T472" i="1" s="1"/>
  <c r="S471" i="1" l="1"/>
  <c r="T471" i="1" s="1"/>
  <c r="R470" i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S465" i="1" l="1"/>
  <c r="T465" i="1" s="1"/>
  <c r="R464" i="1"/>
  <c r="S464" i="1" l="1"/>
  <c r="T464" i="1" s="1"/>
  <c r="R463" i="1"/>
  <c r="S463" i="1" l="1"/>
  <c r="T463" i="1" s="1"/>
  <c r="R462" i="1"/>
  <c r="R461" i="1" l="1"/>
  <c r="S462" i="1"/>
  <c r="T462" i="1" s="1"/>
  <c r="R460" i="1" l="1"/>
  <c r="S461" i="1"/>
  <c r="T461" i="1" s="1"/>
  <c r="S460" i="1" l="1"/>
  <c r="T460" i="1" s="1"/>
  <c r="R459" i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S450" i="1" l="1"/>
  <c r="T450" i="1" s="1"/>
  <c r="R449" i="1"/>
  <c r="S449" i="1" l="1"/>
  <c r="T449" i="1" s="1"/>
  <c r="R448" i="1"/>
  <c r="S448" i="1" l="1"/>
  <c r="T448" i="1" s="1"/>
  <c r="R447" i="1"/>
  <c r="S447" i="1" l="1"/>
  <c r="T447" i="1" s="1"/>
  <c r="R446" i="1"/>
  <c r="R445" i="1" l="1"/>
  <c r="S446" i="1"/>
  <c r="T446" i="1" s="1"/>
  <c r="R444" i="1" l="1"/>
  <c r="S445" i="1"/>
  <c r="T445" i="1" s="1"/>
  <c r="R443" i="1" l="1"/>
  <c r="S444" i="1"/>
  <c r="T444" i="1" s="1"/>
  <c r="S443" i="1" l="1"/>
  <c r="T443" i="1" s="1"/>
  <c r="R442" i="1"/>
  <c r="S442" i="1" l="1"/>
  <c r="T442" i="1" s="1"/>
  <c r="R441" i="1"/>
  <c r="R440" i="1" l="1"/>
  <c r="S441" i="1"/>
  <c r="T441" i="1" s="1"/>
  <c r="R439" i="1" l="1"/>
  <c r="S440" i="1"/>
  <c r="T440" i="1" s="1"/>
  <c r="S439" i="1" l="1"/>
  <c r="T439" i="1" s="1"/>
  <c r="R438" i="1"/>
  <c r="R437" i="1" l="1"/>
  <c r="S438" i="1"/>
  <c r="T438" i="1" s="1"/>
  <c r="S437" i="1" l="1"/>
  <c r="T437" i="1" s="1"/>
  <c r="R436" i="1"/>
  <c r="R435" i="1" l="1"/>
  <c r="S436" i="1"/>
  <c r="T436" i="1" s="1"/>
  <c r="R434" i="1" l="1"/>
  <c r="S435" i="1"/>
  <c r="T435" i="1" s="1"/>
  <c r="R433" i="1" l="1"/>
  <c r="S434" i="1"/>
  <c r="T434" i="1" s="1"/>
  <c r="S433" i="1" l="1"/>
  <c r="T433" i="1" s="1"/>
  <c r="R432" i="1"/>
  <c r="R431" i="1" l="1"/>
  <c r="S432" i="1"/>
  <c r="T432" i="1" s="1"/>
  <c r="S431" i="1" l="1"/>
  <c r="T431" i="1" s="1"/>
  <c r="R430" i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R423" i="1" l="1"/>
  <c r="S424" i="1"/>
  <c r="T424" i="1" s="1"/>
  <c r="S423" i="1" l="1"/>
  <c r="T423" i="1" s="1"/>
  <c r="R422" i="1"/>
  <c r="R421" i="1" l="1"/>
  <c r="S422" i="1"/>
  <c r="T422" i="1" s="1"/>
  <c r="S421" i="1" l="1"/>
  <c r="T421" i="1" s="1"/>
  <c r="R420" i="1"/>
  <c r="S420" i="1" l="1"/>
  <c r="T420" i="1" s="1"/>
  <c r="R419" i="1"/>
  <c r="R418" i="1" l="1"/>
  <c r="S419" i="1"/>
  <c r="T419" i="1" s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R413" i="1" l="1"/>
  <c r="S414" i="1"/>
  <c r="T414" i="1" s="1"/>
  <c r="R412" i="1" l="1"/>
  <c r="S413" i="1"/>
  <c r="T413" i="1" s="1"/>
  <c r="S412" i="1" l="1"/>
  <c r="T412" i="1" s="1"/>
  <c r="R411" i="1"/>
  <c r="R410" i="1" l="1"/>
  <c r="S411" i="1"/>
  <c r="T411" i="1" s="1"/>
  <c r="R409" i="1" l="1"/>
  <c r="S410" i="1"/>
  <c r="T410" i="1" s="1"/>
  <c r="S409" i="1" l="1"/>
  <c r="T409" i="1" s="1"/>
  <c r="R408" i="1"/>
  <c r="R407" i="1" l="1"/>
  <c r="S408" i="1"/>
  <c r="T408" i="1" s="1"/>
  <c r="S407" i="1" l="1"/>
  <c r="T407" i="1" s="1"/>
  <c r="R406" i="1"/>
  <c r="R405" i="1" l="1"/>
  <c r="S406" i="1"/>
  <c r="T406" i="1" s="1"/>
  <c r="R404" i="1" l="1"/>
  <c r="S405" i="1"/>
  <c r="T405" i="1" s="1"/>
  <c r="S404" i="1" l="1"/>
  <c r="T404" i="1" s="1"/>
  <c r="R403" i="1"/>
  <c r="R402" i="1" l="1"/>
  <c r="S403" i="1"/>
  <c r="T403" i="1" s="1"/>
  <c r="S402" i="1" l="1"/>
  <c r="T402" i="1" s="1"/>
  <c r="R401" i="1"/>
  <c r="S401" i="1" l="1"/>
  <c r="T401" i="1" s="1"/>
  <c r="R400" i="1"/>
  <c r="R399" i="1" l="1"/>
  <c r="S400" i="1"/>
  <c r="T400" i="1" s="1"/>
  <c r="R398" i="1" l="1"/>
  <c r="S399" i="1"/>
  <c r="T399" i="1" s="1"/>
  <c r="R397" i="1" l="1"/>
  <c r="S398" i="1"/>
  <c r="T398" i="1" s="1"/>
  <c r="S397" i="1" l="1"/>
  <c r="T397" i="1" s="1"/>
  <c r="R396" i="1"/>
  <c r="R395" i="1" l="1"/>
  <c r="S396" i="1"/>
  <c r="T396" i="1" s="1"/>
  <c r="S395" i="1" l="1"/>
  <c r="T395" i="1" s="1"/>
  <c r="R394" i="1"/>
  <c r="R393" i="1" l="1"/>
  <c r="S394" i="1"/>
  <c r="T394" i="1" s="1"/>
  <c r="S393" i="1" l="1"/>
  <c r="T393" i="1" s="1"/>
  <c r="R392" i="1"/>
  <c r="R391" i="1" l="1"/>
  <c r="S392" i="1"/>
  <c r="T392" i="1" s="1"/>
  <c r="S391" i="1" l="1"/>
  <c r="T391" i="1" s="1"/>
  <c r="R390" i="1"/>
  <c r="R389" i="1" l="1"/>
  <c r="S390" i="1"/>
  <c r="T390" i="1" s="1"/>
  <c r="R388" i="1" l="1"/>
  <c r="S389" i="1"/>
  <c r="T389" i="1" s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S383" i="1" l="1"/>
  <c r="T383" i="1" s="1"/>
  <c r="R382" i="1"/>
  <c r="R381" i="1" l="1"/>
  <c r="S382" i="1"/>
  <c r="T382" i="1" s="1"/>
  <c r="R380" i="1" l="1"/>
  <c r="S381" i="1"/>
  <c r="T381" i="1" s="1"/>
  <c r="S380" i="1" l="1"/>
  <c r="T380" i="1" s="1"/>
  <c r="R379" i="1"/>
  <c r="R378" i="1" l="1"/>
  <c r="S379" i="1"/>
  <c r="T379" i="1" s="1"/>
  <c r="S378" i="1" l="1"/>
  <c r="T378" i="1" s="1"/>
  <c r="R377" i="1"/>
  <c r="S377" i="1" l="1"/>
  <c r="T377" i="1" s="1"/>
  <c r="R376" i="1"/>
  <c r="R375" i="1" l="1"/>
  <c r="S376" i="1"/>
  <c r="T376" i="1" s="1"/>
  <c r="S375" i="1" l="1"/>
  <c r="T375" i="1" s="1"/>
  <c r="R374" i="1"/>
  <c r="R373" i="1" l="1"/>
  <c r="S374" i="1"/>
  <c r="T374" i="1" s="1"/>
  <c r="S373" i="1" l="1"/>
  <c r="T373" i="1" s="1"/>
  <c r="R372" i="1"/>
  <c r="S372" i="1" l="1"/>
  <c r="T372" i="1" s="1"/>
  <c r="R371" i="1"/>
  <c r="R370" i="1" l="1"/>
  <c r="S371" i="1"/>
  <c r="T371" i="1" s="1"/>
  <c r="R369" i="1" l="1"/>
  <c r="S370" i="1"/>
  <c r="T370" i="1" s="1"/>
  <c r="S369" i="1" l="1"/>
  <c r="T369" i="1" s="1"/>
  <c r="R368" i="1"/>
  <c r="R367" i="1" l="1"/>
  <c r="S368" i="1"/>
  <c r="T368" i="1" s="1"/>
  <c r="S367" i="1" l="1"/>
  <c r="T367" i="1" s="1"/>
  <c r="R366" i="1"/>
  <c r="R365" i="1" l="1"/>
  <c r="S366" i="1"/>
  <c r="T366" i="1" s="1"/>
  <c r="R364" i="1" l="1"/>
  <c r="S365" i="1"/>
  <c r="T365" i="1" s="1"/>
  <c r="S364" i="1" l="1"/>
  <c r="T364" i="1" s="1"/>
  <c r="R363" i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S359" i="1" l="1"/>
  <c r="T359" i="1" s="1"/>
  <c r="R358" i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S354" i="1" l="1"/>
  <c r="T354" i="1" s="1"/>
  <c r="R353" i="1"/>
  <c r="S353" i="1" l="1"/>
  <c r="T353" i="1" s="1"/>
  <c r="R352" i="1"/>
  <c r="R351" i="1" l="1"/>
  <c r="S352" i="1"/>
  <c r="T352" i="1" s="1"/>
  <c r="S351" i="1" l="1"/>
  <c r="T351" i="1" s="1"/>
  <c r="R350" i="1"/>
  <c r="R349" i="1" l="1"/>
  <c r="S350" i="1"/>
  <c r="T350" i="1" s="1"/>
  <c r="S349" i="1" l="1"/>
  <c r="T349" i="1" s="1"/>
  <c r="R348" i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S335" i="1" l="1"/>
  <c r="T335" i="1" s="1"/>
  <c r="R334" i="1"/>
  <c r="R333" i="1" l="1"/>
  <c r="S334" i="1"/>
  <c r="T334" i="1" s="1"/>
  <c r="R332" i="1" l="1"/>
  <c r="S333" i="1"/>
  <c r="T333" i="1" s="1"/>
  <c r="S332" i="1" l="1"/>
  <c r="T332" i="1" s="1"/>
  <c r="R331" i="1"/>
  <c r="R330" i="1" l="1"/>
  <c r="S331" i="1"/>
  <c r="T331" i="1" s="1"/>
  <c r="S330" i="1" l="1"/>
  <c r="T330" i="1" s="1"/>
  <c r="R329" i="1"/>
  <c r="S329" i="1" l="1"/>
  <c r="T329" i="1" s="1"/>
  <c r="R328" i="1"/>
  <c r="R327" i="1" l="1"/>
  <c r="S328" i="1"/>
  <c r="T328" i="1" s="1"/>
  <c r="S327" i="1" l="1"/>
  <c r="T327" i="1" s="1"/>
  <c r="R326" i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S321" i="1" l="1"/>
  <c r="T321" i="1" s="1"/>
  <c r="R320" i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S311" i="1" l="1"/>
  <c r="T311" i="1" s="1"/>
  <c r="R310" i="1"/>
  <c r="R309" i="1" l="1"/>
  <c r="S310" i="1"/>
  <c r="T310" i="1" s="1"/>
  <c r="R308" i="1" l="1"/>
  <c r="S309" i="1"/>
  <c r="T309" i="1" s="1"/>
  <c r="S308" i="1" l="1"/>
  <c r="T308" i="1" s="1"/>
  <c r="R307" i="1"/>
  <c r="R306" i="1" l="1"/>
  <c r="S307" i="1"/>
  <c r="T307" i="1" s="1"/>
  <c r="S306" i="1" l="1"/>
  <c r="T306" i="1" s="1"/>
  <c r="R305" i="1"/>
  <c r="S305" i="1" l="1"/>
  <c r="T305" i="1" s="1"/>
  <c r="R304" i="1"/>
  <c r="R303" i="1" l="1"/>
  <c r="S304" i="1"/>
  <c r="T304" i="1" s="1"/>
  <c r="S303" i="1" l="1"/>
  <c r="T303" i="1" s="1"/>
  <c r="R302" i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S297" i="1" l="1"/>
  <c r="T297" i="1" s="1"/>
  <c r="R296" i="1"/>
  <c r="S296" i="1" l="1"/>
  <c r="T296" i="1" s="1"/>
  <c r="R295" i="1"/>
  <c r="S295" i="1" l="1"/>
  <c r="T295" i="1" s="1"/>
  <c r="R294" i="1"/>
  <c r="R293" i="1" l="1"/>
  <c r="S294" i="1"/>
  <c r="T294" i="1" s="1"/>
  <c r="R292" i="1" l="1"/>
  <c r="S293" i="1"/>
  <c r="T293" i="1" s="1"/>
  <c r="R291" i="1" l="1"/>
  <c r="S292" i="1"/>
  <c r="T292" i="1" s="1"/>
  <c r="S291" i="1" l="1"/>
  <c r="T291" i="1" s="1"/>
  <c r="R290" i="1"/>
  <c r="R289" i="1" l="1"/>
  <c r="S290" i="1"/>
  <c r="T290" i="1" s="1"/>
  <c r="R288" i="1" l="1"/>
  <c r="S289" i="1"/>
  <c r="T289" i="1" s="1"/>
  <c r="R287" i="1" l="1"/>
  <c r="S288" i="1"/>
  <c r="T288" i="1" s="1"/>
  <c r="S287" i="1" l="1"/>
  <c r="T287" i="1" s="1"/>
  <c r="R286" i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S282" i="1" l="1"/>
  <c r="T282" i="1" s="1"/>
  <c r="R281" i="1"/>
  <c r="S281" i="1" l="1"/>
  <c r="T281" i="1" s="1"/>
  <c r="R280" i="1"/>
  <c r="R279" i="1" l="1"/>
  <c r="S280" i="1"/>
  <c r="T280" i="1" s="1"/>
  <c r="S279" i="1" l="1"/>
  <c r="T279" i="1" s="1"/>
  <c r="R278" i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S273" i="1" l="1"/>
  <c r="T273" i="1" s="1"/>
  <c r="R272" i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S236" i="1" l="1"/>
  <c r="T236" i="1" s="1"/>
  <c r="R235" i="1"/>
  <c r="R234" i="1" l="1"/>
  <c r="S235" i="1"/>
  <c r="T235" i="1" s="1"/>
  <c r="S234" i="1" l="1"/>
  <c r="T234" i="1" s="1"/>
  <c r="R233" i="1"/>
  <c r="S233" i="1" l="1"/>
  <c r="T233" i="1" s="1"/>
  <c r="R232" i="1"/>
  <c r="R231" i="1" l="1"/>
  <c r="S232" i="1"/>
  <c r="T232" i="1" s="1"/>
  <c r="S231" i="1" l="1"/>
  <c r="T231" i="1" s="1"/>
  <c r="R230" i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S225" i="1" l="1"/>
  <c r="T225" i="1" s="1"/>
  <c r="R224" i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S210" i="1" l="1"/>
  <c r="T210" i="1" s="1"/>
  <c r="R209" i="1"/>
  <c r="S209" i="1" l="1"/>
  <c r="T209" i="1" s="1"/>
  <c r="R208" i="1"/>
  <c r="R207" i="1" l="1"/>
  <c r="S208" i="1"/>
  <c r="T208" i="1" s="1"/>
  <c r="S207" i="1" l="1"/>
  <c r="T207" i="1" s="1"/>
  <c r="R206" i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7" i="1" s="1"/>
  <c r="T197" i="1" s="1"/>
  <c r="S198" i="1"/>
  <c r="T198" i="1" s="1"/>
</calcChain>
</file>

<file path=xl/sharedStrings.xml><?xml version="1.0" encoding="utf-8"?>
<sst xmlns="http://schemas.openxmlformats.org/spreadsheetml/2006/main" count="4535" uniqueCount="34">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</sst>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(1)'!$A$197:$A$403</c:f>
              <c:numCache>
                <c:formatCode>m/d/yyyy</c:formatCode>
                <c:ptCount val="207"/>
                <c:pt idx="0">
                  <c:v>44396</c:v>
                </c:pt>
                <c:pt idx="1">
                  <c:v>44395</c:v>
                </c:pt>
                <c:pt idx="2">
                  <c:v>44394</c:v>
                </c:pt>
                <c:pt idx="3">
                  <c:v>44393</c:v>
                </c:pt>
                <c:pt idx="4">
                  <c:v>44392</c:v>
                </c:pt>
                <c:pt idx="5">
                  <c:v>44391</c:v>
                </c:pt>
                <c:pt idx="6">
                  <c:v>44390</c:v>
                </c:pt>
                <c:pt idx="7">
                  <c:v>44389</c:v>
                </c:pt>
                <c:pt idx="8">
                  <c:v>44388</c:v>
                </c:pt>
                <c:pt idx="9">
                  <c:v>44387</c:v>
                </c:pt>
                <c:pt idx="10">
                  <c:v>44386</c:v>
                </c:pt>
                <c:pt idx="11">
                  <c:v>44385</c:v>
                </c:pt>
                <c:pt idx="12">
                  <c:v>44384</c:v>
                </c:pt>
                <c:pt idx="13">
                  <c:v>44383</c:v>
                </c:pt>
                <c:pt idx="14">
                  <c:v>44382</c:v>
                </c:pt>
                <c:pt idx="15">
                  <c:v>44381</c:v>
                </c:pt>
                <c:pt idx="16">
                  <c:v>44380</c:v>
                </c:pt>
                <c:pt idx="17">
                  <c:v>44379</c:v>
                </c:pt>
                <c:pt idx="18">
                  <c:v>44378</c:v>
                </c:pt>
                <c:pt idx="19">
                  <c:v>44377</c:v>
                </c:pt>
                <c:pt idx="20">
                  <c:v>44376</c:v>
                </c:pt>
                <c:pt idx="21">
                  <c:v>44375</c:v>
                </c:pt>
                <c:pt idx="22">
                  <c:v>44374</c:v>
                </c:pt>
                <c:pt idx="23">
                  <c:v>44373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44367</c:v>
                </c:pt>
                <c:pt idx="30">
                  <c:v>44366</c:v>
                </c:pt>
                <c:pt idx="31">
                  <c:v>44365</c:v>
                </c:pt>
                <c:pt idx="32">
                  <c:v>44364</c:v>
                </c:pt>
                <c:pt idx="33">
                  <c:v>44363</c:v>
                </c:pt>
                <c:pt idx="34">
                  <c:v>44362</c:v>
                </c:pt>
                <c:pt idx="35">
                  <c:v>44361</c:v>
                </c:pt>
                <c:pt idx="36">
                  <c:v>44360</c:v>
                </c:pt>
                <c:pt idx="37">
                  <c:v>44359</c:v>
                </c:pt>
                <c:pt idx="38">
                  <c:v>44358</c:v>
                </c:pt>
                <c:pt idx="39">
                  <c:v>44357</c:v>
                </c:pt>
                <c:pt idx="40">
                  <c:v>44356</c:v>
                </c:pt>
                <c:pt idx="41">
                  <c:v>44355</c:v>
                </c:pt>
                <c:pt idx="42">
                  <c:v>44354</c:v>
                </c:pt>
                <c:pt idx="43">
                  <c:v>44353</c:v>
                </c:pt>
                <c:pt idx="44">
                  <c:v>44352</c:v>
                </c:pt>
                <c:pt idx="45">
                  <c:v>44351</c:v>
                </c:pt>
                <c:pt idx="46">
                  <c:v>44350</c:v>
                </c:pt>
                <c:pt idx="47">
                  <c:v>44349</c:v>
                </c:pt>
                <c:pt idx="48">
                  <c:v>44348</c:v>
                </c:pt>
                <c:pt idx="49">
                  <c:v>44347</c:v>
                </c:pt>
                <c:pt idx="50">
                  <c:v>44346</c:v>
                </c:pt>
                <c:pt idx="51">
                  <c:v>44345</c:v>
                </c:pt>
                <c:pt idx="52">
                  <c:v>44344</c:v>
                </c:pt>
                <c:pt idx="53">
                  <c:v>44343</c:v>
                </c:pt>
                <c:pt idx="54">
                  <c:v>44342</c:v>
                </c:pt>
                <c:pt idx="55">
                  <c:v>44341</c:v>
                </c:pt>
                <c:pt idx="56">
                  <c:v>44340</c:v>
                </c:pt>
                <c:pt idx="57">
                  <c:v>44339</c:v>
                </c:pt>
                <c:pt idx="58">
                  <c:v>44338</c:v>
                </c:pt>
                <c:pt idx="59">
                  <c:v>44337</c:v>
                </c:pt>
                <c:pt idx="60">
                  <c:v>44336</c:v>
                </c:pt>
                <c:pt idx="61">
                  <c:v>44335</c:v>
                </c:pt>
                <c:pt idx="62">
                  <c:v>44334</c:v>
                </c:pt>
                <c:pt idx="63">
                  <c:v>44333</c:v>
                </c:pt>
                <c:pt idx="64">
                  <c:v>44332</c:v>
                </c:pt>
                <c:pt idx="65">
                  <c:v>44331</c:v>
                </c:pt>
                <c:pt idx="66">
                  <c:v>44330</c:v>
                </c:pt>
                <c:pt idx="67">
                  <c:v>44329</c:v>
                </c:pt>
                <c:pt idx="68">
                  <c:v>44328</c:v>
                </c:pt>
                <c:pt idx="69">
                  <c:v>44327</c:v>
                </c:pt>
                <c:pt idx="70">
                  <c:v>44326</c:v>
                </c:pt>
                <c:pt idx="71">
                  <c:v>44325</c:v>
                </c:pt>
                <c:pt idx="72">
                  <c:v>44324</c:v>
                </c:pt>
                <c:pt idx="73">
                  <c:v>44323</c:v>
                </c:pt>
                <c:pt idx="74">
                  <c:v>44322</c:v>
                </c:pt>
                <c:pt idx="75">
                  <c:v>44321</c:v>
                </c:pt>
                <c:pt idx="76">
                  <c:v>44320</c:v>
                </c:pt>
                <c:pt idx="77">
                  <c:v>44319</c:v>
                </c:pt>
                <c:pt idx="78">
                  <c:v>44318</c:v>
                </c:pt>
                <c:pt idx="79">
                  <c:v>44317</c:v>
                </c:pt>
                <c:pt idx="80">
                  <c:v>44316</c:v>
                </c:pt>
                <c:pt idx="81">
                  <c:v>44315</c:v>
                </c:pt>
                <c:pt idx="82">
                  <c:v>44314</c:v>
                </c:pt>
                <c:pt idx="83">
                  <c:v>44313</c:v>
                </c:pt>
                <c:pt idx="84">
                  <c:v>44312</c:v>
                </c:pt>
                <c:pt idx="85">
                  <c:v>44311</c:v>
                </c:pt>
                <c:pt idx="86">
                  <c:v>44310</c:v>
                </c:pt>
                <c:pt idx="87">
                  <c:v>44309</c:v>
                </c:pt>
                <c:pt idx="88">
                  <c:v>44308</c:v>
                </c:pt>
                <c:pt idx="89">
                  <c:v>44307</c:v>
                </c:pt>
                <c:pt idx="90">
                  <c:v>44306</c:v>
                </c:pt>
                <c:pt idx="91">
                  <c:v>44305</c:v>
                </c:pt>
                <c:pt idx="92">
                  <c:v>44304</c:v>
                </c:pt>
                <c:pt idx="93">
                  <c:v>44303</c:v>
                </c:pt>
                <c:pt idx="94">
                  <c:v>44302</c:v>
                </c:pt>
                <c:pt idx="95">
                  <c:v>44301</c:v>
                </c:pt>
                <c:pt idx="96">
                  <c:v>44300</c:v>
                </c:pt>
                <c:pt idx="97">
                  <c:v>44299</c:v>
                </c:pt>
                <c:pt idx="98">
                  <c:v>44298</c:v>
                </c:pt>
                <c:pt idx="99">
                  <c:v>44297</c:v>
                </c:pt>
                <c:pt idx="100">
                  <c:v>44296</c:v>
                </c:pt>
                <c:pt idx="101">
                  <c:v>44295</c:v>
                </c:pt>
                <c:pt idx="102">
                  <c:v>44294</c:v>
                </c:pt>
                <c:pt idx="103">
                  <c:v>44293</c:v>
                </c:pt>
                <c:pt idx="104">
                  <c:v>44292</c:v>
                </c:pt>
                <c:pt idx="105">
                  <c:v>44291</c:v>
                </c:pt>
                <c:pt idx="106">
                  <c:v>44290</c:v>
                </c:pt>
                <c:pt idx="107">
                  <c:v>44289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44283</c:v>
                </c:pt>
                <c:pt idx="114">
                  <c:v>44282</c:v>
                </c:pt>
                <c:pt idx="115">
                  <c:v>44281</c:v>
                </c:pt>
                <c:pt idx="116">
                  <c:v>44280</c:v>
                </c:pt>
                <c:pt idx="117">
                  <c:v>44279</c:v>
                </c:pt>
                <c:pt idx="118">
                  <c:v>44278</c:v>
                </c:pt>
                <c:pt idx="119">
                  <c:v>44277</c:v>
                </c:pt>
                <c:pt idx="120">
                  <c:v>44276</c:v>
                </c:pt>
                <c:pt idx="121">
                  <c:v>44275</c:v>
                </c:pt>
                <c:pt idx="122">
                  <c:v>44274</c:v>
                </c:pt>
                <c:pt idx="123">
                  <c:v>44273</c:v>
                </c:pt>
                <c:pt idx="124">
                  <c:v>44272</c:v>
                </c:pt>
                <c:pt idx="125">
                  <c:v>44271</c:v>
                </c:pt>
                <c:pt idx="126">
                  <c:v>44270</c:v>
                </c:pt>
                <c:pt idx="127">
                  <c:v>44269</c:v>
                </c:pt>
                <c:pt idx="128">
                  <c:v>44268</c:v>
                </c:pt>
                <c:pt idx="129">
                  <c:v>44267</c:v>
                </c:pt>
                <c:pt idx="130">
                  <c:v>44266</c:v>
                </c:pt>
                <c:pt idx="131">
                  <c:v>44265</c:v>
                </c:pt>
                <c:pt idx="132">
                  <c:v>44264</c:v>
                </c:pt>
                <c:pt idx="133">
                  <c:v>44263</c:v>
                </c:pt>
                <c:pt idx="134">
                  <c:v>44262</c:v>
                </c:pt>
                <c:pt idx="135">
                  <c:v>44261</c:v>
                </c:pt>
                <c:pt idx="136">
                  <c:v>44260</c:v>
                </c:pt>
                <c:pt idx="137">
                  <c:v>44259</c:v>
                </c:pt>
                <c:pt idx="138">
                  <c:v>44258</c:v>
                </c:pt>
                <c:pt idx="139">
                  <c:v>44257</c:v>
                </c:pt>
                <c:pt idx="140">
                  <c:v>44256</c:v>
                </c:pt>
                <c:pt idx="141">
                  <c:v>44255</c:v>
                </c:pt>
                <c:pt idx="142">
                  <c:v>44254</c:v>
                </c:pt>
                <c:pt idx="143">
                  <c:v>44253</c:v>
                </c:pt>
                <c:pt idx="144">
                  <c:v>44252</c:v>
                </c:pt>
                <c:pt idx="145">
                  <c:v>44251</c:v>
                </c:pt>
                <c:pt idx="146">
                  <c:v>44250</c:v>
                </c:pt>
                <c:pt idx="147">
                  <c:v>44249</c:v>
                </c:pt>
                <c:pt idx="148">
                  <c:v>44248</c:v>
                </c:pt>
                <c:pt idx="149">
                  <c:v>44247</c:v>
                </c:pt>
                <c:pt idx="150">
                  <c:v>44246</c:v>
                </c:pt>
                <c:pt idx="151">
                  <c:v>44245</c:v>
                </c:pt>
                <c:pt idx="152">
                  <c:v>44244</c:v>
                </c:pt>
                <c:pt idx="153">
                  <c:v>44243</c:v>
                </c:pt>
                <c:pt idx="154">
                  <c:v>44242</c:v>
                </c:pt>
                <c:pt idx="155">
                  <c:v>44241</c:v>
                </c:pt>
                <c:pt idx="156">
                  <c:v>44240</c:v>
                </c:pt>
                <c:pt idx="157">
                  <c:v>44239</c:v>
                </c:pt>
                <c:pt idx="158">
                  <c:v>44238</c:v>
                </c:pt>
                <c:pt idx="159">
                  <c:v>44237</c:v>
                </c:pt>
                <c:pt idx="160">
                  <c:v>44236</c:v>
                </c:pt>
                <c:pt idx="161">
                  <c:v>44235</c:v>
                </c:pt>
                <c:pt idx="162">
                  <c:v>44234</c:v>
                </c:pt>
                <c:pt idx="163">
                  <c:v>44233</c:v>
                </c:pt>
                <c:pt idx="164">
                  <c:v>44232</c:v>
                </c:pt>
                <c:pt idx="165">
                  <c:v>44231</c:v>
                </c:pt>
                <c:pt idx="166">
                  <c:v>44230</c:v>
                </c:pt>
                <c:pt idx="167">
                  <c:v>44229</c:v>
                </c:pt>
                <c:pt idx="168">
                  <c:v>44228</c:v>
                </c:pt>
                <c:pt idx="169">
                  <c:v>44227</c:v>
                </c:pt>
                <c:pt idx="170">
                  <c:v>44226</c:v>
                </c:pt>
                <c:pt idx="171">
                  <c:v>44225</c:v>
                </c:pt>
                <c:pt idx="172">
                  <c:v>44224</c:v>
                </c:pt>
                <c:pt idx="173">
                  <c:v>44223</c:v>
                </c:pt>
                <c:pt idx="174">
                  <c:v>44222</c:v>
                </c:pt>
                <c:pt idx="175">
                  <c:v>44221</c:v>
                </c:pt>
                <c:pt idx="176">
                  <c:v>44220</c:v>
                </c:pt>
                <c:pt idx="177">
                  <c:v>44219</c:v>
                </c:pt>
                <c:pt idx="178">
                  <c:v>44218</c:v>
                </c:pt>
                <c:pt idx="179">
                  <c:v>44217</c:v>
                </c:pt>
                <c:pt idx="180">
                  <c:v>44216</c:v>
                </c:pt>
                <c:pt idx="181">
                  <c:v>44215</c:v>
                </c:pt>
                <c:pt idx="182">
                  <c:v>44214</c:v>
                </c:pt>
                <c:pt idx="183">
                  <c:v>44213</c:v>
                </c:pt>
                <c:pt idx="184">
                  <c:v>44212</c:v>
                </c:pt>
                <c:pt idx="185">
                  <c:v>44211</c:v>
                </c:pt>
                <c:pt idx="186">
                  <c:v>44210</c:v>
                </c:pt>
                <c:pt idx="187">
                  <c:v>44209</c:v>
                </c:pt>
                <c:pt idx="188">
                  <c:v>44208</c:v>
                </c:pt>
                <c:pt idx="189">
                  <c:v>44207</c:v>
                </c:pt>
                <c:pt idx="190">
                  <c:v>44206</c:v>
                </c:pt>
                <c:pt idx="191">
                  <c:v>44205</c:v>
                </c:pt>
                <c:pt idx="192">
                  <c:v>44204</c:v>
                </c:pt>
                <c:pt idx="193">
                  <c:v>44203</c:v>
                </c:pt>
                <c:pt idx="194">
                  <c:v>44202</c:v>
                </c:pt>
                <c:pt idx="195">
                  <c:v>44201</c:v>
                </c:pt>
                <c:pt idx="196">
                  <c:v>44200</c:v>
                </c:pt>
                <c:pt idx="197">
                  <c:v>44199</c:v>
                </c:pt>
                <c:pt idx="198">
                  <c:v>44198</c:v>
                </c:pt>
                <c:pt idx="199">
                  <c:v>44197</c:v>
                </c:pt>
                <c:pt idx="200">
                  <c:v>44196</c:v>
                </c:pt>
                <c:pt idx="201">
                  <c:v>44195</c:v>
                </c:pt>
                <c:pt idx="202">
                  <c:v>44194</c:v>
                </c:pt>
                <c:pt idx="203">
                  <c:v>44193</c:v>
                </c:pt>
                <c:pt idx="204">
                  <c:v>44192</c:v>
                </c:pt>
                <c:pt idx="205">
                  <c:v>44191</c:v>
                </c:pt>
                <c:pt idx="206">
                  <c:v>44190</c:v>
                </c:pt>
              </c:numCache>
            </c:numRef>
          </c:cat>
          <c:val>
            <c:numRef>
              <c:f>'table (1)'!$E$197:$E$403</c:f>
              <c:numCache>
                <c:formatCode>General</c:formatCode>
                <c:ptCount val="207"/>
                <c:pt idx="0">
                  <c:v>1.7877000000000001</c:v>
                </c:pt>
                <c:pt idx="1">
                  <c:v>2.0297000000000001</c:v>
                </c:pt>
                <c:pt idx="2">
                  <c:v>2.0137</c:v>
                </c:pt>
                <c:pt idx="3">
                  <c:v>1.9642999999999999</c:v>
                </c:pt>
                <c:pt idx="4">
                  <c:v>2.1463000000000001</c:v>
                </c:pt>
                <c:pt idx="5">
                  <c:v>2.2932000000000001</c:v>
                </c:pt>
                <c:pt idx="6">
                  <c:v>2.3207</c:v>
                </c:pt>
                <c:pt idx="7">
                  <c:v>2.4207999999999998</c:v>
                </c:pt>
                <c:pt idx="8">
                  <c:v>2.5177</c:v>
                </c:pt>
                <c:pt idx="9">
                  <c:v>2.4895999999999998</c:v>
                </c:pt>
                <c:pt idx="10">
                  <c:v>2.5783999999999998</c:v>
                </c:pt>
                <c:pt idx="11">
                  <c:v>2.5082</c:v>
                </c:pt>
                <c:pt idx="12">
                  <c:v>2.7612000000000001</c:v>
                </c:pt>
                <c:pt idx="13">
                  <c:v>2.8363</c:v>
                </c:pt>
                <c:pt idx="14">
                  <c:v>2.4876999999999998</c:v>
                </c:pt>
                <c:pt idx="15">
                  <c:v>2.5310000000000001</c:v>
                </c:pt>
                <c:pt idx="16">
                  <c:v>2.4853000000000001</c:v>
                </c:pt>
                <c:pt idx="17">
                  <c:v>2.3927999999999998</c:v>
                </c:pt>
                <c:pt idx="18">
                  <c:v>2.3666</c:v>
                </c:pt>
                <c:pt idx="19">
                  <c:v>2.5354999999999999</c:v>
                </c:pt>
                <c:pt idx="20">
                  <c:v>2.5434999999999999</c:v>
                </c:pt>
                <c:pt idx="21">
                  <c:v>2.4756999999999998</c:v>
                </c:pt>
                <c:pt idx="22">
                  <c:v>2.5061</c:v>
                </c:pt>
                <c:pt idx="23">
                  <c:v>2.351</c:v>
                </c:pt>
                <c:pt idx="24">
                  <c:v>2.3378999999999999</c:v>
                </c:pt>
                <c:pt idx="25">
                  <c:v>2.7279</c:v>
                </c:pt>
                <c:pt idx="26">
                  <c:v>2.6118000000000001</c:v>
                </c:pt>
                <c:pt idx="27">
                  <c:v>2.4060999999999999</c:v>
                </c:pt>
                <c:pt idx="28">
                  <c:v>2.6648999999999998</c:v>
                </c:pt>
                <c:pt idx="29">
                  <c:v>3.3980000000000001</c:v>
                </c:pt>
                <c:pt idx="30">
                  <c:v>3.0148999999999999</c:v>
                </c:pt>
                <c:pt idx="31">
                  <c:v>3.1640000000000001</c:v>
                </c:pt>
                <c:pt idx="32">
                  <c:v>3.4117999999999999</c:v>
                </c:pt>
                <c:pt idx="33">
                  <c:v>3.5968</c:v>
                </c:pt>
                <c:pt idx="34">
                  <c:v>3.7448999999999999</c:v>
                </c:pt>
                <c:pt idx="35">
                  <c:v>3.6850000000000001</c:v>
                </c:pt>
                <c:pt idx="36">
                  <c:v>3.0066999999999999</c:v>
                </c:pt>
                <c:pt idx="37">
                  <c:v>2.7252999999999998</c:v>
                </c:pt>
                <c:pt idx="38">
                  <c:v>2.7425999999999999</c:v>
                </c:pt>
                <c:pt idx="39">
                  <c:v>3.0122</c:v>
                </c:pt>
                <c:pt idx="40">
                  <c:v>3.1915</c:v>
                </c:pt>
                <c:pt idx="41">
                  <c:v>3.0960999999999999</c:v>
                </c:pt>
                <c:pt idx="42">
                  <c:v>3.4055</c:v>
                </c:pt>
                <c:pt idx="43">
                  <c:v>3.9098000000000002</c:v>
                </c:pt>
                <c:pt idx="44">
                  <c:v>3.6846000000000001</c:v>
                </c:pt>
                <c:pt idx="45">
                  <c:v>3.3719999999999999</c:v>
                </c:pt>
                <c:pt idx="46">
                  <c:v>3.4946000000000002</c:v>
                </c:pt>
                <c:pt idx="47">
                  <c:v>3.3752</c:v>
                </c:pt>
                <c:pt idx="48">
                  <c:v>3.1194999999999999</c:v>
                </c:pt>
                <c:pt idx="49">
                  <c:v>3.2054999999999998</c:v>
                </c:pt>
                <c:pt idx="50">
                  <c:v>2.8860999999999999</c:v>
                </c:pt>
                <c:pt idx="51">
                  <c:v>2.5678000000000001</c:v>
                </c:pt>
                <c:pt idx="52">
                  <c:v>2.7570999999999999</c:v>
                </c:pt>
                <c:pt idx="53">
                  <c:v>3.2803</c:v>
                </c:pt>
                <c:pt idx="54">
                  <c:v>3.4258999999999999</c:v>
                </c:pt>
                <c:pt idx="55">
                  <c:v>2.8913000000000002</c:v>
                </c:pt>
                <c:pt idx="56">
                  <c:v>2.9474999999999998</c:v>
                </c:pt>
                <c:pt idx="57">
                  <c:v>2.3355000000000001</c:v>
                </c:pt>
                <c:pt idx="58">
                  <c:v>2.7225999999999999</c:v>
                </c:pt>
                <c:pt idx="59">
                  <c:v>3.1168999999999998</c:v>
                </c:pt>
                <c:pt idx="60">
                  <c:v>3.5958999999999999</c:v>
                </c:pt>
                <c:pt idx="61">
                  <c:v>3.2101999999999999</c:v>
                </c:pt>
                <c:pt idx="62">
                  <c:v>5.2662000000000004</c:v>
                </c:pt>
                <c:pt idx="63">
                  <c:v>4.7037000000000004</c:v>
                </c:pt>
                <c:pt idx="64">
                  <c:v>5.1262999999999996</c:v>
                </c:pt>
                <c:pt idx="65">
                  <c:v>5.2564000000000002</c:v>
                </c:pt>
                <c:pt idx="66">
                  <c:v>5.7382999999999997</c:v>
                </c:pt>
                <c:pt idx="67">
                  <c:v>5.5712999999999999</c:v>
                </c:pt>
                <c:pt idx="68">
                  <c:v>5.6127000000000002</c:v>
                </c:pt>
                <c:pt idx="69">
                  <c:v>6.5350000000000001</c:v>
                </c:pt>
                <c:pt idx="70">
                  <c:v>6.1775000000000002</c:v>
                </c:pt>
                <c:pt idx="71">
                  <c:v>7.0800999999999998</c:v>
                </c:pt>
                <c:pt idx="72">
                  <c:v>7.4832000000000001</c:v>
                </c:pt>
                <c:pt idx="73">
                  <c:v>6.5777000000000001</c:v>
                </c:pt>
                <c:pt idx="74">
                  <c:v>6.6062000000000003</c:v>
                </c:pt>
                <c:pt idx="75">
                  <c:v>5.9842000000000004</c:v>
                </c:pt>
                <c:pt idx="76">
                  <c:v>5.2422000000000004</c:v>
                </c:pt>
                <c:pt idx="77">
                  <c:v>5.8674999999999997</c:v>
                </c:pt>
                <c:pt idx="78">
                  <c:v>5.3613999999999997</c:v>
                </c:pt>
                <c:pt idx="79">
                  <c:v>5.5239000000000003</c:v>
                </c:pt>
                <c:pt idx="80">
                  <c:v>5.64</c:v>
                </c:pt>
                <c:pt idx="81">
                  <c:v>5.4710000000000001</c:v>
                </c:pt>
                <c:pt idx="82">
                  <c:v>5.5507</c:v>
                </c:pt>
                <c:pt idx="83">
                  <c:v>5.1136999999999997</c:v>
                </c:pt>
                <c:pt idx="84">
                  <c:v>4.5488</c:v>
                </c:pt>
                <c:pt idx="85">
                  <c:v>3.9961000000000002</c:v>
                </c:pt>
                <c:pt idx="86">
                  <c:v>3.9538000000000002</c:v>
                </c:pt>
                <c:pt idx="87">
                  <c:v>4.2824</c:v>
                </c:pt>
                <c:pt idx="88">
                  <c:v>4.5867000000000004</c:v>
                </c:pt>
                <c:pt idx="89">
                  <c:v>5.0199999999999996</c:v>
                </c:pt>
                <c:pt idx="90">
                  <c:v>5.0183999999999997</c:v>
                </c:pt>
                <c:pt idx="91">
                  <c:v>4.8463000000000003</c:v>
                </c:pt>
                <c:pt idx="92">
                  <c:v>5.2942999999999998</c:v>
                </c:pt>
                <c:pt idx="93">
                  <c:v>6.4638999999999998</c:v>
                </c:pt>
                <c:pt idx="94">
                  <c:v>5.8106999999999998</c:v>
                </c:pt>
                <c:pt idx="95">
                  <c:v>6.0838999999999999</c:v>
                </c:pt>
                <c:pt idx="96">
                  <c:v>5.8760000000000003</c:v>
                </c:pt>
                <c:pt idx="97">
                  <c:v>5.6116000000000001</c:v>
                </c:pt>
                <c:pt idx="98">
                  <c:v>5.4953000000000003</c:v>
                </c:pt>
                <c:pt idx="99">
                  <c:v>5.6706000000000003</c:v>
                </c:pt>
                <c:pt idx="100">
                  <c:v>5.7302999999999997</c:v>
                </c:pt>
                <c:pt idx="101">
                  <c:v>6.1116999999999999</c:v>
                </c:pt>
                <c:pt idx="102">
                  <c:v>6.1886999999999999</c:v>
                </c:pt>
                <c:pt idx="103">
                  <c:v>5.5679999999999996</c:v>
                </c:pt>
                <c:pt idx="104">
                  <c:v>5.1768000000000001</c:v>
                </c:pt>
                <c:pt idx="105">
                  <c:v>5.3132999999999999</c:v>
                </c:pt>
                <c:pt idx="106">
                  <c:v>4.57</c:v>
                </c:pt>
                <c:pt idx="107">
                  <c:v>4.2403000000000004</c:v>
                </c:pt>
                <c:pt idx="108">
                  <c:v>4.6698000000000004</c:v>
                </c:pt>
                <c:pt idx="109">
                  <c:v>4.4500999999999999</c:v>
                </c:pt>
                <c:pt idx="110">
                  <c:v>4.3409000000000004</c:v>
                </c:pt>
                <c:pt idx="111">
                  <c:v>4.5031999999999996</c:v>
                </c:pt>
                <c:pt idx="112">
                  <c:v>4.6043000000000003</c:v>
                </c:pt>
                <c:pt idx="113">
                  <c:v>4.0881999999999996</c:v>
                </c:pt>
                <c:pt idx="114">
                  <c:v>3.9929000000000001</c:v>
                </c:pt>
                <c:pt idx="115">
                  <c:v>4.0015000000000001</c:v>
                </c:pt>
                <c:pt idx="116">
                  <c:v>3.669</c:v>
                </c:pt>
                <c:pt idx="117">
                  <c:v>3.7153999999999998</c:v>
                </c:pt>
                <c:pt idx="118">
                  <c:v>4.0853999999999999</c:v>
                </c:pt>
                <c:pt idx="119">
                  <c:v>4.3</c:v>
                </c:pt>
                <c:pt idx="120">
                  <c:v>4.6725000000000003</c:v>
                </c:pt>
                <c:pt idx="121">
                  <c:v>4.7019000000000002</c:v>
                </c:pt>
                <c:pt idx="122">
                  <c:v>4.8865999999999996</c:v>
                </c:pt>
                <c:pt idx="123">
                  <c:v>4.5727000000000002</c:v>
                </c:pt>
                <c:pt idx="124">
                  <c:v>5.0339999999999998</c:v>
                </c:pt>
                <c:pt idx="125">
                  <c:v>4.5602999999999998</c:v>
                </c:pt>
                <c:pt idx="126">
                  <c:v>3.9417</c:v>
                </c:pt>
                <c:pt idx="127">
                  <c:v>3.8321999999999998</c:v>
                </c:pt>
                <c:pt idx="128">
                  <c:v>4.0955000000000004</c:v>
                </c:pt>
                <c:pt idx="129">
                  <c:v>3.8026</c:v>
                </c:pt>
                <c:pt idx="130">
                  <c:v>3.9998999999999998</c:v>
                </c:pt>
                <c:pt idx="131">
                  <c:v>4.0046999999999997</c:v>
                </c:pt>
                <c:pt idx="132">
                  <c:v>4.4366000000000003</c:v>
                </c:pt>
                <c:pt idx="133">
                  <c:v>4.3249000000000004</c:v>
                </c:pt>
                <c:pt idx="134">
                  <c:v>3.9826999999999999</c:v>
                </c:pt>
                <c:pt idx="135">
                  <c:v>3.8626</c:v>
                </c:pt>
                <c:pt idx="136">
                  <c:v>3.7286999999999999</c:v>
                </c:pt>
                <c:pt idx="137">
                  <c:v>3.8365999999999998</c:v>
                </c:pt>
                <c:pt idx="138">
                  <c:v>4.0648</c:v>
                </c:pt>
                <c:pt idx="139">
                  <c:v>4.0087000000000002</c:v>
                </c:pt>
                <c:pt idx="140">
                  <c:v>4.1193999999999997</c:v>
                </c:pt>
                <c:pt idx="141">
                  <c:v>3.8407</c:v>
                </c:pt>
                <c:pt idx="142">
                  <c:v>4.1597999999999997</c:v>
                </c:pt>
                <c:pt idx="143">
                  <c:v>4.4897</c:v>
                </c:pt>
                <c:pt idx="144">
                  <c:v>3.9342000000000001</c:v>
                </c:pt>
                <c:pt idx="145">
                  <c:v>3.6436000000000002</c:v>
                </c:pt>
                <c:pt idx="146">
                  <c:v>3.6810999999999998</c:v>
                </c:pt>
                <c:pt idx="147">
                  <c:v>4.5316999999999998</c:v>
                </c:pt>
                <c:pt idx="148">
                  <c:v>5.0575000000000001</c:v>
                </c:pt>
                <c:pt idx="149">
                  <c:v>5.1292999999999997</c:v>
                </c:pt>
                <c:pt idx="150">
                  <c:v>4.6031000000000004</c:v>
                </c:pt>
                <c:pt idx="151">
                  <c:v>4.7717999999999998</c:v>
                </c:pt>
                <c:pt idx="152">
                  <c:v>4.8280000000000003</c:v>
                </c:pt>
                <c:pt idx="153">
                  <c:v>4.7567000000000004</c:v>
                </c:pt>
                <c:pt idx="154">
                  <c:v>4.95</c:v>
                </c:pt>
                <c:pt idx="155">
                  <c:v>5.25</c:v>
                </c:pt>
                <c:pt idx="156">
                  <c:v>5.7</c:v>
                </c:pt>
                <c:pt idx="157">
                  <c:v>5.2527999999999997</c:v>
                </c:pt>
                <c:pt idx="158">
                  <c:v>5.6254</c:v>
                </c:pt>
                <c:pt idx="159">
                  <c:v>4.8912000000000004</c:v>
                </c:pt>
                <c:pt idx="160">
                  <c:v>5.0670000000000002</c:v>
                </c:pt>
                <c:pt idx="161">
                  <c:v>5.3250999999999999</c:v>
                </c:pt>
                <c:pt idx="162">
                  <c:v>4.9512</c:v>
                </c:pt>
                <c:pt idx="163">
                  <c:v>5.26</c:v>
                </c:pt>
                <c:pt idx="164">
                  <c:v>5.8250000000000002</c:v>
                </c:pt>
                <c:pt idx="165">
                  <c:v>5.5705</c:v>
                </c:pt>
                <c:pt idx="166">
                  <c:v>5.0362999999999998</c:v>
                </c:pt>
                <c:pt idx="167">
                  <c:v>4.6714000000000002</c:v>
                </c:pt>
                <c:pt idx="168">
                  <c:v>5.0194000000000001</c:v>
                </c:pt>
                <c:pt idx="169">
                  <c:v>4.9309000000000003</c:v>
                </c:pt>
                <c:pt idx="170">
                  <c:v>4.5860000000000003</c:v>
                </c:pt>
                <c:pt idx="171">
                  <c:v>3.3511000000000002</c:v>
                </c:pt>
                <c:pt idx="172">
                  <c:v>3.1196999999999999</c:v>
                </c:pt>
                <c:pt idx="173">
                  <c:v>2.4954999999999998</c:v>
                </c:pt>
                <c:pt idx="174">
                  <c:v>2.6880999999999999</c:v>
                </c:pt>
                <c:pt idx="175">
                  <c:v>2.3584999999999998</c:v>
                </c:pt>
                <c:pt idx="176">
                  <c:v>2.4742999999999999</c:v>
                </c:pt>
                <c:pt idx="177">
                  <c:v>1.9309000000000001</c:v>
                </c:pt>
                <c:pt idx="178">
                  <c:v>1.7562</c:v>
                </c:pt>
                <c:pt idx="179">
                  <c:v>1.569</c:v>
                </c:pt>
                <c:pt idx="180">
                  <c:v>1.847</c:v>
                </c:pt>
                <c:pt idx="181">
                  <c:v>1.9005000000000001</c:v>
                </c:pt>
                <c:pt idx="182">
                  <c:v>1.8827</c:v>
                </c:pt>
                <c:pt idx="183">
                  <c:v>2.0362</c:v>
                </c:pt>
                <c:pt idx="184">
                  <c:v>1.6318999999999999</c:v>
                </c:pt>
                <c:pt idx="185">
                  <c:v>1.3515999999999999</c:v>
                </c:pt>
                <c:pt idx="186">
                  <c:v>1.3394999999999999</c:v>
                </c:pt>
                <c:pt idx="187">
                  <c:v>1.2769999999999999</c:v>
                </c:pt>
                <c:pt idx="188">
                  <c:v>1.1274999999999999</c:v>
                </c:pt>
                <c:pt idx="189">
                  <c:v>1.1243000000000001</c:v>
                </c:pt>
                <c:pt idx="190">
                  <c:v>1.2058</c:v>
                </c:pt>
                <c:pt idx="191">
                  <c:v>1.2431000000000001</c:v>
                </c:pt>
                <c:pt idx="192">
                  <c:v>1.1867000000000001</c:v>
                </c:pt>
                <c:pt idx="193">
                  <c:v>1.2925</c:v>
                </c:pt>
                <c:pt idx="194">
                  <c:v>1.51</c:v>
                </c:pt>
                <c:pt idx="195">
                  <c:v>1.2501</c:v>
                </c:pt>
                <c:pt idx="196">
                  <c:v>1.0317000000000001</c:v>
                </c:pt>
                <c:pt idx="197">
                  <c:v>1.1080000000000001</c:v>
                </c:pt>
                <c:pt idx="198">
                  <c:v>1.0249999999999999</c:v>
                </c:pt>
                <c:pt idx="199">
                  <c:v>1.155</c:v>
                </c:pt>
                <c:pt idx="200">
                  <c:v>1.3636999999999999</c:v>
                </c:pt>
                <c:pt idx="201">
                  <c:v>1.0933999999999999</c:v>
                </c:pt>
                <c:pt idx="202">
                  <c:v>0.88449999999999995</c:v>
                </c:pt>
                <c:pt idx="203">
                  <c:v>1.1140000000000001</c:v>
                </c:pt>
                <c:pt idx="204">
                  <c:v>1.0611999999999999</c:v>
                </c:pt>
                <c:pt idx="205">
                  <c:v>1.5967</c:v>
                </c:pt>
                <c:pt idx="206">
                  <c:v>2.2953999999999999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B-4245-A963-B352033B8C5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(1)'!$A$197:$A$403</c:f>
              <c:numCache>
                <c:formatCode>m/d/yyyy</c:formatCode>
                <c:ptCount val="207"/>
                <c:pt idx="0">
                  <c:v>44396</c:v>
                </c:pt>
                <c:pt idx="1">
                  <c:v>44395</c:v>
                </c:pt>
                <c:pt idx="2">
                  <c:v>44394</c:v>
                </c:pt>
                <c:pt idx="3">
                  <c:v>44393</c:v>
                </c:pt>
                <c:pt idx="4">
                  <c:v>44392</c:v>
                </c:pt>
                <c:pt idx="5">
                  <c:v>44391</c:v>
                </c:pt>
                <c:pt idx="6">
                  <c:v>44390</c:v>
                </c:pt>
                <c:pt idx="7">
                  <c:v>44389</c:v>
                </c:pt>
                <c:pt idx="8">
                  <c:v>44388</c:v>
                </c:pt>
                <c:pt idx="9">
                  <c:v>44387</c:v>
                </c:pt>
                <c:pt idx="10">
                  <c:v>44386</c:v>
                </c:pt>
                <c:pt idx="11">
                  <c:v>44385</c:v>
                </c:pt>
                <c:pt idx="12">
                  <c:v>44384</c:v>
                </c:pt>
                <c:pt idx="13">
                  <c:v>44383</c:v>
                </c:pt>
                <c:pt idx="14">
                  <c:v>44382</c:v>
                </c:pt>
                <c:pt idx="15">
                  <c:v>44381</c:v>
                </c:pt>
                <c:pt idx="16">
                  <c:v>44380</c:v>
                </c:pt>
                <c:pt idx="17">
                  <c:v>44379</c:v>
                </c:pt>
                <c:pt idx="18">
                  <c:v>44378</c:v>
                </c:pt>
                <c:pt idx="19">
                  <c:v>44377</c:v>
                </c:pt>
                <c:pt idx="20">
                  <c:v>44376</c:v>
                </c:pt>
                <c:pt idx="21">
                  <c:v>44375</c:v>
                </c:pt>
                <c:pt idx="22">
                  <c:v>44374</c:v>
                </c:pt>
                <c:pt idx="23">
                  <c:v>44373</c:v>
                </c:pt>
                <c:pt idx="24">
                  <c:v>44372</c:v>
                </c:pt>
                <c:pt idx="25">
                  <c:v>44371</c:v>
                </c:pt>
                <c:pt idx="26">
                  <c:v>44370</c:v>
                </c:pt>
                <c:pt idx="27">
                  <c:v>44369</c:v>
                </c:pt>
                <c:pt idx="28">
                  <c:v>44368</c:v>
                </c:pt>
                <c:pt idx="29">
                  <c:v>44367</c:v>
                </c:pt>
                <c:pt idx="30">
                  <c:v>44366</c:v>
                </c:pt>
                <c:pt idx="31">
                  <c:v>44365</c:v>
                </c:pt>
                <c:pt idx="32">
                  <c:v>44364</c:v>
                </c:pt>
                <c:pt idx="33">
                  <c:v>44363</c:v>
                </c:pt>
                <c:pt idx="34">
                  <c:v>44362</c:v>
                </c:pt>
                <c:pt idx="35">
                  <c:v>44361</c:v>
                </c:pt>
                <c:pt idx="36">
                  <c:v>44360</c:v>
                </c:pt>
                <c:pt idx="37">
                  <c:v>44359</c:v>
                </c:pt>
                <c:pt idx="38">
                  <c:v>44358</c:v>
                </c:pt>
                <c:pt idx="39">
                  <c:v>44357</c:v>
                </c:pt>
                <c:pt idx="40">
                  <c:v>44356</c:v>
                </c:pt>
                <c:pt idx="41">
                  <c:v>44355</c:v>
                </c:pt>
                <c:pt idx="42">
                  <c:v>44354</c:v>
                </c:pt>
                <c:pt idx="43">
                  <c:v>44353</c:v>
                </c:pt>
                <c:pt idx="44">
                  <c:v>44352</c:v>
                </c:pt>
                <c:pt idx="45">
                  <c:v>44351</c:v>
                </c:pt>
                <c:pt idx="46">
                  <c:v>44350</c:v>
                </c:pt>
                <c:pt idx="47">
                  <c:v>44349</c:v>
                </c:pt>
                <c:pt idx="48">
                  <c:v>44348</c:v>
                </c:pt>
                <c:pt idx="49">
                  <c:v>44347</c:v>
                </c:pt>
                <c:pt idx="50">
                  <c:v>44346</c:v>
                </c:pt>
                <c:pt idx="51">
                  <c:v>44345</c:v>
                </c:pt>
                <c:pt idx="52">
                  <c:v>44344</c:v>
                </c:pt>
                <c:pt idx="53">
                  <c:v>44343</c:v>
                </c:pt>
                <c:pt idx="54">
                  <c:v>44342</c:v>
                </c:pt>
                <c:pt idx="55">
                  <c:v>44341</c:v>
                </c:pt>
                <c:pt idx="56">
                  <c:v>44340</c:v>
                </c:pt>
                <c:pt idx="57">
                  <c:v>44339</c:v>
                </c:pt>
                <c:pt idx="58">
                  <c:v>44338</c:v>
                </c:pt>
                <c:pt idx="59">
                  <c:v>44337</c:v>
                </c:pt>
                <c:pt idx="60">
                  <c:v>44336</c:v>
                </c:pt>
                <c:pt idx="61">
                  <c:v>44335</c:v>
                </c:pt>
                <c:pt idx="62">
                  <c:v>44334</c:v>
                </c:pt>
                <c:pt idx="63">
                  <c:v>44333</c:v>
                </c:pt>
                <c:pt idx="64">
                  <c:v>44332</c:v>
                </c:pt>
                <c:pt idx="65">
                  <c:v>44331</c:v>
                </c:pt>
                <c:pt idx="66">
                  <c:v>44330</c:v>
                </c:pt>
                <c:pt idx="67">
                  <c:v>44329</c:v>
                </c:pt>
                <c:pt idx="68">
                  <c:v>44328</c:v>
                </c:pt>
                <c:pt idx="69">
                  <c:v>44327</c:v>
                </c:pt>
                <c:pt idx="70">
                  <c:v>44326</c:v>
                </c:pt>
                <c:pt idx="71">
                  <c:v>44325</c:v>
                </c:pt>
                <c:pt idx="72">
                  <c:v>44324</c:v>
                </c:pt>
                <c:pt idx="73">
                  <c:v>44323</c:v>
                </c:pt>
                <c:pt idx="74">
                  <c:v>44322</c:v>
                </c:pt>
                <c:pt idx="75">
                  <c:v>44321</c:v>
                </c:pt>
                <c:pt idx="76">
                  <c:v>44320</c:v>
                </c:pt>
                <c:pt idx="77">
                  <c:v>44319</c:v>
                </c:pt>
                <c:pt idx="78">
                  <c:v>44318</c:v>
                </c:pt>
                <c:pt idx="79">
                  <c:v>44317</c:v>
                </c:pt>
                <c:pt idx="80">
                  <c:v>44316</c:v>
                </c:pt>
                <c:pt idx="81">
                  <c:v>44315</c:v>
                </c:pt>
                <c:pt idx="82">
                  <c:v>44314</c:v>
                </c:pt>
                <c:pt idx="83">
                  <c:v>44313</c:v>
                </c:pt>
                <c:pt idx="84">
                  <c:v>44312</c:v>
                </c:pt>
                <c:pt idx="85">
                  <c:v>44311</c:v>
                </c:pt>
                <c:pt idx="86">
                  <c:v>44310</c:v>
                </c:pt>
                <c:pt idx="87">
                  <c:v>44309</c:v>
                </c:pt>
                <c:pt idx="88">
                  <c:v>44308</c:v>
                </c:pt>
                <c:pt idx="89">
                  <c:v>44307</c:v>
                </c:pt>
                <c:pt idx="90">
                  <c:v>44306</c:v>
                </c:pt>
                <c:pt idx="91">
                  <c:v>44305</c:v>
                </c:pt>
                <c:pt idx="92">
                  <c:v>44304</c:v>
                </c:pt>
                <c:pt idx="93">
                  <c:v>44303</c:v>
                </c:pt>
                <c:pt idx="94">
                  <c:v>44302</c:v>
                </c:pt>
                <c:pt idx="95">
                  <c:v>44301</c:v>
                </c:pt>
                <c:pt idx="96">
                  <c:v>44300</c:v>
                </c:pt>
                <c:pt idx="97">
                  <c:v>44299</c:v>
                </c:pt>
                <c:pt idx="98">
                  <c:v>44298</c:v>
                </c:pt>
                <c:pt idx="99">
                  <c:v>44297</c:v>
                </c:pt>
                <c:pt idx="100">
                  <c:v>44296</c:v>
                </c:pt>
                <c:pt idx="101">
                  <c:v>44295</c:v>
                </c:pt>
                <c:pt idx="102">
                  <c:v>44294</c:v>
                </c:pt>
                <c:pt idx="103">
                  <c:v>44293</c:v>
                </c:pt>
                <c:pt idx="104">
                  <c:v>44292</c:v>
                </c:pt>
                <c:pt idx="105">
                  <c:v>44291</c:v>
                </c:pt>
                <c:pt idx="106">
                  <c:v>44290</c:v>
                </c:pt>
                <c:pt idx="107">
                  <c:v>44289</c:v>
                </c:pt>
                <c:pt idx="108">
                  <c:v>44288</c:v>
                </c:pt>
                <c:pt idx="109">
                  <c:v>44287</c:v>
                </c:pt>
                <c:pt idx="110">
                  <c:v>44286</c:v>
                </c:pt>
                <c:pt idx="111">
                  <c:v>44285</c:v>
                </c:pt>
                <c:pt idx="112">
                  <c:v>44284</c:v>
                </c:pt>
                <c:pt idx="113">
                  <c:v>44283</c:v>
                </c:pt>
                <c:pt idx="114">
                  <c:v>44282</c:v>
                </c:pt>
                <c:pt idx="115">
                  <c:v>44281</c:v>
                </c:pt>
                <c:pt idx="116">
                  <c:v>44280</c:v>
                </c:pt>
                <c:pt idx="117">
                  <c:v>44279</c:v>
                </c:pt>
                <c:pt idx="118">
                  <c:v>44278</c:v>
                </c:pt>
                <c:pt idx="119">
                  <c:v>44277</c:v>
                </c:pt>
                <c:pt idx="120">
                  <c:v>44276</c:v>
                </c:pt>
                <c:pt idx="121">
                  <c:v>44275</c:v>
                </c:pt>
                <c:pt idx="122">
                  <c:v>44274</c:v>
                </c:pt>
                <c:pt idx="123">
                  <c:v>44273</c:v>
                </c:pt>
                <c:pt idx="124">
                  <c:v>44272</c:v>
                </c:pt>
                <c:pt idx="125">
                  <c:v>44271</c:v>
                </c:pt>
                <c:pt idx="126">
                  <c:v>44270</c:v>
                </c:pt>
                <c:pt idx="127">
                  <c:v>44269</c:v>
                </c:pt>
                <c:pt idx="128">
                  <c:v>44268</c:v>
                </c:pt>
                <c:pt idx="129">
                  <c:v>44267</c:v>
                </c:pt>
                <c:pt idx="130">
                  <c:v>44266</c:v>
                </c:pt>
                <c:pt idx="131">
                  <c:v>44265</c:v>
                </c:pt>
                <c:pt idx="132">
                  <c:v>44264</c:v>
                </c:pt>
                <c:pt idx="133">
                  <c:v>44263</c:v>
                </c:pt>
                <c:pt idx="134">
                  <c:v>44262</c:v>
                </c:pt>
                <c:pt idx="135">
                  <c:v>44261</c:v>
                </c:pt>
                <c:pt idx="136">
                  <c:v>44260</c:v>
                </c:pt>
                <c:pt idx="137">
                  <c:v>44259</c:v>
                </c:pt>
                <c:pt idx="138">
                  <c:v>44258</c:v>
                </c:pt>
                <c:pt idx="139">
                  <c:v>44257</c:v>
                </c:pt>
                <c:pt idx="140">
                  <c:v>44256</c:v>
                </c:pt>
                <c:pt idx="141">
                  <c:v>44255</c:v>
                </c:pt>
                <c:pt idx="142">
                  <c:v>44254</c:v>
                </c:pt>
                <c:pt idx="143">
                  <c:v>44253</c:v>
                </c:pt>
                <c:pt idx="144">
                  <c:v>44252</c:v>
                </c:pt>
                <c:pt idx="145">
                  <c:v>44251</c:v>
                </c:pt>
                <c:pt idx="146">
                  <c:v>44250</c:v>
                </c:pt>
                <c:pt idx="147">
                  <c:v>44249</c:v>
                </c:pt>
                <c:pt idx="148">
                  <c:v>44248</c:v>
                </c:pt>
                <c:pt idx="149">
                  <c:v>44247</c:v>
                </c:pt>
                <c:pt idx="150">
                  <c:v>44246</c:v>
                </c:pt>
                <c:pt idx="151">
                  <c:v>44245</c:v>
                </c:pt>
                <c:pt idx="152">
                  <c:v>44244</c:v>
                </c:pt>
                <c:pt idx="153">
                  <c:v>44243</c:v>
                </c:pt>
                <c:pt idx="154">
                  <c:v>44242</c:v>
                </c:pt>
                <c:pt idx="155">
                  <c:v>44241</c:v>
                </c:pt>
                <c:pt idx="156">
                  <c:v>44240</c:v>
                </c:pt>
                <c:pt idx="157">
                  <c:v>44239</c:v>
                </c:pt>
                <c:pt idx="158">
                  <c:v>44238</c:v>
                </c:pt>
                <c:pt idx="159">
                  <c:v>44237</c:v>
                </c:pt>
                <c:pt idx="160">
                  <c:v>44236</c:v>
                </c:pt>
                <c:pt idx="161">
                  <c:v>44235</c:v>
                </c:pt>
                <c:pt idx="162">
                  <c:v>44234</c:v>
                </c:pt>
                <c:pt idx="163">
                  <c:v>44233</c:v>
                </c:pt>
                <c:pt idx="164">
                  <c:v>44232</c:v>
                </c:pt>
                <c:pt idx="165">
                  <c:v>44231</c:v>
                </c:pt>
                <c:pt idx="166">
                  <c:v>44230</c:v>
                </c:pt>
                <c:pt idx="167">
                  <c:v>44229</c:v>
                </c:pt>
                <c:pt idx="168">
                  <c:v>44228</c:v>
                </c:pt>
                <c:pt idx="169">
                  <c:v>44227</c:v>
                </c:pt>
                <c:pt idx="170">
                  <c:v>44226</c:v>
                </c:pt>
                <c:pt idx="171">
                  <c:v>44225</c:v>
                </c:pt>
                <c:pt idx="172">
                  <c:v>44224</c:v>
                </c:pt>
                <c:pt idx="173">
                  <c:v>44223</c:v>
                </c:pt>
                <c:pt idx="174">
                  <c:v>44222</c:v>
                </c:pt>
                <c:pt idx="175">
                  <c:v>44221</c:v>
                </c:pt>
                <c:pt idx="176">
                  <c:v>44220</c:v>
                </c:pt>
                <c:pt idx="177">
                  <c:v>44219</c:v>
                </c:pt>
                <c:pt idx="178">
                  <c:v>44218</c:v>
                </c:pt>
                <c:pt idx="179">
                  <c:v>44217</c:v>
                </c:pt>
                <c:pt idx="180">
                  <c:v>44216</c:v>
                </c:pt>
                <c:pt idx="181">
                  <c:v>44215</c:v>
                </c:pt>
                <c:pt idx="182">
                  <c:v>44214</c:v>
                </c:pt>
                <c:pt idx="183">
                  <c:v>44213</c:v>
                </c:pt>
                <c:pt idx="184">
                  <c:v>44212</c:v>
                </c:pt>
                <c:pt idx="185">
                  <c:v>44211</c:v>
                </c:pt>
                <c:pt idx="186">
                  <c:v>44210</c:v>
                </c:pt>
                <c:pt idx="187">
                  <c:v>44209</c:v>
                </c:pt>
                <c:pt idx="188">
                  <c:v>44208</c:v>
                </c:pt>
                <c:pt idx="189">
                  <c:v>44207</c:v>
                </c:pt>
                <c:pt idx="190">
                  <c:v>44206</c:v>
                </c:pt>
                <c:pt idx="191">
                  <c:v>44205</c:v>
                </c:pt>
                <c:pt idx="192">
                  <c:v>44204</c:v>
                </c:pt>
                <c:pt idx="193">
                  <c:v>44203</c:v>
                </c:pt>
                <c:pt idx="194">
                  <c:v>44202</c:v>
                </c:pt>
                <c:pt idx="195">
                  <c:v>44201</c:v>
                </c:pt>
                <c:pt idx="196">
                  <c:v>44200</c:v>
                </c:pt>
                <c:pt idx="197">
                  <c:v>44199</c:v>
                </c:pt>
                <c:pt idx="198">
                  <c:v>44198</c:v>
                </c:pt>
                <c:pt idx="199">
                  <c:v>44197</c:v>
                </c:pt>
                <c:pt idx="200">
                  <c:v>44196</c:v>
                </c:pt>
                <c:pt idx="201">
                  <c:v>44195</c:v>
                </c:pt>
                <c:pt idx="202">
                  <c:v>44194</c:v>
                </c:pt>
                <c:pt idx="203">
                  <c:v>44193</c:v>
                </c:pt>
                <c:pt idx="204">
                  <c:v>44192</c:v>
                </c:pt>
                <c:pt idx="205">
                  <c:v>44191</c:v>
                </c:pt>
                <c:pt idx="206">
                  <c:v>44190</c:v>
                </c:pt>
              </c:numCache>
            </c:numRef>
          </c:cat>
          <c:val>
            <c:numRef>
              <c:f>'table (1)'!$T$197:$T$403</c:f>
              <c:numCache>
                <c:formatCode>General</c:formatCode>
                <c:ptCount val="207"/>
                <c:pt idx="0">
                  <c:v>0.61932579879332317</c:v>
                </c:pt>
                <c:pt idx="1">
                  <c:v>0.67667639285508674</c:v>
                </c:pt>
                <c:pt idx="2">
                  <c:v>0.69134632582616518</c:v>
                </c:pt>
                <c:pt idx="3">
                  <c:v>0.69394310621178523</c:v>
                </c:pt>
                <c:pt idx="4">
                  <c:v>0.77948265494428337</c:v>
                </c:pt>
                <c:pt idx="5">
                  <c:v>0.82305851341558811</c:v>
                </c:pt>
                <c:pt idx="6">
                  <c:v>0.8112109286194048</c:v>
                </c:pt>
                <c:pt idx="7">
                  <c:v>0.832240303074266</c:v>
                </c:pt>
                <c:pt idx="8">
                  <c:v>0.85307455028093282</c:v>
                </c:pt>
                <c:pt idx="9">
                  <c:v>0.84812739319163699</c:v>
                </c:pt>
                <c:pt idx="10">
                  <c:v>0.85986393732987365</c:v>
                </c:pt>
                <c:pt idx="11">
                  <c:v>0.83621969373005522</c:v>
                </c:pt>
                <c:pt idx="12">
                  <c:v>0.8704134300226829</c:v>
                </c:pt>
                <c:pt idx="13">
                  <c:v>0.92298226283605167</c:v>
                </c:pt>
                <c:pt idx="14">
                  <c:v>0.84432940125067046</c:v>
                </c:pt>
                <c:pt idx="15">
                  <c:v>0.81956080181181168</c:v>
                </c:pt>
                <c:pt idx="16">
                  <c:v>0.82422406874919618</c:v>
                </c:pt>
                <c:pt idx="17">
                  <c:v>0.78834431757654644</c:v>
                </c:pt>
                <c:pt idx="18">
                  <c:v>0.7600595865723232</c:v>
                </c:pt>
                <c:pt idx="19">
                  <c:v>0.78173458793931827</c:v>
                </c:pt>
                <c:pt idx="20">
                  <c:v>0.73909033428197091</c:v>
                </c:pt>
                <c:pt idx="21">
                  <c:v>0.76369929041888041</c:v>
                </c:pt>
                <c:pt idx="22">
                  <c:v>0.75953502700241415</c:v>
                </c:pt>
                <c:pt idx="23">
                  <c:v>0.71346412944370785</c:v>
                </c:pt>
                <c:pt idx="24">
                  <c:v>0.70189065046498877</c:v>
                </c:pt>
                <c:pt idx="25">
                  <c:v>0.7894153939515095</c:v>
                </c:pt>
                <c:pt idx="26">
                  <c:v>0.74948722466869167</c:v>
                </c:pt>
                <c:pt idx="27">
                  <c:v>0.72605862880521399</c:v>
                </c:pt>
                <c:pt idx="28">
                  <c:v>0.75330223346780167</c:v>
                </c:pt>
                <c:pt idx="29">
                  <c:v>0.92073738976451724</c:v>
                </c:pt>
                <c:pt idx="30">
                  <c:v>0.85610931538665214</c:v>
                </c:pt>
                <c:pt idx="31">
                  <c:v>0.89977435388027971</c:v>
                </c:pt>
                <c:pt idx="32">
                  <c:v>0.92080177501541483</c:v>
                </c:pt>
                <c:pt idx="33">
                  <c:v>0.97098283024099219</c:v>
                </c:pt>
                <c:pt idx="34">
                  <c:v>1.0470546986491873</c:v>
                </c:pt>
                <c:pt idx="35">
                  <c:v>0.99717066201736748</c:v>
                </c:pt>
                <c:pt idx="36">
                  <c:v>0.82019280165260045</c:v>
                </c:pt>
                <c:pt idx="37">
                  <c:v>0.75786280997193745</c:v>
                </c:pt>
                <c:pt idx="38">
                  <c:v>0.74835072489108057</c:v>
                </c:pt>
                <c:pt idx="39">
                  <c:v>0.78919835032995744</c:v>
                </c:pt>
                <c:pt idx="40">
                  <c:v>0.80752108287702618</c:v>
                </c:pt>
                <c:pt idx="41">
                  <c:v>0.67689596990342316</c:v>
                </c:pt>
                <c:pt idx="42">
                  <c:v>0.69704318467816362</c:v>
                </c:pt>
                <c:pt idx="43">
                  <c:v>0.75434376120440572</c:v>
                </c:pt>
                <c:pt idx="44">
                  <c:v>0.73785606345552601</c:v>
                </c:pt>
                <c:pt idx="45">
                  <c:v>0.73353999818268478</c:v>
                </c:pt>
                <c:pt idx="46">
                  <c:v>0.75558519633487298</c:v>
                </c:pt>
                <c:pt idx="47">
                  <c:v>0.73391297826086699</c:v>
                </c:pt>
                <c:pt idx="48">
                  <c:v>0.70475347707488156</c:v>
                </c:pt>
                <c:pt idx="49">
                  <c:v>0.70887217648399514</c:v>
                </c:pt>
                <c:pt idx="50">
                  <c:v>0.64484685034505573</c:v>
                </c:pt>
                <c:pt idx="51">
                  <c:v>0.596520876849856</c:v>
                </c:pt>
                <c:pt idx="52">
                  <c:v>0.64155394890688255</c:v>
                </c:pt>
                <c:pt idx="53">
                  <c:v>0.71944779858703978</c:v>
                </c:pt>
                <c:pt idx="54">
                  <c:v>0.69529958662357139</c:v>
                </c:pt>
                <c:pt idx="55">
                  <c:v>0.58136694386700538</c:v>
                </c:pt>
                <c:pt idx="56">
                  <c:v>0.55092530927611216</c:v>
                </c:pt>
                <c:pt idx="57">
                  <c:v>0.41619381906106939</c:v>
                </c:pt>
                <c:pt idx="58">
                  <c:v>0.41442727349620179</c:v>
                </c:pt>
                <c:pt idx="59">
                  <c:v>0.51591168389137065</c:v>
                </c:pt>
                <c:pt idx="60">
                  <c:v>0.54763353650592295</c:v>
                </c:pt>
                <c:pt idx="61">
                  <c:v>0.46499282756220622</c:v>
                </c:pt>
                <c:pt idx="62">
                  <c:v>0.67558881162148321</c:v>
                </c:pt>
                <c:pt idx="63">
                  <c:v>0.58640469237804604</c:v>
                </c:pt>
                <c:pt idx="64">
                  <c:v>0.61596426228230472</c:v>
                </c:pt>
                <c:pt idx="65">
                  <c:v>0.62088592767169426</c:v>
                </c:pt>
                <c:pt idx="66">
                  <c:v>0.7211612901877742</c:v>
                </c:pt>
                <c:pt idx="67">
                  <c:v>0.68573815411908878</c:v>
                </c:pt>
                <c:pt idx="68">
                  <c:v>0.70418345214026423</c:v>
                </c:pt>
                <c:pt idx="69">
                  <c:v>0.82237493449739629</c:v>
                </c:pt>
                <c:pt idx="70">
                  <c:v>0.71887333207647863</c:v>
                </c:pt>
                <c:pt idx="71">
                  <c:v>0.75171134947710749</c:v>
                </c:pt>
                <c:pt idx="72">
                  <c:v>0.77003805146830639</c:v>
                </c:pt>
                <c:pt idx="73">
                  <c:v>0.68103219585820673</c:v>
                </c:pt>
                <c:pt idx="74">
                  <c:v>0.72615935111302976</c:v>
                </c:pt>
                <c:pt idx="75">
                  <c:v>0.78127954855519288</c:v>
                </c:pt>
                <c:pt idx="76">
                  <c:v>0.720490058724369</c:v>
                </c:pt>
                <c:pt idx="77">
                  <c:v>0.82149861483282027</c:v>
                </c:pt>
                <c:pt idx="78">
                  <c:v>0.75686661265959876</c:v>
                </c:pt>
                <c:pt idx="79">
                  <c:v>0.74983475097327412</c:v>
                </c:pt>
                <c:pt idx="80">
                  <c:v>0.75767489870350824</c:v>
                </c:pt>
                <c:pt idx="81">
                  <c:v>0.72191238444791894</c:v>
                </c:pt>
                <c:pt idx="82">
                  <c:v>0.76075256450210538</c:v>
                </c:pt>
                <c:pt idx="83">
                  <c:v>0.63857523408812089</c:v>
                </c:pt>
                <c:pt idx="84">
                  <c:v>0.5482526415354515</c:v>
                </c:pt>
                <c:pt idx="85">
                  <c:v>0.48654468031199272</c:v>
                </c:pt>
                <c:pt idx="86">
                  <c:v>0.49075332956920931</c:v>
                </c:pt>
                <c:pt idx="87">
                  <c:v>0.53989455561832678</c:v>
                </c:pt>
                <c:pt idx="88">
                  <c:v>0.52035744668061346</c:v>
                </c:pt>
                <c:pt idx="89">
                  <c:v>0.62123739291956748</c:v>
                </c:pt>
                <c:pt idx="90">
                  <c:v>0.64436305455139198</c:v>
                </c:pt>
                <c:pt idx="91">
                  <c:v>0.59192312983897455</c:v>
                </c:pt>
                <c:pt idx="92">
                  <c:v>0.64728771350881587</c:v>
                </c:pt>
                <c:pt idx="93">
                  <c:v>0.6969822972641555</c:v>
                </c:pt>
                <c:pt idx="94">
                  <c:v>0.6055228490215866</c:v>
                </c:pt>
                <c:pt idx="95">
                  <c:v>0.62267360511766512</c:v>
                </c:pt>
                <c:pt idx="96">
                  <c:v>0.62286199779431284</c:v>
                </c:pt>
                <c:pt idx="97">
                  <c:v>0.55397450510241664</c:v>
                </c:pt>
                <c:pt idx="98">
                  <c:v>0.55480601962212794</c:v>
                </c:pt>
                <c:pt idx="99">
                  <c:v>0.57320187346149798</c:v>
                </c:pt>
                <c:pt idx="100">
                  <c:v>0.60719591534673589</c:v>
                </c:pt>
                <c:pt idx="101">
                  <c:v>0.6535480157611735</c:v>
                </c:pt>
                <c:pt idx="102">
                  <c:v>0.76680759402561693</c:v>
                </c:pt>
                <c:pt idx="103">
                  <c:v>0.65528667268808194</c:v>
                </c:pt>
                <c:pt idx="104">
                  <c:v>0.47866311542998258</c:v>
                </c:pt>
                <c:pt idx="105">
                  <c:v>0.67088850721843685</c:v>
                </c:pt>
                <c:pt idx="106">
                  <c:v>0.50742696492962136</c:v>
                </c:pt>
                <c:pt idx="107">
                  <c:v>0.47049010029356553</c:v>
                </c:pt>
                <c:pt idx="108">
                  <c:v>0.55481386732237103</c:v>
                </c:pt>
                <c:pt idx="109">
                  <c:v>0.49647328726271628</c:v>
                </c:pt>
                <c:pt idx="110">
                  <c:v>0.46586768042469345</c:v>
                </c:pt>
                <c:pt idx="111">
                  <c:v>0.46246098768623178</c:v>
                </c:pt>
                <c:pt idx="112">
                  <c:v>0.49035871383595941</c:v>
                </c:pt>
                <c:pt idx="113">
                  <c:v>0.37842769830241763</c:v>
                </c:pt>
                <c:pt idx="114">
                  <c:v>0.37666090179047806</c:v>
                </c:pt>
                <c:pt idx="115">
                  <c:v>0.34859189922253458</c:v>
                </c:pt>
                <c:pt idx="116">
                  <c:v>0.31523199865079793</c:v>
                </c:pt>
                <c:pt idx="117">
                  <c:v>0.3445404865444997</c:v>
                </c:pt>
                <c:pt idx="118">
                  <c:v>0.40626753201785393</c:v>
                </c:pt>
                <c:pt idx="119">
                  <c:v>0.4715005341106856</c:v>
                </c:pt>
                <c:pt idx="120">
                  <c:v>0.53673902418066743</c:v>
                </c:pt>
                <c:pt idx="121">
                  <c:v>0.52243184242170959</c:v>
                </c:pt>
                <c:pt idx="122">
                  <c:v>0.59358503225704229</c:v>
                </c:pt>
                <c:pt idx="123">
                  <c:v>0.58072223600092077</c:v>
                </c:pt>
                <c:pt idx="124">
                  <c:v>0.68850673946956253</c:v>
                </c:pt>
                <c:pt idx="125">
                  <c:v>0.49130910806956246</c:v>
                </c:pt>
                <c:pt idx="126">
                  <c:v>0.33312135578251251</c:v>
                </c:pt>
                <c:pt idx="127">
                  <c:v>0.3904702251562126</c:v>
                </c:pt>
                <c:pt idx="128">
                  <c:v>0.48335994838164859</c:v>
                </c:pt>
                <c:pt idx="129">
                  <c:v>0.4235154374741143</c:v>
                </c:pt>
                <c:pt idx="130">
                  <c:v>0.48079203360398459</c:v>
                </c:pt>
                <c:pt idx="131">
                  <c:v>0.49352232983447825</c:v>
                </c:pt>
                <c:pt idx="132">
                  <c:v>0.60720873322926316</c:v>
                </c:pt>
                <c:pt idx="133">
                  <c:v>0.55956616942971371</c:v>
                </c:pt>
                <c:pt idx="134">
                  <c:v>0.46592706226398789</c:v>
                </c:pt>
                <c:pt idx="135">
                  <c:v>0.43608702565509111</c:v>
                </c:pt>
                <c:pt idx="136">
                  <c:v>0.37646410727504487</c:v>
                </c:pt>
                <c:pt idx="137">
                  <c:v>0.35085012139504496</c:v>
                </c:pt>
                <c:pt idx="138">
                  <c:v>0.41848652527150842</c:v>
                </c:pt>
                <c:pt idx="139">
                  <c:v>0.47823504678833095</c:v>
                </c:pt>
                <c:pt idx="140">
                  <c:v>0.51800400889910803</c:v>
                </c:pt>
                <c:pt idx="141">
                  <c:v>0.4347086389781154</c:v>
                </c:pt>
                <c:pt idx="142">
                  <c:v>0.43468202889123747</c:v>
                </c:pt>
                <c:pt idx="143">
                  <c:v>0.55229266601252403</c:v>
                </c:pt>
                <c:pt idx="144">
                  <c:v>0.53985538145999401</c:v>
                </c:pt>
                <c:pt idx="145">
                  <c:v>0.62737159919891561</c:v>
                </c:pt>
                <c:pt idx="146">
                  <c:v>0.68949529241509677</c:v>
                </c:pt>
                <c:pt idx="147">
                  <c:v>0.72282020940449332</c:v>
                </c:pt>
                <c:pt idx="148">
                  <c:v>0.6724642288447007</c:v>
                </c:pt>
                <c:pt idx="149">
                  <c:v>0.74724881791492515</c:v>
                </c:pt>
                <c:pt idx="150">
                  <c:v>0.76570448613700248</c:v>
                </c:pt>
                <c:pt idx="151">
                  <c:v>0.82229210511374018</c:v>
                </c:pt>
                <c:pt idx="152">
                  <c:v>0.91044473127190328</c:v>
                </c:pt>
                <c:pt idx="153">
                  <c:v>0.86974413816949958</c:v>
                </c:pt>
                <c:pt idx="154">
                  <c:v>0.94296788951834409</c:v>
                </c:pt>
                <c:pt idx="155">
                  <c:v>0.90932201053330985</c:v>
                </c:pt>
                <c:pt idx="156">
                  <c:v>1.058111352667632</c:v>
                </c:pt>
                <c:pt idx="157">
                  <c:v>0.9915905395199196</c:v>
                </c:pt>
                <c:pt idx="158">
                  <c:v>1.1129015751276561</c:v>
                </c:pt>
                <c:pt idx="159">
                  <c:v>0.99047501787375569</c:v>
                </c:pt>
                <c:pt idx="160">
                  <c:v>0.99724166705380657</c:v>
                </c:pt>
                <c:pt idx="161">
                  <c:v>1.0059397697829022</c:v>
                </c:pt>
                <c:pt idx="162">
                  <c:v>0.89130672028854907</c:v>
                </c:pt>
                <c:pt idx="163">
                  <c:v>0.83012501130816463</c:v>
                </c:pt>
                <c:pt idx="164">
                  <c:v>0.93662326030816456</c:v>
                </c:pt>
                <c:pt idx="165">
                  <c:v>0.97839833005582999</c:v>
                </c:pt>
                <c:pt idx="166">
                  <c:v>0.85623174355496767</c:v>
                </c:pt>
                <c:pt idx="167">
                  <c:v>0.76587199037758424</c:v>
                </c:pt>
                <c:pt idx="168">
                  <c:v>0.84124812868233101</c:v>
                </c:pt>
                <c:pt idx="169">
                  <c:v>0.6772065831110905</c:v>
                </c:pt>
                <c:pt idx="170">
                  <c:v>0.75026647475704444</c:v>
                </c:pt>
                <c:pt idx="171">
                  <c:v>0.37502605849031451</c:v>
                </c:pt>
                <c:pt idx="172">
                  <c:v>0.24141139157049046</c:v>
                </c:pt>
                <c:pt idx="173">
                  <c:v>9.1278168832040443E-2</c:v>
                </c:pt>
                <c:pt idx="174">
                  <c:v>7.6343498623623704E-2</c:v>
                </c:pt>
                <c:pt idx="175">
                  <c:v>-0.14040070105237629</c:v>
                </c:pt>
                <c:pt idx="176">
                  <c:v>5.7474724299041706E-2</c:v>
                </c:pt>
                <c:pt idx="177">
                  <c:v>-0.16268663283213247</c:v>
                </c:pt>
                <c:pt idx="178">
                  <c:v>-0.24215703868360416</c:v>
                </c:pt>
                <c:pt idx="179">
                  <c:v>-0.32643886203379785</c:v>
                </c:pt>
                <c:pt idx="180">
                  <c:v>-0.19727993404835342</c:v>
                </c:pt>
                <c:pt idx="181">
                  <c:v>-0.23880665740576076</c:v>
                </c:pt>
                <c:pt idx="182">
                  <c:v>-0.17085637541330795</c:v>
                </c:pt>
                <c:pt idx="183">
                  <c:v>-0.17618104173946733</c:v>
                </c:pt>
                <c:pt idx="184">
                  <c:v>-0.37372629507302085</c:v>
                </c:pt>
                <c:pt idx="185">
                  <c:v>-0.42852632429347948</c:v>
                </c:pt>
                <c:pt idx="186">
                  <c:v>-0.44427907595092614</c:v>
                </c:pt>
                <c:pt idx="187">
                  <c:v>-0.45670791497763574</c:v>
                </c:pt>
                <c:pt idx="188">
                  <c:v>-0.55199433171005818</c:v>
                </c:pt>
                <c:pt idx="189">
                  <c:v>-0.54107814371634755</c:v>
                </c:pt>
                <c:pt idx="190">
                  <c:v>-0.59481993932561661</c:v>
                </c:pt>
                <c:pt idx="191">
                  <c:v>-0.52849072072276548</c:v>
                </c:pt>
                <c:pt idx="192">
                  <c:v>-0.59785673685192986</c:v>
                </c:pt>
                <c:pt idx="193">
                  <c:v>-0.60720609686005089</c:v>
                </c:pt>
                <c:pt idx="194">
                  <c:v>-0.41847941660452526</c:v>
                </c:pt>
                <c:pt idx="195">
                  <c:v>-0.65364332663360347</c:v>
                </c:pt>
                <c:pt idx="196">
                  <c:v>-0.72940139972955342</c:v>
                </c:pt>
                <c:pt idx="197">
                  <c:v>-0.63137984553964877</c:v>
                </c:pt>
                <c:pt idx="198">
                  <c:v>-0.73975007165404272</c:v>
                </c:pt>
                <c:pt idx="199">
                  <c:v>-0.65761889555497599</c:v>
                </c:pt>
                <c:pt idx="200">
                  <c:v>-0.54438730906953725</c:v>
                </c:pt>
                <c:pt idx="201">
                  <c:v>-0.88720992712537583</c:v>
                </c:pt>
                <c:pt idx="202">
                  <c:v>-0.97454288188033422</c:v>
                </c:pt>
                <c:pt idx="203">
                  <c:v>-0.82364523959870628</c:v>
                </c:pt>
                <c:pt idx="204">
                  <c:v>-0.68462462499640586</c:v>
                </c:pt>
                <c:pt idx="205">
                  <c:v>2.9655010266167448E-2</c:v>
                </c:pt>
                <c:pt idx="206">
                  <c:v>0.56797842289846634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B-4245-A963-B352033B8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683359"/>
        <c:axId val="780683775"/>
      </c:lineChart>
      <c:dateAx>
        <c:axId val="7806833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83775"/>
        <c:crosses val="autoZero"/>
        <c:auto val="1"/>
        <c:lblOffset val="100"/>
        <c:baseTimeUnit val="days"/>
      </c:dateAx>
      <c:valAx>
        <c:axId val="780683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6833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1D8AC0B-2EBB-4CBA-AECD-B7A88165072F}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B6ED4B0-2A19-4A52-8359-ACF8CC86F11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14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1"/>
      <c r="B2" s="1"/>
      <c r="C2" s="4">
        <f>MAX(C3:C1912)</f>
        <v>7.8747999999999996</v>
      </c>
      <c r="D2" s="4">
        <f>MIN(D3:D1912)</f>
        <v>0.2</v>
      </c>
      <c r="E2" s="1"/>
      <c r="F2" s="1"/>
      <c r="G2" s="1"/>
    </row>
    <row r="3" spans="1:14" x14ac:dyDescent="0.25">
      <c r="A3" s="5"/>
    </row>
    <row r="4" spans="1:14" x14ac:dyDescent="0.25">
      <c r="A4" s="5"/>
      <c r="L4" t="s">
        <v>7</v>
      </c>
      <c r="M4" t="s">
        <v>8</v>
      </c>
      <c r="N4" t="s">
        <v>7</v>
      </c>
    </row>
    <row r="5" spans="1:14" x14ac:dyDescent="0.25">
      <c r="A5" s="5">
        <v>44588</v>
      </c>
      <c r="B5">
        <v>1.6279999999999999</v>
      </c>
      <c r="C5">
        <v>1.6419999999999999</v>
      </c>
      <c r="D5">
        <v>1.5840000000000001</v>
      </c>
      <c r="E5">
        <v>1.587</v>
      </c>
      <c r="F5">
        <v>561462.6</v>
      </c>
      <c r="G5">
        <v>1.587</v>
      </c>
      <c r="L5" t="s">
        <v>7</v>
      </c>
      <c r="M5" t="s">
        <v>8</v>
      </c>
      <c r="N5" t="s">
        <v>7</v>
      </c>
    </row>
    <row r="6" spans="1:14" x14ac:dyDescent="0.25">
      <c r="A6" s="5">
        <v>44587</v>
      </c>
      <c r="B6">
        <v>1.5940000000000001</v>
      </c>
      <c r="C6">
        <v>1.829</v>
      </c>
      <c r="D6">
        <v>1.5740000000000001</v>
      </c>
      <c r="E6">
        <v>1.629</v>
      </c>
      <c r="F6">
        <v>12385112</v>
      </c>
      <c r="G6">
        <v>1.629</v>
      </c>
      <c r="L6" t="s">
        <v>8</v>
      </c>
      <c r="M6" t="s">
        <v>8</v>
      </c>
      <c r="N6" t="s">
        <v>7</v>
      </c>
    </row>
    <row r="7" spans="1:14" x14ac:dyDescent="0.25">
      <c r="A7" s="5">
        <v>44586</v>
      </c>
      <c r="B7">
        <v>1.585</v>
      </c>
      <c r="C7">
        <v>1.613</v>
      </c>
      <c r="D7">
        <v>1.528</v>
      </c>
      <c r="E7">
        <v>1.593</v>
      </c>
      <c r="F7">
        <v>6952721.0999999996</v>
      </c>
      <c r="G7">
        <v>1.593</v>
      </c>
      <c r="L7" t="s">
        <v>8</v>
      </c>
      <c r="M7" t="s">
        <v>7</v>
      </c>
      <c r="N7" t="s">
        <v>7</v>
      </c>
    </row>
    <row r="8" spans="1:14" x14ac:dyDescent="0.25">
      <c r="A8" s="5">
        <v>44585</v>
      </c>
      <c r="B8">
        <v>1.6890000000000001</v>
      </c>
      <c r="C8">
        <v>1.69</v>
      </c>
      <c r="D8">
        <v>1.4219999999999999</v>
      </c>
      <c r="E8">
        <v>1.585</v>
      </c>
      <c r="F8">
        <v>11978928.35</v>
      </c>
      <c r="G8">
        <v>1.585</v>
      </c>
      <c r="L8" t="s">
        <v>7</v>
      </c>
      <c r="M8" t="s">
        <v>7</v>
      </c>
      <c r="N8" t="s">
        <v>7</v>
      </c>
    </row>
    <row r="9" spans="1:14" x14ac:dyDescent="0.25">
      <c r="A9" s="5">
        <v>44584</v>
      </c>
      <c r="B9">
        <v>1.613</v>
      </c>
      <c r="C9">
        <v>1.7130000000000001</v>
      </c>
      <c r="D9">
        <v>1.58</v>
      </c>
      <c r="E9">
        <v>1.6910000000000001</v>
      </c>
      <c r="F9">
        <v>6897967.5</v>
      </c>
      <c r="G9">
        <v>1.6910000000000001</v>
      </c>
      <c r="L9" t="s">
        <v>8</v>
      </c>
      <c r="M9" t="s">
        <v>7</v>
      </c>
      <c r="N9" t="s">
        <v>7</v>
      </c>
    </row>
    <row r="10" spans="1:14" x14ac:dyDescent="0.25">
      <c r="A10" s="5">
        <v>44583</v>
      </c>
      <c r="B10">
        <v>1.841</v>
      </c>
      <c r="C10">
        <v>1.867</v>
      </c>
      <c r="D10">
        <v>1.5</v>
      </c>
      <c r="E10">
        <v>1.613</v>
      </c>
      <c r="F10">
        <v>16176847.85</v>
      </c>
      <c r="G10">
        <v>1.613</v>
      </c>
      <c r="L10" t="s">
        <v>7</v>
      </c>
      <c r="M10" t="s">
        <v>7</v>
      </c>
      <c r="N10" t="s">
        <v>7</v>
      </c>
    </row>
    <row r="11" spans="1:14" x14ac:dyDescent="0.25">
      <c r="A11" s="5">
        <v>44582</v>
      </c>
      <c r="B11">
        <v>2.0339999999999998</v>
      </c>
      <c r="C11">
        <v>2.0609999999999999</v>
      </c>
      <c r="D11">
        <v>1.706</v>
      </c>
      <c r="E11">
        <v>1.8420000000000001</v>
      </c>
      <c r="F11">
        <v>16671329.73</v>
      </c>
      <c r="G11">
        <v>1.8420000000000001</v>
      </c>
      <c r="L11" t="s">
        <v>7</v>
      </c>
      <c r="M11" t="s">
        <v>7</v>
      </c>
      <c r="N11" t="s">
        <v>7</v>
      </c>
    </row>
    <row r="12" spans="1:14" x14ac:dyDescent="0.25">
      <c r="A12" s="5">
        <v>44581</v>
      </c>
      <c r="B12">
        <v>2.0870000000000002</v>
      </c>
      <c r="C12">
        <v>2.2389999999999999</v>
      </c>
      <c r="D12">
        <v>2.0259999999999998</v>
      </c>
      <c r="E12">
        <v>2.036</v>
      </c>
      <c r="F12">
        <v>8200234.2000000002</v>
      </c>
      <c r="G12">
        <v>2.036</v>
      </c>
      <c r="L12" t="s">
        <v>7</v>
      </c>
      <c r="M12" t="s">
        <v>7</v>
      </c>
      <c r="N12" t="s">
        <v>7</v>
      </c>
    </row>
    <row r="13" spans="1:14" x14ac:dyDescent="0.25">
      <c r="A13" s="5">
        <v>44580</v>
      </c>
      <c r="B13">
        <v>2.1890000000000001</v>
      </c>
      <c r="C13">
        <v>2.1960000000000002</v>
      </c>
      <c r="D13">
        <v>2.0609999999999999</v>
      </c>
      <c r="E13">
        <v>2.089</v>
      </c>
      <c r="F13">
        <v>7443117.4000000004</v>
      </c>
      <c r="G13">
        <v>2.089</v>
      </c>
      <c r="L13" t="s">
        <v>7</v>
      </c>
      <c r="M13" t="s">
        <v>7</v>
      </c>
      <c r="N13" t="s">
        <v>7</v>
      </c>
    </row>
    <row r="14" spans="1:14" x14ac:dyDescent="0.25">
      <c r="A14" s="5">
        <v>44579</v>
      </c>
      <c r="B14">
        <v>2.2440000000000002</v>
      </c>
      <c r="C14">
        <v>2.278</v>
      </c>
      <c r="D14">
        <v>2.1150000000000002</v>
      </c>
      <c r="E14">
        <v>2.1890000000000001</v>
      </c>
      <c r="F14">
        <v>7222718.2999999998</v>
      </c>
      <c r="G14">
        <v>2.1890000000000001</v>
      </c>
      <c r="L14" t="s">
        <v>7</v>
      </c>
      <c r="M14" t="s">
        <v>8</v>
      </c>
      <c r="N14" t="s">
        <v>7</v>
      </c>
    </row>
    <row r="15" spans="1:14" x14ac:dyDescent="0.25">
      <c r="A15" s="5">
        <v>44578</v>
      </c>
      <c r="B15">
        <v>2.4350000000000001</v>
      </c>
      <c r="C15">
        <v>2.4489999999999998</v>
      </c>
      <c r="D15">
        <v>2.1960000000000002</v>
      </c>
      <c r="E15">
        <v>2.242</v>
      </c>
      <c r="F15">
        <v>8372995</v>
      </c>
      <c r="G15">
        <v>2.242</v>
      </c>
      <c r="L15" t="s">
        <v>7</v>
      </c>
      <c r="M15" t="s">
        <v>8</v>
      </c>
      <c r="N15" t="s">
        <v>7</v>
      </c>
    </row>
    <row r="16" spans="1:14" x14ac:dyDescent="0.25">
      <c r="A16" s="5">
        <v>44577</v>
      </c>
      <c r="B16">
        <v>2.3860000000000001</v>
      </c>
      <c r="C16">
        <v>2.4630000000000001</v>
      </c>
      <c r="D16">
        <v>2.3490000000000002</v>
      </c>
      <c r="E16">
        <v>2.4350000000000001</v>
      </c>
      <c r="F16">
        <v>8374877.2999999998</v>
      </c>
      <c r="G16">
        <v>2.4350000000000001</v>
      </c>
      <c r="L16" t="s">
        <v>8</v>
      </c>
      <c r="M16" t="s">
        <v>8</v>
      </c>
      <c r="N16" t="s">
        <v>7</v>
      </c>
    </row>
    <row r="17" spans="1:14" x14ac:dyDescent="0.25">
      <c r="A17" s="5">
        <v>44576</v>
      </c>
      <c r="B17">
        <v>2.37</v>
      </c>
      <c r="C17">
        <v>2.427</v>
      </c>
      <c r="D17">
        <v>2.3380000000000001</v>
      </c>
      <c r="E17">
        <v>2.3860000000000001</v>
      </c>
      <c r="F17">
        <v>4899082.2</v>
      </c>
      <c r="G17">
        <v>2.3860000000000001</v>
      </c>
      <c r="L17" t="s">
        <v>7</v>
      </c>
      <c r="M17" t="s">
        <v>8</v>
      </c>
      <c r="N17" t="s">
        <v>7</v>
      </c>
    </row>
    <row r="18" spans="1:14" x14ac:dyDescent="0.25">
      <c r="A18" s="5">
        <v>44575</v>
      </c>
      <c r="B18">
        <v>2.3450000000000002</v>
      </c>
      <c r="C18">
        <v>2.4500000000000002</v>
      </c>
      <c r="D18">
        <v>2.2629999999999999</v>
      </c>
      <c r="E18">
        <v>2.37</v>
      </c>
      <c r="F18">
        <v>10010967.5</v>
      </c>
      <c r="G18">
        <v>2.37</v>
      </c>
      <c r="L18" t="s">
        <v>7</v>
      </c>
      <c r="M18" t="s">
        <v>8</v>
      </c>
      <c r="N18" t="s">
        <v>7</v>
      </c>
    </row>
    <row r="19" spans="1:14" x14ac:dyDescent="0.25">
      <c r="A19" s="5">
        <v>44574</v>
      </c>
      <c r="B19">
        <v>2.2480000000000002</v>
      </c>
      <c r="C19">
        <v>2.524</v>
      </c>
      <c r="D19">
        <v>2.214</v>
      </c>
      <c r="E19">
        <v>2.3460000000000001</v>
      </c>
      <c r="F19">
        <v>39179594.600000001</v>
      </c>
      <c r="G19">
        <v>2.3460000000000001</v>
      </c>
      <c r="L19" t="s">
        <v>8</v>
      </c>
      <c r="M19" t="s">
        <v>8</v>
      </c>
      <c r="N19" t="s">
        <v>7</v>
      </c>
    </row>
    <row r="20" spans="1:14" x14ac:dyDescent="0.25">
      <c r="A20" s="5">
        <v>44573</v>
      </c>
      <c r="B20">
        <v>2.15</v>
      </c>
      <c r="C20">
        <v>2.2610000000000001</v>
      </c>
      <c r="D20">
        <v>2.1389999999999998</v>
      </c>
      <c r="E20">
        <v>2.2469999999999999</v>
      </c>
      <c r="F20">
        <v>6631899.5</v>
      </c>
      <c r="G20">
        <v>2.2469999999999999</v>
      </c>
      <c r="L20" t="s">
        <v>8</v>
      </c>
      <c r="M20" t="s">
        <v>7</v>
      </c>
      <c r="N20" t="s">
        <v>7</v>
      </c>
    </row>
    <row r="21" spans="1:14" x14ac:dyDescent="0.25">
      <c r="A21" s="5">
        <v>44572</v>
      </c>
      <c r="B21">
        <v>2.077</v>
      </c>
      <c r="C21">
        <v>2.169</v>
      </c>
      <c r="D21">
        <v>2.0299999999999998</v>
      </c>
      <c r="E21">
        <v>2.1480000000000001</v>
      </c>
      <c r="F21">
        <v>6494319.7999999998</v>
      </c>
      <c r="G21">
        <v>2.1480000000000001</v>
      </c>
      <c r="L21" t="s">
        <v>8</v>
      </c>
      <c r="M21" t="s">
        <v>7</v>
      </c>
      <c r="N21" t="s">
        <v>7</v>
      </c>
    </row>
    <row r="22" spans="1:14" x14ac:dyDescent="0.25">
      <c r="A22" s="5">
        <v>44571</v>
      </c>
      <c r="B22">
        <v>2.15</v>
      </c>
      <c r="C22">
        <v>2.1880000000000002</v>
      </c>
      <c r="D22">
        <v>1.9650000000000001</v>
      </c>
      <c r="E22">
        <v>2.077</v>
      </c>
      <c r="F22">
        <v>11140993.5</v>
      </c>
      <c r="G22">
        <v>2.077</v>
      </c>
      <c r="L22" t="s">
        <v>7</v>
      </c>
      <c r="M22" t="s">
        <v>7</v>
      </c>
      <c r="N22" t="s">
        <v>7</v>
      </c>
    </row>
    <row r="23" spans="1:14" x14ac:dyDescent="0.25">
      <c r="A23" s="5">
        <v>44570</v>
      </c>
      <c r="B23">
        <v>2.1259999999999999</v>
      </c>
      <c r="C23">
        <v>2.202</v>
      </c>
      <c r="D23">
        <v>2.0910000000000002</v>
      </c>
      <c r="E23">
        <v>2.1509999999999998</v>
      </c>
      <c r="F23">
        <v>5862549.5</v>
      </c>
      <c r="G23">
        <v>2.1509999999999998</v>
      </c>
      <c r="L23" t="s">
        <v>8</v>
      </c>
      <c r="M23" t="s">
        <v>7</v>
      </c>
      <c r="N23" t="s">
        <v>7</v>
      </c>
    </row>
    <row r="24" spans="1:14" x14ac:dyDescent="0.25">
      <c r="A24" s="5">
        <v>44569</v>
      </c>
      <c r="B24">
        <v>2.1850000000000001</v>
      </c>
      <c r="C24">
        <v>2.27</v>
      </c>
      <c r="D24">
        <v>2.0339999999999998</v>
      </c>
      <c r="E24">
        <v>2.1269999999999998</v>
      </c>
      <c r="F24">
        <v>10774578.800000001</v>
      </c>
      <c r="G24">
        <v>2.1269999999999998</v>
      </c>
      <c r="L24" t="s">
        <v>7</v>
      </c>
      <c r="M24" t="s">
        <v>7</v>
      </c>
      <c r="N24" t="s">
        <v>7</v>
      </c>
    </row>
    <row r="25" spans="1:14" x14ac:dyDescent="0.25">
      <c r="A25" s="5">
        <v>44568</v>
      </c>
      <c r="B25">
        <v>2.3439999999999999</v>
      </c>
      <c r="C25">
        <v>2.4500000000000002</v>
      </c>
      <c r="D25">
        <v>2.117</v>
      </c>
      <c r="E25">
        <v>2.1840000000000002</v>
      </c>
      <c r="F25">
        <v>17340613.899999999</v>
      </c>
      <c r="G25">
        <v>2.1840000000000002</v>
      </c>
      <c r="L25" t="s">
        <v>8</v>
      </c>
      <c r="M25" t="s">
        <v>7</v>
      </c>
      <c r="N25" t="s">
        <v>7</v>
      </c>
    </row>
    <row r="26" spans="1:14" x14ac:dyDescent="0.25">
      <c r="A26" s="5">
        <v>44567</v>
      </c>
      <c r="B26">
        <v>2.323</v>
      </c>
      <c r="C26">
        <v>2.3879999999999999</v>
      </c>
      <c r="D26">
        <v>2.2280000000000002</v>
      </c>
      <c r="E26">
        <v>2.347</v>
      </c>
      <c r="F26">
        <v>13597484.800000001</v>
      </c>
      <c r="G26">
        <v>2.347</v>
      </c>
      <c r="L26" t="s">
        <v>8</v>
      </c>
      <c r="M26" t="s">
        <v>7</v>
      </c>
      <c r="N26" t="s">
        <v>8</v>
      </c>
    </row>
    <row r="27" spans="1:14" x14ac:dyDescent="0.25">
      <c r="A27" s="5">
        <v>44566</v>
      </c>
      <c r="B27">
        <v>2.4780000000000002</v>
      </c>
      <c r="C27">
        <v>2.5819999999999999</v>
      </c>
      <c r="D27">
        <v>2.2000000000000002</v>
      </c>
      <c r="E27">
        <v>2.3210000000000002</v>
      </c>
      <c r="F27">
        <v>13528238</v>
      </c>
      <c r="G27">
        <v>2.3210000000000002</v>
      </c>
      <c r="L27" t="s">
        <v>7</v>
      </c>
      <c r="M27" t="s">
        <v>7</v>
      </c>
      <c r="N27" t="s">
        <v>8</v>
      </c>
    </row>
    <row r="28" spans="1:14" x14ac:dyDescent="0.25">
      <c r="A28" s="5">
        <v>44565</v>
      </c>
      <c r="B28">
        <v>2.5619999999999998</v>
      </c>
      <c r="C28">
        <v>2.6</v>
      </c>
      <c r="D28">
        <v>2.4590000000000001</v>
      </c>
      <c r="E28">
        <v>2.4780000000000002</v>
      </c>
      <c r="F28">
        <v>9652881.6999999993</v>
      </c>
      <c r="G28">
        <v>2.4780000000000002</v>
      </c>
      <c r="L28" t="s">
        <v>7</v>
      </c>
      <c r="M28" t="s">
        <v>7</v>
      </c>
      <c r="N28" t="s">
        <v>8</v>
      </c>
    </row>
    <row r="29" spans="1:14" x14ac:dyDescent="0.25">
      <c r="A29" s="5">
        <v>44564</v>
      </c>
      <c r="B29">
        <v>2.5529999999999999</v>
      </c>
      <c r="C29">
        <v>2.66</v>
      </c>
      <c r="D29">
        <v>2.4969999999999999</v>
      </c>
      <c r="E29">
        <v>2.5619999999999998</v>
      </c>
      <c r="F29">
        <v>11828516</v>
      </c>
      <c r="G29">
        <v>2.5619999999999998</v>
      </c>
      <c r="L29" t="s">
        <v>8</v>
      </c>
      <c r="M29" t="s">
        <v>7</v>
      </c>
      <c r="N29" t="s">
        <v>8</v>
      </c>
    </row>
    <row r="30" spans="1:14" x14ac:dyDescent="0.25">
      <c r="A30" s="5">
        <v>44563</v>
      </c>
      <c r="B30">
        <v>2.5339999999999998</v>
      </c>
      <c r="C30">
        <v>2.5819999999999999</v>
      </c>
      <c r="D30">
        <v>2.4660000000000002</v>
      </c>
      <c r="E30">
        <v>2.5539999999999998</v>
      </c>
      <c r="F30">
        <v>7336947.4000000004</v>
      </c>
      <c r="G30">
        <v>2.5539999999999998</v>
      </c>
      <c r="L30" t="s">
        <v>8</v>
      </c>
      <c r="M30" t="s">
        <v>7</v>
      </c>
      <c r="N30" t="s">
        <v>8</v>
      </c>
    </row>
    <row r="31" spans="1:14" x14ac:dyDescent="0.25">
      <c r="A31" s="5">
        <v>44562</v>
      </c>
      <c r="B31">
        <v>2.391</v>
      </c>
      <c r="C31">
        <v>2.5369999999999999</v>
      </c>
      <c r="D31">
        <v>2.391</v>
      </c>
      <c r="E31">
        <v>2.5339999999999998</v>
      </c>
      <c r="F31">
        <v>6304715.2000000002</v>
      </c>
      <c r="G31">
        <v>2.5339999999999998</v>
      </c>
      <c r="L31" t="s">
        <v>8</v>
      </c>
      <c r="M31" t="s">
        <v>7</v>
      </c>
      <c r="N31" t="s">
        <v>8</v>
      </c>
    </row>
    <row r="32" spans="1:14" x14ac:dyDescent="0.25">
      <c r="A32" s="5">
        <v>44561</v>
      </c>
      <c r="B32">
        <v>2.4660000000000002</v>
      </c>
      <c r="C32">
        <v>2.52</v>
      </c>
      <c r="D32">
        <v>2.343</v>
      </c>
      <c r="E32">
        <v>2.39</v>
      </c>
      <c r="F32">
        <v>8514515.3000000007</v>
      </c>
      <c r="G32">
        <v>2.39</v>
      </c>
      <c r="L32" t="s">
        <v>8</v>
      </c>
      <c r="M32" t="s">
        <v>7</v>
      </c>
      <c r="N32" t="s">
        <v>8</v>
      </c>
    </row>
    <row r="33" spans="1:14" x14ac:dyDescent="0.25">
      <c r="A33" s="5">
        <v>44560</v>
      </c>
      <c r="B33">
        <v>2.4169999999999998</v>
      </c>
      <c r="C33">
        <v>2.552</v>
      </c>
      <c r="D33">
        <v>2.3359999999999999</v>
      </c>
      <c r="E33">
        <v>2.4670000000000001</v>
      </c>
      <c r="F33">
        <v>11192949</v>
      </c>
      <c r="G33">
        <v>2.4670000000000001</v>
      </c>
      <c r="L33" t="s">
        <v>7</v>
      </c>
      <c r="M33" t="s">
        <v>7</v>
      </c>
      <c r="N33" t="s">
        <v>8</v>
      </c>
    </row>
    <row r="34" spans="1:14" x14ac:dyDescent="0.25">
      <c r="A34" s="5">
        <v>44559</v>
      </c>
      <c r="B34">
        <v>2.5409999999999999</v>
      </c>
      <c r="C34">
        <v>2.5960000000000001</v>
      </c>
      <c r="D34">
        <v>2.3759999999999999</v>
      </c>
      <c r="E34">
        <v>2.419</v>
      </c>
      <c r="F34">
        <v>11005352.1</v>
      </c>
      <c r="G34">
        <v>2.419</v>
      </c>
      <c r="L34" t="s">
        <v>7</v>
      </c>
      <c r="M34" t="s">
        <v>7</v>
      </c>
      <c r="N34" t="s">
        <v>8</v>
      </c>
    </row>
    <row r="35" spans="1:14" x14ac:dyDescent="0.25">
      <c r="A35" s="5">
        <v>44558</v>
      </c>
      <c r="B35">
        <v>2.7970000000000002</v>
      </c>
      <c r="C35">
        <v>2.8260000000000001</v>
      </c>
      <c r="D35">
        <v>2.524</v>
      </c>
      <c r="E35">
        <v>2.5390000000000001</v>
      </c>
      <c r="F35">
        <v>15721325</v>
      </c>
      <c r="G35">
        <v>2.5390000000000001</v>
      </c>
      <c r="L35" t="s">
        <v>7</v>
      </c>
      <c r="M35" t="s">
        <v>7</v>
      </c>
      <c r="N35" t="s">
        <v>8</v>
      </c>
    </row>
    <row r="36" spans="1:14" x14ac:dyDescent="0.25">
      <c r="A36" s="5">
        <v>44557</v>
      </c>
      <c r="B36">
        <v>2.758</v>
      </c>
      <c r="C36">
        <v>2.9820000000000002</v>
      </c>
      <c r="D36">
        <v>2.7389999999999999</v>
      </c>
      <c r="E36">
        <v>2.7959999999999998</v>
      </c>
      <c r="F36">
        <v>14284955.6</v>
      </c>
      <c r="G36">
        <v>2.7959999999999998</v>
      </c>
      <c r="L36" t="s">
        <v>8</v>
      </c>
      <c r="M36" t="s">
        <v>8</v>
      </c>
      <c r="N36" t="s">
        <v>8</v>
      </c>
    </row>
    <row r="37" spans="1:14" x14ac:dyDescent="0.25">
      <c r="A37" s="5">
        <v>44556</v>
      </c>
      <c r="B37">
        <v>2.7309999999999999</v>
      </c>
      <c r="C37">
        <v>2.8</v>
      </c>
      <c r="D37">
        <v>2.6269999999999998</v>
      </c>
      <c r="E37">
        <v>2.7549999999999999</v>
      </c>
      <c r="F37">
        <v>9464700.5</v>
      </c>
      <c r="G37">
        <v>2.7549999999999999</v>
      </c>
      <c r="L37" t="s">
        <v>7</v>
      </c>
      <c r="M37" t="s">
        <v>8</v>
      </c>
      <c r="N37" t="s">
        <v>8</v>
      </c>
    </row>
    <row r="38" spans="1:14" x14ac:dyDescent="0.25">
      <c r="A38" s="5">
        <v>44555</v>
      </c>
      <c r="B38">
        <v>2.754</v>
      </c>
      <c r="C38">
        <v>2.8159999999999998</v>
      </c>
      <c r="D38">
        <v>2.6960000000000002</v>
      </c>
      <c r="E38">
        <v>2.7309999999999999</v>
      </c>
      <c r="F38">
        <v>9231928.8000000007</v>
      </c>
      <c r="G38">
        <v>2.7309999999999999</v>
      </c>
      <c r="L38" t="s">
        <v>7</v>
      </c>
      <c r="M38" t="s">
        <v>8</v>
      </c>
      <c r="N38" t="s">
        <v>8</v>
      </c>
    </row>
    <row r="39" spans="1:14" x14ac:dyDescent="0.25">
      <c r="A39" s="5">
        <v>44554</v>
      </c>
      <c r="B39">
        <v>2.8239999999999998</v>
      </c>
      <c r="C39">
        <v>2.98</v>
      </c>
      <c r="D39">
        <v>2.6890000000000001</v>
      </c>
      <c r="E39">
        <v>2.7530000000000001</v>
      </c>
      <c r="F39">
        <v>17996390.199999999</v>
      </c>
      <c r="G39">
        <v>2.7530000000000001</v>
      </c>
      <c r="L39" t="s">
        <v>8</v>
      </c>
      <c r="M39" t="s">
        <v>8</v>
      </c>
      <c r="N39" t="s">
        <v>8</v>
      </c>
    </row>
    <row r="40" spans="1:14" x14ac:dyDescent="0.25">
      <c r="A40" s="5">
        <v>44553</v>
      </c>
      <c r="B40">
        <v>2.476</v>
      </c>
      <c r="C40">
        <v>2.8980000000000001</v>
      </c>
      <c r="D40">
        <v>2.4380000000000002</v>
      </c>
      <c r="E40">
        <v>2.8239999999999998</v>
      </c>
      <c r="F40">
        <v>24189461.800000001</v>
      </c>
      <c r="G40">
        <v>2.8239999999999998</v>
      </c>
      <c r="L40" t="s">
        <v>8</v>
      </c>
      <c r="M40" t="s">
        <v>8</v>
      </c>
      <c r="N40" t="s">
        <v>8</v>
      </c>
    </row>
    <row r="41" spans="1:14" x14ac:dyDescent="0.25">
      <c r="A41" s="5">
        <v>44552</v>
      </c>
      <c r="B41">
        <v>2.4390000000000001</v>
      </c>
      <c r="C41">
        <v>2.573</v>
      </c>
      <c r="D41">
        <v>2.423</v>
      </c>
      <c r="E41">
        <v>2.4769999999999999</v>
      </c>
      <c r="F41">
        <v>10017896.5</v>
      </c>
      <c r="G41">
        <v>2.4769999999999999</v>
      </c>
      <c r="L41" t="s">
        <v>8</v>
      </c>
      <c r="M41" t="s">
        <v>8</v>
      </c>
      <c r="N41" t="s">
        <v>8</v>
      </c>
    </row>
    <row r="42" spans="1:14" x14ac:dyDescent="0.25">
      <c r="A42" s="5">
        <v>44551</v>
      </c>
      <c r="B42">
        <v>2.4009999999999998</v>
      </c>
      <c r="C42">
        <v>2.4700000000000002</v>
      </c>
      <c r="D42">
        <v>2.3570000000000002</v>
      </c>
      <c r="E42">
        <v>2.4390000000000001</v>
      </c>
      <c r="F42">
        <v>5259665</v>
      </c>
      <c r="G42">
        <v>2.4390000000000001</v>
      </c>
      <c r="L42" t="s">
        <v>7</v>
      </c>
      <c r="M42" t="s">
        <v>8</v>
      </c>
      <c r="N42" t="s">
        <v>8</v>
      </c>
    </row>
    <row r="43" spans="1:14" x14ac:dyDescent="0.25">
      <c r="A43" s="5">
        <v>44550</v>
      </c>
      <c r="B43">
        <v>2.423</v>
      </c>
      <c r="C43">
        <v>2.456</v>
      </c>
      <c r="D43">
        <v>2.2999999999999998</v>
      </c>
      <c r="E43">
        <v>2.4009999999999998</v>
      </c>
      <c r="F43">
        <v>6619493.5</v>
      </c>
      <c r="G43">
        <v>2.4009999999999998</v>
      </c>
      <c r="L43" t="s">
        <v>7</v>
      </c>
      <c r="M43" t="s">
        <v>8</v>
      </c>
      <c r="N43" t="s">
        <v>8</v>
      </c>
    </row>
    <row r="44" spans="1:14" x14ac:dyDescent="0.25">
      <c r="A44" s="5">
        <v>44549</v>
      </c>
      <c r="B44">
        <v>2.4830000000000001</v>
      </c>
      <c r="C44">
        <v>2.5209999999999999</v>
      </c>
      <c r="D44">
        <v>2.411</v>
      </c>
      <c r="E44">
        <v>2.423</v>
      </c>
      <c r="F44">
        <v>6048503.7000000002</v>
      </c>
      <c r="G44">
        <v>2.423</v>
      </c>
      <c r="L44" t="s">
        <v>7</v>
      </c>
      <c r="M44" t="s">
        <v>8</v>
      </c>
      <c r="N44" t="s">
        <v>8</v>
      </c>
    </row>
    <row r="45" spans="1:14" x14ac:dyDescent="0.25">
      <c r="A45" s="5">
        <v>44548</v>
      </c>
      <c r="B45">
        <v>2.4369999999999998</v>
      </c>
      <c r="C45">
        <v>2.6150000000000002</v>
      </c>
      <c r="D45">
        <v>2.4220000000000002</v>
      </c>
      <c r="E45">
        <v>2.4830000000000001</v>
      </c>
      <c r="F45">
        <v>8292973.7000000002</v>
      </c>
      <c r="G45">
        <v>2.4830000000000001</v>
      </c>
      <c r="L45" t="s">
        <v>8</v>
      </c>
      <c r="M45" t="s">
        <v>8</v>
      </c>
      <c r="N45" t="s">
        <v>8</v>
      </c>
    </row>
    <row r="46" spans="1:14" x14ac:dyDescent="0.25">
      <c r="A46" s="5">
        <v>44547</v>
      </c>
      <c r="B46">
        <v>2.5720000000000001</v>
      </c>
      <c r="C46">
        <v>2.7309999999999999</v>
      </c>
      <c r="D46">
        <v>2.39</v>
      </c>
      <c r="E46">
        <v>2.4359999999999999</v>
      </c>
      <c r="F46">
        <v>9753497.9000000004</v>
      </c>
      <c r="G46">
        <v>2.4359999999999999</v>
      </c>
      <c r="L46" t="s">
        <v>7</v>
      </c>
      <c r="M46" t="s">
        <v>8</v>
      </c>
      <c r="N46" t="s">
        <v>8</v>
      </c>
    </row>
    <row r="47" spans="1:14" x14ac:dyDescent="0.25">
      <c r="A47" s="5">
        <v>44546</v>
      </c>
      <c r="B47">
        <v>2.5489999999999999</v>
      </c>
      <c r="C47">
        <v>2.7040000000000002</v>
      </c>
      <c r="D47">
        <v>2.5299999999999998</v>
      </c>
      <c r="E47">
        <v>2.5720000000000001</v>
      </c>
      <c r="F47">
        <v>8439727.5</v>
      </c>
      <c r="G47">
        <v>2.5720000000000001</v>
      </c>
      <c r="L47" t="s">
        <v>8</v>
      </c>
      <c r="M47" t="s">
        <v>8</v>
      </c>
      <c r="N47" t="s">
        <v>8</v>
      </c>
    </row>
    <row r="48" spans="1:14" x14ac:dyDescent="0.25">
      <c r="A48" s="5">
        <v>44545</v>
      </c>
      <c r="B48">
        <v>2.5419999999999998</v>
      </c>
      <c r="C48">
        <v>2.5680000000000001</v>
      </c>
      <c r="D48">
        <v>2.3239999999999998</v>
      </c>
      <c r="E48">
        <v>2.5510000000000002</v>
      </c>
      <c r="F48">
        <v>9459441.9000000004</v>
      </c>
      <c r="G48">
        <v>2.5510000000000002</v>
      </c>
      <c r="L48" t="s">
        <v>7</v>
      </c>
      <c r="M48" t="s">
        <v>7</v>
      </c>
      <c r="N48" t="s">
        <v>8</v>
      </c>
    </row>
    <row r="49" spans="1:14" x14ac:dyDescent="0.25">
      <c r="A49" s="5">
        <v>44544</v>
      </c>
      <c r="B49">
        <v>2.3969999999999998</v>
      </c>
      <c r="C49">
        <v>2.59</v>
      </c>
      <c r="D49">
        <v>2.3650000000000002</v>
      </c>
      <c r="E49">
        <v>2.5419999999999998</v>
      </c>
      <c r="F49">
        <v>11025162.199999999</v>
      </c>
      <c r="G49">
        <v>2.5419999999999998</v>
      </c>
      <c r="L49" t="s">
        <v>8</v>
      </c>
      <c r="M49" t="s">
        <v>7</v>
      </c>
      <c r="N49" t="s">
        <v>8</v>
      </c>
    </row>
    <row r="50" spans="1:14" x14ac:dyDescent="0.25">
      <c r="A50" s="5">
        <v>44543</v>
      </c>
      <c r="B50">
        <v>2.548</v>
      </c>
      <c r="C50">
        <v>2.66</v>
      </c>
      <c r="D50">
        <v>2.2290000000000001</v>
      </c>
      <c r="E50">
        <v>2.3969999999999998</v>
      </c>
      <c r="F50">
        <v>14964445.1</v>
      </c>
      <c r="G50">
        <v>2.3969999999999998</v>
      </c>
      <c r="L50" t="s">
        <v>7</v>
      </c>
      <c r="M50" t="s">
        <v>7</v>
      </c>
      <c r="N50" t="s">
        <v>8</v>
      </c>
    </row>
    <row r="51" spans="1:14" x14ac:dyDescent="0.25">
      <c r="A51" s="5">
        <v>44542</v>
      </c>
      <c r="B51">
        <v>2.5859999999999999</v>
      </c>
      <c r="C51">
        <v>2.61</v>
      </c>
      <c r="D51">
        <v>2.4870000000000001</v>
      </c>
      <c r="E51">
        <v>2.5470000000000002</v>
      </c>
      <c r="F51">
        <v>4604962.5999999996</v>
      </c>
      <c r="G51">
        <v>2.5470000000000002</v>
      </c>
      <c r="L51" t="s">
        <v>7</v>
      </c>
      <c r="M51" t="s">
        <v>7</v>
      </c>
      <c r="N51" t="s">
        <v>8</v>
      </c>
    </row>
    <row r="52" spans="1:14" x14ac:dyDescent="0.25">
      <c r="A52" s="5">
        <v>44541</v>
      </c>
      <c r="B52">
        <v>2.4849999999999999</v>
      </c>
      <c r="C52">
        <v>2.5449999999999999</v>
      </c>
      <c r="D52">
        <v>2.4529999999999998</v>
      </c>
      <c r="E52">
        <v>2.532</v>
      </c>
      <c r="F52">
        <v>558076</v>
      </c>
      <c r="G52">
        <v>2.532</v>
      </c>
      <c r="L52" t="s">
        <v>7</v>
      </c>
      <c r="M52" t="s">
        <v>7</v>
      </c>
      <c r="N52" t="s">
        <v>8</v>
      </c>
    </row>
    <row r="53" spans="1:14" x14ac:dyDescent="0.25">
      <c r="A53" s="5">
        <v>44540</v>
      </c>
      <c r="B53">
        <v>2.4990000000000001</v>
      </c>
      <c r="C53">
        <v>2.66</v>
      </c>
      <c r="D53">
        <v>2.464</v>
      </c>
      <c r="E53">
        <v>2.484</v>
      </c>
      <c r="F53">
        <v>9978798.4000000004</v>
      </c>
      <c r="G53">
        <v>2.484</v>
      </c>
      <c r="L53" t="s">
        <v>7</v>
      </c>
      <c r="M53" t="s">
        <v>7</v>
      </c>
      <c r="N53" t="s">
        <v>8</v>
      </c>
    </row>
    <row r="54" spans="1:14" x14ac:dyDescent="0.25">
      <c r="A54" s="5">
        <v>44539</v>
      </c>
      <c r="B54">
        <v>2.7530000000000001</v>
      </c>
      <c r="C54">
        <v>2.97</v>
      </c>
      <c r="D54">
        <v>2.4929999999999999</v>
      </c>
      <c r="E54">
        <v>2.4990000000000001</v>
      </c>
      <c r="F54">
        <v>14985343.9</v>
      </c>
      <c r="G54">
        <v>2.4990000000000001</v>
      </c>
      <c r="L54" t="s">
        <v>7</v>
      </c>
      <c r="M54" t="s">
        <v>8</v>
      </c>
      <c r="N54" t="s">
        <v>8</v>
      </c>
    </row>
    <row r="55" spans="1:14" x14ac:dyDescent="0.25">
      <c r="A55" s="5">
        <v>44538</v>
      </c>
      <c r="B55">
        <v>2.6779999999999999</v>
      </c>
      <c r="C55">
        <v>2.79</v>
      </c>
      <c r="D55">
        <v>2.5619999999999998</v>
      </c>
      <c r="E55">
        <v>2.7530000000000001</v>
      </c>
      <c r="F55">
        <v>9347812.4000000004</v>
      </c>
      <c r="G55">
        <v>2.7530000000000001</v>
      </c>
      <c r="L55" t="s">
        <v>7</v>
      </c>
      <c r="M55" t="s">
        <v>8</v>
      </c>
      <c r="N55" t="s">
        <v>8</v>
      </c>
    </row>
    <row r="56" spans="1:14" x14ac:dyDescent="0.25">
      <c r="A56" s="5">
        <v>44537</v>
      </c>
      <c r="B56">
        <v>2.649</v>
      </c>
      <c r="C56">
        <v>2.8559999999999999</v>
      </c>
      <c r="D56">
        <v>2.6379999999999999</v>
      </c>
      <c r="E56">
        <v>2.677</v>
      </c>
      <c r="F56">
        <v>12699244</v>
      </c>
      <c r="G56">
        <v>2.677</v>
      </c>
      <c r="L56" t="s">
        <v>8</v>
      </c>
      <c r="M56" t="s">
        <v>8</v>
      </c>
      <c r="N56" t="s">
        <v>8</v>
      </c>
    </row>
    <row r="57" spans="1:14" x14ac:dyDescent="0.25">
      <c r="A57" s="5">
        <v>44536</v>
      </c>
      <c r="B57">
        <v>2.6379999999999999</v>
      </c>
      <c r="C57">
        <v>2.681</v>
      </c>
      <c r="D57">
        <v>2.359</v>
      </c>
      <c r="E57">
        <v>2.65</v>
      </c>
      <c r="F57">
        <v>16288696.699999999</v>
      </c>
      <c r="G57">
        <v>2.65</v>
      </c>
      <c r="L57" t="s">
        <v>7</v>
      </c>
      <c r="M57" t="s">
        <v>7</v>
      </c>
      <c r="N57" t="s">
        <v>7</v>
      </c>
    </row>
    <row r="58" spans="1:14" x14ac:dyDescent="0.25">
      <c r="A58" s="5">
        <v>44535</v>
      </c>
      <c r="B58">
        <v>2.673</v>
      </c>
      <c r="C58">
        <v>2.8450000000000002</v>
      </c>
      <c r="D58">
        <v>2.5230000000000001</v>
      </c>
      <c r="E58">
        <v>2.637</v>
      </c>
      <c r="F58">
        <v>15023645.5</v>
      </c>
      <c r="G58">
        <v>2.637</v>
      </c>
      <c r="L58" t="s">
        <v>8</v>
      </c>
      <c r="M58" t="s">
        <v>8</v>
      </c>
      <c r="N58" t="s">
        <v>7</v>
      </c>
    </row>
    <row r="59" spans="1:14" x14ac:dyDescent="0.25">
      <c r="A59" s="5">
        <v>44534</v>
      </c>
      <c r="B59">
        <v>3.1339999999999999</v>
      </c>
      <c r="C59">
        <v>3.145</v>
      </c>
      <c r="D59">
        <v>1.994</v>
      </c>
      <c r="E59">
        <v>2.6749999999999998</v>
      </c>
      <c r="F59">
        <v>34804023.659999996</v>
      </c>
      <c r="G59">
        <v>2.6749999999999998</v>
      </c>
      <c r="L59" t="s">
        <v>7</v>
      </c>
      <c r="M59" t="s">
        <v>7</v>
      </c>
      <c r="N59" t="s">
        <v>7</v>
      </c>
    </row>
    <row r="60" spans="1:14" x14ac:dyDescent="0.25">
      <c r="A60" s="5">
        <v>44533</v>
      </c>
      <c r="B60">
        <v>3.4729999999999999</v>
      </c>
      <c r="C60">
        <v>3.504</v>
      </c>
      <c r="D60">
        <v>3.004</v>
      </c>
      <c r="E60">
        <v>3.133</v>
      </c>
      <c r="F60">
        <v>13765975.199999999</v>
      </c>
      <c r="G60">
        <v>3.133</v>
      </c>
      <c r="L60" t="s">
        <v>7</v>
      </c>
      <c r="M60" t="s">
        <v>7</v>
      </c>
      <c r="N60" t="s">
        <v>7</v>
      </c>
    </row>
    <row r="61" spans="1:14" x14ac:dyDescent="0.25">
      <c r="A61" s="5">
        <v>44532</v>
      </c>
      <c r="B61">
        <v>3.6829999999999998</v>
      </c>
      <c r="C61">
        <v>3.6840000000000002</v>
      </c>
      <c r="D61">
        <v>3.3879999999999999</v>
      </c>
      <c r="E61">
        <v>3.4729999999999999</v>
      </c>
      <c r="F61">
        <v>15806216.4</v>
      </c>
      <c r="G61">
        <v>3.4729999999999999</v>
      </c>
      <c r="L61" t="s">
        <v>7</v>
      </c>
      <c r="M61" t="s">
        <v>7</v>
      </c>
      <c r="N61" t="s">
        <v>7</v>
      </c>
    </row>
    <row r="62" spans="1:14" x14ac:dyDescent="0.25">
      <c r="A62" s="5">
        <v>44531</v>
      </c>
      <c r="B62">
        <v>3.544</v>
      </c>
      <c r="C62">
        <v>4.2590000000000003</v>
      </c>
      <c r="D62">
        <v>3.516</v>
      </c>
      <c r="E62">
        <v>3.6840000000000002</v>
      </c>
      <c r="F62">
        <v>46310867.700000003</v>
      </c>
      <c r="G62">
        <v>3.6840000000000002</v>
      </c>
      <c r="L62" t="s">
        <v>8</v>
      </c>
      <c r="M62" t="s">
        <v>8</v>
      </c>
      <c r="N62" t="s">
        <v>7</v>
      </c>
    </row>
    <row r="63" spans="1:14" x14ac:dyDescent="0.25">
      <c r="A63" s="5">
        <v>44530</v>
      </c>
      <c r="B63">
        <v>3.7530000000000001</v>
      </c>
      <c r="C63">
        <v>3.7919999999999998</v>
      </c>
      <c r="D63">
        <v>3.5030000000000001</v>
      </c>
      <c r="E63">
        <v>3.544</v>
      </c>
      <c r="F63">
        <v>9833096.9000000004</v>
      </c>
      <c r="G63">
        <v>3.544</v>
      </c>
      <c r="L63" t="s">
        <v>7</v>
      </c>
      <c r="M63" t="s">
        <v>7</v>
      </c>
      <c r="N63" t="s">
        <v>7</v>
      </c>
    </row>
    <row r="64" spans="1:14" x14ac:dyDescent="0.25">
      <c r="A64" s="5">
        <v>44529</v>
      </c>
      <c r="B64">
        <v>3.6480000000000001</v>
      </c>
      <c r="C64">
        <v>3.778</v>
      </c>
      <c r="D64">
        <v>3.5790000000000002</v>
      </c>
      <c r="E64">
        <v>3.7530000000000001</v>
      </c>
      <c r="F64">
        <v>6373296.5999999996</v>
      </c>
      <c r="G64">
        <v>3.7530000000000001</v>
      </c>
      <c r="L64" t="s">
        <v>8</v>
      </c>
      <c r="M64" t="s">
        <v>7</v>
      </c>
      <c r="N64" t="s">
        <v>7</v>
      </c>
    </row>
    <row r="65" spans="1:14" x14ac:dyDescent="0.25">
      <c r="A65" s="5">
        <v>44528</v>
      </c>
      <c r="B65">
        <v>3.7040000000000002</v>
      </c>
      <c r="C65">
        <v>3.7080000000000002</v>
      </c>
      <c r="D65">
        <v>3.3639999999999999</v>
      </c>
      <c r="E65">
        <v>3.6459999999999999</v>
      </c>
      <c r="F65">
        <v>7335571.0999999996</v>
      </c>
      <c r="G65">
        <v>3.6459999999999999</v>
      </c>
      <c r="L65" t="s">
        <v>7</v>
      </c>
      <c r="M65" t="s">
        <v>7</v>
      </c>
      <c r="N65" t="s">
        <v>7</v>
      </c>
    </row>
    <row r="66" spans="1:14" x14ac:dyDescent="0.25">
      <c r="A66" s="5">
        <v>44527</v>
      </c>
      <c r="B66">
        <v>3.67</v>
      </c>
      <c r="C66">
        <v>3.8</v>
      </c>
      <c r="D66">
        <v>3.6389999999999998</v>
      </c>
      <c r="E66">
        <v>3.7050000000000001</v>
      </c>
      <c r="F66">
        <v>6195695.7000000002</v>
      </c>
      <c r="G66">
        <v>3.7050000000000001</v>
      </c>
      <c r="L66" t="s">
        <v>7</v>
      </c>
      <c r="M66" t="s">
        <v>8</v>
      </c>
      <c r="N66" t="s">
        <v>7</v>
      </c>
    </row>
    <row r="67" spans="1:14" x14ac:dyDescent="0.25">
      <c r="A67" s="5">
        <v>44526</v>
      </c>
      <c r="B67">
        <v>4.25</v>
      </c>
      <c r="C67">
        <v>4.2590000000000003</v>
      </c>
      <c r="D67">
        <v>3.577</v>
      </c>
      <c r="E67">
        <v>3.67</v>
      </c>
      <c r="F67">
        <v>17699133.600000001</v>
      </c>
      <c r="G67">
        <v>3.67</v>
      </c>
      <c r="L67" t="s">
        <v>7</v>
      </c>
      <c r="M67" t="s">
        <v>8</v>
      </c>
      <c r="N67" t="s">
        <v>7</v>
      </c>
    </row>
    <row r="68" spans="1:14" x14ac:dyDescent="0.25">
      <c r="A68" s="5">
        <v>44525</v>
      </c>
      <c r="B68">
        <v>3.988</v>
      </c>
      <c r="C68">
        <v>4.3079999999999998</v>
      </c>
      <c r="D68">
        <v>3.95</v>
      </c>
      <c r="E68">
        <v>4.2510000000000003</v>
      </c>
      <c r="F68">
        <v>15336429.4</v>
      </c>
      <c r="G68">
        <v>4.2510000000000003</v>
      </c>
      <c r="L68" t="s">
        <v>8</v>
      </c>
      <c r="M68" t="s">
        <v>8</v>
      </c>
      <c r="N68" t="s">
        <v>7</v>
      </c>
    </row>
    <row r="69" spans="1:14" x14ac:dyDescent="0.25">
      <c r="A69" s="5">
        <v>44524</v>
      </c>
      <c r="B69">
        <v>4.0330000000000004</v>
      </c>
      <c r="C69">
        <v>4.0709999999999997</v>
      </c>
      <c r="D69">
        <v>3.8959999999999999</v>
      </c>
      <c r="E69">
        <v>3.9569999999999999</v>
      </c>
      <c r="F69">
        <v>2870157</v>
      </c>
      <c r="G69">
        <v>3.9569999999999999</v>
      </c>
      <c r="L69" t="s">
        <v>8</v>
      </c>
      <c r="M69" t="s">
        <v>8</v>
      </c>
      <c r="N69" t="s">
        <v>7</v>
      </c>
    </row>
    <row r="70" spans="1:14" x14ac:dyDescent="0.25">
      <c r="A70" s="5">
        <v>44523</v>
      </c>
      <c r="B70">
        <v>3.8210000000000002</v>
      </c>
      <c r="C70">
        <v>4.1449999999999996</v>
      </c>
      <c r="D70">
        <v>3.75</v>
      </c>
      <c r="E70">
        <v>4.0330000000000004</v>
      </c>
      <c r="F70">
        <v>8801552</v>
      </c>
      <c r="G70">
        <v>4.0330000000000004</v>
      </c>
      <c r="L70" t="s">
        <v>8</v>
      </c>
      <c r="M70" t="s">
        <v>8</v>
      </c>
      <c r="N70" t="s">
        <v>7</v>
      </c>
    </row>
    <row r="71" spans="1:14" x14ac:dyDescent="0.25">
      <c r="A71" s="5">
        <v>44522</v>
      </c>
      <c r="B71">
        <v>3.988</v>
      </c>
      <c r="C71">
        <v>4.0049999999999999</v>
      </c>
      <c r="D71">
        <v>3.75</v>
      </c>
      <c r="E71">
        <v>3.823</v>
      </c>
      <c r="F71">
        <v>8855670.3000000007</v>
      </c>
      <c r="G71">
        <v>3.823</v>
      </c>
      <c r="L71" t="s">
        <v>7</v>
      </c>
      <c r="M71" t="s">
        <v>8</v>
      </c>
      <c r="N71" t="s">
        <v>7</v>
      </c>
    </row>
    <row r="72" spans="1:14" x14ac:dyDescent="0.25">
      <c r="A72" s="5">
        <v>44521</v>
      </c>
      <c r="B72">
        <v>3.9849999999999999</v>
      </c>
      <c r="C72">
        <v>4.1539999999999999</v>
      </c>
      <c r="D72">
        <v>3.859</v>
      </c>
      <c r="E72">
        <v>3.9870000000000001</v>
      </c>
      <c r="F72">
        <v>10979396.300000001</v>
      </c>
      <c r="G72">
        <v>3.9870000000000001</v>
      </c>
      <c r="L72" t="s">
        <v>8</v>
      </c>
      <c r="M72" t="s">
        <v>8</v>
      </c>
      <c r="N72" t="s">
        <v>7</v>
      </c>
    </row>
    <row r="73" spans="1:14" x14ac:dyDescent="0.25">
      <c r="A73" s="5">
        <v>44520</v>
      </c>
      <c r="B73">
        <v>3.8860000000000001</v>
      </c>
      <c r="C73">
        <v>4.0250000000000004</v>
      </c>
      <c r="D73">
        <v>3.7949999999999999</v>
      </c>
      <c r="E73">
        <v>3.9849999999999999</v>
      </c>
      <c r="F73">
        <v>7125380.5</v>
      </c>
      <c r="G73">
        <v>3.9849999999999999</v>
      </c>
      <c r="L73" t="s">
        <v>8</v>
      </c>
      <c r="M73" t="s">
        <v>7</v>
      </c>
      <c r="N73" t="s">
        <v>7</v>
      </c>
    </row>
    <row r="74" spans="1:14" x14ac:dyDescent="0.25">
      <c r="A74" s="5">
        <v>44519</v>
      </c>
      <c r="B74">
        <v>3.5459999999999998</v>
      </c>
      <c r="C74">
        <v>3.9590000000000001</v>
      </c>
      <c r="D74">
        <v>3.47</v>
      </c>
      <c r="E74">
        <v>3.8860000000000001</v>
      </c>
      <c r="F74">
        <v>6971039</v>
      </c>
      <c r="G74">
        <v>3.8860000000000001</v>
      </c>
      <c r="L74" t="s">
        <v>7</v>
      </c>
      <c r="M74" t="s">
        <v>7</v>
      </c>
      <c r="N74" t="s">
        <v>7</v>
      </c>
    </row>
    <row r="75" spans="1:14" x14ac:dyDescent="0.25">
      <c r="A75" s="5">
        <v>44518</v>
      </c>
      <c r="B75">
        <v>3.923</v>
      </c>
      <c r="C75">
        <v>4.0220000000000002</v>
      </c>
      <c r="D75">
        <v>3.4660000000000002</v>
      </c>
      <c r="E75">
        <v>3.5470000000000002</v>
      </c>
      <c r="F75">
        <v>8619650.4000000004</v>
      </c>
      <c r="G75">
        <v>3.5470000000000002</v>
      </c>
      <c r="L75" t="s">
        <v>8</v>
      </c>
      <c r="M75" t="s">
        <v>7</v>
      </c>
      <c r="N75" t="s">
        <v>7</v>
      </c>
    </row>
    <row r="76" spans="1:14" x14ac:dyDescent="0.25">
      <c r="A76" s="5">
        <v>44517</v>
      </c>
      <c r="B76">
        <v>3.85</v>
      </c>
      <c r="C76">
        <v>3.9540000000000002</v>
      </c>
      <c r="D76">
        <v>3.69</v>
      </c>
      <c r="E76">
        <v>3.9260000000000002</v>
      </c>
      <c r="F76">
        <v>6421351.2999999998</v>
      </c>
      <c r="G76">
        <v>3.9260000000000002</v>
      </c>
      <c r="L76" t="s">
        <v>8</v>
      </c>
      <c r="M76" t="s">
        <v>7</v>
      </c>
      <c r="N76" t="s">
        <v>7</v>
      </c>
    </row>
    <row r="77" spans="1:14" x14ac:dyDescent="0.25">
      <c r="A77" s="5">
        <v>44516</v>
      </c>
      <c r="B77">
        <v>4.1890000000000001</v>
      </c>
      <c r="C77">
        <v>4.1900000000000004</v>
      </c>
      <c r="D77">
        <v>3.4929999999999999</v>
      </c>
      <c r="E77">
        <v>3.8460000000000001</v>
      </c>
      <c r="F77">
        <v>10727842.800000001</v>
      </c>
      <c r="G77">
        <v>3.8460000000000001</v>
      </c>
      <c r="L77" t="s">
        <v>7</v>
      </c>
      <c r="M77" t="s">
        <v>7</v>
      </c>
      <c r="N77" t="s">
        <v>7</v>
      </c>
    </row>
    <row r="78" spans="1:14" x14ac:dyDescent="0.25">
      <c r="A78" s="5">
        <v>44515</v>
      </c>
      <c r="B78">
        <v>4.2779999999999996</v>
      </c>
      <c r="C78">
        <v>4.3600000000000003</v>
      </c>
      <c r="D78">
        <v>4.1159999999999997</v>
      </c>
      <c r="E78">
        <v>4.1879999999999997</v>
      </c>
      <c r="F78">
        <v>5149401.2</v>
      </c>
      <c r="G78">
        <v>4.1879999999999997</v>
      </c>
      <c r="L78" t="s">
        <v>8</v>
      </c>
      <c r="M78" t="s">
        <v>7</v>
      </c>
      <c r="N78" t="s">
        <v>7</v>
      </c>
    </row>
    <row r="79" spans="1:14" x14ac:dyDescent="0.25">
      <c r="A79" s="5">
        <v>44514</v>
      </c>
      <c r="B79">
        <v>4.2720000000000002</v>
      </c>
      <c r="C79">
        <v>4.34</v>
      </c>
      <c r="D79">
        <v>4.1459999999999999</v>
      </c>
      <c r="E79">
        <v>4.2789999999999999</v>
      </c>
      <c r="F79">
        <v>4429642.0999999996</v>
      </c>
      <c r="G79">
        <v>4.2789999999999999</v>
      </c>
      <c r="L79" t="s">
        <v>8</v>
      </c>
      <c r="M79" t="s">
        <v>7</v>
      </c>
      <c r="N79" t="s">
        <v>7</v>
      </c>
    </row>
    <row r="80" spans="1:14" x14ac:dyDescent="0.25">
      <c r="A80" s="5">
        <v>44513</v>
      </c>
      <c r="B80">
        <v>4.1639999999999997</v>
      </c>
      <c r="C80">
        <v>4.2960000000000003</v>
      </c>
      <c r="D80">
        <v>4.1059999999999999</v>
      </c>
      <c r="E80">
        <v>4.2720000000000002</v>
      </c>
      <c r="F80">
        <v>5723936.0999999996</v>
      </c>
      <c r="G80">
        <v>4.2720000000000002</v>
      </c>
      <c r="L80" t="s">
        <v>8</v>
      </c>
      <c r="M80" t="s">
        <v>7</v>
      </c>
      <c r="N80" t="s">
        <v>7</v>
      </c>
    </row>
    <row r="81" spans="1:14" x14ac:dyDescent="0.25">
      <c r="A81" s="5">
        <v>44512</v>
      </c>
      <c r="B81">
        <v>4.2750000000000004</v>
      </c>
      <c r="C81">
        <v>4.2759999999999998</v>
      </c>
      <c r="D81">
        <v>3.9710000000000001</v>
      </c>
      <c r="E81">
        <v>4.165</v>
      </c>
      <c r="F81">
        <v>5918915.4000000004</v>
      </c>
      <c r="G81">
        <v>4.165</v>
      </c>
      <c r="L81" t="s">
        <v>7</v>
      </c>
      <c r="M81" t="s">
        <v>7</v>
      </c>
      <c r="N81" t="s">
        <v>7</v>
      </c>
    </row>
    <row r="82" spans="1:14" x14ac:dyDescent="0.25">
      <c r="A82" s="5">
        <v>44511</v>
      </c>
      <c r="B82">
        <v>4.0739999999999998</v>
      </c>
      <c r="C82">
        <v>4.4829999999999997</v>
      </c>
      <c r="D82">
        <v>4.0039999999999996</v>
      </c>
      <c r="E82">
        <v>4.2759999999999998</v>
      </c>
      <c r="F82">
        <v>9900847</v>
      </c>
      <c r="G82">
        <v>4.2759999999999998</v>
      </c>
      <c r="L82" t="s">
        <v>7</v>
      </c>
      <c r="M82" t="s">
        <v>7</v>
      </c>
      <c r="N82" t="s">
        <v>7</v>
      </c>
    </row>
    <row r="83" spans="1:14" x14ac:dyDescent="0.25">
      <c r="A83" s="5">
        <v>44510</v>
      </c>
      <c r="B83">
        <v>4.4320000000000004</v>
      </c>
      <c r="C83">
        <v>4.7320000000000002</v>
      </c>
      <c r="D83">
        <v>3.782</v>
      </c>
      <c r="E83">
        <v>4.0730000000000004</v>
      </c>
      <c r="F83">
        <v>17234942.600000001</v>
      </c>
      <c r="G83">
        <v>4.0730000000000004</v>
      </c>
      <c r="L83" t="s">
        <v>8</v>
      </c>
      <c r="M83" t="s">
        <v>7</v>
      </c>
      <c r="N83" t="s">
        <v>7</v>
      </c>
    </row>
    <row r="84" spans="1:14" x14ac:dyDescent="0.25">
      <c r="A84" s="5">
        <v>44509</v>
      </c>
      <c r="B84">
        <v>4.63</v>
      </c>
      <c r="C84">
        <v>4.6500000000000004</v>
      </c>
      <c r="D84">
        <v>4.4160000000000004</v>
      </c>
      <c r="E84">
        <v>4.4329999999999998</v>
      </c>
      <c r="F84">
        <v>6889214.0999999996</v>
      </c>
      <c r="G84">
        <v>4.4329999999999998</v>
      </c>
      <c r="L84" t="s">
        <v>8</v>
      </c>
      <c r="M84" t="s">
        <v>7</v>
      </c>
      <c r="N84" t="s">
        <v>7</v>
      </c>
    </row>
    <row r="85" spans="1:14" x14ac:dyDescent="0.25">
      <c r="A85" s="5">
        <v>44508</v>
      </c>
      <c r="B85">
        <v>4.5720000000000001</v>
      </c>
      <c r="C85">
        <v>4.6349999999999998</v>
      </c>
      <c r="D85">
        <v>4.4139999999999997</v>
      </c>
      <c r="E85">
        <v>4.6289999999999996</v>
      </c>
      <c r="F85">
        <v>5860956.5999999996</v>
      </c>
      <c r="G85">
        <v>4.6289999999999996</v>
      </c>
      <c r="L85" t="s">
        <v>8</v>
      </c>
      <c r="M85" t="s">
        <v>7</v>
      </c>
      <c r="N85" t="s">
        <v>7</v>
      </c>
    </row>
    <row r="86" spans="1:14" x14ac:dyDescent="0.25">
      <c r="A86" s="5">
        <v>44507</v>
      </c>
      <c r="B86">
        <v>4.42</v>
      </c>
      <c r="C86">
        <v>4.6210000000000004</v>
      </c>
      <c r="D86">
        <v>4.3600000000000003</v>
      </c>
      <c r="E86">
        <v>4.5709999999999997</v>
      </c>
      <c r="F86">
        <v>7404798.9000000004</v>
      </c>
      <c r="G86">
        <v>4.5709999999999997</v>
      </c>
      <c r="L86" t="s">
        <v>8</v>
      </c>
      <c r="M86" t="s">
        <v>7</v>
      </c>
      <c r="N86" t="s">
        <v>7</v>
      </c>
    </row>
    <row r="87" spans="1:14" x14ac:dyDescent="0.25">
      <c r="A87" s="5">
        <v>44506</v>
      </c>
      <c r="B87">
        <v>4.3899999999999997</v>
      </c>
      <c r="C87">
        <v>4.49</v>
      </c>
      <c r="D87">
        <v>4.133</v>
      </c>
      <c r="E87">
        <v>4.4189999999999996</v>
      </c>
      <c r="F87">
        <v>7555754.2999999998</v>
      </c>
      <c r="G87">
        <v>4.4189999999999996</v>
      </c>
      <c r="L87" t="s">
        <v>7</v>
      </c>
      <c r="M87" t="s">
        <v>7</v>
      </c>
      <c r="N87" t="s">
        <v>7</v>
      </c>
    </row>
    <row r="88" spans="1:14" x14ac:dyDescent="0.25">
      <c r="A88" s="5">
        <v>44505</v>
      </c>
      <c r="B88">
        <v>4.5049999999999999</v>
      </c>
      <c r="C88">
        <v>4.6109999999999998</v>
      </c>
      <c r="D88">
        <v>4.367</v>
      </c>
      <c r="E88">
        <v>4.3929999999999998</v>
      </c>
      <c r="F88">
        <v>6370370.0999999996</v>
      </c>
      <c r="G88">
        <v>4.3929999999999998</v>
      </c>
      <c r="L88" t="s">
        <v>8</v>
      </c>
      <c r="M88" t="s">
        <v>7</v>
      </c>
      <c r="N88" t="s">
        <v>7</v>
      </c>
    </row>
    <row r="89" spans="1:14" x14ac:dyDescent="0.25">
      <c r="A89" s="5">
        <v>44504</v>
      </c>
      <c r="B89">
        <v>4.4269999999999996</v>
      </c>
      <c r="C89">
        <v>4.609</v>
      </c>
      <c r="D89">
        <v>4.3230000000000004</v>
      </c>
      <c r="E89">
        <v>4.5069999999999997</v>
      </c>
      <c r="F89">
        <v>10192607.1</v>
      </c>
      <c r="G89">
        <v>4.5069999999999997</v>
      </c>
      <c r="L89" t="s">
        <v>8</v>
      </c>
      <c r="M89" t="s">
        <v>7</v>
      </c>
      <c r="N89" t="s">
        <v>7</v>
      </c>
    </row>
    <row r="90" spans="1:14" x14ac:dyDescent="0.25">
      <c r="A90" s="5">
        <v>44503</v>
      </c>
      <c r="B90">
        <v>4.625</v>
      </c>
      <c r="C90">
        <v>4.6289999999999996</v>
      </c>
      <c r="D90">
        <v>4.3239999999999998</v>
      </c>
      <c r="E90">
        <v>4.423</v>
      </c>
      <c r="F90">
        <v>8193592.7999999998</v>
      </c>
      <c r="G90">
        <v>4.423</v>
      </c>
      <c r="L90" t="s">
        <v>7</v>
      </c>
      <c r="M90" t="s">
        <v>7</v>
      </c>
      <c r="N90" t="s">
        <v>7</v>
      </c>
    </row>
    <row r="91" spans="1:14" x14ac:dyDescent="0.25">
      <c r="A91" s="5">
        <v>44502</v>
      </c>
      <c r="B91">
        <v>4.5650000000000004</v>
      </c>
      <c r="C91">
        <v>4.7610000000000001</v>
      </c>
      <c r="D91">
        <v>4.3970000000000002</v>
      </c>
      <c r="E91">
        <v>4.6239999999999997</v>
      </c>
      <c r="F91">
        <v>9518580.1999999993</v>
      </c>
      <c r="G91">
        <v>4.6239999999999997</v>
      </c>
      <c r="L91" t="s">
        <v>8</v>
      </c>
      <c r="M91" t="s">
        <v>7</v>
      </c>
      <c r="N91" t="s">
        <v>7</v>
      </c>
    </row>
    <row r="92" spans="1:14" x14ac:dyDescent="0.25">
      <c r="A92" s="5">
        <v>44501</v>
      </c>
      <c r="B92">
        <v>4.5730000000000004</v>
      </c>
      <c r="C92">
        <v>4.6769999999999996</v>
      </c>
      <c r="D92">
        <v>4.2279999999999998</v>
      </c>
      <c r="E92">
        <v>4.569</v>
      </c>
      <c r="F92">
        <v>11787786.6</v>
      </c>
      <c r="G92">
        <v>4.569</v>
      </c>
      <c r="L92" t="s">
        <v>7</v>
      </c>
      <c r="M92" t="s">
        <v>7</v>
      </c>
      <c r="N92" t="s">
        <v>7</v>
      </c>
    </row>
    <row r="93" spans="1:14" x14ac:dyDescent="0.25">
      <c r="A93" s="5">
        <v>44500</v>
      </c>
      <c r="B93">
        <v>4.6920000000000002</v>
      </c>
      <c r="C93">
        <v>4.702</v>
      </c>
      <c r="D93">
        <v>4.3</v>
      </c>
      <c r="E93">
        <v>4.5759999999999996</v>
      </c>
      <c r="F93">
        <v>12946700.4</v>
      </c>
      <c r="G93">
        <v>4.5759999999999996</v>
      </c>
      <c r="L93" t="s">
        <v>7</v>
      </c>
      <c r="M93" t="s">
        <v>7</v>
      </c>
      <c r="N93" t="s">
        <v>7</v>
      </c>
    </row>
    <row r="94" spans="1:14" x14ac:dyDescent="0.25">
      <c r="A94" s="5">
        <v>44499</v>
      </c>
      <c r="B94">
        <v>5.0519999999999996</v>
      </c>
      <c r="C94">
        <v>5.133</v>
      </c>
      <c r="D94">
        <v>4.5750000000000002</v>
      </c>
      <c r="E94">
        <v>4.6929999999999996</v>
      </c>
      <c r="F94">
        <v>8933027.6999999993</v>
      </c>
      <c r="G94">
        <v>4.6929999999999996</v>
      </c>
      <c r="L94" t="s">
        <v>7</v>
      </c>
      <c r="M94" t="s">
        <v>7</v>
      </c>
      <c r="N94" t="s">
        <v>7</v>
      </c>
    </row>
    <row r="95" spans="1:14" x14ac:dyDescent="0.25">
      <c r="A95" s="5">
        <v>44498</v>
      </c>
      <c r="B95">
        <v>5.141</v>
      </c>
      <c r="C95">
        <v>5.58</v>
      </c>
      <c r="D95">
        <v>4.9180000000000001</v>
      </c>
      <c r="E95">
        <v>5.0519999999999996</v>
      </c>
      <c r="F95">
        <v>15726931.1</v>
      </c>
      <c r="G95">
        <v>5.0519999999999996</v>
      </c>
      <c r="L95" t="s">
        <v>8</v>
      </c>
      <c r="M95" t="s">
        <v>8</v>
      </c>
      <c r="N95" t="s">
        <v>7</v>
      </c>
    </row>
    <row r="96" spans="1:14" x14ac:dyDescent="0.25">
      <c r="A96" s="5">
        <v>44497</v>
      </c>
      <c r="B96">
        <v>5.718</v>
      </c>
      <c r="C96">
        <v>5.81</v>
      </c>
      <c r="D96">
        <v>4.726</v>
      </c>
      <c r="E96">
        <v>5.1420000000000003</v>
      </c>
      <c r="F96">
        <v>30217298.5</v>
      </c>
      <c r="G96">
        <v>5.1420000000000003</v>
      </c>
      <c r="L96" t="s">
        <v>7</v>
      </c>
      <c r="M96" t="s">
        <v>7</v>
      </c>
      <c r="N96" t="s">
        <v>7</v>
      </c>
    </row>
    <row r="97" spans="1:14" x14ac:dyDescent="0.25">
      <c r="A97" s="5">
        <v>44496</v>
      </c>
      <c r="B97">
        <v>3.9489999999999998</v>
      </c>
      <c r="C97">
        <v>7.73</v>
      </c>
      <c r="D97">
        <v>3.9129999999999998</v>
      </c>
      <c r="E97">
        <v>5.72</v>
      </c>
      <c r="F97">
        <v>161293941.49000001</v>
      </c>
      <c r="G97">
        <v>5.72</v>
      </c>
      <c r="L97" t="s">
        <v>8</v>
      </c>
      <c r="M97" t="s">
        <v>8</v>
      </c>
      <c r="N97" t="s">
        <v>8</v>
      </c>
    </row>
    <row r="98" spans="1:14" x14ac:dyDescent="0.25">
      <c r="A98" s="5">
        <v>44495</v>
      </c>
      <c r="B98">
        <v>4.0490000000000004</v>
      </c>
      <c r="C98">
        <v>4.1959999999999997</v>
      </c>
      <c r="D98">
        <v>3.8679999999999999</v>
      </c>
      <c r="E98">
        <v>3.95</v>
      </c>
      <c r="F98">
        <v>9194048.8000000007</v>
      </c>
      <c r="G98">
        <v>3.95</v>
      </c>
      <c r="L98" t="s">
        <v>7</v>
      </c>
      <c r="M98" t="s">
        <v>7</v>
      </c>
      <c r="N98" t="s">
        <v>8</v>
      </c>
    </row>
    <row r="99" spans="1:14" x14ac:dyDescent="0.25">
      <c r="A99" s="5">
        <v>44494</v>
      </c>
      <c r="B99">
        <v>3.8039999999999998</v>
      </c>
      <c r="C99">
        <v>4.165</v>
      </c>
      <c r="D99">
        <v>3.7629999999999999</v>
      </c>
      <c r="E99">
        <v>4.048</v>
      </c>
      <c r="F99">
        <v>9615279.3000000007</v>
      </c>
      <c r="G99">
        <v>4.048</v>
      </c>
      <c r="L99" t="s">
        <v>8</v>
      </c>
      <c r="M99" t="s">
        <v>7</v>
      </c>
      <c r="N99" t="s">
        <v>8</v>
      </c>
    </row>
    <row r="100" spans="1:14" x14ac:dyDescent="0.25">
      <c r="A100" s="5">
        <v>44493</v>
      </c>
      <c r="B100">
        <v>4.0190000000000001</v>
      </c>
      <c r="C100">
        <v>4.07</v>
      </c>
      <c r="D100">
        <v>3.6840000000000002</v>
      </c>
      <c r="E100">
        <v>3.8029999999999999</v>
      </c>
      <c r="F100">
        <v>10222992.800000001</v>
      </c>
      <c r="G100">
        <v>3.8029999999999999</v>
      </c>
      <c r="L100" t="s">
        <v>7</v>
      </c>
      <c r="M100" t="s">
        <v>7</v>
      </c>
      <c r="N100" t="s">
        <v>8</v>
      </c>
    </row>
    <row r="101" spans="1:14" x14ac:dyDescent="0.25">
      <c r="A101" s="5">
        <v>44492</v>
      </c>
      <c r="B101">
        <v>4.0220000000000002</v>
      </c>
      <c r="C101">
        <v>4.0789999999999997</v>
      </c>
      <c r="D101">
        <v>3.8220000000000001</v>
      </c>
      <c r="E101">
        <v>4.0190000000000001</v>
      </c>
      <c r="F101">
        <v>8001276.7999999998</v>
      </c>
      <c r="G101">
        <v>4.0190000000000001</v>
      </c>
      <c r="L101" t="s">
        <v>7</v>
      </c>
      <c r="M101" t="s">
        <v>7</v>
      </c>
      <c r="N101" t="s">
        <v>8</v>
      </c>
    </row>
    <row r="102" spans="1:14" x14ac:dyDescent="0.25">
      <c r="A102" s="5">
        <v>44491</v>
      </c>
      <c r="B102">
        <v>4.1390000000000002</v>
      </c>
      <c r="C102">
        <v>4.3499999999999996</v>
      </c>
      <c r="D102">
        <v>3.8769999999999998</v>
      </c>
      <c r="E102">
        <v>4.0209999999999999</v>
      </c>
      <c r="F102">
        <v>15284964.1</v>
      </c>
      <c r="G102">
        <v>4.0209999999999999</v>
      </c>
      <c r="L102" t="s">
        <v>7</v>
      </c>
      <c r="M102" t="s">
        <v>7</v>
      </c>
      <c r="N102" t="s">
        <v>8</v>
      </c>
    </row>
    <row r="103" spans="1:14" x14ac:dyDescent="0.25">
      <c r="A103" s="5">
        <v>44490</v>
      </c>
      <c r="B103">
        <v>4.1689999999999996</v>
      </c>
      <c r="C103">
        <v>4.5477999999999996</v>
      </c>
      <c r="D103">
        <v>4.0510000000000002</v>
      </c>
      <c r="E103">
        <v>4.1420000000000003</v>
      </c>
      <c r="F103">
        <v>18352965.190000001</v>
      </c>
      <c r="G103">
        <v>4.1420000000000003</v>
      </c>
      <c r="L103" t="s">
        <v>8</v>
      </c>
      <c r="M103" t="s">
        <v>8</v>
      </c>
      <c r="N103" t="s">
        <v>8</v>
      </c>
    </row>
    <row r="104" spans="1:14" x14ac:dyDescent="0.25">
      <c r="A104" s="5">
        <v>44489</v>
      </c>
      <c r="B104">
        <v>3.7290000000000001</v>
      </c>
      <c r="C104">
        <v>4.24</v>
      </c>
      <c r="D104">
        <v>3.6589999999999998</v>
      </c>
      <c r="E104">
        <v>4.1689999999999996</v>
      </c>
      <c r="F104">
        <v>17215761.93</v>
      </c>
      <c r="G104">
        <v>4.1689999999999996</v>
      </c>
      <c r="L104" t="s">
        <v>8</v>
      </c>
      <c r="M104" t="s">
        <v>8</v>
      </c>
      <c r="N104" t="s">
        <v>8</v>
      </c>
    </row>
    <row r="105" spans="1:14" x14ac:dyDescent="0.25">
      <c r="A105" s="5">
        <v>44488</v>
      </c>
      <c r="B105">
        <v>3.4489999999999998</v>
      </c>
      <c r="C105">
        <v>3.77</v>
      </c>
      <c r="D105">
        <v>3.4180000000000001</v>
      </c>
      <c r="E105">
        <v>3.7280000000000002</v>
      </c>
      <c r="F105">
        <v>12104318.6</v>
      </c>
      <c r="G105">
        <v>3.7280000000000002</v>
      </c>
      <c r="L105" t="s">
        <v>8</v>
      </c>
      <c r="M105" t="s">
        <v>8</v>
      </c>
      <c r="N105" t="s">
        <v>8</v>
      </c>
    </row>
    <row r="106" spans="1:14" x14ac:dyDescent="0.25">
      <c r="A106" s="5">
        <v>44487</v>
      </c>
      <c r="B106">
        <v>3.4830000000000001</v>
      </c>
      <c r="C106">
        <v>3.649</v>
      </c>
      <c r="D106">
        <v>3.298</v>
      </c>
      <c r="E106">
        <v>3.4510000000000001</v>
      </c>
      <c r="F106">
        <v>17516688.399999999</v>
      </c>
      <c r="G106">
        <v>3.4510000000000001</v>
      </c>
      <c r="L106" t="s">
        <v>8</v>
      </c>
      <c r="M106" t="s">
        <v>8</v>
      </c>
      <c r="N106" t="s">
        <v>8</v>
      </c>
    </row>
    <row r="107" spans="1:14" x14ac:dyDescent="0.25">
      <c r="A107" s="5">
        <v>44486</v>
      </c>
      <c r="B107">
        <v>3.2109999999999999</v>
      </c>
      <c r="C107">
        <v>3.5750000000000002</v>
      </c>
      <c r="D107">
        <v>3.1539999999999999</v>
      </c>
      <c r="E107">
        <v>3.4830000000000001</v>
      </c>
      <c r="F107">
        <v>17114889.399999999</v>
      </c>
      <c r="G107">
        <v>3.4830000000000001</v>
      </c>
      <c r="L107" t="s">
        <v>8</v>
      </c>
      <c r="M107" t="s">
        <v>8</v>
      </c>
      <c r="N107" t="s">
        <v>8</v>
      </c>
    </row>
    <row r="108" spans="1:14" x14ac:dyDescent="0.25">
      <c r="A108" s="5">
        <v>44485</v>
      </c>
      <c r="B108">
        <v>3.242</v>
      </c>
      <c r="C108">
        <v>3.3340000000000001</v>
      </c>
      <c r="D108">
        <v>3.1840000000000002</v>
      </c>
      <c r="E108">
        <v>3.2109999999999999</v>
      </c>
      <c r="F108">
        <v>5373649</v>
      </c>
      <c r="G108">
        <v>3.2109999999999999</v>
      </c>
      <c r="L108" t="s">
        <v>8</v>
      </c>
      <c r="M108" t="s">
        <v>8</v>
      </c>
      <c r="N108" t="s">
        <v>8</v>
      </c>
    </row>
    <row r="109" spans="1:14" x14ac:dyDescent="0.25">
      <c r="A109" s="5">
        <v>44484</v>
      </c>
      <c r="B109">
        <v>3.36</v>
      </c>
      <c r="C109">
        <v>3.38</v>
      </c>
      <c r="D109">
        <v>3.0369999999999999</v>
      </c>
      <c r="E109">
        <v>3.242</v>
      </c>
      <c r="F109">
        <v>18672133.699999999</v>
      </c>
      <c r="G109">
        <v>3.242</v>
      </c>
      <c r="L109" t="s">
        <v>7</v>
      </c>
      <c r="M109" t="s">
        <v>8</v>
      </c>
      <c r="N109" t="s">
        <v>8</v>
      </c>
    </row>
    <row r="110" spans="1:14" x14ac:dyDescent="0.25">
      <c r="A110" s="5">
        <v>44483</v>
      </c>
      <c r="B110">
        <v>2.964</v>
      </c>
      <c r="C110">
        <v>3.5049999999999999</v>
      </c>
      <c r="D110">
        <v>2.9529999999999998</v>
      </c>
      <c r="E110">
        <v>3.359</v>
      </c>
      <c r="F110">
        <v>23378478.100000001</v>
      </c>
      <c r="G110">
        <v>3.359</v>
      </c>
      <c r="L110" t="s">
        <v>8</v>
      </c>
      <c r="M110" t="s">
        <v>8</v>
      </c>
      <c r="N110" t="s">
        <v>8</v>
      </c>
    </row>
    <row r="111" spans="1:14" x14ac:dyDescent="0.25">
      <c r="A111" s="5">
        <v>44482</v>
      </c>
      <c r="B111">
        <v>2.8969999999999998</v>
      </c>
      <c r="C111">
        <v>3.0179999999999998</v>
      </c>
      <c r="D111">
        <v>2.8260000000000001</v>
      </c>
      <c r="E111">
        <v>2.9630000000000001</v>
      </c>
      <c r="F111">
        <v>8011497.7000000002</v>
      </c>
      <c r="G111">
        <v>2.9630000000000001</v>
      </c>
      <c r="L111" t="s">
        <v>8</v>
      </c>
      <c r="M111" t="s">
        <v>7</v>
      </c>
      <c r="N111" t="s">
        <v>8</v>
      </c>
    </row>
    <row r="112" spans="1:14" x14ac:dyDescent="0.25">
      <c r="A112" s="5">
        <v>44481</v>
      </c>
      <c r="B112">
        <v>2.9049999999999998</v>
      </c>
      <c r="C112">
        <v>2.9319999999999999</v>
      </c>
      <c r="D112">
        <v>2.7010000000000001</v>
      </c>
      <c r="E112">
        <v>2.8980000000000001</v>
      </c>
      <c r="F112">
        <v>6525252.7999999998</v>
      </c>
      <c r="G112">
        <v>2.8980000000000001</v>
      </c>
      <c r="L112" t="s">
        <v>7</v>
      </c>
      <c r="M112" t="s">
        <v>7</v>
      </c>
      <c r="N112" t="s">
        <v>8</v>
      </c>
    </row>
    <row r="113" spans="1:14" x14ac:dyDescent="0.25">
      <c r="A113" s="5">
        <v>44480</v>
      </c>
      <c r="B113">
        <v>2.9510000000000001</v>
      </c>
      <c r="C113">
        <v>3.0590000000000002</v>
      </c>
      <c r="D113">
        <v>2.8069999999999999</v>
      </c>
      <c r="E113">
        <v>2.9060000000000001</v>
      </c>
      <c r="F113">
        <v>6627180.2999999998</v>
      </c>
      <c r="G113">
        <v>2.9060000000000001</v>
      </c>
      <c r="L113" t="s">
        <v>7</v>
      </c>
      <c r="M113" t="s">
        <v>8</v>
      </c>
      <c r="N113" t="s">
        <v>8</v>
      </c>
    </row>
    <row r="114" spans="1:14" x14ac:dyDescent="0.25">
      <c r="A114" s="5">
        <v>44479</v>
      </c>
      <c r="B114">
        <v>3.198</v>
      </c>
      <c r="C114">
        <v>3.1989999999999998</v>
      </c>
      <c r="D114">
        <v>2.9380000000000002</v>
      </c>
      <c r="E114">
        <v>2.952</v>
      </c>
      <c r="F114">
        <v>5275635.4000000004</v>
      </c>
      <c r="G114">
        <v>2.952</v>
      </c>
      <c r="L114" t="s">
        <v>7</v>
      </c>
      <c r="M114" t="s">
        <v>8</v>
      </c>
      <c r="N114" t="s">
        <v>8</v>
      </c>
    </row>
    <row r="115" spans="1:14" x14ac:dyDescent="0.25">
      <c r="A115" s="5">
        <v>44478</v>
      </c>
      <c r="B115">
        <v>3.1640000000000001</v>
      </c>
      <c r="C115">
        <v>3.2450000000000001</v>
      </c>
      <c r="D115">
        <v>3.1269999999999998</v>
      </c>
      <c r="E115">
        <v>3.198</v>
      </c>
      <c r="F115">
        <v>4004197.6</v>
      </c>
      <c r="G115">
        <v>3.198</v>
      </c>
      <c r="L115" t="s">
        <v>8</v>
      </c>
      <c r="M115" t="s">
        <v>8</v>
      </c>
      <c r="N115" t="s">
        <v>8</v>
      </c>
    </row>
    <row r="116" spans="1:14" x14ac:dyDescent="0.25">
      <c r="A116" s="5">
        <v>44477</v>
      </c>
      <c r="B116">
        <v>3.1349999999999998</v>
      </c>
      <c r="C116">
        <v>3.2890000000000001</v>
      </c>
      <c r="D116">
        <v>3.085</v>
      </c>
      <c r="E116">
        <v>3.1629999999999998</v>
      </c>
      <c r="F116">
        <v>7601891.2000000002</v>
      </c>
      <c r="G116">
        <v>3.1629999999999998</v>
      </c>
      <c r="L116" t="s">
        <v>8</v>
      </c>
      <c r="M116" t="s">
        <v>8</v>
      </c>
      <c r="N116" t="s">
        <v>8</v>
      </c>
    </row>
    <row r="117" spans="1:14" x14ac:dyDescent="0.25">
      <c r="A117" s="5">
        <v>44476</v>
      </c>
      <c r="B117">
        <v>3.1150000000000002</v>
      </c>
      <c r="C117">
        <v>3.2519999999999998</v>
      </c>
      <c r="D117">
        <v>3.0209999999999999</v>
      </c>
      <c r="E117">
        <v>3.1349999999999998</v>
      </c>
      <c r="F117">
        <v>8546486.5</v>
      </c>
      <c r="G117">
        <v>3.1349999999999998</v>
      </c>
      <c r="L117" t="s">
        <v>7</v>
      </c>
      <c r="M117" t="s">
        <v>8</v>
      </c>
      <c r="N117" t="s">
        <v>8</v>
      </c>
    </row>
    <row r="118" spans="1:14" x14ac:dyDescent="0.25">
      <c r="A118" s="5">
        <v>44475</v>
      </c>
      <c r="B118">
        <v>3.274</v>
      </c>
      <c r="C118">
        <v>3.367</v>
      </c>
      <c r="D118">
        <v>2.9649999999999999</v>
      </c>
      <c r="E118">
        <v>3.1160000000000001</v>
      </c>
      <c r="F118">
        <v>11703826.699999999</v>
      </c>
      <c r="G118">
        <v>3.1160000000000001</v>
      </c>
      <c r="L118" t="s">
        <v>8</v>
      </c>
      <c r="M118" t="s">
        <v>8</v>
      </c>
      <c r="N118" t="s">
        <v>8</v>
      </c>
    </row>
    <row r="119" spans="1:14" x14ac:dyDescent="0.25">
      <c r="A119" s="5">
        <v>44474</v>
      </c>
      <c r="B119">
        <v>3.169</v>
      </c>
      <c r="C119">
        <v>3.3330000000000002</v>
      </c>
      <c r="D119">
        <v>3.1349999999999998</v>
      </c>
      <c r="E119">
        <v>3.2719999999999998</v>
      </c>
      <c r="F119">
        <v>12865498.5</v>
      </c>
      <c r="G119">
        <v>3.2719999999999998</v>
      </c>
      <c r="L119" t="s">
        <v>8</v>
      </c>
      <c r="M119" t="s">
        <v>8</v>
      </c>
      <c r="N119" t="s">
        <v>8</v>
      </c>
    </row>
    <row r="120" spans="1:14" x14ac:dyDescent="0.25">
      <c r="A120" s="5">
        <v>44473</v>
      </c>
      <c r="B120">
        <v>3.0779999999999998</v>
      </c>
      <c r="C120">
        <v>3.22</v>
      </c>
      <c r="D120">
        <v>2.8879999999999999</v>
      </c>
      <c r="E120">
        <v>3.1869999999999998</v>
      </c>
      <c r="F120">
        <v>12970173.9</v>
      </c>
      <c r="G120">
        <v>3.1869999999999998</v>
      </c>
      <c r="L120" t="s">
        <v>7</v>
      </c>
      <c r="M120" t="s">
        <v>8</v>
      </c>
      <c r="N120" t="s">
        <v>8</v>
      </c>
    </row>
    <row r="121" spans="1:14" x14ac:dyDescent="0.25">
      <c r="A121" s="5">
        <v>44472</v>
      </c>
      <c r="B121">
        <v>3.0449999999999999</v>
      </c>
      <c r="C121">
        <v>3.2490000000000001</v>
      </c>
      <c r="D121">
        <v>2.9510000000000001</v>
      </c>
      <c r="E121">
        <v>3.0640000000000001</v>
      </c>
      <c r="F121">
        <v>13881830</v>
      </c>
      <c r="G121">
        <v>3.0640000000000001</v>
      </c>
      <c r="L121" t="s">
        <v>8</v>
      </c>
      <c r="M121" t="s">
        <v>8</v>
      </c>
      <c r="N121" t="s">
        <v>8</v>
      </c>
    </row>
    <row r="122" spans="1:14" x14ac:dyDescent="0.25">
      <c r="A122" s="5">
        <v>44471</v>
      </c>
      <c r="B122">
        <v>2.9159999999999999</v>
      </c>
      <c r="C122">
        <v>3.169</v>
      </c>
      <c r="D122">
        <v>2.8119999999999998</v>
      </c>
      <c r="E122">
        <v>3.0459999999999998</v>
      </c>
      <c r="F122">
        <v>14424144.699999999</v>
      </c>
      <c r="G122">
        <v>3.0459999999999998</v>
      </c>
      <c r="L122" t="s">
        <v>8</v>
      </c>
      <c r="M122" t="s">
        <v>8</v>
      </c>
      <c r="N122" t="s">
        <v>8</v>
      </c>
    </row>
    <row r="123" spans="1:14" x14ac:dyDescent="0.25">
      <c r="A123" s="5">
        <v>44470</v>
      </c>
      <c r="B123">
        <v>2.5539999999999998</v>
      </c>
      <c r="C123">
        <v>2.9580000000000002</v>
      </c>
      <c r="D123">
        <v>2.5409999999999999</v>
      </c>
      <c r="E123">
        <v>2.9140000000000001</v>
      </c>
      <c r="F123">
        <v>15334571.699999999</v>
      </c>
      <c r="G123">
        <v>2.9140000000000001</v>
      </c>
      <c r="L123" t="s">
        <v>8</v>
      </c>
      <c r="M123" t="s">
        <v>8</v>
      </c>
      <c r="N123" t="s">
        <v>7</v>
      </c>
    </row>
    <row r="124" spans="1:14" x14ac:dyDescent="0.25">
      <c r="A124" s="5">
        <v>44469</v>
      </c>
      <c r="B124">
        <v>2.4980000000000002</v>
      </c>
      <c r="C124">
        <v>2.6680000000000001</v>
      </c>
      <c r="D124">
        <v>2.4750000000000001</v>
      </c>
      <c r="E124">
        <v>2.5539999999999998</v>
      </c>
      <c r="F124">
        <v>7921306.2000000002</v>
      </c>
      <c r="G124">
        <v>2.5539999999999998</v>
      </c>
      <c r="L124" t="s">
        <v>8</v>
      </c>
      <c r="M124" t="s">
        <v>7</v>
      </c>
      <c r="N124" t="s">
        <v>7</v>
      </c>
    </row>
    <row r="125" spans="1:14" x14ac:dyDescent="0.25">
      <c r="A125" s="5">
        <v>44468</v>
      </c>
      <c r="B125">
        <v>2.371</v>
      </c>
      <c r="C125">
        <v>2.6019999999999999</v>
      </c>
      <c r="D125">
        <v>2.3620000000000001</v>
      </c>
      <c r="E125">
        <v>2.4990000000000001</v>
      </c>
      <c r="F125">
        <v>8903108.3000000007</v>
      </c>
      <c r="G125">
        <v>2.4990000000000001</v>
      </c>
      <c r="L125" t="s">
        <v>8</v>
      </c>
      <c r="M125" t="s">
        <v>7</v>
      </c>
      <c r="N125" t="s">
        <v>7</v>
      </c>
    </row>
    <row r="126" spans="1:14" x14ac:dyDescent="0.25">
      <c r="A126" s="5">
        <v>44467</v>
      </c>
      <c r="B126">
        <v>2.5230000000000001</v>
      </c>
      <c r="C126">
        <v>2.6150000000000002</v>
      </c>
      <c r="D126">
        <v>2.3639999999999999</v>
      </c>
      <c r="E126">
        <v>2.3730000000000002</v>
      </c>
      <c r="F126">
        <v>8367781.5999999996</v>
      </c>
      <c r="G126">
        <v>2.3730000000000002</v>
      </c>
      <c r="L126" t="s">
        <v>7</v>
      </c>
      <c r="M126" t="s">
        <v>7</v>
      </c>
      <c r="N126" t="s">
        <v>7</v>
      </c>
    </row>
    <row r="127" spans="1:14" x14ac:dyDescent="0.25">
      <c r="A127" s="5">
        <v>44466</v>
      </c>
      <c r="B127">
        <v>2.6789999999999998</v>
      </c>
      <c r="C127">
        <v>2.95</v>
      </c>
      <c r="D127">
        <v>2.5129999999999999</v>
      </c>
      <c r="E127">
        <v>2.524</v>
      </c>
      <c r="F127">
        <v>15444835.300000001</v>
      </c>
      <c r="G127">
        <v>2.524</v>
      </c>
      <c r="L127" t="s">
        <v>8</v>
      </c>
      <c r="M127" t="s">
        <v>8</v>
      </c>
      <c r="N127" t="s">
        <v>7</v>
      </c>
    </row>
    <row r="128" spans="1:14" x14ac:dyDescent="0.25">
      <c r="A128" s="5">
        <v>44465</v>
      </c>
      <c r="B128">
        <v>2.4889999999999999</v>
      </c>
      <c r="C128">
        <v>2.85</v>
      </c>
      <c r="D128">
        <v>2.214</v>
      </c>
      <c r="E128">
        <v>2.6789999999999998</v>
      </c>
      <c r="F128">
        <v>17272399.34</v>
      </c>
      <c r="G128">
        <v>2.6789999999999998</v>
      </c>
      <c r="L128" t="s">
        <v>8</v>
      </c>
      <c r="M128" t="s">
        <v>7</v>
      </c>
      <c r="N128" t="s">
        <v>7</v>
      </c>
    </row>
    <row r="129" spans="1:14" x14ac:dyDescent="0.25">
      <c r="A129" s="5">
        <v>44464</v>
      </c>
      <c r="B129">
        <v>2.5459999999999998</v>
      </c>
      <c r="C129">
        <v>2.5979999999999999</v>
      </c>
      <c r="D129">
        <v>2.4340000000000002</v>
      </c>
      <c r="E129">
        <v>2.4900000000000002</v>
      </c>
      <c r="F129">
        <v>5867441.2000000002</v>
      </c>
      <c r="G129">
        <v>2.4900000000000002</v>
      </c>
      <c r="L129" t="s">
        <v>8</v>
      </c>
      <c r="M129" t="s">
        <v>7</v>
      </c>
      <c r="N129" t="s">
        <v>7</v>
      </c>
    </row>
    <row r="130" spans="1:14" x14ac:dyDescent="0.25">
      <c r="A130" s="5">
        <v>44463</v>
      </c>
      <c r="B130">
        <v>2.7759999999999998</v>
      </c>
      <c r="C130">
        <v>2.8439999999999999</v>
      </c>
      <c r="D130">
        <v>2.363</v>
      </c>
      <c r="E130">
        <v>2.5470000000000002</v>
      </c>
      <c r="F130">
        <v>11142098.699999999</v>
      </c>
      <c r="G130">
        <v>2.5470000000000002</v>
      </c>
      <c r="L130" t="s">
        <v>7</v>
      </c>
      <c r="M130" t="s">
        <v>7</v>
      </c>
      <c r="N130" t="s">
        <v>7</v>
      </c>
    </row>
    <row r="131" spans="1:14" x14ac:dyDescent="0.25">
      <c r="A131" s="5">
        <v>44462</v>
      </c>
      <c r="B131">
        <v>2.63</v>
      </c>
      <c r="C131">
        <v>2.9</v>
      </c>
      <c r="D131">
        <v>2.5569999999999999</v>
      </c>
      <c r="E131">
        <v>2.778</v>
      </c>
      <c r="F131">
        <v>10139355.199999999</v>
      </c>
      <c r="G131">
        <v>2.778</v>
      </c>
      <c r="L131" t="s">
        <v>8</v>
      </c>
      <c r="M131" t="s">
        <v>8</v>
      </c>
      <c r="N131" t="s">
        <v>7</v>
      </c>
    </row>
    <row r="132" spans="1:14" x14ac:dyDescent="0.25">
      <c r="A132" s="5">
        <v>44461</v>
      </c>
      <c r="B132">
        <v>2.3199999999999998</v>
      </c>
      <c r="C132">
        <v>2.6890000000000001</v>
      </c>
      <c r="D132">
        <v>2.2610000000000001</v>
      </c>
      <c r="E132">
        <v>2.629</v>
      </c>
      <c r="F132">
        <v>9925240.9000000004</v>
      </c>
      <c r="G132">
        <v>2.629</v>
      </c>
      <c r="L132" t="s">
        <v>8</v>
      </c>
      <c r="M132" t="s">
        <v>8</v>
      </c>
      <c r="N132" t="s">
        <v>7</v>
      </c>
    </row>
    <row r="133" spans="1:14" x14ac:dyDescent="0.25">
      <c r="A133" s="5">
        <v>44460</v>
      </c>
      <c r="B133">
        <v>2.5750000000000002</v>
      </c>
      <c r="C133">
        <v>2.665</v>
      </c>
      <c r="D133">
        <v>2.2400000000000002</v>
      </c>
      <c r="E133">
        <v>2.3210000000000002</v>
      </c>
      <c r="F133">
        <v>11104894.310000001</v>
      </c>
      <c r="G133">
        <v>2.3210000000000002</v>
      </c>
      <c r="L133" t="s">
        <v>7</v>
      </c>
      <c r="M133" t="s">
        <v>7</v>
      </c>
      <c r="N133" t="s">
        <v>7</v>
      </c>
    </row>
    <row r="134" spans="1:14" x14ac:dyDescent="0.25">
      <c r="A134" s="5">
        <v>44459</v>
      </c>
      <c r="B134">
        <v>2.9470000000000001</v>
      </c>
      <c r="C134">
        <v>2.9550000000000001</v>
      </c>
      <c r="D134">
        <v>2.7</v>
      </c>
      <c r="E134">
        <v>2.746</v>
      </c>
      <c r="F134">
        <v>5025138.4000000004</v>
      </c>
      <c r="G134">
        <v>2.746</v>
      </c>
      <c r="L134" t="s">
        <v>7</v>
      </c>
      <c r="M134" t="s">
        <v>7</v>
      </c>
      <c r="N134" t="s">
        <v>8</v>
      </c>
    </row>
    <row r="135" spans="1:14" x14ac:dyDescent="0.25">
      <c r="A135" s="5">
        <v>44458</v>
      </c>
      <c r="B135">
        <v>3.133</v>
      </c>
      <c r="C135">
        <v>3.1429999999999998</v>
      </c>
      <c r="D135">
        <v>2.9049999999999998</v>
      </c>
      <c r="E135">
        <v>2.9449999999999998</v>
      </c>
      <c r="F135">
        <v>5719372</v>
      </c>
      <c r="G135">
        <v>2.9449999999999998</v>
      </c>
      <c r="L135" t="s">
        <v>7</v>
      </c>
      <c r="M135" t="s">
        <v>7</v>
      </c>
      <c r="N135" t="s">
        <v>8</v>
      </c>
    </row>
    <row r="136" spans="1:14" x14ac:dyDescent="0.25">
      <c r="A136" s="5">
        <v>44457</v>
      </c>
      <c r="B136">
        <v>3.1190000000000002</v>
      </c>
      <c r="C136">
        <v>3.3170000000000002</v>
      </c>
      <c r="D136">
        <v>3.0630000000000002</v>
      </c>
      <c r="E136">
        <v>3.133</v>
      </c>
      <c r="F136">
        <v>7607842</v>
      </c>
      <c r="G136">
        <v>3.133</v>
      </c>
      <c r="L136" t="s">
        <v>8</v>
      </c>
      <c r="M136" t="s">
        <v>8</v>
      </c>
      <c r="N136" t="s">
        <v>8</v>
      </c>
    </row>
    <row r="137" spans="1:14" x14ac:dyDescent="0.25">
      <c r="A137" s="5">
        <v>44456</v>
      </c>
      <c r="B137">
        <v>3.327</v>
      </c>
      <c r="C137">
        <v>3.3660000000000001</v>
      </c>
      <c r="D137">
        <v>3.0150000000000001</v>
      </c>
      <c r="E137">
        <v>3.1190000000000002</v>
      </c>
      <c r="F137">
        <v>9300080.8000000007</v>
      </c>
      <c r="G137">
        <v>3.1190000000000002</v>
      </c>
      <c r="L137" t="s">
        <v>7</v>
      </c>
      <c r="M137" t="s">
        <v>8</v>
      </c>
      <c r="N137" t="s">
        <v>8</v>
      </c>
    </row>
    <row r="138" spans="1:14" x14ac:dyDescent="0.25">
      <c r="A138" s="5">
        <v>44455</v>
      </c>
      <c r="B138">
        <v>3.298</v>
      </c>
      <c r="C138">
        <v>3.5150000000000001</v>
      </c>
      <c r="D138">
        <v>3.1829999999999998</v>
      </c>
      <c r="E138">
        <v>3.3260000000000001</v>
      </c>
      <c r="F138">
        <v>19280157.5</v>
      </c>
      <c r="G138">
        <v>3.3260000000000001</v>
      </c>
      <c r="L138" t="s">
        <v>8</v>
      </c>
      <c r="M138" t="s">
        <v>8</v>
      </c>
      <c r="N138" t="s">
        <v>8</v>
      </c>
    </row>
    <row r="139" spans="1:14" x14ac:dyDescent="0.25">
      <c r="A139" s="5">
        <v>44454</v>
      </c>
      <c r="B139">
        <v>3.073</v>
      </c>
      <c r="C139">
        <v>3.3319999999999999</v>
      </c>
      <c r="D139">
        <v>3.012</v>
      </c>
      <c r="E139">
        <v>3.3</v>
      </c>
      <c r="F139">
        <v>12368664</v>
      </c>
      <c r="G139">
        <v>3.3</v>
      </c>
      <c r="L139" t="s">
        <v>8</v>
      </c>
      <c r="M139" t="s">
        <v>8</v>
      </c>
      <c r="N139" t="s">
        <v>7</v>
      </c>
    </row>
    <row r="140" spans="1:14" x14ac:dyDescent="0.25">
      <c r="A140" s="5">
        <v>44453</v>
      </c>
      <c r="B140">
        <v>2.84</v>
      </c>
      <c r="C140">
        <v>3.109</v>
      </c>
      <c r="D140">
        <v>2.8140000000000001</v>
      </c>
      <c r="E140">
        <v>3.073</v>
      </c>
      <c r="F140">
        <v>8382277.2000000002</v>
      </c>
      <c r="G140">
        <v>3.073</v>
      </c>
      <c r="L140" t="s">
        <v>8</v>
      </c>
      <c r="M140" t="s">
        <v>8</v>
      </c>
      <c r="N140" t="s">
        <v>7</v>
      </c>
    </row>
    <row r="141" spans="1:14" x14ac:dyDescent="0.25">
      <c r="A141" s="5">
        <v>44452</v>
      </c>
      <c r="B141">
        <v>2.9870000000000001</v>
      </c>
      <c r="C141">
        <v>3.0150000000000001</v>
      </c>
      <c r="D141">
        <v>2.6930000000000001</v>
      </c>
      <c r="E141">
        <v>2.8410000000000002</v>
      </c>
      <c r="F141">
        <v>5948726.5999999996</v>
      </c>
      <c r="G141">
        <v>2.8410000000000002</v>
      </c>
      <c r="L141" t="s">
        <v>7</v>
      </c>
      <c r="M141" t="s">
        <v>8</v>
      </c>
      <c r="N141" t="s">
        <v>7</v>
      </c>
    </row>
    <row r="142" spans="1:14" x14ac:dyDescent="0.25">
      <c r="A142" s="5">
        <v>44451</v>
      </c>
      <c r="B142">
        <v>2.911</v>
      </c>
      <c r="C142">
        <v>3.117</v>
      </c>
      <c r="D142">
        <v>2.8220000000000001</v>
      </c>
      <c r="E142">
        <v>2.9889999999999999</v>
      </c>
      <c r="F142">
        <v>6119985.7999999998</v>
      </c>
      <c r="G142">
        <v>2.9889999999999999</v>
      </c>
      <c r="L142" t="s">
        <v>8</v>
      </c>
      <c r="M142" t="s">
        <v>8</v>
      </c>
      <c r="N142" t="s">
        <v>7</v>
      </c>
    </row>
    <row r="143" spans="1:14" x14ac:dyDescent="0.25">
      <c r="A143" s="5">
        <v>44450</v>
      </c>
      <c r="B143">
        <v>2.883</v>
      </c>
      <c r="C143">
        <v>3.0259999999999998</v>
      </c>
      <c r="D143">
        <v>2.8279999999999998</v>
      </c>
      <c r="E143">
        <v>2.91</v>
      </c>
      <c r="F143">
        <v>4709622.5</v>
      </c>
      <c r="G143">
        <v>2.91</v>
      </c>
      <c r="L143" t="s">
        <v>8</v>
      </c>
      <c r="M143" t="s">
        <v>8</v>
      </c>
      <c r="N143" t="s">
        <v>7</v>
      </c>
    </row>
    <row r="144" spans="1:14" x14ac:dyDescent="0.25">
      <c r="A144" s="5">
        <v>44449</v>
      </c>
      <c r="B144">
        <v>3.0310000000000001</v>
      </c>
      <c r="C144">
        <v>3.1669999999999998</v>
      </c>
      <c r="D144">
        <v>2.7309999999999999</v>
      </c>
      <c r="E144">
        <v>2.883</v>
      </c>
      <c r="F144">
        <v>7725445.5999999996</v>
      </c>
      <c r="G144">
        <v>2.883</v>
      </c>
      <c r="L144" t="s">
        <v>7</v>
      </c>
      <c r="M144" t="s">
        <v>8</v>
      </c>
      <c r="N144" t="s">
        <v>7</v>
      </c>
    </row>
    <row r="145" spans="1:14" x14ac:dyDescent="0.25">
      <c r="A145" s="5">
        <v>44448</v>
      </c>
      <c r="B145">
        <v>2.9180000000000001</v>
      </c>
      <c r="C145">
        <v>3.2</v>
      </c>
      <c r="D145">
        <v>2.831</v>
      </c>
      <c r="E145">
        <v>3.0339999999999998</v>
      </c>
      <c r="F145">
        <v>10404409.1</v>
      </c>
      <c r="G145">
        <v>3.0339999999999998</v>
      </c>
      <c r="L145" t="s">
        <v>8</v>
      </c>
      <c r="M145" t="s">
        <v>8</v>
      </c>
      <c r="N145" t="s">
        <v>7</v>
      </c>
    </row>
    <row r="146" spans="1:14" x14ac:dyDescent="0.25">
      <c r="A146" s="5">
        <v>44447</v>
      </c>
      <c r="B146">
        <v>2.9329999999999998</v>
      </c>
      <c r="C146">
        <v>3.0179999999999998</v>
      </c>
      <c r="D146">
        <v>2.5790000000000002</v>
      </c>
      <c r="E146">
        <v>2.919</v>
      </c>
      <c r="F146">
        <v>13556570.6</v>
      </c>
      <c r="G146">
        <v>2.919</v>
      </c>
      <c r="L146" t="s">
        <v>8</v>
      </c>
      <c r="M146" t="s">
        <v>7</v>
      </c>
      <c r="N146" t="s">
        <v>7</v>
      </c>
    </row>
    <row r="147" spans="1:14" x14ac:dyDescent="0.25">
      <c r="A147" s="5">
        <v>44446</v>
      </c>
      <c r="B147">
        <v>3.7090000000000001</v>
      </c>
      <c r="C147">
        <v>3.7469999999999999</v>
      </c>
      <c r="D147">
        <v>2.5459999999999998</v>
      </c>
      <c r="E147">
        <v>2.9340000000000002</v>
      </c>
      <c r="F147">
        <v>22648492.579999998</v>
      </c>
      <c r="G147">
        <v>2.9340000000000002</v>
      </c>
      <c r="L147" t="s">
        <v>7</v>
      </c>
      <c r="M147" t="s">
        <v>7</v>
      </c>
      <c r="N147" t="s">
        <v>7</v>
      </c>
    </row>
    <row r="148" spans="1:14" x14ac:dyDescent="0.25">
      <c r="A148" s="5">
        <v>44445</v>
      </c>
      <c r="B148">
        <v>3.8340000000000001</v>
      </c>
      <c r="C148">
        <v>3.96</v>
      </c>
      <c r="D148">
        <v>3.5379999999999998</v>
      </c>
      <c r="E148">
        <v>3.71</v>
      </c>
      <c r="F148">
        <v>11346604.300000001</v>
      </c>
      <c r="G148">
        <v>3.71</v>
      </c>
      <c r="L148" t="s">
        <v>7</v>
      </c>
      <c r="M148" t="s">
        <v>8</v>
      </c>
      <c r="N148" t="s">
        <v>8</v>
      </c>
    </row>
    <row r="149" spans="1:14" x14ac:dyDescent="0.25">
      <c r="A149" s="5">
        <v>44444</v>
      </c>
      <c r="B149">
        <v>3.6819999999999999</v>
      </c>
      <c r="C149">
        <v>4.0119999999999996</v>
      </c>
      <c r="D149">
        <v>3.6520000000000001</v>
      </c>
      <c r="E149">
        <v>3.8340000000000001</v>
      </c>
      <c r="F149">
        <v>14161241.1</v>
      </c>
      <c r="G149">
        <v>3.8340000000000001</v>
      </c>
      <c r="L149" t="s">
        <v>8</v>
      </c>
      <c r="M149" t="s">
        <v>8</v>
      </c>
      <c r="N149" t="s">
        <v>8</v>
      </c>
    </row>
    <row r="150" spans="1:14" x14ac:dyDescent="0.25">
      <c r="A150" s="5">
        <v>44443</v>
      </c>
      <c r="B150">
        <v>3.5720000000000001</v>
      </c>
      <c r="C150">
        <v>3.7770000000000001</v>
      </c>
      <c r="D150">
        <v>3.4790000000000001</v>
      </c>
      <c r="E150">
        <v>3.6819999999999999</v>
      </c>
      <c r="F150">
        <v>12234933.300000001</v>
      </c>
      <c r="G150">
        <v>3.6819999999999999</v>
      </c>
      <c r="L150" t="s">
        <v>8</v>
      </c>
      <c r="M150" t="s">
        <v>8</v>
      </c>
      <c r="N150" t="s">
        <v>8</v>
      </c>
    </row>
    <row r="151" spans="1:14" x14ac:dyDescent="0.25">
      <c r="A151" s="5">
        <v>44442</v>
      </c>
      <c r="B151">
        <v>3.3530000000000002</v>
      </c>
      <c r="C151">
        <v>3.6720000000000002</v>
      </c>
      <c r="D151">
        <v>3.27</v>
      </c>
      <c r="E151">
        <v>3.5720000000000001</v>
      </c>
      <c r="F151">
        <v>14501697.710000001</v>
      </c>
      <c r="G151">
        <v>3.5720000000000001</v>
      </c>
      <c r="L151" t="s">
        <v>8</v>
      </c>
      <c r="M151" t="s">
        <v>8</v>
      </c>
      <c r="N151" t="s">
        <v>8</v>
      </c>
    </row>
    <row r="152" spans="1:14" x14ac:dyDescent="0.25">
      <c r="A152" s="5">
        <v>44441</v>
      </c>
      <c r="B152">
        <v>3.3420000000000001</v>
      </c>
      <c r="C152">
        <v>3.4350000000000001</v>
      </c>
      <c r="D152">
        <v>3.2549999999999999</v>
      </c>
      <c r="E152">
        <v>3.3519999999999999</v>
      </c>
      <c r="F152">
        <v>10736433.84</v>
      </c>
      <c r="G152">
        <v>3.3519999999999999</v>
      </c>
      <c r="L152" t="s">
        <v>8</v>
      </c>
      <c r="M152" t="s">
        <v>8</v>
      </c>
      <c r="N152" t="s">
        <v>8</v>
      </c>
    </row>
    <row r="153" spans="1:14" x14ac:dyDescent="0.25">
      <c r="A153" s="5">
        <v>44440</v>
      </c>
      <c r="B153">
        <v>3.0510000000000002</v>
      </c>
      <c r="C153">
        <v>3.3740000000000001</v>
      </c>
      <c r="D153">
        <v>2.9780000000000002</v>
      </c>
      <c r="E153">
        <v>3.3410000000000002</v>
      </c>
      <c r="F153">
        <v>13063215.99</v>
      </c>
      <c r="G153">
        <v>3.3410000000000002</v>
      </c>
      <c r="L153" t="s">
        <v>8</v>
      </c>
      <c r="M153" t="s">
        <v>7</v>
      </c>
      <c r="N153" t="s">
        <v>8</v>
      </c>
    </row>
    <row r="154" spans="1:14" x14ac:dyDescent="0.25">
      <c r="A154" s="5">
        <v>44439</v>
      </c>
      <c r="B154">
        <v>3.0110000000000001</v>
      </c>
      <c r="C154">
        <v>3.2130000000000001</v>
      </c>
      <c r="D154">
        <v>2.948</v>
      </c>
      <c r="E154">
        <v>3.0550000000000002</v>
      </c>
      <c r="F154">
        <v>9666747.0999999996</v>
      </c>
      <c r="G154">
        <v>3.0550000000000002</v>
      </c>
      <c r="L154" t="s">
        <v>7</v>
      </c>
      <c r="M154" t="s">
        <v>7</v>
      </c>
      <c r="N154" t="s">
        <v>8</v>
      </c>
    </row>
    <row r="155" spans="1:14" x14ac:dyDescent="0.25">
      <c r="A155" s="5">
        <v>44438</v>
      </c>
      <c r="B155">
        <v>3.153</v>
      </c>
      <c r="C155">
        <v>3.173</v>
      </c>
      <c r="D155">
        <v>2.9969999999999999</v>
      </c>
      <c r="E155">
        <v>3.01</v>
      </c>
      <c r="F155">
        <v>6932276.5999999996</v>
      </c>
      <c r="G155">
        <v>3.01</v>
      </c>
      <c r="L155" t="s">
        <v>7</v>
      </c>
      <c r="M155" t="s">
        <v>7</v>
      </c>
      <c r="N155" t="s">
        <v>8</v>
      </c>
    </row>
    <row r="156" spans="1:14" x14ac:dyDescent="0.25">
      <c r="A156" s="5">
        <v>44437</v>
      </c>
      <c r="B156">
        <v>3.286</v>
      </c>
      <c r="C156">
        <v>3.32</v>
      </c>
      <c r="D156">
        <v>3.1040000000000001</v>
      </c>
      <c r="E156">
        <v>3.153</v>
      </c>
      <c r="F156">
        <v>5832488</v>
      </c>
      <c r="G156">
        <v>3.153</v>
      </c>
      <c r="L156" t="s">
        <v>7</v>
      </c>
      <c r="M156" t="s">
        <v>7</v>
      </c>
      <c r="N156" t="s">
        <v>8</v>
      </c>
    </row>
    <row r="157" spans="1:14" x14ac:dyDescent="0.25">
      <c r="A157" s="5">
        <v>44436</v>
      </c>
      <c r="B157">
        <v>3.214</v>
      </c>
      <c r="C157">
        <v>3.3570000000000002</v>
      </c>
      <c r="D157">
        <v>3.181</v>
      </c>
      <c r="E157">
        <v>3.282</v>
      </c>
      <c r="F157">
        <v>9280117.1300000008</v>
      </c>
      <c r="G157">
        <v>3.282</v>
      </c>
      <c r="L157" t="s">
        <v>8</v>
      </c>
      <c r="M157" t="s">
        <v>7</v>
      </c>
      <c r="N157" t="s">
        <v>8</v>
      </c>
    </row>
    <row r="158" spans="1:14" x14ac:dyDescent="0.25">
      <c r="A158" s="5">
        <v>44435</v>
      </c>
      <c r="B158">
        <v>2.9180000000000001</v>
      </c>
      <c r="C158">
        <v>3.2749999999999999</v>
      </c>
      <c r="D158">
        <v>2.8359999999999999</v>
      </c>
      <c r="E158">
        <v>3.214</v>
      </c>
      <c r="F158">
        <v>12058169.26</v>
      </c>
      <c r="G158">
        <v>3.214</v>
      </c>
      <c r="L158" t="s">
        <v>8</v>
      </c>
      <c r="M158" t="s">
        <v>7</v>
      </c>
      <c r="N158" t="s">
        <v>8</v>
      </c>
    </row>
    <row r="159" spans="1:14" x14ac:dyDescent="0.25">
      <c r="A159" s="5">
        <v>44434</v>
      </c>
      <c r="B159">
        <v>3.1781999999999999</v>
      </c>
      <c r="C159">
        <v>3.2117</v>
      </c>
      <c r="D159">
        <v>2.8540000000000001</v>
      </c>
      <c r="E159">
        <v>2.92</v>
      </c>
      <c r="F159">
        <v>7070922.8600000003</v>
      </c>
      <c r="G159">
        <v>2.92</v>
      </c>
      <c r="L159" t="s">
        <v>7</v>
      </c>
      <c r="M159" t="s">
        <v>7</v>
      </c>
      <c r="N159" t="s">
        <v>8</v>
      </c>
    </row>
    <row r="160" spans="1:14" x14ac:dyDescent="0.25">
      <c r="A160" s="5">
        <v>44433</v>
      </c>
      <c r="B160">
        <v>3.0626000000000002</v>
      </c>
      <c r="C160">
        <v>3.1987999999999999</v>
      </c>
      <c r="D160">
        <v>2.944</v>
      </c>
      <c r="E160">
        <v>3.1781000000000001</v>
      </c>
      <c r="F160">
        <v>7318233.9000000004</v>
      </c>
      <c r="G160">
        <v>3.1781000000000001</v>
      </c>
      <c r="L160" t="s">
        <v>7</v>
      </c>
      <c r="M160" t="s">
        <v>7</v>
      </c>
      <c r="N160" t="s">
        <v>8</v>
      </c>
    </row>
    <row r="161" spans="1:14" x14ac:dyDescent="0.25">
      <c r="A161" s="5">
        <v>44432</v>
      </c>
      <c r="B161">
        <v>3.4049</v>
      </c>
      <c r="C161">
        <v>3.5042</v>
      </c>
      <c r="D161">
        <v>3.0192999999999999</v>
      </c>
      <c r="E161">
        <v>3.0640000000000001</v>
      </c>
      <c r="F161">
        <v>11004420.09</v>
      </c>
      <c r="G161">
        <v>3.0640000000000001</v>
      </c>
      <c r="L161" t="s">
        <v>7</v>
      </c>
      <c r="M161" t="s">
        <v>7</v>
      </c>
      <c r="N161" t="s">
        <v>8</v>
      </c>
    </row>
    <row r="162" spans="1:14" x14ac:dyDescent="0.25">
      <c r="A162" s="5">
        <v>44431</v>
      </c>
      <c r="B162">
        <v>3.3860999999999999</v>
      </c>
      <c r="C162">
        <v>3.492</v>
      </c>
      <c r="D162">
        <v>3.3191000000000002</v>
      </c>
      <c r="E162">
        <v>3.4073000000000002</v>
      </c>
      <c r="F162">
        <v>7239235.7599999998</v>
      </c>
      <c r="G162">
        <v>3.4073000000000002</v>
      </c>
      <c r="L162" t="s">
        <v>7</v>
      </c>
      <c r="M162" t="s">
        <v>8</v>
      </c>
      <c r="N162" t="s">
        <v>8</v>
      </c>
    </row>
    <row r="163" spans="1:14" x14ac:dyDescent="0.25">
      <c r="A163" s="5">
        <v>44430</v>
      </c>
      <c r="B163">
        <v>3.3622999999999998</v>
      </c>
      <c r="C163">
        <v>3.4820000000000002</v>
      </c>
      <c r="D163">
        <v>3.3582999999999998</v>
      </c>
      <c r="E163">
        <v>3.4327000000000001</v>
      </c>
      <c r="F163">
        <v>1619905.35</v>
      </c>
      <c r="G163">
        <v>3.4327000000000001</v>
      </c>
      <c r="L163" t="s">
        <v>7</v>
      </c>
      <c r="M163" t="s">
        <v>8</v>
      </c>
      <c r="N163" t="s">
        <v>8</v>
      </c>
    </row>
    <row r="164" spans="1:14" x14ac:dyDescent="0.25">
      <c r="A164" s="5">
        <v>44429</v>
      </c>
      <c r="B164">
        <v>3.4460000000000002</v>
      </c>
      <c r="C164">
        <v>3.5318999999999998</v>
      </c>
      <c r="D164">
        <v>3.3325999999999998</v>
      </c>
      <c r="E164">
        <v>3.3635999999999999</v>
      </c>
      <c r="F164">
        <v>10939287.85</v>
      </c>
      <c r="G164">
        <v>3.3635999999999999</v>
      </c>
      <c r="L164" t="s">
        <v>7</v>
      </c>
      <c r="M164" t="s">
        <v>8</v>
      </c>
      <c r="N164" t="s">
        <v>8</v>
      </c>
    </row>
    <row r="165" spans="1:14" x14ac:dyDescent="0.25">
      <c r="A165" s="5">
        <v>44428</v>
      </c>
      <c r="B165">
        <v>3.4264000000000001</v>
      </c>
      <c r="C165">
        <v>3.6215000000000002</v>
      </c>
      <c r="D165">
        <v>3.3660000000000001</v>
      </c>
      <c r="E165">
        <v>3.4481000000000002</v>
      </c>
      <c r="F165">
        <v>13273429.550000001</v>
      </c>
      <c r="G165">
        <v>3.4481000000000002</v>
      </c>
      <c r="L165" t="s">
        <v>8</v>
      </c>
      <c r="M165" t="s">
        <v>8</v>
      </c>
      <c r="N165" t="s">
        <v>8</v>
      </c>
    </row>
    <row r="166" spans="1:14" x14ac:dyDescent="0.25">
      <c r="A166" s="5">
        <v>44427</v>
      </c>
      <c r="B166">
        <v>3.1126999999999998</v>
      </c>
      <c r="C166">
        <v>3.4624000000000001</v>
      </c>
      <c r="D166">
        <v>3.07</v>
      </c>
      <c r="E166">
        <v>3.4264000000000001</v>
      </c>
      <c r="F166">
        <v>16662455.4</v>
      </c>
      <c r="G166">
        <v>3.4264000000000001</v>
      </c>
      <c r="L166" t="s">
        <v>8</v>
      </c>
      <c r="M166" t="s">
        <v>8</v>
      </c>
      <c r="N166" t="s">
        <v>8</v>
      </c>
    </row>
    <row r="167" spans="1:14" x14ac:dyDescent="0.25">
      <c r="A167" s="5">
        <v>44426</v>
      </c>
      <c r="B167">
        <v>3.0783999999999998</v>
      </c>
      <c r="C167">
        <v>3.2616000000000001</v>
      </c>
      <c r="D167">
        <v>2.94</v>
      </c>
      <c r="E167">
        <v>3.1112000000000002</v>
      </c>
      <c r="F167">
        <v>15670072.380000001</v>
      </c>
      <c r="G167">
        <v>3.1112000000000002</v>
      </c>
      <c r="L167" t="s">
        <v>7</v>
      </c>
      <c r="M167" t="s">
        <v>8</v>
      </c>
      <c r="N167" t="s">
        <v>8</v>
      </c>
    </row>
    <row r="168" spans="1:14" x14ac:dyDescent="0.25">
      <c r="A168" s="5">
        <v>44425</v>
      </c>
      <c r="B168">
        <v>3.0373999999999999</v>
      </c>
      <c r="C168">
        <v>3.3948999999999998</v>
      </c>
      <c r="D168">
        <v>2.9721000000000002</v>
      </c>
      <c r="E168">
        <v>3.0771999999999999</v>
      </c>
      <c r="F168">
        <v>20916377.09</v>
      </c>
      <c r="G168">
        <v>3.0771999999999999</v>
      </c>
      <c r="L168" t="s">
        <v>8</v>
      </c>
      <c r="M168" t="s">
        <v>8</v>
      </c>
      <c r="N168" t="s">
        <v>8</v>
      </c>
    </row>
    <row r="169" spans="1:14" x14ac:dyDescent="0.25">
      <c r="A169" s="5">
        <v>44424</v>
      </c>
      <c r="B169">
        <v>3.0453999999999999</v>
      </c>
      <c r="C169">
        <v>3.298</v>
      </c>
      <c r="D169">
        <v>2.9817999999999998</v>
      </c>
      <c r="E169">
        <v>3.0341</v>
      </c>
      <c r="F169">
        <v>14037098.449999999</v>
      </c>
      <c r="G169">
        <v>3.0341</v>
      </c>
      <c r="L169" t="s">
        <v>8</v>
      </c>
      <c r="M169" t="s">
        <v>8</v>
      </c>
      <c r="N169" t="s">
        <v>8</v>
      </c>
    </row>
    <row r="170" spans="1:14" x14ac:dyDescent="0.25">
      <c r="A170" s="5">
        <v>44423</v>
      </c>
      <c r="B170">
        <v>3.0569000000000002</v>
      </c>
      <c r="C170">
        <v>3.089</v>
      </c>
      <c r="D170">
        <v>2.8978000000000002</v>
      </c>
      <c r="E170">
        <v>3.0447000000000002</v>
      </c>
      <c r="F170">
        <v>6987477.71</v>
      </c>
      <c r="G170">
        <v>3.0447000000000002</v>
      </c>
      <c r="L170" t="s">
        <v>7</v>
      </c>
      <c r="M170" t="s">
        <v>8</v>
      </c>
      <c r="N170" t="s">
        <v>8</v>
      </c>
    </row>
    <row r="171" spans="1:14" x14ac:dyDescent="0.25">
      <c r="A171" s="5">
        <v>44422</v>
      </c>
      <c r="B171">
        <v>3.0718000000000001</v>
      </c>
      <c r="C171">
        <v>3.1082999999999998</v>
      </c>
      <c r="D171">
        <v>2.9121000000000001</v>
      </c>
      <c r="E171">
        <v>3.0566</v>
      </c>
      <c r="F171">
        <v>8486926.1400000006</v>
      </c>
      <c r="G171">
        <v>3.0566</v>
      </c>
      <c r="L171" t="s">
        <v>8</v>
      </c>
      <c r="M171" t="s">
        <v>8</v>
      </c>
      <c r="N171" t="s">
        <v>8</v>
      </c>
    </row>
    <row r="172" spans="1:14" x14ac:dyDescent="0.25">
      <c r="A172" s="5">
        <v>44421</v>
      </c>
      <c r="B172">
        <v>2.8089</v>
      </c>
      <c r="C172">
        <v>3.0758000000000001</v>
      </c>
      <c r="D172">
        <v>2.79</v>
      </c>
      <c r="E172">
        <v>3.0716000000000001</v>
      </c>
      <c r="F172">
        <v>8656278</v>
      </c>
      <c r="G172">
        <v>3.0716000000000001</v>
      </c>
      <c r="L172" t="s">
        <v>8</v>
      </c>
      <c r="M172" t="s">
        <v>8</v>
      </c>
      <c r="N172" t="s">
        <v>8</v>
      </c>
    </row>
    <row r="173" spans="1:14" x14ac:dyDescent="0.25">
      <c r="A173" s="5">
        <v>44420</v>
      </c>
      <c r="B173">
        <v>2.9350000000000001</v>
      </c>
      <c r="C173">
        <v>3.0623</v>
      </c>
      <c r="D173">
        <v>2.7018</v>
      </c>
      <c r="E173">
        <v>2.8109000000000002</v>
      </c>
      <c r="F173">
        <v>11080078.67</v>
      </c>
      <c r="G173">
        <v>2.8109000000000002</v>
      </c>
      <c r="L173" t="s">
        <v>7</v>
      </c>
      <c r="M173" t="s">
        <v>8</v>
      </c>
      <c r="N173" t="s">
        <v>8</v>
      </c>
    </row>
    <row r="174" spans="1:14" x14ac:dyDescent="0.25">
      <c r="A174" s="5">
        <v>44419</v>
      </c>
      <c r="B174">
        <v>2.7926000000000002</v>
      </c>
      <c r="C174">
        <v>3.1013000000000002</v>
      </c>
      <c r="D174">
        <v>2.7833000000000001</v>
      </c>
      <c r="E174">
        <v>2.9358</v>
      </c>
      <c r="F174">
        <v>15200105.460000001</v>
      </c>
      <c r="G174">
        <v>2.9358</v>
      </c>
      <c r="L174" t="s">
        <v>8</v>
      </c>
      <c r="M174" t="s">
        <v>8</v>
      </c>
      <c r="N174" t="s">
        <v>8</v>
      </c>
    </row>
    <row r="175" spans="1:14" x14ac:dyDescent="0.25">
      <c r="A175" s="5">
        <v>44418</v>
      </c>
      <c r="B175">
        <v>2.7584</v>
      </c>
      <c r="C175">
        <v>2.8668999999999998</v>
      </c>
      <c r="D175">
        <v>2.6699000000000002</v>
      </c>
      <c r="E175">
        <v>2.7913999999999999</v>
      </c>
      <c r="F175">
        <v>12123266.310000001</v>
      </c>
      <c r="G175">
        <v>2.7913999999999999</v>
      </c>
      <c r="L175" t="s">
        <v>8</v>
      </c>
      <c r="M175" t="s">
        <v>8</v>
      </c>
      <c r="N175" t="s">
        <v>8</v>
      </c>
    </row>
    <row r="176" spans="1:14" x14ac:dyDescent="0.25">
      <c r="A176" s="5">
        <v>44417</v>
      </c>
      <c r="B176">
        <v>2.4912999999999998</v>
      </c>
      <c r="C176">
        <v>2.8357000000000001</v>
      </c>
      <c r="D176">
        <v>2.4</v>
      </c>
      <c r="E176">
        <v>2.7608999999999999</v>
      </c>
      <c r="F176">
        <v>13253022.18</v>
      </c>
      <c r="G176">
        <v>2.7608999999999999</v>
      </c>
      <c r="L176" t="s">
        <v>7</v>
      </c>
      <c r="M176" t="s">
        <v>8</v>
      </c>
      <c r="N176" t="s">
        <v>8</v>
      </c>
    </row>
    <row r="177" spans="1:14" x14ac:dyDescent="0.25">
      <c r="A177" s="5">
        <v>44416</v>
      </c>
      <c r="B177">
        <v>2.7025000000000001</v>
      </c>
      <c r="C177">
        <v>2.7099000000000002</v>
      </c>
      <c r="D177">
        <v>2.4474999999999998</v>
      </c>
      <c r="E177">
        <v>2.4906999999999999</v>
      </c>
      <c r="F177">
        <v>8016978.0999999996</v>
      </c>
      <c r="G177">
        <v>2.4906999999999999</v>
      </c>
      <c r="L177" t="s">
        <v>7</v>
      </c>
      <c r="M177" t="s">
        <v>8</v>
      </c>
      <c r="N177" t="s">
        <v>8</v>
      </c>
    </row>
    <row r="178" spans="1:14" x14ac:dyDescent="0.25">
      <c r="A178" s="5">
        <v>44415</v>
      </c>
      <c r="B178">
        <v>2.5137999999999998</v>
      </c>
      <c r="C178">
        <v>2.7197</v>
      </c>
      <c r="D178">
        <v>2.4895</v>
      </c>
      <c r="E178">
        <v>2.7040999999999999</v>
      </c>
      <c r="F178">
        <v>12657991.199999999</v>
      </c>
      <c r="G178">
        <v>2.7040999999999999</v>
      </c>
      <c r="L178" t="s">
        <v>8</v>
      </c>
      <c r="M178" t="s">
        <v>8</v>
      </c>
      <c r="N178" t="s">
        <v>8</v>
      </c>
    </row>
    <row r="179" spans="1:14" x14ac:dyDescent="0.25">
      <c r="A179" s="5">
        <v>44414</v>
      </c>
      <c r="B179">
        <v>2.4194</v>
      </c>
      <c r="C179">
        <v>2.5634999999999999</v>
      </c>
      <c r="D179">
        <v>2.3519999999999999</v>
      </c>
      <c r="E179">
        <v>2.5133999999999999</v>
      </c>
      <c r="F179">
        <v>10299493.130000001</v>
      </c>
      <c r="G179">
        <v>2.5133999999999999</v>
      </c>
      <c r="L179" t="s">
        <v>8</v>
      </c>
      <c r="M179" t="s">
        <v>8</v>
      </c>
      <c r="N179" t="s">
        <v>8</v>
      </c>
    </row>
    <row r="180" spans="1:14" x14ac:dyDescent="0.25">
      <c r="A180" s="5">
        <v>44413</v>
      </c>
      <c r="B180">
        <v>2.3422999999999998</v>
      </c>
      <c r="C180">
        <v>2.4399000000000002</v>
      </c>
      <c r="D180">
        <v>2.2273999999999998</v>
      </c>
      <c r="E180">
        <v>2.4186000000000001</v>
      </c>
      <c r="F180">
        <v>12056125.65</v>
      </c>
      <c r="G180">
        <v>2.4186000000000001</v>
      </c>
      <c r="L180" t="s">
        <v>8</v>
      </c>
      <c r="M180" t="s">
        <v>8</v>
      </c>
      <c r="N180" t="s">
        <v>8</v>
      </c>
    </row>
    <row r="181" spans="1:14" x14ac:dyDescent="0.25">
      <c r="A181" s="5">
        <v>44412</v>
      </c>
      <c r="B181">
        <v>2.2231999999999998</v>
      </c>
      <c r="C181">
        <v>2.4095</v>
      </c>
      <c r="D181">
        <v>2.1886000000000001</v>
      </c>
      <c r="E181">
        <v>2.343</v>
      </c>
      <c r="F181">
        <v>8417289.2400000002</v>
      </c>
      <c r="G181">
        <v>2.343</v>
      </c>
      <c r="L181" t="s">
        <v>8</v>
      </c>
      <c r="M181" t="s">
        <v>8</v>
      </c>
      <c r="N181" t="s">
        <v>8</v>
      </c>
    </row>
    <row r="182" spans="1:14" x14ac:dyDescent="0.25">
      <c r="A182" s="5">
        <v>44411</v>
      </c>
      <c r="B182">
        <v>2.3043999999999998</v>
      </c>
      <c r="C182">
        <v>2.3464999999999998</v>
      </c>
      <c r="D182">
        <v>2.1819000000000002</v>
      </c>
      <c r="E182">
        <v>2.2235</v>
      </c>
      <c r="F182">
        <v>4674698.28</v>
      </c>
      <c r="G182">
        <v>2.2235</v>
      </c>
      <c r="L182" t="s">
        <v>7</v>
      </c>
      <c r="M182" t="s">
        <v>8</v>
      </c>
      <c r="N182" t="s">
        <v>8</v>
      </c>
    </row>
    <row r="183" spans="1:14" x14ac:dyDescent="0.25">
      <c r="A183" s="5">
        <v>44410</v>
      </c>
      <c r="B183">
        <v>2.3170999999999999</v>
      </c>
      <c r="C183">
        <v>2.3913000000000002</v>
      </c>
      <c r="D183">
        <v>2.2759</v>
      </c>
      <c r="E183">
        <v>2.3056999999999999</v>
      </c>
      <c r="F183">
        <v>5069637.0999999996</v>
      </c>
      <c r="G183">
        <v>2.3056999999999999</v>
      </c>
      <c r="L183" t="s">
        <v>7</v>
      </c>
      <c r="M183" t="s">
        <v>8</v>
      </c>
      <c r="N183" t="s">
        <v>8</v>
      </c>
    </row>
    <row r="184" spans="1:14" x14ac:dyDescent="0.25">
      <c r="A184" s="5">
        <v>44409</v>
      </c>
      <c r="B184">
        <v>2.3776000000000002</v>
      </c>
      <c r="C184">
        <v>2.4853999999999998</v>
      </c>
      <c r="D184">
        <v>2.29</v>
      </c>
      <c r="E184">
        <v>2.3170000000000002</v>
      </c>
      <c r="F184">
        <v>7429086.46</v>
      </c>
      <c r="G184">
        <v>2.3170000000000002</v>
      </c>
      <c r="L184" t="s">
        <v>7</v>
      </c>
      <c r="M184" t="s">
        <v>8</v>
      </c>
      <c r="N184" t="s">
        <v>8</v>
      </c>
    </row>
    <row r="185" spans="1:14" x14ac:dyDescent="0.25">
      <c r="A185" s="5">
        <v>44408</v>
      </c>
      <c r="B185">
        <v>2.3045</v>
      </c>
      <c r="C185">
        <v>2.4430000000000001</v>
      </c>
      <c r="D185">
        <v>2.2606000000000002</v>
      </c>
      <c r="E185">
        <v>2.3755000000000002</v>
      </c>
      <c r="F185">
        <v>9922832.8000000007</v>
      </c>
      <c r="G185">
        <v>2.3755000000000002</v>
      </c>
      <c r="L185" t="s">
        <v>8</v>
      </c>
      <c r="M185" t="s">
        <v>8</v>
      </c>
      <c r="N185" t="s">
        <v>8</v>
      </c>
    </row>
    <row r="186" spans="1:14" x14ac:dyDescent="0.25">
      <c r="A186" s="5">
        <v>44407</v>
      </c>
      <c r="B186">
        <v>2.2456</v>
      </c>
      <c r="C186">
        <v>2.323</v>
      </c>
      <c r="D186">
        <v>2.165</v>
      </c>
      <c r="E186">
        <v>2.3043</v>
      </c>
      <c r="F186">
        <v>8741586.7799999993</v>
      </c>
      <c r="G186">
        <v>2.3043</v>
      </c>
      <c r="L186" t="s">
        <v>8</v>
      </c>
      <c r="M186" t="s">
        <v>8</v>
      </c>
      <c r="N186" t="s">
        <v>7</v>
      </c>
    </row>
    <row r="187" spans="1:14" x14ac:dyDescent="0.25">
      <c r="A187" s="5">
        <v>44406</v>
      </c>
      <c r="B187">
        <v>2.1896</v>
      </c>
      <c r="C187">
        <v>2.2616999999999998</v>
      </c>
      <c r="D187">
        <v>2.1446999999999998</v>
      </c>
      <c r="E187">
        <v>2.2446000000000002</v>
      </c>
      <c r="F187">
        <v>4945871.1900000004</v>
      </c>
      <c r="G187">
        <v>2.2446000000000002</v>
      </c>
      <c r="L187" t="s">
        <v>8</v>
      </c>
      <c r="M187" t="s">
        <v>8</v>
      </c>
      <c r="N187" t="s">
        <v>7</v>
      </c>
    </row>
    <row r="188" spans="1:14" x14ac:dyDescent="0.25">
      <c r="A188" s="5">
        <v>44405</v>
      </c>
      <c r="B188">
        <v>2.2172999999999998</v>
      </c>
      <c r="C188">
        <v>2.2498</v>
      </c>
      <c r="D188">
        <v>2.1334</v>
      </c>
      <c r="E188">
        <v>2.1886000000000001</v>
      </c>
      <c r="F188">
        <v>6382206.8700000001</v>
      </c>
      <c r="G188">
        <v>2.1886000000000001</v>
      </c>
      <c r="L188" t="s">
        <v>8</v>
      </c>
      <c r="M188" t="s">
        <v>8</v>
      </c>
      <c r="N188" t="s">
        <v>7</v>
      </c>
    </row>
    <row r="189" spans="1:14" x14ac:dyDescent="0.25">
      <c r="A189" s="5">
        <v>44404</v>
      </c>
      <c r="B189">
        <v>2.1373000000000002</v>
      </c>
      <c r="C189">
        <v>2.2204000000000002</v>
      </c>
      <c r="D189">
        <v>2.0746000000000002</v>
      </c>
      <c r="E189">
        <v>2.2168999999999999</v>
      </c>
      <c r="F189">
        <v>8149723.8099999996</v>
      </c>
      <c r="G189">
        <v>2.2168999999999999</v>
      </c>
      <c r="L189" t="s">
        <v>7</v>
      </c>
      <c r="M189" t="s">
        <v>8</v>
      </c>
      <c r="N189" t="s">
        <v>7</v>
      </c>
    </row>
    <row r="190" spans="1:14" x14ac:dyDescent="0.25">
      <c r="A190" s="5">
        <v>44403</v>
      </c>
      <c r="B190">
        <v>2.0442</v>
      </c>
      <c r="C190">
        <v>2.3536999999999999</v>
      </c>
      <c r="D190">
        <v>2.0188000000000001</v>
      </c>
      <c r="E190">
        <v>2.1375000000000002</v>
      </c>
      <c r="F190">
        <v>21221218.66</v>
      </c>
      <c r="G190">
        <v>2.1375000000000002</v>
      </c>
      <c r="L190" t="s">
        <v>8</v>
      </c>
      <c r="M190" t="s">
        <v>8</v>
      </c>
      <c r="N190" t="s">
        <v>7</v>
      </c>
    </row>
    <row r="191" spans="1:14" x14ac:dyDescent="0.25">
      <c r="A191" s="5">
        <v>44402</v>
      </c>
      <c r="B191">
        <v>2.0415999999999999</v>
      </c>
      <c r="C191">
        <v>2.1292</v>
      </c>
      <c r="D191">
        <v>1.9456</v>
      </c>
      <c r="E191">
        <v>2.0447000000000002</v>
      </c>
      <c r="F191">
        <v>10784061.369999999</v>
      </c>
      <c r="G191">
        <v>2.0447000000000002</v>
      </c>
      <c r="L191" t="s">
        <v>7</v>
      </c>
      <c r="M191" t="s">
        <v>8</v>
      </c>
      <c r="N191" t="s">
        <v>7</v>
      </c>
    </row>
    <row r="192" spans="1:14" x14ac:dyDescent="0.25">
      <c r="A192" s="5">
        <v>44401</v>
      </c>
      <c r="B192">
        <v>2.1147</v>
      </c>
      <c r="C192">
        <v>2.1482999999999999</v>
      </c>
      <c r="D192">
        <v>1.9847999999999999</v>
      </c>
      <c r="E192">
        <v>2.0419999999999998</v>
      </c>
      <c r="F192">
        <v>9563492.0899999999</v>
      </c>
      <c r="G192">
        <v>2.0419999999999998</v>
      </c>
      <c r="L192" t="s">
        <v>7</v>
      </c>
      <c r="M192" t="s">
        <v>8</v>
      </c>
      <c r="N192" t="s">
        <v>7</v>
      </c>
    </row>
    <row r="193" spans="1:20" x14ac:dyDescent="0.25">
      <c r="A193" s="5">
        <v>44400</v>
      </c>
      <c r="B193">
        <v>2.0385</v>
      </c>
      <c r="C193">
        <v>2.15</v>
      </c>
      <c r="D193">
        <v>1.9433</v>
      </c>
      <c r="E193">
        <v>2.1147</v>
      </c>
      <c r="F193">
        <v>12018707.66</v>
      </c>
      <c r="G193">
        <v>2.1147</v>
      </c>
      <c r="L193" t="s">
        <v>8</v>
      </c>
      <c r="M193" t="s">
        <v>8</v>
      </c>
      <c r="N193" t="s">
        <v>7</v>
      </c>
    </row>
    <row r="194" spans="1:20" x14ac:dyDescent="0.25">
      <c r="A194" s="5">
        <v>44399</v>
      </c>
      <c r="B194">
        <v>1.83</v>
      </c>
      <c r="C194">
        <v>2.0869</v>
      </c>
      <c r="D194">
        <v>1.7813000000000001</v>
      </c>
      <c r="E194">
        <v>2.0385</v>
      </c>
      <c r="F194">
        <v>9771644.3699999992</v>
      </c>
      <c r="G194">
        <v>2.0385</v>
      </c>
      <c r="L194" t="s">
        <v>8</v>
      </c>
      <c r="M194" t="s">
        <v>8</v>
      </c>
      <c r="N194" t="s">
        <v>7</v>
      </c>
    </row>
    <row r="195" spans="1:20" x14ac:dyDescent="0.25">
      <c r="A195" s="5">
        <v>44398</v>
      </c>
      <c r="B195">
        <v>1.7092000000000001</v>
      </c>
      <c r="C195">
        <v>1.9174</v>
      </c>
      <c r="D195">
        <v>1.6597999999999999</v>
      </c>
      <c r="E195">
        <v>1.8302</v>
      </c>
      <c r="F195">
        <v>6203894.9699999997</v>
      </c>
      <c r="G195">
        <v>1.8302</v>
      </c>
      <c r="L195" t="s">
        <v>7</v>
      </c>
      <c r="M195" t="s">
        <v>7</v>
      </c>
      <c r="N195" t="s">
        <v>7</v>
      </c>
    </row>
    <row r="196" spans="1:20" x14ac:dyDescent="0.25">
      <c r="A196" s="5">
        <v>44397</v>
      </c>
      <c r="B196">
        <v>1.7881</v>
      </c>
      <c r="C196">
        <v>1.8261000000000001</v>
      </c>
      <c r="D196">
        <v>1.6180000000000001</v>
      </c>
      <c r="E196">
        <v>1.7088000000000001</v>
      </c>
      <c r="F196">
        <v>7921833.7800000003</v>
      </c>
      <c r="G196">
        <v>1.7088000000000001</v>
      </c>
    </row>
    <row r="197" spans="1:20" x14ac:dyDescent="0.25">
      <c r="A197" s="5">
        <v>44396</v>
      </c>
      <c r="B197">
        <v>2.0297000000000001</v>
      </c>
      <c r="C197">
        <v>2.0482</v>
      </c>
      <c r="D197">
        <v>1.7783</v>
      </c>
      <c r="E197">
        <v>1.7877000000000001</v>
      </c>
      <c r="F197">
        <v>6164446.5700000003</v>
      </c>
      <c r="G197">
        <v>-11.92</v>
      </c>
      <c r="L197" t="s">
        <v>7</v>
      </c>
      <c r="M197" t="s">
        <v>7</v>
      </c>
      <c r="N197" t="s">
        <v>7</v>
      </c>
      <c r="P197">
        <f t="shared" ref="P197" si="0">IF(C197=D197,0,((E197-D197)-(C197-E197))/(C197-D197))</f>
        <v>-0.93034457206372678</v>
      </c>
      <c r="Q197">
        <f t="shared" ref="Q197" si="1">F197*P197</f>
        <v>-5735059.4061763585</v>
      </c>
      <c r="R197">
        <f t="shared" ref="R197" si="2">R198+Q197</f>
        <v>61932579.879332319</v>
      </c>
      <c r="S197">
        <f t="shared" ref="S197" si="3">R197/100000</f>
        <v>619.3257987933232</v>
      </c>
      <c r="T197">
        <f>S197/1000</f>
        <v>0.61932579879332317</v>
      </c>
    </row>
    <row r="198" spans="1:20" x14ac:dyDescent="0.25">
      <c r="A198" s="5">
        <v>44395</v>
      </c>
      <c r="B198">
        <v>2.0131999999999999</v>
      </c>
      <c r="C198">
        <v>2.1190000000000002</v>
      </c>
      <c r="D198">
        <v>1.9965999999999999</v>
      </c>
      <c r="E198">
        <v>2.0297000000000001</v>
      </c>
      <c r="F198">
        <v>3195017.43</v>
      </c>
      <c r="G198">
        <v>0.82</v>
      </c>
      <c r="L198" t="s">
        <v>8</v>
      </c>
      <c r="M198" t="s">
        <v>7</v>
      </c>
      <c r="N198" t="s">
        <v>7</v>
      </c>
      <c r="P198">
        <f t="shared" ref="P198:P261" si="4">IF(C198=D198,0,((E198-D198)-(C198-E198))/(C198-D198))</f>
        <v>-0.45915032679738477</v>
      </c>
      <c r="Q198">
        <f t="shared" ref="Q198:Q261" si="5">F198*P198</f>
        <v>-1466993.2971078404</v>
      </c>
      <c r="R198">
        <f t="shared" ref="R198:R261" si="6">R199+Q198</f>
        <v>67667639.285508677</v>
      </c>
      <c r="S198">
        <f t="shared" ref="S198:S261" si="7">R198/100000</f>
        <v>676.67639285508676</v>
      </c>
      <c r="T198">
        <f t="shared" ref="T198:T261" si="8">S198/1000</f>
        <v>0.67667639285508674</v>
      </c>
    </row>
    <row r="199" spans="1:20" x14ac:dyDescent="0.25">
      <c r="A199" s="5">
        <v>44394</v>
      </c>
      <c r="B199">
        <v>1.9644999999999999</v>
      </c>
      <c r="C199">
        <v>2.0863</v>
      </c>
      <c r="D199">
        <v>1.95</v>
      </c>
      <c r="E199">
        <v>2.0137</v>
      </c>
      <c r="F199">
        <v>3976867.04</v>
      </c>
      <c r="G199">
        <v>2.5</v>
      </c>
      <c r="L199" t="s">
        <v>8</v>
      </c>
      <c r="M199" t="s">
        <v>7</v>
      </c>
      <c r="N199" t="s">
        <v>7</v>
      </c>
      <c r="P199">
        <f t="shared" si="4"/>
        <v>-6.5297138664709486E-2</v>
      </c>
      <c r="Q199">
        <f t="shared" si="5"/>
        <v>-259678.03856199278</v>
      </c>
      <c r="R199">
        <f t="shared" si="6"/>
        <v>69134632.582616523</v>
      </c>
      <c r="S199">
        <f t="shared" si="7"/>
        <v>691.34632582616518</v>
      </c>
      <c r="T199">
        <f t="shared" si="8"/>
        <v>0.69134632582616518</v>
      </c>
    </row>
    <row r="200" spans="1:20" x14ac:dyDescent="0.25">
      <c r="A200" s="5">
        <v>44393</v>
      </c>
      <c r="B200">
        <v>2.1474000000000002</v>
      </c>
      <c r="C200">
        <v>2.2229999999999999</v>
      </c>
      <c r="D200">
        <v>1.9516</v>
      </c>
      <c r="E200">
        <v>1.9642999999999999</v>
      </c>
      <c r="F200">
        <v>9437168.0999999996</v>
      </c>
      <c r="G200">
        <v>-8.5299999999999994</v>
      </c>
      <c r="L200" t="s">
        <v>7</v>
      </c>
      <c r="M200" t="s">
        <v>7</v>
      </c>
      <c r="N200" t="s">
        <v>7</v>
      </c>
      <c r="P200">
        <f t="shared" si="4"/>
        <v>-0.90641120117907192</v>
      </c>
      <c r="Q200">
        <f t="shared" si="5"/>
        <v>-8553954.8732498195</v>
      </c>
      <c r="R200">
        <f t="shared" si="6"/>
        <v>69394310.621178523</v>
      </c>
      <c r="S200">
        <f t="shared" si="7"/>
        <v>693.94310621178522</v>
      </c>
      <c r="T200">
        <f t="shared" si="8"/>
        <v>0.69394310621178523</v>
      </c>
    </row>
    <row r="201" spans="1:20" x14ac:dyDescent="0.25">
      <c r="A201" s="5">
        <v>44392</v>
      </c>
      <c r="B201">
        <v>2.2913000000000001</v>
      </c>
      <c r="C201">
        <v>2.3506999999999998</v>
      </c>
      <c r="D201">
        <v>2.12</v>
      </c>
      <c r="E201">
        <v>2.1463000000000001</v>
      </c>
      <c r="F201">
        <v>5644553.9299999997</v>
      </c>
      <c r="G201">
        <v>-6.33</v>
      </c>
      <c r="L201" t="s">
        <v>7</v>
      </c>
      <c r="M201" t="s">
        <v>7</v>
      </c>
      <c r="N201" t="s">
        <v>7</v>
      </c>
      <c r="P201">
        <f t="shared" si="4"/>
        <v>-0.77199826614651035</v>
      </c>
      <c r="Q201">
        <f t="shared" si="5"/>
        <v>-4357585.8471304709</v>
      </c>
      <c r="R201">
        <f t="shared" si="6"/>
        <v>77948265.494428337</v>
      </c>
      <c r="S201">
        <f t="shared" si="7"/>
        <v>779.48265494428335</v>
      </c>
      <c r="T201">
        <f t="shared" si="8"/>
        <v>0.77948265494428337</v>
      </c>
    </row>
    <row r="202" spans="1:20" x14ac:dyDescent="0.25">
      <c r="A202" s="5">
        <v>44391</v>
      </c>
      <c r="B202">
        <v>2.3208000000000002</v>
      </c>
      <c r="C202">
        <v>2.36</v>
      </c>
      <c r="D202">
        <v>2.1766000000000001</v>
      </c>
      <c r="E202">
        <v>2.2932000000000001</v>
      </c>
      <c r="F202">
        <v>4363146.6900000004</v>
      </c>
      <c r="G202">
        <v>-1.19</v>
      </c>
      <c r="L202" t="s">
        <v>7</v>
      </c>
      <c r="M202" t="s">
        <v>7</v>
      </c>
      <c r="N202" t="s">
        <v>8</v>
      </c>
      <c r="P202">
        <f t="shared" si="4"/>
        <v>0.27153762268266274</v>
      </c>
      <c r="Q202">
        <f t="shared" si="5"/>
        <v>1184758.4796183289</v>
      </c>
      <c r="R202">
        <f t="shared" si="6"/>
        <v>82305851.341558814</v>
      </c>
      <c r="S202">
        <f t="shared" si="7"/>
        <v>823.0585134155881</v>
      </c>
      <c r="T202">
        <f t="shared" si="8"/>
        <v>0.82305851341558811</v>
      </c>
    </row>
    <row r="203" spans="1:20" x14ac:dyDescent="0.25">
      <c r="A203" s="5">
        <v>44390</v>
      </c>
      <c r="B203">
        <v>2.4190999999999998</v>
      </c>
      <c r="C203">
        <v>2.4554</v>
      </c>
      <c r="D203">
        <v>2.2826</v>
      </c>
      <c r="E203">
        <v>2.3207</v>
      </c>
      <c r="F203">
        <v>3761776.3</v>
      </c>
      <c r="G203">
        <v>-4.07</v>
      </c>
      <c r="L203" t="s">
        <v>7</v>
      </c>
      <c r="M203" t="s">
        <v>7</v>
      </c>
      <c r="N203" t="s">
        <v>8</v>
      </c>
      <c r="P203">
        <f t="shared" si="4"/>
        <v>-0.55902777777777768</v>
      </c>
      <c r="Q203">
        <f t="shared" si="5"/>
        <v>-2102937.4454861106</v>
      </c>
      <c r="R203">
        <f t="shared" si="6"/>
        <v>81121092.861940488</v>
      </c>
      <c r="S203">
        <f t="shared" si="7"/>
        <v>811.21092861940485</v>
      </c>
      <c r="T203">
        <f t="shared" si="8"/>
        <v>0.8112109286194048</v>
      </c>
    </row>
    <row r="204" spans="1:20" x14ac:dyDescent="0.25">
      <c r="A204" s="5">
        <v>44389</v>
      </c>
      <c r="B204">
        <v>2.5196000000000001</v>
      </c>
      <c r="C204">
        <v>2.59</v>
      </c>
      <c r="D204">
        <v>2.3740000000000001</v>
      </c>
      <c r="E204">
        <v>2.4207999999999998</v>
      </c>
      <c r="F204">
        <v>3676631.86</v>
      </c>
      <c r="G204">
        <v>-3.92</v>
      </c>
      <c r="L204" t="s">
        <v>7</v>
      </c>
      <c r="M204" t="s">
        <v>7</v>
      </c>
      <c r="N204" t="s">
        <v>8</v>
      </c>
      <c r="P204">
        <f t="shared" si="4"/>
        <v>-0.56666666666666865</v>
      </c>
      <c r="Q204">
        <f t="shared" si="5"/>
        <v>-2083424.720666674</v>
      </c>
      <c r="R204">
        <f t="shared" si="6"/>
        <v>83224030.307426602</v>
      </c>
      <c r="S204">
        <f t="shared" si="7"/>
        <v>832.24030307426597</v>
      </c>
      <c r="T204">
        <f t="shared" si="8"/>
        <v>0.832240303074266</v>
      </c>
    </row>
    <row r="205" spans="1:20" x14ac:dyDescent="0.25">
      <c r="A205" s="5">
        <v>44388</v>
      </c>
      <c r="B205">
        <v>2.4895999999999998</v>
      </c>
      <c r="C205">
        <v>2.5739999999999998</v>
      </c>
      <c r="D205">
        <v>2.4319999999999999</v>
      </c>
      <c r="E205">
        <v>2.5177</v>
      </c>
      <c r="F205">
        <v>2389443.2200000002</v>
      </c>
      <c r="G205">
        <v>1.1299999999999999</v>
      </c>
      <c r="L205" t="s">
        <v>7</v>
      </c>
      <c r="M205" t="s">
        <v>7</v>
      </c>
      <c r="N205" t="s">
        <v>8</v>
      </c>
      <c r="P205">
        <f t="shared" si="4"/>
        <v>0.20704225352112912</v>
      </c>
      <c r="Q205">
        <f t="shared" si="5"/>
        <v>494715.70892958314</v>
      </c>
      <c r="R205">
        <f t="shared" si="6"/>
        <v>85307455.028093278</v>
      </c>
      <c r="S205">
        <f t="shared" si="7"/>
        <v>853.07455028093284</v>
      </c>
      <c r="T205">
        <f t="shared" si="8"/>
        <v>0.85307455028093282</v>
      </c>
    </row>
    <row r="206" spans="1:20" x14ac:dyDescent="0.25">
      <c r="A206" s="5">
        <v>44387</v>
      </c>
      <c r="B206">
        <v>2.5775999999999999</v>
      </c>
      <c r="C206">
        <v>2.6284999999999998</v>
      </c>
      <c r="D206">
        <v>2.4300000000000002</v>
      </c>
      <c r="E206">
        <v>2.4895999999999998</v>
      </c>
      <c r="F206">
        <v>2937836.08</v>
      </c>
      <c r="G206">
        <v>-3.41</v>
      </c>
      <c r="L206" t="s">
        <v>8</v>
      </c>
      <c r="M206" t="s">
        <v>7</v>
      </c>
      <c r="N206" t="s">
        <v>8</v>
      </c>
      <c r="P206">
        <f t="shared" si="4"/>
        <v>-0.39949622166247101</v>
      </c>
      <c r="Q206">
        <f t="shared" si="5"/>
        <v>-1173654.4138236849</v>
      </c>
      <c r="R206">
        <f t="shared" si="6"/>
        <v>84812739.319163695</v>
      </c>
      <c r="S206">
        <f t="shared" si="7"/>
        <v>848.127393191637</v>
      </c>
      <c r="T206">
        <f t="shared" si="8"/>
        <v>0.84812739319163699</v>
      </c>
    </row>
    <row r="207" spans="1:20" x14ac:dyDescent="0.25">
      <c r="A207" s="5">
        <v>44386</v>
      </c>
      <c r="B207">
        <v>2.5087999999999999</v>
      </c>
      <c r="C207">
        <v>2.63</v>
      </c>
      <c r="D207">
        <v>2.4096000000000002</v>
      </c>
      <c r="E207">
        <v>2.5783999999999998</v>
      </c>
      <c r="F207">
        <v>4446408.95</v>
      </c>
      <c r="G207">
        <v>2.77</v>
      </c>
      <c r="L207" t="s">
        <v>7</v>
      </c>
      <c r="M207" t="s">
        <v>7</v>
      </c>
      <c r="N207" t="s">
        <v>8</v>
      </c>
      <c r="P207">
        <f t="shared" si="4"/>
        <v>0.5317604355716864</v>
      </c>
      <c r="Q207">
        <f t="shared" si="5"/>
        <v>2364424.3599818447</v>
      </c>
      <c r="R207">
        <f t="shared" si="6"/>
        <v>85986393.732987374</v>
      </c>
      <c r="S207">
        <f t="shared" si="7"/>
        <v>859.86393732987369</v>
      </c>
      <c r="T207">
        <f t="shared" si="8"/>
        <v>0.85986393732987365</v>
      </c>
    </row>
    <row r="208" spans="1:20" x14ac:dyDescent="0.25">
      <c r="A208" s="5">
        <v>44385</v>
      </c>
      <c r="B208">
        <v>2.7585000000000002</v>
      </c>
      <c r="C208">
        <v>2.7751999999999999</v>
      </c>
      <c r="D208">
        <v>2.4578000000000002</v>
      </c>
      <c r="E208">
        <v>2.5082</v>
      </c>
      <c r="F208">
        <v>5010661.08</v>
      </c>
      <c r="G208">
        <v>-9.07</v>
      </c>
      <c r="L208" t="s">
        <v>7</v>
      </c>
      <c r="M208" t="s">
        <v>7</v>
      </c>
      <c r="N208" t="s">
        <v>8</v>
      </c>
      <c r="P208">
        <f t="shared" si="4"/>
        <v>-0.68241965973535079</v>
      </c>
      <c r="Q208">
        <f t="shared" si="5"/>
        <v>-3419373.6292627654</v>
      </c>
      <c r="R208">
        <f t="shared" si="6"/>
        <v>83621969.373005524</v>
      </c>
      <c r="S208">
        <f t="shared" si="7"/>
        <v>836.21969373005527</v>
      </c>
      <c r="T208">
        <f t="shared" si="8"/>
        <v>0.83621969373005522</v>
      </c>
    </row>
    <row r="209" spans="1:20" x14ac:dyDescent="0.25">
      <c r="A209" s="5">
        <v>44384</v>
      </c>
      <c r="B209">
        <v>2.8363</v>
      </c>
      <c r="C209">
        <v>2.9689999999999999</v>
      </c>
      <c r="D209">
        <v>2.7431000000000001</v>
      </c>
      <c r="E209">
        <v>2.7612000000000001</v>
      </c>
      <c r="F209">
        <v>6260041.8200000003</v>
      </c>
      <c r="G209">
        <v>-2.65</v>
      </c>
      <c r="L209" t="s">
        <v>7</v>
      </c>
      <c r="M209" t="s">
        <v>8</v>
      </c>
      <c r="N209" t="s">
        <v>8</v>
      </c>
      <c r="P209">
        <f t="shared" si="4"/>
        <v>-0.83975210270030964</v>
      </c>
      <c r="Q209">
        <f t="shared" si="5"/>
        <v>-5256883.2813368738</v>
      </c>
      <c r="R209">
        <f t="shared" si="6"/>
        <v>87041343.002268285</v>
      </c>
      <c r="S209">
        <f t="shared" si="7"/>
        <v>870.41343002268286</v>
      </c>
      <c r="T209">
        <f t="shared" si="8"/>
        <v>0.8704134300226829</v>
      </c>
    </row>
    <row r="210" spans="1:20" x14ac:dyDescent="0.25">
      <c r="A210" s="5">
        <v>44383</v>
      </c>
      <c r="B210">
        <v>2.4889000000000001</v>
      </c>
      <c r="C210">
        <v>2.931</v>
      </c>
      <c r="D210">
        <v>2.4849999999999999</v>
      </c>
      <c r="E210">
        <v>2.8363</v>
      </c>
      <c r="F210">
        <v>13670762.380000001</v>
      </c>
      <c r="G210">
        <v>13.96</v>
      </c>
      <c r="L210" t="s">
        <v>8</v>
      </c>
      <c r="M210" t="s">
        <v>8</v>
      </c>
      <c r="N210" t="s">
        <v>8</v>
      </c>
      <c r="P210">
        <f t="shared" si="4"/>
        <v>0.57533632286995529</v>
      </c>
      <c r="Q210">
        <f t="shared" si="5"/>
        <v>7865286.1585381189</v>
      </c>
      <c r="R210">
        <f t="shared" si="6"/>
        <v>92298226.283605158</v>
      </c>
      <c r="S210">
        <f t="shared" si="7"/>
        <v>922.98226283605163</v>
      </c>
      <c r="T210">
        <f t="shared" si="8"/>
        <v>0.92298226283605167</v>
      </c>
    </row>
    <row r="211" spans="1:20" x14ac:dyDescent="0.25">
      <c r="A211" s="5">
        <v>44382</v>
      </c>
      <c r="B211">
        <v>2.5335999999999999</v>
      </c>
      <c r="C211">
        <v>2.5493999999999999</v>
      </c>
      <c r="D211">
        <v>2.3460999999999999</v>
      </c>
      <c r="E211">
        <v>2.4876999999999998</v>
      </c>
      <c r="F211">
        <v>6302198.0800000001</v>
      </c>
      <c r="G211">
        <v>-1.81</v>
      </c>
      <c r="L211" t="s">
        <v>7</v>
      </c>
      <c r="M211" t="s">
        <v>8</v>
      </c>
      <c r="N211" t="s">
        <v>7</v>
      </c>
      <c r="P211">
        <f t="shared" si="4"/>
        <v>0.39301524840137653</v>
      </c>
      <c r="Q211">
        <f t="shared" si="5"/>
        <v>2476859.9438858782</v>
      </c>
      <c r="R211">
        <f t="shared" si="6"/>
        <v>84432940.12506704</v>
      </c>
      <c r="S211">
        <f t="shared" si="7"/>
        <v>844.32940125067046</v>
      </c>
      <c r="T211">
        <f t="shared" si="8"/>
        <v>0.84432940125067046</v>
      </c>
    </row>
    <row r="212" spans="1:20" x14ac:dyDescent="0.25">
      <c r="A212" s="5">
        <v>44381</v>
      </c>
      <c r="B212">
        <v>2.4864999999999999</v>
      </c>
      <c r="C212">
        <v>2.6711999999999998</v>
      </c>
      <c r="D212">
        <v>2.4112</v>
      </c>
      <c r="E212">
        <v>2.5310000000000001</v>
      </c>
      <c r="F212">
        <v>5943379.4299999997</v>
      </c>
      <c r="G212">
        <v>1.79</v>
      </c>
      <c r="L212" t="s">
        <v>8</v>
      </c>
      <c r="M212" t="s">
        <v>8</v>
      </c>
      <c r="N212" t="s">
        <v>7</v>
      </c>
      <c r="P212">
        <f t="shared" si="4"/>
        <v>-7.8461538461536723E-2</v>
      </c>
      <c r="Q212">
        <f t="shared" si="5"/>
        <v>-466326.69373845117</v>
      </c>
      <c r="R212">
        <f t="shared" si="6"/>
        <v>81956080.181181163</v>
      </c>
      <c r="S212">
        <f t="shared" si="7"/>
        <v>819.56080181181164</v>
      </c>
      <c r="T212">
        <f t="shared" si="8"/>
        <v>0.81956080181181168</v>
      </c>
    </row>
    <row r="213" spans="1:20" x14ac:dyDescent="0.25">
      <c r="A213" s="5">
        <v>44380</v>
      </c>
      <c r="B213">
        <v>2.3944999999999999</v>
      </c>
      <c r="C213">
        <v>2.4954000000000001</v>
      </c>
      <c r="D213">
        <v>2.3315999999999999</v>
      </c>
      <c r="E213">
        <v>2.4853000000000001</v>
      </c>
      <c r="F213">
        <v>4092690.28</v>
      </c>
      <c r="G213">
        <v>3.79</v>
      </c>
      <c r="L213" t="s">
        <v>8</v>
      </c>
      <c r="M213" t="s">
        <v>7</v>
      </c>
      <c r="N213" t="s">
        <v>7</v>
      </c>
      <c r="P213">
        <f t="shared" si="4"/>
        <v>0.87667887667887678</v>
      </c>
      <c r="Q213">
        <f t="shared" si="5"/>
        <v>3587975.1172649576</v>
      </c>
      <c r="R213">
        <f t="shared" si="6"/>
        <v>82422406.874919608</v>
      </c>
      <c r="S213">
        <f t="shared" si="7"/>
        <v>824.22406874919614</v>
      </c>
      <c r="T213">
        <f t="shared" si="8"/>
        <v>0.82422406874919618</v>
      </c>
    </row>
    <row r="214" spans="1:20" x14ac:dyDescent="0.25">
      <c r="A214" s="5">
        <v>44379</v>
      </c>
      <c r="B214">
        <v>2.3681000000000001</v>
      </c>
      <c r="C214">
        <v>2.4093</v>
      </c>
      <c r="D214">
        <v>2.2625000000000002</v>
      </c>
      <c r="E214">
        <v>2.3927999999999998</v>
      </c>
      <c r="F214">
        <v>3648680.59</v>
      </c>
      <c r="G214">
        <v>1.04</v>
      </c>
      <c r="L214" t="s">
        <v>7</v>
      </c>
      <c r="M214" t="s">
        <v>7</v>
      </c>
      <c r="N214" t="s">
        <v>7</v>
      </c>
      <c r="P214">
        <f t="shared" si="4"/>
        <v>0.77520435967302181</v>
      </c>
      <c r="Q214">
        <f t="shared" si="5"/>
        <v>2828473.1004223335</v>
      </c>
      <c r="R214">
        <f t="shared" si="6"/>
        <v>78834431.757654652</v>
      </c>
      <c r="S214">
        <f t="shared" si="7"/>
        <v>788.34431757654647</v>
      </c>
      <c r="T214">
        <f t="shared" si="8"/>
        <v>0.78834431757654644</v>
      </c>
    </row>
    <row r="215" spans="1:20" x14ac:dyDescent="0.25">
      <c r="A215" s="5">
        <v>44378</v>
      </c>
      <c r="B215">
        <v>2.5358999999999998</v>
      </c>
      <c r="C215">
        <v>2.5375000000000001</v>
      </c>
      <c r="D215">
        <v>2.3142</v>
      </c>
      <c r="E215">
        <v>2.3666</v>
      </c>
      <c r="F215">
        <v>4084411.65</v>
      </c>
      <c r="G215">
        <v>-6.68</v>
      </c>
      <c r="L215" t="s">
        <v>8</v>
      </c>
      <c r="M215" t="s">
        <v>8</v>
      </c>
      <c r="N215" t="s">
        <v>7</v>
      </c>
      <c r="P215">
        <f t="shared" si="4"/>
        <v>-0.53067622033139283</v>
      </c>
      <c r="Q215">
        <f t="shared" si="5"/>
        <v>-2167500.1366995075</v>
      </c>
      <c r="R215">
        <f t="shared" si="6"/>
        <v>76005958.657232314</v>
      </c>
      <c r="S215">
        <f t="shared" si="7"/>
        <v>760.05958657232316</v>
      </c>
      <c r="T215">
        <f t="shared" si="8"/>
        <v>0.7600595865723232</v>
      </c>
    </row>
    <row r="216" spans="1:20" x14ac:dyDescent="0.25">
      <c r="A216" s="5">
        <v>44377</v>
      </c>
      <c r="B216">
        <v>2.5413999999999999</v>
      </c>
      <c r="C216">
        <v>2.5743999999999998</v>
      </c>
      <c r="D216">
        <v>2.3369</v>
      </c>
      <c r="E216">
        <v>2.5354999999999999</v>
      </c>
      <c r="F216">
        <v>6341897.46</v>
      </c>
      <c r="G216">
        <v>-0.23</v>
      </c>
      <c r="L216" t="s">
        <v>7</v>
      </c>
      <c r="M216" t="s">
        <v>8</v>
      </c>
      <c r="N216" t="s">
        <v>7</v>
      </c>
      <c r="P216">
        <f t="shared" si="4"/>
        <v>0.67242105263157925</v>
      </c>
      <c r="Q216">
        <f t="shared" si="5"/>
        <v>4264425.3657347383</v>
      </c>
      <c r="R216">
        <f t="shared" si="6"/>
        <v>78173458.793931827</v>
      </c>
      <c r="S216">
        <f t="shared" si="7"/>
        <v>781.73458793931832</v>
      </c>
      <c r="T216">
        <f t="shared" si="8"/>
        <v>0.78173458793931827</v>
      </c>
    </row>
    <row r="217" spans="1:20" x14ac:dyDescent="0.25">
      <c r="A217" s="5">
        <v>44376</v>
      </c>
      <c r="B217">
        <v>2.4756999999999998</v>
      </c>
      <c r="C217">
        <v>2.7039</v>
      </c>
      <c r="D217">
        <v>2.4540999999999999</v>
      </c>
      <c r="E217">
        <v>2.5434999999999999</v>
      </c>
      <c r="F217">
        <v>8658193.3000000007</v>
      </c>
      <c r="G217">
        <v>2.74</v>
      </c>
      <c r="L217" t="s">
        <v>8</v>
      </c>
      <c r="M217" t="s">
        <v>8</v>
      </c>
      <c r="N217" t="s">
        <v>7</v>
      </c>
      <c r="P217">
        <f t="shared" si="4"/>
        <v>-0.2842273819055251</v>
      </c>
      <c r="Q217">
        <f t="shared" si="5"/>
        <v>-2460895.6136909588</v>
      </c>
      <c r="R217">
        <f t="shared" si="6"/>
        <v>73909033.428197086</v>
      </c>
      <c r="S217">
        <f t="shared" si="7"/>
        <v>739.09033428197085</v>
      </c>
      <c r="T217">
        <f t="shared" si="8"/>
        <v>0.73909033428197091</v>
      </c>
    </row>
    <row r="218" spans="1:20" x14ac:dyDescent="0.25">
      <c r="A218" s="5">
        <v>44375</v>
      </c>
      <c r="B218">
        <v>2.5057999999999998</v>
      </c>
      <c r="C218">
        <v>2.6171000000000002</v>
      </c>
      <c r="D218">
        <v>2.3256000000000001</v>
      </c>
      <c r="E218">
        <v>2.4756999999999998</v>
      </c>
      <c r="F218">
        <v>13952675.699999999</v>
      </c>
      <c r="G218">
        <v>-1.2</v>
      </c>
      <c r="L218" t="s">
        <v>8</v>
      </c>
      <c r="M218" t="s">
        <v>7</v>
      </c>
      <c r="N218" t="s">
        <v>7</v>
      </c>
      <c r="P218">
        <f t="shared" si="4"/>
        <v>2.9845626072038632E-2</v>
      </c>
      <c r="Q218">
        <f t="shared" si="5"/>
        <v>416426.34164661984</v>
      </c>
      <c r="R218">
        <f t="shared" si="6"/>
        <v>76369929.041888043</v>
      </c>
      <c r="S218">
        <f t="shared" si="7"/>
        <v>763.69929041888042</v>
      </c>
      <c r="T218">
        <f t="shared" si="8"/>
        <v>0.76369929041888041</v>
      </c>
    </row>
    <row r="219" spans="1:20" x14ac:dyDescent="0.25">
      <c r="A219" s="5">
        <v>44374</v>
      </c>
      <c r="B219">
        <v>2.3517000000000001</v>
      </c>
      <c r="C219">
        <v>2.5177</v>
      </c>
      <c r="D219">
        <v>2.2919999999999998</v>
      </c>
      <c r="E219">
        <v>2.5061</v>
      </c>
      <c r="F219">
        <v>5134914.3600000003</v>
      </c>
      <c r="G219">
        <v>6.57</v>
      </c>
      <c r="L219" t="s">
        <v>8</v>
      </c>
      <c r="M219" t="s">
        <v>7</v>
      </c>
      <c r="N219" t="s">
        <v>7</v>
      </c>
      <c r="P219">
        <f t="shared" si="4"/>
        <v>0.89720868409392962</v>
      </c>
      <c r="Q219">
        <f t="shared" si="5"/>
        <v>4607089.7558706235</v>
      </c>
      <c r="R219">
        <f t="shared" si="6"/>
        <v>75953502.700241417</v>
      </c>
      <c r="S219">
        <f t="shared" si="7"/>
        <v>759.53502700241415</v>
      </c>
      <c r="T219">
        <f t="shared" si="8"/>
        <v>0.75953502700241415</v>
      </c>
    </row>
    <row r="220" spans="1:20" x14ac:dyDescent="0.25">
      <c r="A220" s="5">
        <v>44373</v>
      </c>
      <c r="B220">
        <v>2.3382000000000001</v>
      </c>
      <c r="C220">
        <v>2.4561000000000002</v>
      </c>
      <c r="D220">
        <v>2.2000000000000002</v>
      </c>
      <c r="E220">
        <v>2.351</v>
      </c>
      <c r="F220">
        <v>6457446.5499999998</v>
      </c>
      <c r="G220">
        <v>0.55000000000000004</v>
      </c>
      <c r="L220" t="s">
        <v>7</v>
      </c>
      <c r="M220" t="s">
        <v>7</v>
      </c>
      <c r="N220" t="s">
        <v>7</v>
      </c>
      <c r="P220">
        <f t="shared" si="4"/>
        <v>0.1792268645060508</v>
      </c>
      <c r="Q220">
        <f t="shared" si="5"/>
        <v>1157347.8978719153</v>
      </c>
      <c r="R220">
        <f t="shared" si="6"/>
        <v>71346412.944370791</v>
      </c>
      <c r="S220">
        <f t="shared" si="7"/>
        <v>713.46412944370786</v>
      </c>
      <c r="T220">
        <f t="shared" si="8"/>
        <v>0.71346412944370785</v>
      </c>
    </row>
    <row r="221" spans="1:20" x14ac:dyDescent="0.25">
      <c r="A221" s="5">
        <v>44372</v>
      </c>
      <c r="B221">
        <v>2.7279</v>
      </c>
      <c r="C221">
        <v>2.7948</v>
      </c>
      <c r="D221">
        <v>2.3199999999999998</v>
      </c>
      <c r="E221">
        <v>2.3378999999999999</v>
      </c>
      <c r="F221">
        <v>9466229.6600000001</v>
      </c>
      <c r="G221">
        <v>-14.3</v>
      </c>
      <c r="L221" t="s">
        <v>7</v>
      </c>
      <c r="M221" t="s">
        <v>7</v>
      </c>
      <c r="N221" t="s">
        <v>7</v>
      </c>
      <c r="P221">
        <f t="shared" si="4"/>
        <v>-0.92459983150800329</v>
      </c>
      <c r="Q221">
        <f t="shared" si="5"/>
        <v>-8752474.3486520629</v>
      </c>
      <c r="R221">
        <f t="shared" si="6"/>
        <v>70189065.04649888</v>
      </c>
      <c r="S221">
        <f t="shared" si="7"/>
        <v>701.89065046498877</v>
      </c>
      <c r="T221">
        <f t="shared" si="8"/>
        <v>0.70189065046498877</v>
      </c>
    </row>
    <row r="222" spans="1:20" x14ac:dyDescent="0.25">
      <c r="A222" s="5">
        <v>44371</v>
      </c>
      <c r="B222">
        <v>2.6131000000000002</v>
      </c>
      <c r="C222">
        <v>2.7932000000000001</v>
      </c>
      <c r="D222">
        <v>2.444</v>
      </c>
      <c r="E222">
        <v>2.7279</v>
      </c>
      <c r="F222">
        <v>6378278.46</v>
      </c>
      <c r="G222">
        <v>4.3899999999999997</v>
      </c>
      <c r="L222" t="s">
        <v>7</v>
      </c>
      <c r="M222" t="s">
        <v>8</v>
      </c>
      <c r="N222" t="s">
        <v>7</v>
      </c>
      <c r="P222">
        <f t="shared" si="4"/>
        <v>0.626002290950744</v>
      </c>
      <c r="Q222">
        <f t="shared" si="5"/>
        <v>3992816.9282817831</v>
      </c>
      <c r="R222">
        <f t="shared" si="6"/>
        <v>78941539.395150945</v>
      </c>
      <c r="S222">
        <f t="shared" si="7"/>
        <v>789.41539395150949</v>
      </c>
      <c r="T222">
        <f t="shared" si="8"/>
        <v>0.7894153939515095</v>
      </c>
    </row>
    <row r="223" spans="1:20" x14ac:dyDescent="0.25">
      <c r="A223" s="5">
        <v>44370</v>
      </c>
      <c r="B223">
        <v>2.4056000000000002</v>
      </c>
      <c r="C223">
        <v>2.8365</v>
      </c>
      <c r="D223">
        <v>2.27</v>
      </c>
      <c r="E223">
        <v>2.6118000000000001</v>
      </c>
      <c r="F223">
        <v>11334158.460000001</v>
      </c>
      <c r="G223">
        <v>8.57</v>
      </c>
      <c r="L223" t="s">
        <v>8</v>
      </c>
      <c r="M223" t="s">
        <v>8</v>
      </c>
      <c r="N223" t="s">
        <v>7</v>
      </c>
      <c r="P223">
        <f t="shared" si="4"/>
        <v>0.20670785525154492</v>
      </c>
      <c r="Q223">
        <f t="shared" si="5"/>
        <v>2342859.5863477536</v>
      </c>
      <c r="R223">
        <f t="shared" si="6"/>
        <v>74948722.466869161</v>
      </c>
      <c r="S223">
        <f t="shared" si="7"/>
        <v>749.48722466869162</v>
      </c>
      <c r="T223">
        <f t="shared" si="8"/>
        <v>0.74948722466869167</v>
      </c>
    </row>
    <row r="224" spans="1:20" x14ac:dyDescent="0.25">
      <c r="A224" s="5">
        <v>44369</v>
      </c>
      <c r="B224">
        <v>2.6642000000000001</v>
      </c>
      <c r="C224">
        <v>2.8553000000000002</v>
      </c>
      <c r="D224">
        <v>2.0699999999999998</v>
      </c>
      <c r="E224">
        <v>2.4060999999999999</v>
      </c>
      <c r="F224">
        <v>18916359.629999999</v>
      </c>
      <c r="G224">
        <v>-9.69</v>
      </c>
      <c r="L224" t="s">
        <v>7</v>
      </c>
      <c r="M224" t="s">
        <v>7</v>
      </c>
      <c r="N224" t="s">
        <v>7</v>
      </c>
      <c r="P224">
        <f t="shared" si="4"/>
        <v>-0.14402139309817924</v>
      </c>
      <c r="Q224">
        <f t="shared" si="5"/>
        <v>-2724360.4662587582</v>
      </c>
      <c r="R224">
        <f t="shared" si="6"/>
        <v>72605862.880521402</v>
      </c>
      <c r="S224">
        <f t="shared" si="7"/>
        <v>726.05862880521397</v>
      </c>
      <c r="T224">
        <f t="shared" si="8"/>
        <v>0.72605862880521399</v>
      </c>
    </row>
    <row r="225" spans="1:20" x14ac:dyDescent="0.25">
      <c r="A225" s="5">
        <v>44368</v>
      </c>
      <c r="B225">
        <v>3.3972000000000002</v>
      </c>
      <c r="C225">
        <v>3.49</v>
      </c>
      <c r="D225">
        <v>2.5888</v>
      </c>
      <c r="E225">
        <v>2.6648999999999998</v>
      </c>
      <c r="F225">
        <v>20145869.539999999</v>
      </c>
      <c r="G225">
        <v>-21.56</v>
      </c>
      <c r="L225" t="s">
        <v>7</v>
      </c>
      <c r="M225" t="s">
        <v>7</v>
      </c>
      <c r="N225" t="s">
        <v>7</v>
      </c>
      <c r="P225">
        <f t="shared" si="4"/>
        <v>-0.83111407012871763</v>
      </c>
      <c r="Q225">
        <f t="shared" si="5"/>
        <v>-16743515.629671555</v>
      </c>
      <c r="R225">
        <f t="shared" si="6"/>
        <v>75330223.346780166</v>
      </c>
      <c r="S225">
        <f t="shared" si="7"/>
        <v>753.30223346780167</v>
      </c>
      <c r="T225">
        <f t="shared" si="8"/>
        <v>0.75330223346780167</v>
      </c>
    </row>
    <row r="226" spans="1:20" x14ac:dyDescent="0.25">
      <c r="A226" s="5">
        <v>44367</v>
      </c>
      <c r="B226">
        <v>3.0152999999999999</v>
      </c>
      <c r="C226">
        <v>3.4941</v>
      </c>
      <c r="D226">
        <v>2.8065000000000002</v>
      </c>
      <c r="E226">
        <v>3.3980000000000001</v>
      </c>
      <c r="F226">
        <v>8970178.4299999997</v>
      </c>
      <c r="G226">
        <v>12.69</v>
      </c>
      <c r="L226" t="s">
        <v>7</v>
      </c>
      <c r="M226" t="s">
        <v>7</v>
      </c>
      <c r="N226" t="s">
        <v>7</v>
      </c>
      <c r="P226">
        <f t="shared" si="4"/>
        <v>0.72047702152414228</v>
      </c>
      <c r="Q226">
        <f t="shared" si="5"/>
        <v>6462807.4377865065</v>
      </c>
      <c r="R226">
        <f t="shared" si="6"/>
        <v>92073738.976451725</v>
      </c>
      <c r="S226">
        <f t="shared" si="7"/>
        <v>920.73738976451727</v>
      </c>
      <c r="T226">
        <f t="shared" si="8"/>
        <v>0.92073738976451724</v>
      </c>
    </row>
    <row r="227" spans="1:20" x14ac:dyDescent="0.25">
      <c r="A227" s="5">
        <v>44366</v>
      </c>
      <c r="B227">
        <v>3.1644999999999999</v>
      </c>
      <c r="C227">
        <v>3.2088000000000001</v>
      </c>
      <c r="D227">
        <v>3.0047999999999999</v>
      </c>
      <c r="E227">
        <v>3.0148999999999999</v>
      </c>
      <c r="F227">
        <v>4846391.6500000004</v>
      </c>
      <c r="G227">
        <v>-4.7300000000000004</v>
      </c>
      <c r="L227" t="s">
        <v>7</v>
      </c>
      <c r="M227" t="s">
        <v>7</v>
      </c>
      <c r="N227" t="s">
        <v>8</v>
      </c>
      <c r="P227">
        <f t="shared" si="4"/>
        <v>-0.90098039215686287</v>
      </c>
      <c r="Q227">
        <f t="shared" si="5"/>
        <v>-4366503.8493627459</v>
      </c>
      <c r="R227">
        <f t="shared" si="6"/>
        <v>85610931.53866522</v>
      </c>
      <c r="S227">
        <f t="shared" si="7"/>
        <v>856.10931538665216</v>
      </c>
      <c r="T227">
        <f t="shared" si="8"/>
        <v>0.85610931538665214</v>
      </c>
    </row>
    <row r="228" spans="1:20" x14ac:dyDescent="0.25">
      <c r="A228" s="5">
        <v>44365</v>
      </c>
      <c r="B228">
        <v>3.4116</v>
      </c>
      <c r="C228">
        <v>3.4237000000000002</v>
      </c>
      <c r="D228">
        <v>3.0314999999999999</v>
      </c>
      <c r="E228">
        <v>3.1640000000000001</v>
      </c>
      <c r="F228">
        <v>6483454.8499999996</v>
      </c>
      <c r="G228">
        <v>-7.26</v>
      </c>
      <c r="L228" t="s">
        <v>7</v>
      </c>
      <c r="M228" t="s">
        <v>7</v>
      </c>
      <c r="N228" t="s">
        <v>8</v>
      </c>
      <c r="P228">
        <f t="shared" si="4"/>
        <v>-0.32432432432432345</v>
      </c>
      <c r="Q228">
        <f t="shared" si="5"/>
        <v>-2102742.1135135079</v>
      </c>
      <c r="R228">
        <f t="shared" si="6"/>
        <v>89977435.388027966</v>
      </c>
      <c r="S228">
        <f t="shared" si="7"/>
        <v>899.7743538802797</v>
      </c>
      <c r="T228">
        <f t="shared" si="8"/>
        <v>0.89977435388027971</v>
      </c>
    </row>
    <row r="229" spans="1:20" x14ac:dyDescent="0.25">
      <c r="A229" s="5">
        <v>44364</v>
      </c>
      <c r="B229">
        <v>3.5952000000000002</v>
      </c>
      <c r="C229">
        <v>3.7389999999999999</v>
      </c>
      <c r="D229">
        <v>3.2886000000000002</v>
      </c>
      <c r="E229">
        <v>3.4117999999999999</v>
      </c>
      <c r="F229">
        <v>11079189.84</v>
      </c>
      <c r="G229">
        <v>-5.0999999999999996</v>
      </c>
      <c r="L229" t="s">
        <v>7</v>
      </c>
      <c r="M229" t="s">
        <v>7</v>
      </c>
      <c r="N229" t="s">
        <v>8</v>
      </c>
      <c r="P229">
        <f t="shared" si="4"/>
        <v>-0.45293072824156377</v>
      </c>
      <c r="Q229">
        <f t="shared" si="5"/>
        <v>-5018105.5225577345</v>
      </c>
      <c r="R229">
        <f t="shared" si="6"/>
        <v>92080177.50154148</v>
      </c>
      <c r="S229">
        <f t="shared" si="7"/>
        <v>920.80177501541482</v>
      </c>
      <c r="T229">
        <f t="shared" si="8"/>
        <v>0.92080177501541483</v>
      </c>
    </row>
    <row r="230" spans="1:20" x14ac:dyDescent="0.25">
      <c r="A230" s="5">
        <v>44363</v>
      </c>
      <c r="B230">
        <v>3.7446999999999999</v>
      </c>
      <c r="C230">
        <v>3.9499</v>
      </c>
      <c r="D230">
        <v>3.5459999999999998</v>
      </c>
      <c r="E230">
        <v>3.5968</v>
      </c>
      <c r="F230">
        <v>10163886.09</v>
      </c>
      <c r="G230">
        <v>-3.95</v>
      </c>
      <c r="L230" t="s">
        <v>8</v>
      </c>
      <c r="M230" t="s">
        <v>8</v>
      </c>
      <c r="N230" t="s">
        <v>8</v>
      </c>
      <c r="P230">
        <f t="shared" si="4"/>
        <v>-0.74845258727407693</v>
      </c>
      <c r="Q230">
        <f t="shared" si="5"/>
        <v>-7607186.8408195013</v>
      </c>
      <c r="R230">
        <f t="shared" si="6"/>
        <v>97098283.024099216</v>
      </c>
      <c r="S230">
        <f t="shared" si="7"/>
        <v>970.98283024099214</v>
      </c>
      <c r="T230">
        <f t="shared" si="8"/>
        <v>0.97098283024099219</v>
      </c>
    </row>
    <row r="231" spans="1:20" x14ac:dyDescent="0.25">
      <c r="A231" s="5">
        <v>44362</v>
      </c>
      <c r="B231">
        <v>3.6894999999999998</v>
      </c>
      <c r="C231">
        <v>3.8005</v>
      </c>
      <c r="D231">
        <v>3.5230000000000001</v>
      </c>
      <c r="E231">
        <v>3.7448999999999999</v>
      </c>
      <c r="F231">
        <v>8324004.9100000001</v>
      </c>
      <c r="G231">
        <v>1.5</v>
      </c>
      <c r="L231" t="s">
        <v>7</v>
      </c>
      <c r="M231" t="s">
        <v>8</v>
      </c>
      <c r="N231" t="s">
        <v>8</v>
      </c>
      <c r="P231">
        <f t="shared" si="4"/>
        <v>0.59927927927927838</v>
      </c>
      <c r="Q231">
        <f t="shared" si="5"/>
        <v>4988403.6631819746</v>
      </c>
      <c r="R231">
        <f t="shared" si="6"/>
        <v>104705469.86491872</v>
      </c>
      <c r="S231">
        <f t="shared" si="7"/>
        <v>1047.0546986491872</v>
      </c>
      <c r="T231">
        <f t="shared" si="8"/>
        <v>1.0470546986491873</v>
      </c>
    </row>
    <row r="232" spans="1:20" x14ac:dyDescent="0.25">
      <c r="A232" s="5">
        <v>44361</v>
      </c>
      <c r="B232">
        <v>3.0021</v>
      </c>
      <c r="C232">
        <v>3.8849999999999998</v>
      </c>
      <c r="D232">
        <v>2.92</v>
      </c>
      <c r="E232">
        <v>3.6850000000000001</v>
      </c>
      <c r="F232">
        <v>30227192.079999998</v>
      </c>
      <c r="G232">
        <v>22.75</v>
      </c>
      <c r="L232" t="s">
        <v>8</v>
      </c>
      <c r="M232" t="s">
        <v>8</v>
      </c>
      <c r="N232" t="s">
        <v>8</v>
      </c>
      <c r="P232">
        <f t="shared" si="4"/>
        <v>0.58549222797927514</v>
      </c>
      <c r="Q232">
        <f t="shared" si="5"/>
        <v>17697786.036476698</v>
      </c>
      <c r="R232">
        <f t="shared" si="6"/>
        <v>99717066.201736748</v>
      </c>
      <c r="S232">
        <f t="shared" si="7"/>
        <v>997.17066201736748</v>
      </c>
      <c r="T232">
        <f t="shared" si="8"/>
        <v>0.99717066201736748</v>
      </c>
    </row>
    <row r="233" spans="1:20" x14ac:dyDescent="0.25">
      <c r="A233" s="5">
        <v>44360</v>
      </c>
      <c r="B233">
        <v>2.7267999999999999</v>
      </c>
      <c r="C233">
        <v>3.048</v>
      </c>
      <c r="D233">
        <v>2.6166999999999998</v>
      </c>
      <c r="E233">
        <v>3.0066999999999999</v>
      </c>
      <c r="F233">
        <v>7709471.0099999998</v>
      </c>
      <c r="G233">
        <v>10.26</v>
      </c>
      <c r="L233" t="s">
        <v>8</v>
      </c>
      <c r="M233" t="s">
        <v>8</v>
      </c>
      <c r="N233" t="s">
        <v>7</v>
      </c>
      <c r="P233">
        <f t="shared" si="4"/>
        <v>0.80848597264085276</v>
      </c>
      <c r="Q233">
        <f t="shared" si="5"/>
        <v>6232999.168066307</v>
      </c>
      <c r="R233">
        <f t="shared" si="6"/>
        <v>82019280.165260047</v>
      </c>
      <c r="S233">
        <f t="shared" si="7"/>
        <v>820.19280165260045</v>
      </c>
      <c r="T233">
        <f t="shared" si="8"/>
        <v>0.82019280165260045</v>
      </c>
    </row>
    <row r="234" spans="1:20" x14ac:dyDescent="0.25">
      <c r="A234" s="5">
        <v>44359</v>
      </c>
      <c r="B234">
        <v>2.7404000000000002</v>
      </c>
      <c r="C234">
        <v>2.8813</v>
      </c>
      <c r="D234">
        <v>2.5171999999999999</v>
      </c>
      <c r="E234">
        <v>2.7252999999999998</v>
      </c>
      <c r="F234">
        <v>6647505.1399999997</v>
      </c>
      <c r="G234">
        <v>-0.55000000000000004</v>
      </c>
      <c r="L234" t="s">
        <v>7</v>
      </c>
      <c r="M234" t="s">
        <v>7</v>
      </c>
      <c r="N234" t="s">
        <v>7</v>
      </c>
      <c r="P234">
        <f t="shared" si="4"/>
        <v>0.14309255698983742</v>
      </c>
      <c r="Q234">
        <f t="shared" si="5"/>
        <v>951208.50808568706</v>
      </c>
      <c r="R234">
        <f t="shared" si="6"/>
        <v>75786280.997193739</v>
      </c>
      <c r="S234">
        <f t="shared" si="7"/>
        <v>757.86280997193739</v>
      </c>
      <c r="T234">
        <f t="shared" si="8"/>
        <v>0.75786280997193745</v>
      </c>
    </row>
    <row r="235" spans="1:20" x14ac:dyDescent="0.25">
      <c r="A235" s="5">
        <v>44358</v>
      </c>
      <c r="B235">
        <v>3.0135999999999998</v>
      </c>
      <c r="C235">
        <v>3.077</v>
      </c>
      <c r="D235">
        <v>2.6621000000000001</v>
      </c>
      <c r="E235">
        <v>2.7425999999999999</v>
      </c>
      <c r="F235">
        <v>6674942.8099999996</v>
      </c>
      <c r="G235">
        <v>-8.99</v>
      </c>
      <c r="L235" t="s">
        <v>7</v>
      </c>
      <c r="M235" t="s">
        <v>7</v>
      </c>
      <c r="N235" t="s">
        <v>7</v>
      </c>
      <c r="P235">
        <f t="shared" si="4"/>
        <v>-0.61195468787659757</v>
      </c>
      <c r="Q235">
        <f t="shared" si="5"/>
        <v>-4084762.5438876888</v>
      </c>
      <c r="R235">
        <f t="shared" si="6"/>
        <v>74835072.489108056</v>
      </c>
      <c r="S235">
        <f t="shared" si="7"/>
        <v>748.35072489108052</v>
      </c>
      <c r="T235">
        <f t="shared" si="8"/>
        <v>0.74835072489108057</v>
      </c>
    </row>
    <row r="236" spans="1:20" x14ac:dyDescent="0.25">
      <c r="A236" s="5">
        <v>44357</v>
      </c>
      <c r="B236">
        <v>3.1915</v>
      </c>
      <c r="C236">
        <v>3.26</v>
      </c>
      <c r="D236">
        <v>2.8454999999999999</v>
      </c>
      <c r="E236">
        <v>3.0122</v>
      </c>
      <c r="F236">
        <v>9364701.1600000001</v>
      </c>
      <c r="G236">
        <v>-5.62</v>
      </c>
      <c r="L236" t="s">
        <v>7</v>
      </c>
      <c r="M236" t="s">
        <v>7</v>
      </c>
      <c r="N236" t="s">
        <v>7</v>
      </c>
      <c r="P236">
        <f t="shared" si="4"/>
        <v>-0.19565741857659771</v>
      </c>
      <c r="Q236">
        <f t="shared" si="5"/>
        <v>-1832273.2547068703</v>
      </c>
      <c r="R236">
        <f t="shared" si="6"/>
        <v>78919835.032995746</v>
      </c>
      <c r="S236">
        <f t="shared" si="7"/>
        <v>789.19835032995741</v>
      </c>
      <c r="T236">
        <f t="shared" si="8"/>
        <v>0.78919835032995744</v>
      </c>
    </row>
    <row r="237" spans="1:20" x14ac:dyDescent="0.25">
      <c r="A237" s="5">
        <v>44356</v>
      </c>
      <c r="B237">
        <v>3.0929000000000002</v>
      </c>
      <c r="C237">
        <v>3.2391000000000001</v>
      </c>
      <c r="D237">
        <v>2.8757999999999999</v>
      </c>
      <c r="E237">
        <v>3.1915</v>
      </c>
      <c r="F237">
        <v>17700896.510000002</v>
      </c>
      <c r="G237">
        <v>3.19</v>
      </c>
      <c r="L237" t="s">
        <v>8</v>
      </c>
      <c r="M237" t="s">
        <v>7</v>
      </c>
      <c r="N237" t="s">
        <v>7</v>
      </c>
      <c r="P237">
        <f t="shared" si="4"/>
        <v>0.73795761078998034</v>
      </c>
      <c r="Q237">
        <f t="shared" si="5"/>
        <v>13062511.297360303</v>
      </c>
      <c r="R237">
        <f t="shared" si="6"/>
        <v>80752108.28770262</v>
      </c>
      <c r="S237">
        <f t="shared" si="7"/>
        <v>807.52108287702617</v>
      </c>
      <c r="T237">
        <f t="shared" si="8"/>
        <v>0.80752108287702618</v>
      </c>
    </row>
    <row r="238" spans="1:20" x14ac:dyDescent="0.25">
      <c r="A238" s="5">
        <v>44355</v>
      </c>
      <c r="B238">
        <v>3.4030999999999998</v>
      </c>
      <c r="C238">
        <v>3.4609999999999999</v>
      </c>
      <c r="D238">
        <v>2.8450000000000002</v>
      </c>
      <c r="E238">
        <v>3.0960999999999999</v>
      </c>
      <c r="F238">
        <v>10905697.98</v>
      </c>
      <c r="G238">
        <v>-9.02</v>
      </c>
      <c r="L238" t="s">
        <v>7</v>
      </c>
      <c r="M238" t="s">
        <v>7</v>
      </c>
      <c r="N238" t="s">
        <v>7</v>
      </c>
      <c r="P238">
        <f t="shared" si="4"/>
        <v>-0.1847402597402604</v>
      </c>
      <c r="Q238">
        <f t="shared" si="5"/>
        <v>-2014721.4774740331</v>
      </c>
      <c r="R238">
        <f t="shared" si="6"/>
        <v>67689596.990342319</v>
      </c>
      <c r="S238">
        <f t="shared" si="7"/>
        <v>676.89596990342318</v>
      </c>
      <c r="T238">
        <f t="shared" si="8"/>
        <v>0.67689596990342316</v>
      </c>
    </row>
    <row r="239" spans="1:20" x14ac:dyDescent="0.25">
      <c r="A239" s="5">
        <v>44354</v>
      </c>
      <c r="B239">
        <v>3.9098000000000002</v>
      </c>
      <c r="C239">
        <v>3.9152999999999998</v>
      </c>
      <c r="D239">
        <v>3.3437000000000001</v>
      </c>
      <c r="E239">
        <v>3.4055</v>
      </c>
      <c r="F239">
        <v>7310939.6299999999</v>
      </c>
      <c r="G239">
        <v>-12.9</v>
      </c>
      <c r="L239" t="s">
        <v>7</v>
      </c>
      <c r="M239" t="s">
        <v>7</v>
      </c>
      <c r="N239" t="s">
        <v>8</v>
      </c>
      <c r="P239">
        <f t="shared" si="4"/>
        <v>-0.7837648705388387</v>
      </c>
      <c r="Q239">
        <f t="shared" si="5"/>
        <v>-5730057.652624215</v>
      </c>
      <c r="R239">
        <f t="shared" si="6"/>
        <v>69704318.467816353</v>
      </c>
      <c r="S239">
        <f t="shared" si="7"/>
        <v>697.04318467816358</v>
      </c>
      <c r="T239">
        <f t="shared" si="8"/>
        <v>0.69704318467816362</v>
      </c>
    </row>
    <row r="240" spans="1:20" x14ac:dyDescent="0.25">
      <c r="A240" s="5">
        <v>44353</v>
      </c>
      <c r="B240">
        <v>3.6846000000000001</v>
      </c>
      <c r="C240">
        <v>4.1176000000000004</v>
      </c>
      <c r="D240">
        <v>3.6356000000000002</v>
      </c>
      <c r="E240">
        <v>3.9098000000000002</v>
      </c>
      <c r="F240">
        <v>11968479.390000001</v>
      </c>
      <c r="G240">
        <v>6.11</v>
      </c>
      <c r="L240" t="s">
        <v>8</v>
      </c>
      <c r="M240" t="s">
        <v>8</v>
      </c>
      <c r="N240" t="s">
        <v>8</v>
      </c>
      <c r="P240">
        <f t="shared" si="4"/>
        <v>0.13775933609958457</v>
      </c>
      <c r="Q240">
        <f t="shared" si="5"/>
        <v>1648769.7748879611</v>
      </c>
      <c r="R240">
        <f t="shared" si="6"/>
        <v>75434376.120440573</v>
      </c>
      <c r="S240">
        <f t="shared" si="7"/>
        <v>754.34376120440572</v>
      </c>
      <c r="T240">
        <f t="shared" si="8"/>
        <v>0.75434376120440572</v>
      </c>
    </row>
    <row r="241" spans="1:20" x14ac:dyDescent="0.25">
      <c r="A241" s="5">
        <v>44352</v>
      </c>
      <c r="B241">
        <v>3.3761000000000001</v>
      </c>
      <c r="C241">
        <v>4.0151000000000003</v>
      </c>
      <c r="D241">
        <v>3.3376000000000001</v>
      </c>
      <c r="E241">
        <v>3.6846000000000001</v>
      </c>
      <c r="F241">
        <v>17722025.59</v>
      </c>
      <c r="G241">
        <v>9.14</v>
      </c>
      <c r="L241" t="s">
        <v>8</v>
      </c>
      <c r="M241" t="s">
        <v>8</v>
      </c>
      <c r="N241" t="s">
        <v>8</v>
      </c>
      <c r="P241">
        <f t="shared" si="4"/>
        <v>2.4354243542435029E-2</v>
      </c>
      <c r="Q241">
        <f t="shared" si="5"/>
        <v>431606.5272841258</v>
      </c>
      <c r="R241">
        <f t="shared" si="6"/>
        <v>73785606.345552608</v>
      </c>
      <c r="S241">
        <f t="shared" si="7"/>
        <v>737.85606345552605</v>
      </c>
      <c r="T241">
        <f t="shared" si="8"/>
        <v>0.73785606345552601</v>
      </c>
    </row>
    <row r="242" spans="1:20" x14ac:dyDescent="0.25">
      <c r="A242" s="5">
        <v>44351</v>
      </c>
      <c r="B242">
        <v>3.4958999999999998</v>
      </c>
      <c r="C242">
        <v>3.72</v>
      </c>
      <c r="D242">
        <v>3.1030000000000002</v>
      </c>
      <c r="E242">
        <v>3.3719999999999999</v>
      </c>
      <c r="F242">
        <v>17217578.809999999</v>
      </c>
      <c r="G242">
        <v>-3.54</v>
      </c>
      <c r="L242" t="s">
        <v>7</v>
      </c>
      <c r="M242" t="s">
        <v>8</v>
      </c>
      <c r="N242" t="s">
        <v>8</v>
      </c>
      <c r="P242">
        <f t="shared" si="4"/>
        <v>-0.1280388978930318</v>
      </c>
      <c r="Q242">
        <f t="shared" si="5"/>
        <v>-2204519.8152188179</v>
      </c>
      <c r="R242">
        <f t="shared" si="6"/>
        <v>73353999.818268478</v>
      </c>
      <c r="S242">
        <f t="shared" si="7"/>
        <v>733.53999818268483</v>
      </c>
      <c r="T242">
        <f t="shared" si="8"/>
        <v>0.73353999818268478</v>
      </c>
    </row>
    <row r="243" spans="1:20" x14ac:dyDescent="0.25">
      <c r="A243" s="5">
        <v>44350</v>
      </c>
      <c r="B243">
        <v>3.3753000000000002</v>
      </c>
      <c r="C243">
        <v>3.5956999999999999</v>
      </c>
      <c r="D243">
        <v>3.3241000000000001</v>
      </c>
      <c r="E243">
        <v>3.4946000000000002</v>
      </c>
      <c r="F243">
        <v>8481519.3499999996</v>
      </c>
      <c r="G243">
        <v>3.53</v>
      </c>
      <c r="L243" t="s">
        <v>7</v>
      </c>
      <c r="M243" t="s">
        <v>8</v>
      </c>
      <c r="N243" t="s">
        <v>8</v>
      </c>
      <c r="P243">
        <f t="shared" si="4"/>
        <v>0.25552282768777757</v>
      </c>
      <c r="Q243">
        <f t="shared" si="5"/>
        <v>2167221.807400601</v>
      </c>
      <c r="R243">
        <f t="shared" si="6"/>
        <v>75558519.633487299</v>
      </c>
      <c r="S243">
        <f t="shared" si="7"/>
        <v>755.58519633487299</v>
      </c>
      <c r="T243">
        <f t="shared" si="8"/>
        <v>0.75558519633487298</v>
      </c>
    </row>
    <row r="244" spans="1:20" x14ac:dyDescent="0.25">
      <c r="A244" s="5">
        <v>44349</v>
      </c>
      <c r="B244">
        <v>3.1219000000000001</v>
      </c>
      <c r="C244">
        <v>3.5775000000000001</v>
      </c>
      <c r="D244">
        <v>3.0402</v>
      </c>
      <c r="E244">
        <v>3.3752</v>
      </c>
      <c r="F244">
        <v>11806631.49</v>
      </c>
      <c r="G244">
        <v>8.11</v>
      </c>
      <c r="L244" t="s">
        <v>8</v>
      </c>
      <c r="M244" t="s">
        <v>8</v>
      </c>
      <c r="N244" t="s">
        <v>8</v>
      </c>
      <c r="P244">
        <f t="shared" si="4"/>
        <v>0.24697561883491492</v>
      </c>
      <c r="Q244">
        <f t="shared" si="5"/>
        <v>2915950.1185985436</v>
      </c>
      <c r="R244">
        <f t="shared" si="6"/>
        <v>73391297.8260867</v>
      </c>
      <c r="S244">
        <f t="shared" si="7"/>
        <v>733.91297826086702</v>
      </c>
      <c r="T244">
        <f t="shared" si="8"/>
        <v>0.73391297826086699</v>
      </c>
    </row>
    <row r="245" spans="1:20" x14ac:dyDescent="0.25">
      <c r="A245" s="5">
        <v>44348</v>
      </c>
      <c r="B245">
        <v>3.2071000000000001</v>
      </c>
      <c r="C245">
        <v>3.2690000000000001</v>
      </c>
      <c r="D245">
        <v>2.9881000000000002</v>
      </c>
      <c r="E245">
        <v>3.1194999999999999</v>
      </c>
      <c r="F245">
        <v>6391948.4199999999</v>
      </c>
      <c r="G245">
        <v>-2.73</v>
      </c>
      <c r="L245" t="s">
        <v>7</v>
      </c>
      <c r="M245" t="s">
        <v>8</v>
      </c>
      <c r="N245" t="s">
        <v>7</v>
      </c>
      <c r="P245">
        <f t="shared" si="4"/>
        <v>-6.4435742257032594E-2</v>
      </c>
      <c r="Q245">
        <f t="shared" si="5"/>
        <v>-411869.94091136672</v>
      </c>
      <c r="R245">
        <f t="shared" si="6"/>
        <v>70475347.707488149</v>
      </c>
      <c r="S245">
        <f t="shared" si="7"/>
        <v>704.75347707488152</v>
      </c>
      <c r="T245">
        <f t="shared" si="8"/>
        <v>0.70475347707488156</v>
      </c>
    </row>
    <row r="246" spans="1:20" x14ac:dyDescent="0.25">
      <c r="A246" s="5">
        <v>44347</v>
      </c>
      <c r="B246">
        <v>2.8835000000000002</v>
      </c>
      <c r="C246">
        <v>3.2928000000000002</v>
      </c>
      <c r="D246">
        <v>2.7458</v>
      </c>
      <c r="E246">
        <v>3.2054999999999998</v>
      </c>
      <c r="F246">
        <v>9404364.5</v>
      </c>
      <c r="G246">
        <v>11.17</v>
      </c>
      <c r="L246" t="s">
        <v>8</v>
      </c>
      <c r="M246" t="s">
        <v>8</v>
      </c>
      <c r="N246" t="s">
        <v>7</v>
      </c>
      <c r="P246">
        <f t="shared" si="4"/>
        <v>0.68080438756855444</v>
      </c>
      <c r="Q246">
        <f t="shared" si="5"/>
        <v>6402532.613893955</v>
      </c>
      <c r="R246">
        <f t="shared" si="6"/>
        <v>70887217.648399517</v>
      </c>
      <c r="S246">
        <f t="shared" si="7"/>
        <v>708.87217648399519</v>
      </c>
      <c r="T246">
        <f t="shared" si="8"/>
        <v>0.70887217648399514</v>
      </c>
    </row>
    <row r="247" spans="1:20" x14ac:dyDescent="0.25">
      <c r="A247" s="5">
        <v>44346</v>
      </c>
      <c r="B247">
        <v>2.5697999999999999</v>
      </c>
      <c r="C247">
        <v>2.9864999999999999</v>
      </c>
      <c r="D247">
        <v>2.4032</v>
      </c>
      <c r="E247">
        <v>2.8860999999999999</v>
      </c>
      <c r="F247">
        <v>7369553.0300000003</v>
      </c>
      <c r="G247">
        <v>12.31</v>
      </c>
      <c r="L247" t="s">
        <v>7</v>
      </c>
      <c r="M247" t="s">
        <v>7</v>
      </c>
      <c r="N247" t="s">
        <v>7</v>
      </c>
      <c r="P247">
        <f t="shared" si="4"/>
        <v>0.65575175724327084</v>
      </c>
      <c r="Q247">
        <f t="shared" si="5"/>
        <v>4832597.3495199708</v>
      </c>
      <c r="R247">
        <f t="shared" si="6"/>
        <v>64484685.034505568</v>
      </c>
      <c r="S247">
        <f t="shared" si="7"/>
        <v>644.84685034505571</v>
      </c>
      <c r="T247">
        <f t="shared" si="8"/>
        <v>0.64484685034505573</v>
      </c>
    </row>
    <row r="248" spans="1:20" x14ac:dyDescent="0.25">
      <c r="A248" s="5">
        <v>44345</v>
      </c>
      <c r="B248">
        <v>2.7572999999999999</v>
      </c>
      <c r="C248">
        <v>2.9815999999999998</v>
      </c>
      <c r="D248">
        <v>2.4407999999999999</v>
      </c>
      <c r="E248">
        <v>2.5678000000000001</v>
      </c>
      <c r="F248">
        <v>8491591.8300000001</v>
      </c>
      <c r="G248">
        <v>-6.87</v>
      </c>
      <c r="L248" t="s">
        <v>7</v>
      </c>
      <c r="M248" t="s">
        <v>7</v>
      </c>
      <c r="N248" t="s">
        <v>7</v>
      </c>
      <c r="P248">
        <f t="shared" si="4"/>
        <v>-0.53032544378698132</v>
      </c>
      <c r="Q248">
        <f t="shared" si="5"/>
        <v>-4503307.205702655</v>
      </c>
      <c r="R248">
        <f t="shared" si="6"/>
        <v>59652087.6849856</v>
      </c>
      <c r="S248">
        <f t="shared" si="7"/>
        <v>596.52087684985599</v>
      </c>
      <c r="T248">
        <f t="shared" si="8"/>
        <v>0.596520876849856</v>
      </c>
    </row>
    <row r="249" spans="1:20" x14ac:dyDescent="0.25">
      <c r="A249" s="5">
        <v>44344</v>
      </c>
      <c r="B249">
        <v>3.2835999999999999</v>
      </c>
      <c r="C249">
        <v>3.3717999999999999</v>
      </c>
      <c r="D249">
        <v>2.6082999999999998</v>
      </c>
      <c r="E249">
        <v>2.7570999999999999</v>
      </c>
      <c r="F249">
        <v>12764961.199999999</v>
      </c>
      <c r="G249">
        <v>-16.03</v>
      </c>
      <c r="L249" t="s">
        <v>7</v>
      </c>
      <c r="M249" t="s">
        <v>7</v>
      </c>
      <c r="N249" t="s">
        <v>8</v>
      </c>
      <c r="P249">
        <f t="shared" si="4"/>
        <v>-0.61021611001964626</v>
      </c>
      <c r="Q249">
        <f t="shared" si="5"/>
        <v>-7789384.9680157155</v>
      </c>
      <c r="R249">
        <f t="shared" si="6"/>
        <v>64155394.890688255</v>
      </c>
      <c r="S249">
        <f t="shared" si="7"/>
        <v>641.55394890688251</v>
      </c>
      <c r="T249">
        <f t="shared" si="8"/>
        <v>0.64155394890688255</v>
      </c>
    </row>
    <row r="250" spans="1:20" x14ac:dyDescent="0.25">
      <c r="A250" s="5">
        <v>44343</v>
      </c>
      <c r="B250">
        <v>3.4239000000000002</v>
      </c>
      <c r="C250">
        <v>3.45</v>
      </c>
      <c r="D250">
        <v>2.9685000000000001</v>
      </c>
      <c r="E250">
        <v>3.2803</v>
      </c>
      <c r="F250">
        <v>8182522.21</v>
      </c>
      <c r="G250">
        <v>-4.1900000000000004</v>
      </c>
      <c r="L250" t="s">
        <v>7</v>
      </c>
      <c r="M250" t="s">
        <v>8</v>
      </c>
      <c r="N250" t="s">
        <v>8</v>
      </c>
      <c r="P250">
        <f t="shared" si="4"/>
        <v>0.29511941848390377</v>
      </c>
      <c r="Q250">
        <f t="shared" si="5"/>
        <v>2414821.1963468273</v>
      </c>
      <c r="R250">
        <f t="shared" si="6"/>
        <v>71944779.858703971</v>
      </c>
      <c r="S250">
        <f t="shared" si="7"/>
        <v>719.44779858703976</v>
      </c>
      <c r="T250">
        <f t="shared" si="8"/>
        <v>0.71944779858703978</v>
      </c>
    </row>
    <row r="251" spans="1:20" x14ac:dyDescent="0.25">
      <c r="A251" s="5">
        <v>44342</v>
      </c>
      <c r="B251">
        <v>2.8906999999999998</v>
      </c>
      <c r="C251">
        <v>3.5</v>
      </c>
      <c r="D251">
        <v>2.8313999999999999</v>
      </c>
      <c r="E251">
        <v>3.4258999999999999</v>
      </c>
      <c r="F251">
        <v>14637848.76</v>
      </c>
      <c r="G251">
        <v>18.510000000000002</v>
      </c>
      <c r="L251" t="s">
        <v>8</v>
      </c>
      <c r="M251" t="s">
        <v>8</v>
      </c>
      <c r="N251" t="s">
        <v>8</v>
      </c>
      <c r="P251">
        <f t="shared" si="4"/>
        <v>0.7783428058629972</v>
      </c>
      <c r="Q251">
        <f t="shared" si="5"/>
        <v>11393264.275656594</v>
      </c>
      <c r="R251">
        <f t="shared" si="6"/>
        <v>69529958.662357137</v>
      </c>
      <c r="S251">
        <f t="shared" si="7"/>
        <v>695.29958662357137</v>
      </c>
      <c r="T251">
        <f t="shared" si="8"/>
        <v>0.69529958662357139</v>
      </c>
    </row>
    <row r="252" spans="1:20" x14ac:dyDescent="0.25">
      <c r="A252" s="5">
        <v>44341</v>
      </c>
      <c r="B252">
        <v>2.95</v>
      </c>
      <c r="C252">
        <v>3.1002000000000001</v>
      </c>
      <c r="D252">
        <v>2.5314000000000001</v>
      </c>
      <c r="E252">
        <v>2.8913000000000002</v>
      </c>
      <c r="F252">
        <v>11467021.029999999</v>
      </c>
      <c r="G252">
        <v>-1.99</v>
      </c>
      <c r="L252" t="s">
        <v>8</v>
      </c>
      <c r="M252" t="s">
        <v>8</v>
      </c>
      <c r="N252" t="s">
        <v>8</v>
      </c>
      <c r="P252">
        <f t="shared" si="4"/>
        <v>0.26547116736990201</v>
      </c>
      <c r="Q252">
        <f t="shared" si="5"/>
        <v>3044163.459089316</v>
      </c>
      <c r="R252">
        <f t="shared" si="6"/>
        <v>58136694.386700541</v>
      </c>
      <c r="S252">
        <f t="shared" si="7"/>
        <v>581.36694386700538</v>
      </c>
      <c r="T252">
        <f t="shared" si="8"/>
        <v>0.58136694386700538</v>
      </c>
    </row>
    <row r="253" spans="1:20" x14ac:dyDescent="0.25">
      <c r="A253" s="5">
        <v>44340</v>
      </c>
      <c r="B253">
        <v>2.3344</v>
      </c>
      <c r="C253">
        <v>3.0106000000000002</v>
      </c>
      <c r="D253">
        <v>2.29</v>
      </c>
      <c r="E253">
        <v>2.9474999999999998</v>
      </c>
      <c r="F253">
        <v>16333699.84</v>
      </c>
      <c r="G253">
        <v>26.26</v>
      </c>
      <c r="L253" t="s">
        <v>8</v>
      </c>
      <c r="M253" t="s">
        <v>8</v>
      </c>
      <c r="N253" t="s">
        <v>8</v>
      </c>
      <c r="P253">
        <f t="shared" si="4"/>
        <v>0.82486816541770647</v>
      </c>
      <c r="Q253">
        <f t="shared" si="5"/>
        <v>13473149.021504285</v>
      </c>
      <c r="R253">
        <f t="shared" si="6"/>
        <v>55092530.927611224</v>
      </c>
      <c r="S253">
        <f t="shared" si="7"/>
        <v>550.92530927611222</v>
      </c>
      <c r="T253">
        <f t="shared" si="8"/>
        <v>0.55092530927611216</v>
      </c>
    </row>
    <row r="254" spans="1:20" x14ac:dyDescent="0.25">
      <c r="A254" s="5">
        <v>44339</v>
      </c>
      <c r="B254">
        <v>2.7250000000000001</v>
      </c>
      <c r="C254">
        <v>2.8837999999999999</v>
      </c>
      <c r="D254">
        <v>1.7777000000000001</v>
      </c>
      <c r="E254">
        <v>2.3355000000000001</v>
      </c>
      <c r="F254">
        <v>20568168.940000001</v>
      </c>
      <c r="G254">
        <v>-14.29</v>
      </c>
      <c r="L254" t="s">
        <v>7</v>
      </c>
      <c r="M254" t="s">
        <v>7</v>
      </c>
      <c r="N254" t="s">
        <v>7</v>
      </c>
      <c r="P254">
        <f t="shared" si="4"/>
        <v>8.588735195733015E-3</v>
      </c>
      <c r="Q254">
        <f t="shared" si="5"/>
        <v>176654.55648676064</v>
      </c>
      <c r="R254">
        <f t="shared" si="6"/>
        <v>41619381.906106941</v>
      </c>
      <c r="S254">
        <f t="shared" si="7"/>
        <v>416.19381906106941</v>
      </c>
      <c r="T254">
        <f t="shared" si="8"/>
        <v>0.41619381906106939</v>
      </c>
    </row>
    <row r="255" spans="1:20" x14ac:dyDescent="0.25">
      <c r="A255" s="5">
        <v>44338</v>
      </c>
      <c r="B255">
        <v>3.1175999999999999</v>
      </c>
      <c r="C255">
        <v>3.2793000000000001</v>
      </c>
      <c r="D255">
        <v>2.6335000000000002</v>
      </c>
      <c r="E255">
        <v>2.7225999999999999</v>
      </c>
      <c r="F255">
        <v>14015960.699999999</v>
      </c>
      <c r="G255">
        <v>-12.67</v>
      </c>
      <c r="L255" t="s">
        <v>7</v>
      </c>
      <c r="M255" t="s">
        <v>8</v>
      </c>
      <c r="N255" t="s">
        <v>7</v>
      </c>
      <c r="P255">
        <f t="shared" si="4"/>
        <v>-0.72406317745432103</v>
      </c>
      <c r="Q255">
        <f t="shared" si="5"/>
        <v>-10148441.039516889</v>
      </c>
      <c r="R255">
        <f t="shared" si="6"/>
        <v>41442727.349620178</v>
      </c>
      <c r="S255">
        <f t="shared" si="7"/>
        <v>414.42727349620179</v>
      </c>
      <c r="T255">
        <f t="shared" si="8"/>
        <v>0.41442727349620179</v>
      </c>
    </row>
    <row r="256" spans="1:20" x14ac:dyDescent="0.25">
      <c r="A256" s="5">
        <v>44337</v>
      </c>
      <c r="B256">
        <v>3.6038999999999999</v>
      </c>
      <c r="C256">
        <v>3.8155000000000001</v>
      </c>
      <c r="D256">
        <v>2.6417999999999999</v>
      </c>
      <c r="E256">
        <v>3.1168999999999998</v>
      </c>
      <c r="F256">
        <v>16658585.42</v>
      </c>
      <c r="G256">
        <v>-13.51</v>
      </c>
      <c r="L256" t="s">
        <v>7</v>
      </c>
      <c r="M256" t="s">
        <v>7</v>
      </c>
      <c r="N256" t="s">
        <v>7</v>
      </c>
      <c r="P256">
        <f t="shared" si="4"/>
        <v>-0.19042344721819923</v>
      </c>
      <c r="Q256">
        <f t="shared" si="5"/>
        <v>-3172185.2614552332</v>
      </c>
      <c r="R256">
        <f t="shared" si="6"/>
        <v>51591168.389137067</v>
      </c>
      <c r="S256">
        <f t="shared" si="7"/>
        <v>515.91168389137067</v>
      </c>
      <c r="T256">
        <f t="shared" si="8"/>
        <v>0.51591168389137065</v>
      </c>
    </row>
    <row r="257" spans="1:20" x14ac:dyDescent="0.25">
      <c r="A257" s="5">
        <v>44336</v>
      </c>
      <c r="B257">
        <v>3.2128000000000001</v>
      </c>
      <c r="C257">
        <v>3.96</v>
      </c>
      <c r="D257">
        <v>2.7368999999999999</v>
      </c>
      <c r="E257">
        <v>3.5958999999999999</v>
      </c>
      <c r="F257">
        <v>20423893.940000001</v>
      </c>
      <c r="G257">
        <v>11.92</v>
      </c>
      <c r="L257" t="s">
        <v>8</v>
      </c>
      <c r="M257" t="s">
        <v>8</v>
      </c>
      <c r="N257" t="s">
        <v>8</v>
      </c>
      <c r="P257">
        <f t="shared" si="4"/>
        <v>0.40462758564303808</v>
      </c>
      <c r="Q257">
        <f t="shared" si="5"/>
        <v>8264070.8943716772</v>
      </c>
      <c r="R257">
        <f t="shared" si="6"/>
        <v>54763353.650592297</v>
      </c>
      <c r="S257">
        <f t="shared" si="7"/>
        <v>547.63353650592296</v>
      </c>
      <c r="T257">
        <f t="shared" si="8"/>
        <v>0.54763353650592295</v>
      </c>
    </row>
    <row r="258" spans="1:20" x14ac:dyDescent="0.25">
      <c r="A258" s="5">
        <v>44335</v>
      </c>
      <c r="B258">
        <v>5.2679999999999998</v>
      </c>
      <c r="C258">
        <v>5.4227999999999996</v>
      </c>
      <c r="D258">
        <v>2.6400999999999999</v>
      </c>
      <c r="E258">
        <v>3.2101999999999999</v>
      </c>
      <c r="F258">
        <v>35678870.310000002</v>
      </c>
      <c r="G258">
        <v>-39.06</v>
      </c>
      <c r="L258" t="s">
        <v>7</v>
      </c>
      <c r="M258" t="s">
        <v>7</v>
      </c>
      <c r="N258" t="s">
        <v>7</v>
      </c>
      <c r="P258">
        <f t="shared" si="4"/>
        <v>-0.59025406978833495</v>
      </c>
      <c r="Q258">
        <f t="shared" si="5"/>
        <v>-21059598.405927692</v>
      </c>
      <c r="R258">
        <f t="shared" si="6"/>
        <v>46499282.756220624</v>
      </c>
      <c r="S258">
        <f t="shared" si="7"/>
        <v>464.99282756220623</v>
      </c>
      <c r="T258">
        <f t="shared" si="8"/>
        <v>0.46499282756220622</v>
      </c>
    </row>
    <row r="259" spans="1:20" x14ac:dyDescent="0.25">
      <c r="A259" s="5">
        <v>44334</v>
      </c>
      <c r="B259">
        <v>4.7045000000000003</v>
      </c>
      <c r="C259">
        <v>5.4</v>
      </c>
      <c r="D259">
        <v>4.6412000000000004</v>
      </c>
      <c r="E259">
        <v>5.2662000000000004</v>
      </c>
      <c r="F259">
        <v>13777058.16</v>
      </c>
      <c r="G259">
        <v>11.94</v>
      </c>
      <c r="L259" t="s">
        <v>8</v>
      </c>
      <c r="M259" t="s">
        <v>8</v>
      </c>
      <c r="N259" t="s">
        <v>7</v>
      </c>
      <c r="P259">
        <f t="shared" si="4"/>
        <v>0.64733790195044827</v>
      </c>
      <c r="Q259">
        <f t="shared" si="5"/>
        <v>8918411.9243437033</v>
      </c>
      <c r="R259">
        <f t="shared" si="6"/>
        <v>67558881.162148312</v>
      </c>
      <c r="S259">
        <f t="shared" si="7"/>
        <v>675.58881162148316</v>
      </c>
      <c r="T259">
        <f t="shared" si="8"/>
        <v>0.67558881162148321</v>
      </c>
    </row>
    <row r="260" spans="1:20" x14ac:dyDescent="0.25">
      <c r="A260" s="5">
        <v>44333</v>
      </c>
      <c r="B260">
        <v>5.1261000000000001</v>
      </c>
      <c r="C260">
        <v>5.1632999999999996</v>
      </c>
      <c r="D260">
        <v>4.4306999999999999</v>
      </c>
      <c r="E260">
        <v>4.7037000000000004</v>
      </c>
      <c r="F260">
        <v>11605220.210000001</v>
      </c>
      <c r="G260">
        <v>-8.24</v>
      </c>
      <c r="L260" t="s">
        <v>7</v>
      </c>
      <c r="M260" t="s">
        <v>7</v>
      </c>
      <c r="N260" t="s">
        <v>7</v>
      </c>
      <c r="P260">
        <f t="shared" si="4"/>
        <v>-0.25470925470925282</v>
      </c>
      <c r="Q260">
        <f t="shared" si="5"/>
        <v>-2955956.9904258586</v>
      </c>
      <c r="R260">
        <f t="shared" si="6"/>
        <v>58640469.237804607</v>
      </c>
      <c r="S260">
        <f t="shared" si="7"/>
        <v>586.40469237804609</v>
      </c>
      <c r="T260">
        <f t="shared" si="8"/>
        <v>0.58640469237804604</v>
      </c>
    </row>
    <row r="261" spans="1:20" x14ac:dyDescent="0.25">
      <c r="A261" s="5">
        <v>44332</v>
      </c>
      <c r="B261">
        <v>5.2563000000000004</v>
      </c>
      <c r="C261">
        <v>5.6376999999999997</v>
      </c>
      <c r="D261">
        <v>4.6500000000000004</v>
      </c>
      <c r="E261">
        <v>5.1262999999999996</v>
      </c>
      <c r="F261">
        <v>13849370.1</v>
      </c>
      <c r="G261">
        <v>-2.4700000000000002</v>
      </c>
      <c r="L261" t="s">
        <v>7</v>
      </c>
      <c r="M261" t="s">
        <v>7</v>
      </c>
      <c r="N261" t="s">
        <v>7</v>
      </c>
      <c r="P261">
        <f t="shared" si="4"/>
        <v>-3.5537106408829421E-2</v>
      </c>
      <c r="Q261">
        <f t="shared" si="5"/>
        <v>-492166.53893896053</v>
      </c>
      <c r="R261">
        <f t="shared" si="6"/>
        <v>61596426.228230469</v>
      </c>
      <c r="S261">
        <f t="shared" si="7"/>
        <v>615.96426228230473</v>
      </c>
      <c r="T261">
        <f t="shared" si="8"/>
        <v>0.61596426228230472</v>
      </c>
    </row>
    <row r="262" spans="1:20" x14ac:dyDescent="0.25">
      <c r="A262" s="5">
        <v>44331</v>
      </c>
      <c r="B262">
        <v>5.7409999999999997</v>
      </c>
      <c r="C262">
        <v>6.0487000000000002</v>
      </c>
      <c r="D262">
        <v>5.2365000000000004</v>
      </c>
      <c r="E262">
        <v>5.2564000000000002</v>
      </c>
      <c r="F262">
        <v>10544232.189999999</v>
      </c>
      <c r="G262">
        <v>-8.44</v>
      </c>
      <c r="L262" t="s">
        <v>8</v>
      </c>
      <c r="M262" t="s">
        <v>7</v>
      </c>
      <c r="N262" t="s">
        <v>7</v>
      </c>
      <c r="P262">
        <f t="shared" ref="P262:P325" si="9">IF(C262=D262,0,((E262-D262)-(C262-E262))/(C262-D262))</f>
        <v>-0.95099729130756017</v>
      </c>
      <c r="Q262">
        <f t="shared" ref="Q262:Q325" si="10">F262*P262</f>
        <v>-10027536.251607982</v>
      </c>
      <c r="R262">
        <f t="shared" ref="R262:R325" si="11">R263+Q262</f>
        <v>62088592.767169431</v>
      </c>
      <c r="S262">
        <f t="shared" ref="S262:S325" si="12">R262/100000</f>
        <v>620.88592767169428</v>
      </c>
      <c r="T262">
        <f t="shared" ref="T262:T325" si="13">S262/1000</f>
        <v>0.62088592767169426</v>
      </c>
    </row>
    <row r="263" spans="1:20" x14ac:dyDescent="0.25">
      <c r="A263" s="5">
        <v>44330</v>
      </c>
      <c r="B263">
        <v>5.5731999999999999</v>
      </c>
      <c r="C263">
        <v>5.9385000000000003</v>
      </c>
      <c r="D263">
        <v>5.25</v>
      </c>
      <c r="E263">
        <v>5.7382999999999997</v>
      </c>
      <c r="F263">
        <v>8465404.0899999999</v>
      </c>
      <c r="G263">
        <v>2.96</v>
      </c>
      <c r="L263" t="s">
        <v>8</v>
      </c>
      <c r="M263" t="s">
        <v>7</v>
      </c>
      <c r="N263" t="s">
        <v>7</v>
      </c>
      <c r="P263">
        <f t="shared" si="9"/>
        <v>0.41844589687726796</v>
      </c>
      <c r="Q263">
        <f t="shared" si="10"/>
        <v>3542313.6068685423</v>
      </c>
      <c r="R263">
        <f t="shared" si="11"/>
        <v>72116129.018777415</v>
      </c>
      <c r="S263">
        <f t="shared" si="12"/>
        <v>721.16129018777417</v>
      </c>
      <c r="T263">
        <f t="shared" si="13"/>
        <v>0.7211612901877742</v>
      </c>
    </row>
    <row r="264" spans="1:20" x14ac:dyDescent="0.25">
      <c r="A264" s="5">
        <v>44329</v>
      </c>
      <c r="B264">
        <v>5.6097999999999999</v>
      </c>
      <c r="C264">
        <v>6.1</v>
      </c>
      <c r="D264">
        <v>5.1574</v>
      </c>
      <c r="E264">
        <v>5.5712999999999999</v>
      </c>
      <c r="F264">
        <v>15145067.869999999</v>
      </c>
      <c r="G264">
        <v>-0.69</v>
      </c>
      <c r="L264" t="s">
        <v>7</v>
      </c>
      <c r="M264" t="s">
        <v>7</v>
      </c>
      <c r="N264" t="s">
        <v>7</v>
      </c>
      <c r="P264">
        <f t="shared" si="9"/>
        <v>-0.12179079142796502</v>
      </c>
      <c r="Q264">
        <f t="shared" si="10"/>
        <v>-1844529.8021175445</v>
      </c>
      <c r="R264">
        <f t="shared" si="11"/>
        <v>68573815.41190888</v>
      </c>
      <c r="S264">
        <f t="shared" si="12"/>
        <v>685.73815411908879</v>
      </c>
      <c r="T264">
        <f t="shared" si="13"/>
        <v>0.68573815411908878</v>
      </c>
    </row>
    <row r="265" spans="1:20" x14ac:dyDescent="0.25">
      <c r="A265" s="5">
        <v>44328</v>
      </c>
      <c r="B265">
        <v>6.5338000000000003</v>
      </c>
      <c r="C265">
        <v>6.9257999999999997</v>
      </c>
      <c r="D265">
        <v>5.4557000000000002</v>
      </c>
      <c r="E265">
        <v>5.6127000000000002</v>
      </c>
      <c r="F265">
        <v>15029262.02</v>
      </c>
      <c r="G265">
        <v>-14.1</v>
      </c>
      <c r="L265" t="s">
        <v>8</v>
      </c>
      <c r="M265" t="s">
        <v>7</v>
      </c>
      <c r="N265" t="s">
        <v>7</v>
      </c>
      <c r="P265">
        <f t="shared" si="9"/>
        <v>-0.78640908781715524</v>
      </c>
      <c r="Q265">
        <f t="shared" si="10"/>
        <v>-11819148.235713216</v>
      </c>
      <c r="R265">
        <f t="shared" si="11"/>
        <v>70418345.214026421</v>
      </c>
      <c r="S265">
        <f t="shared" si="12"/>
        <v>704.18345214026419</v>
      </c>
      <c r="T265">
        <f t="shared" si="13"/>
        <v>0.70418345214026423</v>
      </c>
    </row>
    <row r="266" spans="1:20" x14ac:dyDescent="0.25">
      <c r="A266" s="5">
        <v>44327</v>
      </c>
      <c r="B266">
        <v>6.1775000000000002</v>
      </c>
      <c r="C266">
        <v>6.5366999999999997</v>
      </c>
      <c r="D266">
        <v>5.8</v>
      </c>
      <c r="E266">
        <v>6.5350000000000001</v>
      </c>
      <c r="F266">
        <v>10398149.529999999</v>
      </c>
      <c r="G266">
        <v>5.79</v>
      </c>
      <c r="L266" t="s">
        <v>8</v>
      </c>
      <c r="M266" t="s">
        <v>7</v>
      </c>
      <c r="N266" t="s">
        <v>7</v>
      </c>
      <c r="P266">
        <f t="shared" si="9"/>
        <v>0.99538482421609997</v>
      </c>
      <c r="Q266">
        <f t="shared" si="10"/>
        <v>10350160.242091771</v>
      </c>
      <c r="R266">
        <f t="shared" si="11"/>
        <v>82237493.449739635</v>
      </c>
      <c r="S266">
        <f t="shared" si="12"/>
        <v>822.37493449739634</v>
      </c>
      <c r="T266">
        <f t="shared" si="13"/>
        <v>0.82237493449739629</v>
      </c>
    </row>
    <row r="267" spans="1:20" x14ac:dyDescent="0.25">
      <c r="A267" s="5">
        <v>44326</v>
      </c>
      <c r="B267">
        <v>7.0805999999999996</v>
      </c>
      <c r="C267">
        <v>7.1879</v>
      </c>
      <c r="D267">
        <v>5.5342000000000002</v>
      </c>
      <c r="E267">
        <v>6.1775000000000002</v>
      </c>
      <c r="F267">
        <v>14792762.02</v>
      </c>
      <c r="G267">
        <v>-12.75</v>
      </c>
      <c r="L267" t="s">
        <v>7</v>
      </c>
      <c r="M267" t="s">
        <v>7</v>
      </c>
      <c r="N267" t="s">
        <v>7</v>
      </c>
      <c r="P267">
        <f t="shared" si="9"/>
        <v>-0.22198705932152132</v>
      </c>
      <c r="Q267">
        <f t="shared" si="10"/>
        <v>-3283801.7400628873</v>
      </c>
      <c r="R267">
        <f t="shared" si="11"/>
        <v>71887333.20764786</v>
      </c>
      <c r="S267">
        <f t="shared" si="12"/>
        <v>718.87333207647862</v>
      </c>
      <c r="T267">
        <f t="shared" si="13"/>
        <v>0.71887333207647863</v>
      </c>
    </row>
    <row r="268" spans="1:20" x14ac:dyDescent="0.25">
      <c r="A268" s="5">
        <v>44325</v>
      </c>
      <c r="B268">
        <v>7.4873000000000003</v>
      </c>
      <c r="C268">
        <v>7.5301999999999998</v>
      </c>
      <c r="D268">
        <v>6.7211999999999996</v>
      </c>
      <c r="E268">
        <v>7.0800999999999998</v>
      </c>
      <c r="F268">
        <v>16256909.99</v>
      </c>
      <c r="G268">
        <v>-5.44</v>
      </c>
      <c r="L268" t="s">
        <v>7</v>
      </c>
      <c r="M268" t="s">
        <v>8</v>
      </c>
      <c r="N268" t="s">
        <v>8</v>
      </c>
      <c r="P268">
        <f t="shared" si="9"/>
        <v>-0.11273176761433833</v>
      </c>
      <c r="Q268">
        <f t="shared" si="10"/>
        <v>-1832670.1991198952</v>
      </c>
      <c r="R268">
        <f t="shared" si="11"/>
        <v>75171134.947710752</v>
      </c>
      <c r="S268">
        <f t="shared" si="12"/>
        <v>751.71134947710755</v>
      </c>
      <c r="T268">
        <f t="shared" si="13"/>
        <v>0.75171134947710749</v>
      </c>
    </row>
    <row r="269" spans="1:20" x14ac:dyDescent="0.25">
      <c r="A269" s="5">
        <v>44324</v>
      </c>
      <c r="B269">
        <v>6.5812999999999997</v>
      </c>
      <c r="C269">
        <v>7.8747999999999996</v>
      </c>
      <c r="D269">
        <v>6.4687999999999999</v>
      </c>
      <c r="E269">
        <v>7.4832000000000001</v>
      </c>
      <c r="F269">
        <v>20093486.350000001</v>
      </c>
      <c r="G269">
        <v>13.7</v>
      </c>
      <c r="L269" t="s">
        <v>8</v>
      </c>
      <c r="M269" t="s">
        <v>8</v>
      </c>
      <c r="N269" t="s">
        <v>8</v>
      </c>
      <c r="P269">
        <f t="shared" si="9"/>
        <v>0.44295874822190673</v>
      </c>
      <c r="Q269">
        <f t="shared" si="10"/>
        <v>8900585.5610099696</v>
      </c>
      <c r="R269">
        <f t="shared" si="11"/>
        <v>77003805.146830648</v>
      </c>
      <c r="S269">
        <f t="shared" si="12"/>
        <v>770.03805146830643</v>
      </c>
      <c r="T269">
        <f t="shared" si="13"/>
        <v>0.77003805146830639</v>
      </c>
    </row>
    <row r="270" spans="1:20" x14ac:dyDescent="0.25">
      <c r="A270" s="5">
        <v>44323</v>
      </c>
      <c r="B270">
        <v>6.6078000000000001</v>
      </c>
      <c r="C270">
        <v>7.1224999999999996</v>
      </c>
      <c r="D270">
        <v>6.2972999999999999</v>
      </c>
      <c r="E270">
        <v>6.5777000000000001</v>
      </c>
      <c r="F270">
        <v>14084314.869999999</v>
      </c>
      <c r="G270">
        <v>-0.46</v>
      </c>
      <c r="L270" t="s">
        <v>7</v>
      </c>
      <c r="M270" t="s">
        <v>7</v>
      </c>
      <c r="N270" t="s">
        <v>8</v>
      </c>
      <c r="P270">
        <f t="shared" si="9"/>
        <v>-0.32040717401841906</v>
      </c>
      <c r="Q270">
        <f t="shared" si="10"/>
        <v>-4512715.5254822969</v>
      </c>
      <c r="R270">
        <f t="shared" si="11"/>
        <v>68103219.585820675</v>
      </c>
      <c r="S270">
        <f t="shared" si="12"/>
        <v>681.03219585820671</v>
      </c>
      <c r="T270">
        <f t="shared" si="13"/>
        <v>0.68103219585820673</v>
      </c>
    </row>
    <row r="271" spans="1:20" x14ac:dyDescent="0.25">
      <c r="A271" s="5">
        <v>44322</v>
      </c>
      <c r="B271">
        <v>5.9869000000000003</v>
      </c>
      <c r="C271">
        <v>7.56</v>
      </c>
      <c r="D271">
        <v>5.8699000000000003</v>
      </c>
      <c r="E271">
        <v>6.6062000000000003</v>
      </c>
      <c r="F271">
        <v>42831561.240000002</v>
      </c>
      <c r="G271">
        <v>10.34</v>
      </c>
      <c r="L271" t="s">
        <v>8</v>
      </c>
      <c r="M271" t="s">
        <v>8</v>
      </c>
      <c r="N271" t="s">
        <v>8</v>
      </c>
      <c r="P271">
        <f t="shared" si="9"/>
        <v>-0.12869061002307525</v>
      </c>
      <c r="Q271">
        <f t="shared" si="10"/>
        <v>-5512019.7442163052</v>
      </c>
      <c r="R271">
        <f t="shared" si="11"/>
        <v>72615935.111302972</v>
      </c>
      <c r="S271">
        <f t="shared" si="12"/>
        <v>726.15935111302974</v>
      </c>
      <c r="T271">
        <f t="shared" si="13"/>
        <v>0.72615935111302976</v>
      </c>
    </row>
    <row r="272" spans="1:20" x14ac:dyDescent="0.25">
      <c r="A272" s="5">
        <v>44321</v>
      </c>
      <c r="B272">
        <v>5.2431000000000001</v>
      </c>
      <c r="C272">
        <v>6.2878999999999996</v>
      </c>
      <c r="D272">
        <v>5.1855000000000002</v>
      </c>
      <c r="E272">
        <v>5.9842000000000004</v>
      </c>
      <c r="F272">
        <v>13538249.210000001</v>
      </c>
      <c r="G272">
        <v>14.13</v>
      </c>
      <c r="L272" t="s">
        <v>8</v>
      </c>
      <c r="M272" t="s">
        <v>8</v>
      </c>
      <c r="N272" t="s">
        <v>8</v>
      </c>
      <c r="P272">
        <f t="shared" si="9"/>
        <v>0.4490203193033393</v>
      </c>
      <c r="Q272">
        <f t="shared" si="10"/>
        <v>6078948.9830823811</v>
      </c>
      <c r="R272">
        <f t="shared" si="11"/>
        <v>78127954.85551928</v>
      </c>
      <c r="S272">
        <f t="shared" si="12"/>
        <v>781.27954855519283</v>
      </c>
      <c r="T272">
        <f t="shared" si="13"/>
        <v>0.78127954855519288</v>
      </c>
    </row>
    <row r="273" spans="1:20" x14ac:dyDescent="0.25">
      <c r="A273" s="5">
        <v>44320</v>
      </c>
      <c r="B273">
        <v>5.8689999999999998</v>
      </c>
      <c r="C273">
        <v>5.9084000000000003</v>
      </c>
      <c r="D273">
        <v>5.2031999999999998</v>
      </c>
      <c r="E273">
        <v>5.2422000000000004</v>
      </c>
      <c r="F273">
        <v>11357020.689999999</v>
      </c>
      <c r="G273">
        <v>-10.68</v>
      </c>
      <c r="L273" t="s">
        <v>7</v>
      </c>
      <c r="M273" t="s">
        <v>8</v>
      </c>
      <c r="N273" t="s">
        <v>8</v>
      </c>
      <c r="P273">
        <f t="shared" si="9"/>
        <v>-0.88939307997730976</v>
      </c>
      <c r="Q273">
        <f t="shared" si="10"/>
        <v>-10100855.610845132</v>
      </c>
      <c r="R273">
        <f t="shared" si="11"/>
        <v>72049005.872436896</v>
      </c>
      <c r="S273">
        <f t="shared" si="12"/>
        <v>720.49005872436896</v>
      </c>
      <c r="T273">
        <f t="shared" si="13"/>
        <v>0.720490058724369</v>
      </c>
    </row>
    <row r="274" spans="1:20" x14ac:dyDescent="0.25">
      <c r="A274" s="5">
        <v>44319</v>
      </c>
      <c r="B274">
        <v>5.3612000000000002</v>
      </c>
      <c r="C274">
        <v>5.95</v>
      </c>
      <c r="D274">
        <v>5.3525</v>
      </c>
      <c r="E274">
        <v>5.8674999999999997</v>
      </c>
      <c r="F274">
        <v>8928929.7799999993</v>
      </c>
      <c r="G274">
        <v>9.44</v>
      </c>
      <c r="L274" t="s">
        <v>8</v>
      </c>
      <c r="M274" t="s">
        <v>8</v>
      </c>
      <c r="N274" t="s">
        <v>8</v>
      </c>
      <c r="P274">
        <f t="shared" si="9"/>
        <v>0.72384937238493574</v>
      </c>
      <c r="Q274">
        <f t="shared" si="10"/>
        <v>6463200.2173221614</v>
      </c>
      <c r="R274">
        <f t="shared" si="11"/>
        <v>82149861.48328203</v>
      </c>
      <c r="S274">
        <f t="shared" si="12"/>
        <v>821.49861483282029</v>
      </c>
      <c r="T274">
        <f t="shared" si="13"/>
        <v>0.82149861483282027</v>
      </c>
    </row>
    <row r="275" spans="1:20" x14ac:dyDescent="0.25">
      <c r="A275" s="5">
        <v>44318</v>
      </c>
      <c r="B275">
        <v>5.5239000000000003</v>
      </c>
      <c r="C275">
        <v>5.5350999999999999</v>
      </c>
      <c r="D275">
        <v>5.1277999999999997</v>
      </c>
      <c r="E275">
        <v>5.3613999999999997</v>
      </c>
      <c r="F275">
        <v>4781431.16</v>
      </c>
      <c r="G275">
        <v>-2.94</v>
      </c>
      <c r="L275" t="s">
        <v>7</v>
      </c>
      <c r="M275" t="s">
        <v>8</v>
      </c>
      <c r="N275" t="s">
        <v>8</v>
      </c>
      <c r="P275">
        <f t="shared" si="9"/>
        <v>0.14706604468450726</v>
      </c>
      <c r="Q275">
        <f t="shared" si="10"/>
        <v>703186.1686324554</v>
      </c>
      <c r="R275">
        <f t="shared" si="11"/>
        <v>75686661.265959874</v>
      </c>
      <c r="S275">
        <f t="shared" si="12"/>
        <v>756.86661265959879</v>
      </c>
      <c r="T275">
        <f t="shared" si="13"/>
        <v>0.75686661265959876</v>
      </c>
    </row>
    <row r="276" spans="1:20" x14ac:dyDescent="0.25">
      <c r="A276" s="5">
        <v>44317</v>
      </c>
      <c r="B276">
        <v>5.6388999999999996</v>
      </c>
      <c r="C276">
        <v>5.7743000000000002</v>
      </c>
      <c r="D276">
        <v>5.3343999999999996</v>
      </c>
      <c r="E276">
        <v>5.5239000000000003</v>
      </c>
      <c r="F276">
        <v>5663187.1699999999</v>
      </c>
      <c r="G276">
        <v>-2.04</v>
      </c>
      <c r="L276" t="s">
        <v>8</v>
      </c>
      <c r="M276" t="s">
        <v>8</v>
      </c>
      <c r="N276" t="s">
        <v>8</v>
      </c>
      <c r="P276">
        <f t="shared" si="9"/>
        <v>-0.13844055467151445</v>
      </c>
      <c r="Q276">
        <f t="shared" si="10"/>
        <v>-784014.77302340418</v>
      </c>
      <c r="R276">
        <f t="shared" si="11"/>
        <v>74983475.097327411</v>
      </c>
      <c r="S276">
        <f t="shared" si="12"/>
        <v>749.83475097327414</v>
      </c>
      <c r="T276">
        <f t="shared" si="13"/>
        <v>0.74983475097327412</v>
      </c>
    </row>
    <row r="277" spans="1:20" x14ac:dyDescent="0.25">
      <c r="A277" s="5">
        <v>44316</v>
      </c>
      <c r="B277">
        <v>5.4701000000000004</v>
      </c>
      <c r="C277">
        <v>5.7610000000000001</v>
      </c>
      <c r="D277">
        <v>5.3342999999999998</v>
      </c>
      <c r="E277">
        <v>5.64</v>
      </c>
      <c r="F277">
        <v>8261973.3799999999</v>
      </c>
      <c r="G277">
        <v>3.11</v>
      </c>
      <c r="L277" t="s">
        <v>7</v>
      </c>
      <c r="M277" t="s">
        <v>8</v>
      </c>
      <c r="N277" t="s">
        <v>8</v>
      </c>
      <c r="P277">
        <f t="shared" si="9"/>
        <v>0.43285680806186849</v>
      </c>
      <c r="Q277">
        <f t="shared" si="10"/>
        <v>3576251.425558927</v>
      </c>
      <c r="R277">
        <f t="shared" si="11"/>
        <v>75767489.870350823</v>
      </c>
      <c r="S277">
        <f t="shared" si="12"/>
        <v>757.67489870350823</v>
      </c>
      <c r="T277">
        <f t="shared" si="13"/>
        <v>0.75767489870350824</v>
      </c>
    </row>
    <row r="278" spans="1:20" x14ac:dyDescent="0.25">
      <c r="A278" s="5">
        <v>44315</v>
      </c>
      <c r="B278">
        <v>5.5514999999999999</v>
      </c>
      <c r="C278">
        <v>5.91</v>
      </c>
      <c r="D278">
        <v>5.2161</v>
      </c>
      <c r="E278">
        <v>5.4710000000000001</v>
      </c>
      <c r="F278">
        <v>14639435.6</v>
      </c>
      <c r="G278">
        <v>-1.45</v>
      </c>
      <c r="L278" t="s">
        <v>8</v>
      </c>
      <c r="M278" t="s">
        <v>8</v>
      </c>
      <c r="N278" t="s">
        <v>8</v>
      </c>
      <c r="P278">
        <f t="shared" si="9"/>
        <v>-0.26531200461161536</v>
      </c>
      <c r="Q278">
        <f t="shared" si="10"/>
        <v>-3884018.0054186461</v>
      </c>
      <c r="R278">
        <f t="shared" si="11"/>
        <v>72191238.444791898</v>
      </c>
      <c r="S278">
        <f t="shared" si="12"/>
        <v>721.91238444791895</v>
      </c>
      <c r="T278">
        <f t="shared" si="13"/>
        <v>0.72191238444791894</v>
      </c>
    </row>
    <row r="279" spans="1:20" x14ac:dyDescent="0.25">
      <c r="A279" s="5">
        <v>44314</v>
      </c>
      <c r="B279">
        <v>5.1134000000000004</v>
      </c>
      <c r="C279">
        <v>5.7878999999999996</v>
      </c>
      <c r="D279">
        <v>4.7023999999999999</v>
      </c>
      <c r="E279">
        <v>5.5507</v>
      </c>
      <c r="F279">
        <v>21702420.579999998</v>
      </c>
      <c r="G279">
        <v>8.5500000000000007</v>
      </c>
      <c r="L279" t="s">
        <v>8</v>
      </c>
      <c r="M279" t="s">
        <v>8</v>
      </c>
      <c r="N279" t="s">
        <v>8</v>
      </c>
      <c r="P279">
        <f t="shared" si="9"/>
        <v>0.56296637494242341</v>
      </c>
      <c r="Q279">
        <f t="shared" si="10"/>
        <v>12217733.041398445</v>
      </c>
      <c r="R279">
        <f t="shared" si="11"/>
        <v>76075256.450210541</v>
      </c>
      <c r="S279">
        <f t="shared" si="12"/>
        <v>760.75256450210543</v>
      </c>
      <c r="T279">
        <f t="shared" si="13"/>
        <v>0.76075256450210538</v>
      </c>
    </row>
    <row r="280" spans="1:20" x14ac:dyDescent="0.25">
      <c r="A280" s="5">
        <v>44313</v>
      </c>
      <c r="B280">
        <v>4.5488</v>
      </c>
      <c r="C280">
        <v>5.1554000000000002</v>
      </c>
      <c r="D280">
        <v>4.4604999999999997</v>
      </c>
      <c r="E280">
        <v>5.1136999999999997</v>
      </c>
      <c r="F280">
        <v>10264132.390000001</v>
      </c>
      <c r="G280">
        <v>12.42</v>
      </c>
      <c r="L280" t="s">
        <v>8</v>
      </c>
      <c r="M280" t="s">
        <v>8</v>
      </c>
      <c r="N280" t="s">
        <v>8</v>
      </c>
      <c r="P280">
        <f t="shared" si="9"/>
        <v>0.87998273132824723</v>
      </c>
      <c r="Q280">
        <f t="shared" si="10"/>
        <v>9032259.2552669309</v>
      </c>
      <c r="R280">
        <f t="shared" si="11"/>
        <v>63857523.408812091</v>
      </c>
      <c r="S280">
        <f t="shared" si="12"/>
        <v>638.57523408812085</v>
      </c>
      <c r="T280">
        <f t="shared" si="13"/>
        <v>0.63857523408812089</v>
      </c>
    </row>
    <row r="281" spans="1:20" x14ac:dyDescent="0.25">
      <c r="A281" s="5">
        <v>44312</v>
      </c>
      <c r="B281">
        <v>3.9969000000000001</v>
      </c>
      <c r="C281">
        <v>4.5754000000000001</v>
      </c>
      <c r="D281">
        <v>3.9411</v>
      </c>
      <c r="E281">
        <v>4.5488</v>
      </c>
      <c r="F281">
        <v>6735735.6399999997</v>
      </c>
      <c r="G281">
        <v>13.81</v>
      </c>
      <c r="L281" t="s">
        <v>8</v>
      </c>
      <c r="M281" t="s">
        <v>8</v>
      </c>
      <c r="N281" t="s">
        <v>7</v>
      </c>
      <c r="P281">
        <f t="shared" si="9"/>
        <v>0.91612801513479369</v>
      </c>
      <c r="Q281">
        <f t="shared" si="10"/>
        <v>6170796.122345889</v>
      </c>
      <c r="R281">
        <f t="shared" si="11"/>
        <v>54825264.153545156</v>
      </c>
      <c r="S281">
        <f t="shared" si="12"/>
        <v>548.25264153545152</v>
      </c>
      <c r="T281">
        <f t="shared" si="13"/>
        <v>0.5482526415354515</v>
      </c>
    </row>
    <row r="282" spans="1:20" x14ac:dyDescent="0.25">
      <c r="A282" s="5">
        <v>44311</v>
      </c>
      <c r="B282">
        <v>3.9508999999999999</v>
      </c>
      <c r="C282">
        <v>4.2499000000000002</v>
      </c>
      <c r="D282">
        <v>3.7850000000000001</v>
      </c>
      <c r="E282">
        <v>3.9961000000000002</v>
      </c>
      <c r="F282">
        <v>4582203.84</v>
      </c>
      <c r="G282">
        <v>1.1399999999999999</v>
      </c>
      <c r="L282" t="s">
        <v>7</v>
      </c>
      <c r="M282" t="s">
        <v>7</v>
      </c>
      <c r="N282" t="s">
        <v>7</v>
      </c>
      <c r="P282">
        <f t="shared" si="9"/>
        <v>-9.1847709184770809E-2</v>
      </c>
      <c r="Q282">
        <f t="shared" si="10"/>
        <v>-420864.92572166008</v>
      </c>
      <c r="R282">
        <f t="shared" si="11"/>
        <v>48654468.031199269</v>
      </c>
      <c r="S282">
        <f t="shared" si="12"/>
        <v>486.54468031199269</v>
      </c>
      <c r="T282">
        <f t="shared" si="13"/>
        <v>0.48654468031199272</v>
      </c>
    </row>
    <row r="283" spans="1:20" x14ac:dyDescent="0.25">
      <c r="A283" s="5">
        <v>44310</v>
      </c>
      <c r="B283">
        <v>4.2817999999999996</v>
      </c>
      <c r="C283">
        <v>4.2834000000000003</v>
      </c>
      <c r="D283">
        <v>3.9150999999999998</v>
      </c>
      <c r="E283">
        <v>3.9538000000000002</v>
      </c>
      <c r="F283">
        <v>6221627.21</v>
      </c>
      <c r="G283">
        <v>-7.66</v>
      </c>
      <c r="L283" t="s">
        <v>8</v>
      </c>
      <c r="M283" t="s">
        <v>7</v>
      </c>
      <c r="N283" t="s">
        <v>7</v>
      </c>
      <c r="P283">
        <f t="shared" si="9"/>
        <v>-0.78984523486288161</v>
      </c>
      <c r="Q283">
        <f t="shared" si="10"/>
        <v>-4914122.6049117446</v>
      </c>
      <c r="R283">
        <f t="shared" si="11"/>
        <v>49075332.956920929</v>
      </c>
      <c r="S283">
        <f t="shared" si="12"/>
        <v>490.75332956920931</v>
      </c>
      <c r="T283">
        <f t="shared" si="13"/>
        <v>0.49075332956920931</v>
      </c>
    </row>
    <row r="284" spans="1:20" x14ac:dyDescent="0.25">
      <c r="A284" s="5">
        <v>44309</v>
      </c>
      <c r="B284">
        <v>4.585</v>
      </c>
      <c r="C284">
        <v>4.6912000000000003</v>
      </c>
      <c r="D284">
        <v>3.7536</v>
      </c>
      <c r="E284">
        <v>4.2824</v>
      </c>
      <c r="F284">
        <v>15264994.449999999</v>
      </c>
      <c r="G284">
        <v>-6.6</v>
      </c>
      <c r="L284" t="s">
        <v>7</v>
      </c>
      <c r="M284" t="s">
        <v>7</v>
      </c>
      <c r="N284" t="s">
        <v>7</v>
      </c>
      <c r="P284">
        <f t="shared" si="9"/>
        <v>0.12798634812286649</v>
      </c>
      <c r="Q284">
        <f t="shared" si="10"/>
        <v>1953710.8937713248</v>
      </c>
      <c r="R284">
        <f t="shared" si="11"/>
        <v>53989455.561832674</v>
      </c>
      <c r="S284">
        <f t="shared" si="12"/>
        <v>539.89455561832676</v>
      </c>
      <c r="T284">
        <f t="shared" si="13"/>
        <v>0.53989455561832678</v>
      </c>
    </row>
    <row r="285" spans="1:20" x14ac:dyDescent="0.25">
      <c r="A285" s="5">
        <v>44308</v>
      </c>
      <c r="B285">
        <v>5.0179</v>
      </c>
      <c r="C285">
        <v>5.3476999999999997</v>
      </c>
      <c r="D285">
        <v>4.5233999999999996</v>
      </c>
      <c r="E285">
        <v>4.5867000000000004</v>
      </c>
      <c r="F285">
        <v>11918495.01</v>
      </c>
      <c r="G285">
        <v>-8.59</v>
      </c>
      <c r="L285" t="s">
        <v>7</v>
      </c>
      <c r="M285" t="s">
        <v>7</v>
      </c>
      <c r="N285" t="s">
        <v>7</v>
      </c>
      <c r="P285">
        <f t="shared" si="9"/>
        <v>-0.84641514011888686</v>
      </c>
      <c r="Q285">
        <f t="shared" si="10"/>
        <v>-10087994.623895403</v>
      </c>
      <c r="R285">
        <f t="shared" si="11"/>
        <v>52035744.668061346</v>
      </c>
      <c r="S285">
        <f t="shared" si="12"/>
        <v>520.35744668061341</v>
      </c>
      <c r="T285">
        <f t="shared" si="13"/>
        <v>0.52035744668061346</v>
      </c>
    </row>
    <row r="286" spans="1:20" x14ac:dyDescent="0.25">
      <c r="A286" s="5">
        <v>44307</v>
      </c>
      <c r="B286">
        <v>5.0156999999999998</v>
      </c>
      <c r="C286">
        <v>5.2866</v>
      </c>
      <c r="D286">
        <v>4.8491999999999997</v>
      </c>
      <c r="E286">
        <v>5.0199999999999996</v>
      </c>
      <c r="F286">
        <v>10558626.720000001</v>
      </c>
      <c r="G286">
        <v>0.09</v>
      </c>
      <c r="L286" t="s">
        <v>8</v>
      </c>
      <c r="M286" t="s">
        <v>8</v>
      </c>
      <c r="N286" t="s">
        <v>7</v>
      </c>
      <c r="P286">
        <f t="shared" si="9"/>
        <v>-0.21902149062643003</v>
      </c>
      <c r="Q286">
        <f t="shared" si="10"/>
        <v>-2312566.1631824537</v>
      </c>
      <c r="R286">
        <f t="shared" si="11"/>
        <v>62123739.291956753</v>
      </c>
      <c r="S286">
        <f t="shared" si="12"/>
        <v>621.23739291956747</v>
      </c>
      <c r="T286">
        <f t="shared" si="13"/>
        <v>0.62123739291956748</v>
      </c>
    </row>
    <row r="287" spans="1:20" x14ac:dyDescent="0.25">
      <c r="A287" s="5">
        <v>44306</v>
      </c>
      <c r="B287">
        <v>4.8463000000000003</v>
      </c>
      <c r="C287">
        <v>5.2122000000000002</v>
      </c>
      <c r="D287">
        <v>4.423</v>
      </c>
      <c r="E287">
        <v>5.0183999999999997</v>
      </c>
      <c r="F287">
        <v>10305176.439999999</v>
      </c>
      <c r="G287">
        <v>3.55</v>
      </c>
      <c r="L287" t="s">
        <v>7</v>
      </c>
      <c r="M287" t="s">
        <v>7</v>
      </c>
      <c r="N287" t="s">
        <v>7</v>
      </c>
      <c r="P287">
        <f t="shared" si="9"/>
        <v>0.50886974151038933</v>
      </c>
      <c r="Q287">
        <f t="shared" si="10"/>
        <v>5243992.4712417535</v>
      </c>
      <c r="R287">
        <f t="shared" si="11"/>
        <v>64436305.455139205</v>
      </c>
      <c r="S287">
        <f t="shared" si="12"/>
        <v>644.363054551392</v>
      </c>
      <c r="T287">
        <f t="shared" si="13"/>
        <v>0.64436305455139198</v>
      </c>
    </row>
    <row r="288" spans="1:20" x14ac:dyDescent="0.25">
      <c r="A288" s="5">
        <v>44305</v>
      </c>
      <c r="B288">
        <v>5.2927999999999997</v>
      </c>
      <c r="C288">
        <v>5.4598000000000004</v>
      </c>
      <c r="D288">
        <v>4.7038000000000002</v>
      </c>
      <c r="E288">
        <v>4.8463000000000003</v>
      </c>
      <c r="F288">
        <v>8886544.6400000006</v>
      </c>
      <c r="G288">
        <v>-8.44</v>
      </c>
      <c r="L288" t="s">
        <v>7</v>
      </c>
      <c r="M288" t="s">
        <v>8</v>
      </c>
      <c r="N288" t="s">
        <v>7</v>
      </c>
      <c r="P288">
        <f t="shared" si="9"/>
        <v>-0.62301587301587291</v>
      </c>
      <c r="Q288">
        <f t="shared" si="10"/>
        <v>-5536458.3669841262</v>
      </c>
      <c r="R288">
        <f t="shared" si="11"/>
        <v>59192312.983897455</v>
      </c>
      <c r="S288">
        <f t="shared" si="12"/>
        <v>591.92312983897455</v>
      </c>
      <c r="T288">
        <f t="shared" si="13"/>
        <v>0.59192312983897455</v>
      </c>
    </row>
    <row r="289" spans="1:20" x14ac:dyDescent="0.25">
      <c r="A289" s="5">
        <v>44304</v>
      </c>
      <c r="B289">
        <v>6.4574999999999996</v>
      </c>
      <c r="C289">
        <v>6.65</v>
      </c>
      <c r="D289">
        <v>4.5</v>
      </c>
      <c r="E289">
        <v>5.2942999999999998</v>
      </c>
      <c r="F289">
        <v>19031591.57</v>
      </c>
      <c r="G289">
        <v>-18.010000000000002</v>
      </c>
      <c r="L289" t="s">
        <v>8</v>
      </c>
      <c r="M289" t="s">
        <v>7</v>
      </c>
      <c r="N289" t="s">
        <v>7</v>
      </c>
      <c r="P289">
        <f t="shared" si="9"/>
        <v>-0.26111627906976775</v>
      </c>
      <c r="Q289">
        <f t="shared" si="10"/>
        <v>-4969458.3755339598</v>
      </c>
      <c r="R289">
        <f t="shared" si="11"/>
        <v>64728771.350881584</v>
      </c>
      <c r="S289">
        <f t="shared" si="12"/>
        <v>647.28771350881584</v>
      </c>
      <c r="T289">
        <f t="shared" si="13"/>
        <v>0.64728771350881587</v>
      </c>
    </row>
    <row r="290" spans="1:20" x14ac:dyDescent="0.25">
      <c r="A290" s="5">
        <v>44303</v>
      </c>
      <c r="B290">
        <v>5.8131000000000004</v>
      </c>
      <c r="C290">
        <v>6.5332999999999997</v>
      </c>
      <c r="D290">
        <v>5.81</v>
      </c>
      <c r="E290">
        <v>6.4638999999999998</v>
      </c>
      <c r="F290">
        <v>11317813.33</v>
      </c>
      <c r="G290">
        <v>11.2</v>
      </c>
      <c r="L290" t="s">
        <v>8</v>
      </c>
      <c r="M290" t="s">
        <v>8</v>
      </c>
      <c r="N290" t="s">
        <v>8</v>
      </c>
      <c r="P290">
        <f t="shared" si="9"/>
        <v>0.8081017558412833</v>
      </c>
      <c r="Q290">
        <f t="shared" si="10"/>
        <v>9145944.8242568821</v>
      </c>
      <c r="R290">
        <f t="shared" si="11"/>
        <v>69698229.726415545</v>
      </c>
      <c r="S290">
        <f t="shared" si="12"/>
        <v>696.98229726415548</v>
      </c>
      <c r="T290">
        <f t="shared" si="13"/>
        <v>0.6969822972641555</v>
      </c>
    </row>
    <row r="291" spans="1:20" x14ac:dyDescent="0.25">
      <c r="A291" s="5">
        <v>44302</v>
      </c>
      <c r="B291">
        <v>6.0865</v>
      </c>
      <c r="C291">
        <v>6.1424000000000003</v>
      </c>
      <c r="D291">
        <v>5.5967000000000002</v>
      </c>
      <c r="E291">
        <v>5.8106999999999998</v>
      </c>
      <c r="F291">
        <v>7951714.1900000004</v>
      </c>
      <c r="G291">
        <v>-4.53</v>
      </c>
      <c r="L291" t="s">
        <v>7</v>
      </c>
      <c r="M291" t="s">
        <v>8</v>
      </c>
      <c r="N291" t="s">
        <v>8</v>
      </c>
      <c r="P291">
        <f t="shared" si="9"/>
        <v>-0.21568627450980576</v>
      </c>
      <c r="Q291">
        <f t="shared" si="10"/>
        <v>-1715075.6096078579</v>
      </c>
      <c r="R291">
        <f t="shared" si="11"/>
        <v>60552284.902158655</v>
      </c>
      <c r="S291">
        <f t="shared" si="12"/>
        <v>605.52284902158658</v>
      </c>
      <c r="T291">
        <f t="shared" si="13"/>
        <v>0.6055228490215866</v>
      </c>
    </row>
    <row r="292" spans="1:20" x14ac:dyDescent="0.25">
      <c r="A292" s="5">
        <v>44301</v>
      </c>
      <c r="B292">
        <v>5.8800999999999997</v>
      </c>
      <c r="C292">
        <v>6.4</v>
      </c>
      <c r="D292">
        <v>5.7687999999999997</v>
      </c>
      <c r="E292">
        <v>6.0838999999999999</v>
      </c>
      <c r="F292">
        <v>11891345.75</v>
      </c>
      <c r="G292">
        <v>3.47</v>
      </c>
      <c r="L292" t="s">
        <v>8</v>
      </c>
      <c r="M292" t="s">
        <v>8</v>
      </c>
      <c r="N292" t="s">
        <v>8</v>
      </c>
      <c r="P292">
        <f t="shared" si="9"/>
        <v>-1.5842839036760662E-3</v>
      </c>
      <c r="Q292">
        <f t="shared" si="10"/>
        <v>-18839.2676647718</v>
      </c>
      <c r="R292">
        <f t="shared" si="11"/>
        <v>62267360.511766516</v>
      </c>
      <c r="S292">
        <f t="shared" si="12"/>
        <v>622.67360511766515</v>
      </c>
      <c r="T292">
        <f t="shared" si="13"/>
        <v>0.62267360511766512</v>
      </c>
    </row>
    <row r="293" spans="1:20" x14ac:dyDescent="0.25">
      <c r="A293" s="5">
        <v>44300</v>
      </c>
      <c r="B293">
        <v>5.6116000000000001</v>
      </c>
      <c r="C293">
        <v>6.0148999999999999</v>
      </c>
      <c r="D293">
        <v>5.43</v>
      </c>
      <c r="E293">
        <v>5.8760000000000003</v>
      </c>
      <c r="F293">
        <v>13120252.189999999</v>
      </c>
      <c r="G293">
        <v>4.71</v>
      </c>
      <c r="L293" t="s">
        <v>8</v>
      </c>
      <c r="M293" t="s">
        <v>7</v>
      </c>
      <c r="N293" t="s">
        <v>8</v>
      </c>
      <c r="P293">
        <f t="shared" si="9"/>
        <v>0.52504701658403308</v>
      </c>
      <c r="Q293">
        <f t="shared" si="10"/>
        <v>6888749.269189626</v>
      </c>
      <c r="R293">
        <f t="shared" si="11"/>
        <v>62286199.779431291</v>
      </c>
      <c r="S293">
        <f t="shared" si="12"/>
        <v>622.86199779431286</v>
      </c>
      <c r="T293">
        <f t="shared" si="13"/>
        <v>0.62286199779431284</v>
      </c>
    </row>
    <row r="294" spans="1:20" x14ac:dyDescent="0.25">
      <c r="A294" s="5">
        <v>44299</v>
      </c>
      <c r="B294">
        <v>5.4936999999999996</v>
      </c>
      <c r="C294">
        <v>5.8072999999999997</v>
      </c>
      <c r="D294">
        <v>5.4192</v>
      </c>
      <c r="E294">
        <v>5.6116000000000001</v>
      </c>
      <c r="F294">
        <v>9779114.6999999993</v>
      </c>
      <c r="G294">
        <v>2.15</v>
      </c>
      <c r="L294" t="s">
        <v>8</v>
      </c>
      <c r="M294" t="s">
        <v>7</v>
      </c>
      <c r="N294" t="s">
        <v>8</v>
      </c>
      <c r="P294">
        <f t="shared" si="9"/>
        <v>-8.5029631538248319E-3</v>
      </c>
      <c r="Q294">
        <f t="shared" si="10"/>
        <v>-83151.451971126764</v>
      </c>
      <c r="R294">
        <f t="shared" si="11"/>
        <v>55397450.510241665</v>
      </c>
      <c r="S294">
        <f t="shared" si="12"/>
        <v>553.97450510241663</v>
      </c>
      <c r="T294">
        <f t="shared" si="13"/>
        <v>0.55397450510241664</v>
      </c>
    </row>
    <row r="295" spans="1:20" x14ac:dyDescent="0.25">
      <c r="A295" s="5">
        <v>44298</v>
      </c>
      <c r="B295">
        <v>5.6733000000000002</v>
      </c>
      <c r="C295">
        <v>5.8312999999999997</v>
      </c>
      <c r="D295">
        <v>5.2598000000000003</v>
      </c>
      <c r="E295">
        <v>5.4953000000000003</v>
      </c>
      <c r="F295">
        <v>10460925.84</v>
      </c>
      <c r="G295">
        <v>-3.14</v>
      </c>
      <c r="L295" t="s">
        <v>7</v>
      </c>
      <c r="M295" t="s">
        <v>7</v>
      </c>
      <c r="N295" t="s">
        <v>8</v>
      </c>
      <c r="P295">
        <f t="shared" si="9"/>
        <v>-0.17585301837270248</v>
      </c>
      <c r="Q295">
        <f t="shared" si="10"/>
        <v>-1839585.3839369982</v>
      </c>
      <c r="R295">
        <f t="shared" si="11"/>
        <v>55480601.962212794</v>
      </c>
      <c r="S295">
        <f t="shared" si="12"/>
        <v>554.80601962212791</v>
      </c>
      <c r="T295">
        <f t="shared" si="13"/>
        <v>0.55480601962212794</v>
      </c>
    </row>
    <row r="296" spans="1:20" x14ac:dyDescent="0.25">
      <c r="A296" s="5">
        <v>44297</v>
      </c>
      <c r="B296">
        <v>5.7309000000000001</v>
      </c>
      <c r="C296">
        <v>6</v>
      </c>
      <c r="D296">
        <v>5.5441000000000003</v>
      </c>
      <c r="E296">
        <v>5.6706000000000003</v>
      </c>
      <c r="F296">
        <v>7638188.1200000001</v>
      </c>
      <c r="G296">
        <v>-1.05</v>
      </c>
      <c r="L296" t="s">
        <v>8</v>
      </c>
      <c r="M296" t="s">
        <v>8</v>
      </c>
      <c r="N296" t="s">
        <v>8</v>
      </c>
      <c r="P296">
        <f t="shared" si="9"/>
        <v>-0.44505373985523083</v>
      </c>
      <c r="Q296">
        <f t="shared" si="10"/>
        <v>-3399404.1885237945</v>
      </c>
      <c r="R296">
        <f t="shared" si="11"/>
        <v>57320187.346149795</v>
      </c>
      <c r="S296">
        <f t="shared" si="12"/>
        <v>573.20187346149794</v>
      </c>
      <c r="T296">
        <f t="shared" si="13"/>
        <v>0.57320187346149798</v>
      </c>
    </row>
    <row r="297" spans="1:20" x14ac:dyDescent="0.25">
      <c r="A297" s="5">
        <v>44296</v>
      </c>
      <c r="B297">
        <v>6.1063000000000001</v>
      </c>
      <c r="C297">
        <v>6.1112000000000002</v>
      </c>
      <c r="D297">
        <v>5.5279999999999996</v>
      </c>
      <c r="E297">
        <v>5.7302999999999997</v>
      </c>
      <c r="F297">
        <v>15135803.449999999</v>
      </c>
      <c r="G297">
        <v>-6.16</v>
      </c>
      <c r="L297" t="s">
        <v>7</v>
      </c>
      <c r="M297" t="s">
        <v>8</v>
      </c>
      <c r="N297" t="s">
        <v>8</v>
      </c>
      <c r="P297">
        <f t="shared" si="9"/>
        <v>-0.30624142661179721</v>
      </c>
      <c r="Q297">
        <f t="shared" si="10"/>
        <v>-4635210.0414437614</v>
      </c>
      <c r="R297">
        <f t="shared" si="11"/>
        <v>60719591.534673586</v>
      </c>
      <c r="S297">
        <f t="shared" si="12"/>
        <v>607.19591534673589</v>
      </c>
      <c r="T297">
        <f t="shared" si="13"/>
        <v>0.60719591534673589</v>
      </c>
    </row>
    <row r="298" spans="1:20" x14ac:dyDescent="0.25">
      <c r="A298" s="5">
        <v>44295</v>
      </c>
      <c r="B298">
        <v>6.1886999999999999</v>
      </c>
      <c r="C298">
        <v>6.67</v>
      </c>
      <c r="D298">
        <v>5.9309000000000003</v>
      </c>
      <c r="E298">
        <v>6.1116999999999999</v>
      </c>
      <c r="F298">
        <v>22174875.309999999</v>
      </c>
      <c r="G298">
        <v>-1.24</v>
      </c>
      <c r="L298" t="s">
        <v>8</v>
      </c>
      <c r="M298" t="s">
        <v>8</v>
      </c>
      <c r="N298" t="s">
        <v>8</v>
      </c>
      <c r="P298">
        <f t="shared" si="9"/>
        <v>-0.51075632526045267</v>
      </c>
      <c r="Q298">
        <f t="shared" si="10"/>
        <v>-11325957.826444341</v>
      </c>
      <c r="R298">
        <f t="shared" si="11"/>
        <v>65354801.576117352</v>
      </c>
      <c r="S298">
        <f t="shared" si="12"/>
        <v>653.54801576117347</v>
      </c>
      <c r="T298">
        <f t="shared" si="13"/>
        <v>0.6535480157611735</v>
      </c>
    </row>
    <row r="299" spans="1:20" x14ac:dyDescent="0.25">
      <c r="A299" s="5">
        <v>44294</v>
      </c>
      <c r="B299">
        <v>5.5726000000000004</v>
      </c>
      <c r="C299">
        <v>6.5602</v>
      </c>
      <c r="D299">
        <v>5.4583000000000004</v>
      </c>
      <c r="E299">
        <v>6.1886999999999999</v>
      </c>
      <c r="F299">
        <v>34239315.469999999</v>
      </c>
      <c r="G299">
        <v>11.06</v>
      </c>
      <c r="L299" t="s">
        <v>8</v>
      </c>
      <c r="M299" t="s">
        <v>8</v>
      </c>
      <c r="N299" t="s">
        <v>8</v>
      </c>
      <c r="P299">
        <f t="shared" si="9"/>
        <v>0.32571013703602819</v>
      </c>
      <c r="Q299">
        <f t="shared" si="10"/>
        <v>11152092.133753499</v>
      </c>
      <c r="R299">
        <f t="shared" si="11"/>
        <v>76680759.402561694</v>
      </c>
      <c r="S299">
        <f t="shared" si="12"/>
        <v>766.80759402561694</v>
      </c>
      <c r="T299">
        <f t="shared" si="13"/>
        <v>0.76680759402561693</v>
      </c>
    </row>
    <row r="300" spans="1:20" x14ac:dyDescent="0.25">
      <c r="A300" s="5">
        <v>44293</v>
      </c>
      <c r="B300">
        <v>5.1776</v>
      </c>
      <c r="C300">
        <v>5.9480000000000004</v>
      </c>
      <c r="D300">
        <v>4.5029000000000003</v>
      </c>
      <c r="E300">
        <v>5.5679999999999996</v>
      </c>
      <c r="F300">
        <v>37255685.68</v>
      </c>
      <c r="G300">
        <v>7.54</v>
      </c>
      <c r="L300" t="s">
        <v>8</v>
      </c>
      <c r="M300" t="s">
        <v>7</v>
      </c>
      <c r="N300" t="s">
        <v>8</v>
      </c>
      <c r="P300">
        <f t="shared" si="9"/>
        <v>0.47408483841948545</v>
      </c>
      <c r="Q300">
        <f t="shared" si="10"/>
        <v>17662355.725809939</v>
      </c>
      <c r="R300">
        <f t="shared" si="11"/>
        <v>65528667.268808194</v>
      </c>
      <c r="S300">
        <f t="shared" si="12"/>
        <v>655.28667268808192</v>
      </c>
      <c r="T300">
        <f t="shared" si="13"/>
        <v>0.65528667268808194</v>
      </c>
    </row>
    <row r="301" spans="1:20" x14ac:dyDescent="0.25">
      <c r="A301" s="5">
        <v>44292</v>
      </c>
      <c r="B301">
        <v>5.3108000000000004</v>
      </c>
      <c r="C301">
        <v>5.83</v>
      </c>
      <c r="D301">
        <v>5.1318999999999999</v>
      </c>
      <c r="E301">
        <v>5.1768000000000001</v>
      </c>
      <c r="F301">
        <v>22060257.440000001</v>
      </c>
      <c r="G301">
        <v>-2.52</v>
      </c>
      <c r="L301" t="s">
        <v>8</v>
      </c>
      <c r="M301" t="s">
        <v>8</v>
      </c>
      <c r="N301" t="s">
        <v>8</v>
      </c>
      <c r="P301">
        <f t="shared" si="9"/>
        <v>-0.87136513393496595</v>
      </c>
      <c r="Q301">
        <f t="shared" si="10"/>
        <v>-19222539.178845432</v>
      </c>
      <c r="R301">
        <f t="shared" si="11"/>
        <v>47866311.542998254</v>
      </c>
      <c r="S301">
        <f t="shared" si="12"/>
        <v>478.66311542998255</v>
      </c>
      <c r="T301">
        <f t="shared" si="13"/>
        <v>0.47866311542998258</v>
      </c>
    </row>
    <row r="302" spans="1:20" x14ac:dyDescent="0.25">
      <c r="A302" s="5">
        <v>44291</v>
      </c>
      <c r="B302">
        <v>4.57</v>
      </c>
      <c r="C302">
        <v>5.375</v>
      </c>
      <c r="D302">
        <v>4.4218999999999999</v>
      </c>
      <c r="E302">
        <v>5.3132999999999999</v>
      </c>
      <c r="F302">
        <v>18777292.510000002</v>
      </c>
      <c r="G302">
        <v>16.260000000000002</v>
      </c>
      <c r="L302" t="s">
        <v>8</v>
      </c>
      <c r="M302" t="s">
        <v>8</v>
      </c>
      <c r="N302" t="s">
        <v>8</v>
      </c>
      <c r="P302">
        <f t="shared" si="9"/>
        <v>0.87052775154758144</v>
      </c>
      <c r="Q302">
        <f t="shared" si="10"/>
        <v>16346154.228881544</v>
      </c>
      <c r="R302">
        <f t="shared" si="11"/>
        <v>67088850.721843682</v>
      </c>
      <c r="S302">
        <f t="shared" si="12"/>
        <v>670.88850721843687</v>
      </c>
      <c r="T302">
        <f t="shared" si="13"/>
        <v>0.67088850721843685</v>
      </c>
    </row>
    <row r="303" spans="1:20" x14ac:dyDescent="0.25">
      <c r="A303" s="5">
        <v>44290</v>
      </c>
      <c r="B303">
        <v>4.2403000000000004</v>
      </c>
      <c r="C303">
        <v>4.702</v>
      </c>
      <c r="D303">
        <v>4.1351000000000004</v>
      </c>
      <c r="E303">
        <v>4.57</v>
      </c>
      <c r="F303">
        <v>6913010.4199999999</v>
      </c>
      <c r="G303">
        <v>7.78</v>
      </c>
      <c r="L303" t="s">
        <v>7</v>
      </c>
      <c r="M303" t="s">
        <v>8</v>
      </c>
      <c r="N303" t="s">
        <v>7</v>
      </c>
      <c r="P303">
        <f t="shared" si="9"/>
        <v>0.53430940201093746</v>
      </c>
      <c r="Q303">
        <f t="shared" si="10"/>
        <v>3693686.4636055795</v>
      </c>
      <c r="R303">
        <f t="shared" si="11"/>
        <v>50742696.492962137</v>
      </c>
      <c r="S303">
        <f t="shared" si="12"/>
        <v>507.42696492962136</v>
      </c>
      <c r="T303">
        <f t="shared" si="13"/>
        <v>0.50742696492962136</v>
      </c>
    </row>
    <row r="304" spans="1:20" x14ac:dyDescent="0.25">
      <c r="A304" s="5">
        <v>44289</v>
      </c>
      <c r="B304">
        <v>4.6707000000000001</v>
      </c>
      <c r="C304">
        <v>4.7999000000000001</v>
      </c>
      <c r="D304">
        <v>4.2329999999999997</v>
      </c>
      <c r="E304">
        <v>4.2403000000000004</v>
      </c>
      <c r="F304">
        <v>8655285.8100000005</v>
      </c>
      <c r="G304">
        <v>-9.2100000000000009</v>
      </c>
      <c r="L304" t="s">
        <v>8</v>
      </c>
      <c r="M304" t="s">
        <v>8</v>
      </c>
      <c r="N304" t="s">
        <v>7</v>
      </c>
      <c r="P304">
        <f t="shared" si="9"/>
        <v>-0.97424589874757195</v>
      </c>
      <c r="Q304">
        <f t="shared" si="10"/>
        <v>-8432376.7028805576</v>
      </c>
      <c r="R304">
        <f t="shared" si="11"/>
        <v>47049010.029356554</v>
      </c>
      <c r="S304">
        <f t="shared" si="12"/>
        <v>470.49010029356555</v>
      </c>
      <c r="T304">
        <f t="shared" si="13"/>
        <v>0.47049010029356553</v>
      </c>
    </row>
    <row r="305" spans="1:20" x14ac:dyDescent="0.25">
      <c r="A305" s="5">
        <v>44288</v>
      </c>
      <c r="B305">
        <v>4.4535999999999998</v>
      </c>
      <c r="C305">
        <v>4.6969000000000003</v>
      </c>
      <c r="D305">
        <v>4.3841000000000001</v>
      </c>
      <c r="E305">
        <v>4.6698000000000004</v>
      </c>
      <c r="F305">
        <v>7056818.8099999996</v>
      </c>
      <c r="G305">
        <v>4.8499999999999996</v>
      </c>
      <c r="L305" t="s">
        <v>8</v>
      </c>
      <c r="M305" t="s">
        <v>8</v>
      </c>
      <c r="N305" t="s">
        <v>7</v>
      </c>
      <c r="P305">
        <f t="shared" si="9"/>
        <v>0.82672634271099821</v>
      </c>
      <c r="Q305">
        <f t="shared" si="10"/>
        <v>5834058.0059654778</v>
      </c>
      <c r="R305">
        <f t="shared" si="11"/>
        <v>55481386.732237108</v>
      </c>
      <c r="S305">
        <f t="shared" si="12"/>
        <v>554.81386732237104</v>
      </c>
      <c r="T305">
        <f t="shared" si="13"/>
        <v>0.55481386732237103</v>
      </c>
    </row>
    <row r="306" spans="1:20" x14ac:dyDescent="0.25">
      <c r="A306" s="5">
        <v>44287</v>
      </c>
      <c r="B306">
        <v>4.3422000000000001</v>
      </c>
      <c r="C306">
        <v>4.5171999999999999</v>
      </c>
      <c r="D306">
        <v>4.2542</v>
      </c>
      <c r="E306">
        <v>4.4500999999999999</v>
      </c>
      <c r="F306">
        <v>6249436.7999999998</v>
      </c>
      <c r="G306">
        <v>2.48</v>
      </c>
      <c r="L306" t="s">
        <v>8</v>
      </c>
      <c r="M306" t="s">
        <v>8</v>
      </c>
      <c r="N306" t="s">
        <v>7</v>
      </c>
      <c r="P306">
        <f t="shared" si="9"/>
        <v>0.48973384030418277</v>
      </c>
      <c r="Q306">
        <f t="shared" si="10"/>
        <v>3060560.6838022829</v>
      </c>
      <c r="R306">
        <f t="shared" si="11"/>
        <v>49647328.726271629</v>
      </c>
      <c r="S306">
        <f t="shared" si="12"/>
        <v>496.47328726271627</v>
      </c>
      <c r="T306">
        <f t="shared" si="13"/>
        <v>0.49647328726271628</v>
      </c>
    </row>
    <row r="307" spans="1:20" x14ac:dyDescent="0.25">
      <c r="A307" s="5">
        <v>44286</v>
      </c>
      <c r="B307">
        <v>4.5025000000000004</v>
      </c>
      <c r="C307">
        <v>4.5488999999999997</v>
      </c>
      <c r="D307">
        <v>4.1094999999999997</v>
      </c>
      <c r="E307">
        <v>4.3409000000000004</v>
      </c>
      <c r="F307">
        <v>6397011.9199999999</v>
      </c>
      <c r="G307">
        <v>-3.59</v>
      </c>
      <c r="L307" t="s">
        <v>7</v>
      </c>
      <c r="M307" t="s">
        <v>8</v>
      </c>
      <c r="N307" t="s">
        <v>7</v>
      </c>
      <c r="P307">
        <f t="shared" si="9"/>
        <v>5.3254437869825713E-2</v>
      </c>
      <c r="Q307">
        <f t="shared" si="10"/>
        <v>340669.27384617447</v>
      </c>
      <c r="R307">
        <f t="shared" si="11"/>
        <v>46586768.042469345</v>
      </c>
      <c r="S307">
        <f t="shared" si="12"/>
        <v>465.86768042469345</v>
      </c>
      <c r="T307">
        <f t="shared" si="13"/>
        <v>0.46586768042469345</v>
      </c>
    </row>
    <row r="308" spans="1:20" x14ac:dyDescent="0.25">
      <c r="A308" s="5">
        <v>44285</v>
      </c>
      <c r="B308">
        <v>4.6041999999999996</v>
      </c>
      <c r="C308">
        <v>4.6855000000000002</v>
      </c>
      <c r="D308">
        <v>4.4284999999999997</v>
      </c>
      <c r="E308">
        <v>4.5031999999999996</v>
      </c>
      <c r="F308">
        <v>6663304.4800000004</v>
      </c>
      <c r="G308">
        <v>-2.19</v>
      </c>
      <c r="L308" t="s">
        <v>8</v>
      </c>
      <c r="M308" t="s">
        <v>8</v>
      </c>
      <c r="N308" t="s">
        <v>7</v>
      </c>
      <c r="P308">
        <f t="shared" si="9"/>
        <v>-0.41867704280155776</v>
      </c>
      <c r="Q308">
        <f t="shared" si="10"/>
        <v>-2789772.6149727716</v>
      </c>
      <c r="R308">
        <f t="shared" si="11"/>
        <v>46246098.768623173</v>
      </c>
      <c r="S308">
        <f t="shared" si="12"/>
        <v>462.46098768623176</v>
      </c>
      <c r="T308">
        <f t="shared" si="13"/>
        <v>0.46246098768623178</v>
      </c>
    </row>
    <row r="309" spans="1:20" x14ac:dyDescent="0.25">
      <c r="A309" s="5">
        <v>44284</v>
      </c>
      <c r="B309">
        <v>4.0876000000000001</v>
      </c>
      <c r="C309">
        <v>4.6326999999999998</v>
      </c>
      <c r="D309">
        <v>4.0244999999999997</v>
      </c>
      <c r="E309">
        <v>4.6043000000000003</v>
      </c>
      <c r="F309">
        <v>12346108.75</v>
      </c>
      <c r="G309">
        <v>12.64</v>
      </c>
      <c r="L309" t="s">
        <v>8</v>
      </c>
      <c r="M309" t="s">
        <v>8</v>
      </c>
      <c r="N309" t="s">
        <v>7</v>
      </c>
      <c r="P309">
        <f t="shared" si="9"/>
        <v>0.90660966787241193</v>
      </c>
      <c r="Q309">
        <f t="shared" si="10"/>
        <v>11193101.553354179</v>
      </c>
      <c r="R309">
        <f t="shared" si="11"/>
        <v>49035871.383595943</v>
      </c>
      <c r="S309">
        <f t="shared" si="12"/>
        <v>490.35871383595941</v>
      </c>
      <c r="T309">
        <f t="shared" si="13"/>
        <v>0.49035871383595941</v>
      </c>
    </row>
    <row r="310" spans="1:20" x14ac:dyDescent="0.25">
      <c r="A310" s="5">
        <v>44283</v>
      </c>
      <c r="B310">
        <v>3.9916999999999998</v>
      </c>
      <c r="C310">
        <v>4.2300000000000004</v>
      </c>
      <c r="D310">
        <v>3.9377</v>
      </c>
      <c r="E310">
        <v>4.0881999999999996</v>
      </c>
      <c r="F310">
        <v>5936030.1200000001</v>
      </c>
      <c r="G310">
        <v>2.42</v>
      </c>
      <c r="L310" t="s">
        <v>8</v>
      </c>
      <c r="M310" t="s">
        <v>7</v>
      </c>
      <c r="N310" t="s">
        <v>7</v>
      </c>
      <c r="P310">
        <f t="shared" si="9"/>
        <v>2.9763941156342136E-2</v>
      </c>
      <c r="Q310">
        <f t="shared" si="10"/>
        <v>176679.65119395455</v>
      </c>
      <c r="R310">
        <f t="shared" si="11"/>
        <v>37842769.830241762</v>
      </c>
      <c r="S310">
        <f t="shared" si="12"/>
        <v>378.42769830241764</v>
      </c>
      <c r="T310">
        <f t="shared" si="13"/>
        <v>0.37842769830241763</v>
      </c>
    </row>
    <row r="311" spans="1:20" x14ac:dyDescent="0.25">
      <c r="A311" s="5">
        <v>44282</v>
      </c>
      <c r="B311">
        <v>4.0015000000000001</v>
      </c>
      <c r="C311">
        <v>4.0647000000000002</v>
      </c>
      <c r="D311">
        <v>3.7957999999999998</v>
      </c>
      <c r="E311">
        <v>3.9929000000000001</v>
      </c>
      <c r="F311">
        <v>6023746.8399999999</v>
      </c>
      <c r="G311">
        <v>-0.21</v>
      </c>
      <c r="L311" t="s">
        <v>7</v>
      </c>
      <c r="M311" t="s">
        <v>7</v>
      </c>
      <c r="N311" t="s">
        <v>7</v>
      </c>
      <c r="P311">
        <f t="shared" si="9"/>
        <v>0.46597248047601347</v>
      </c>
      <c r="Q311">
        <f t="shared" si="10"/>
        <v>2806900.2567943479</v>
      </c>
      <c r="R311">
        <f t="shared" si="11"/>
        <v>37666090.179047808</v>
      </c>
      <c r="S311">
        <f t="shared" si="12"/>
        <v>376.66090179047808</v>
      </c>
      <c r="T311">
        <f t="shared" si="13"/>
        <v>0.37666090179047806</v>
      </c>
    </row>
    <row r="312" spans="1:20" x14ac:dyDescent="0.25">
      <c r="A312" s="5">
        <v>44281</v>
      </c>
      <c r="B312">
        <v>3.6654</v>
      </c>
      <c r="C312">
        <v>4.09</v>
      </c>
      <c r="D312">
        <v>3.6633</v>
      </c>
      <c r="E312">
        <v>4.0015000000000001</v>
      </c>
      <c r="F312">
        <v>5700708.6799999997</v>
      </c>
      <c r="G312">
        <v>9.17</v>
      </c>
      <c r="L312" t="s">
        <v>8</v>
      </c>
      <c r="M312" t="s">
        <v>7</v>
      </c>
      <c r="N312" t="s">
        <v>7</v>
      </c>
      <c r="P312">
        <f t="shared" si="9"/>
        <v>0.58518865713616208</v>
      </c>
      <c r="Q312">
        <f t="shared" si="10"/>
        <v>3335990.0571736628</v>
      </c>
      <c r="R312">
        <f t="shared" si="11"/>
        <v>34859189.92225346</v>
      </c>
      <c r="S312">
        <f t="shared" si="12"/>
        <v>348.59189922253461</v>
      </c>
      <c r="T312">
        <f t="shared" si="13"/>
        <v>0.34859189922253458</v>
      </c>
    </row>
    <row r="313" spans="1:20" x14ac:dyDescent="0.25">
      <c r="A313" s="5">
        <v>44280</v>
      </c>
      <c r="B313">
        <v>3.7111999999999998</v>
      </c>
      <c r="C313">
        <v>3.8908999999999998</v>
      </c>
      <c r="D313">
        <v>3.5670000000000002</v>
      </c>
      <c r="E313">
        <v>3.669</v>
      </c>
      <c r="F313">
        <v>7917447.2300000004</v>
      </c>
      <c r="G313">
        <v>-1.1399999999999999</v>
      </c>
      <c r="L313" t="s">
        <v>8</v>
      </c>
      <c r="M313" t="s">
        <v>7</v>
      </c>
      <c r="N313" t="s">
        <v>7</v>
      </c>
      <c r="P313">
        <f t="shared" si="9"/>
        <v>-0.37017598024081516</v>
      </c>
      <c r="Q313">
        <f t="shared" si="10"/>
        <v>-2930848.7893701768</v>
      </c>
      <c r="R313">
        <f t="shared" si="11"/>
        <v>31523199.865079794</v>
      </c>
      <c r="S313">
        <f t="shared" si="12"/>
        <v>315.23199865079795</v>
      </c>
      <c r="T313">
        <f t="shared" si="13"/>
        <v>0.31523199865079793</v>
      </c>
    </row>
    <row r="314" spans="1:20" x14ac:dyDescent="0.25">
      <c r="A314" s="5">
        <v>44279</v>
      </c>
      <c r="B314">
        <v>4.0853999999999999</v>
      </c>
      <c r="C314">
        <v>4.3403</v>
      </c>
      <c r="D314">
        <v>3.5747</v>
      </c>
      <c r="E314">
        <v>3.7153999999999998</v>
      </c>
      <c r="F314">
        <v>9760063.1999999993</v>
      </c>
      <c r="G314">
        <v>-9.06</v>
      </c>
      <c r="L314" t="s">
        <v>7</v>
      </c>
      <c r="M314" t="s">
        <v>7</v>
      </c>
      <c r="N314" t="s">
        <v>7</v>
      </c>
      <c r="P314">
        <f t="shared" si="9"/>
        <v>-0.63244514106583116</v>
      </c>
      <c r="Q314">
        <f t="shared" si="10"/>
        <v>-6172704.5473354273</v>
      </c>
      <c r="R314">
        <f t="shared" si="11"/>
        <v>34454048.65444997</v>
      </c>
      <c r="S314">
        <f t="shared" si="12"/>
        <v>344.54048654449969</v>
      </c>
      <c r="T314">
        <f t="shared" si="13"/>
        <v>0.3445404865444997</v>
      </c>
    </row>
    <row r="315" spans="1:20" x14ac:dyDescent="0.25">
      <c r="A315" s="5">
        <v>44278</v>
      </c>
      <c r="B315">
        <v>4.3</v>
      </c>
      <c r="C315">
        <v>4.4756999999999998</v>
      </c>
      <c r="D315">
        <v>4</v>
      </c>
      <c r="E315">
        <v>4.0853999999999999</v>
      </c>
      <c r="F315">
        <v>10177546.439999999</v>
      </c>
      <c r="G315">
        <v>-4.99</v>
      </c>
      <c r="L315" t="s">
        <v>7</v>
      </c>
      <c r="M315" t="s">
        <v>7</v>
      </c>
      <c r="N315" t="s">
        <v>8</v>
      </c>
      <c r="P315">
        <f t="shared" si="9"/>
        <v>-0.64095017868404469</v>
      </c>
      <c r="Q315">
        <f t="shared" si="10"/>
        <v>-6523300.2092831628</v>
      </c>
      <c r="R315">
        <f t="shared" si="11"/>
        <v>40626753.201785393</v>
      </c>
      <c r="S315">
        <f t="shared" si="12"/>
        <v>406.26753201785391</v>
      </c>
      <c r="T315">
        <f t="shared" si="13"/>
        <v>0.40626753201785393</v>
      </c>
    </row>
    <row r="316" spans="1:20" x14ac:dyDescent="0.25">
      <c r="A316" s="5">
        <v>44277</v>
      </c>
      <c r="B316">
        <v>4.6700999999999997</v>
      </c>
      <c r="C316">
        <v>4.8480999999999996</v>
      </c>
      <c r="D316">
        <v>4.1885000000000003</v>
      </c>
      <c r="E316">
        <v>4.3</v>
      </c>
      <c r="F316">
        <v>9856002.7599999998</v>
      </c>
      <c r="G316">
        <v>-7.92</v>
      </c>
      <c r="L316" t="s">
        <v>7</v>
      </c>
      <c r="M316" t="s">
        <v>7</v>
      </c>
      <c r="N316" t="s">
        <v>8</v>
      </c>
      <c r="P316">
        <f t="shared" si="9"/>
        <v>-0.66191631291692055</v>
      </c>
      <c r="Q316">
        <f t="shared" si="10"/>
        <v>-6523849.0069981925</v>
      </c>
      <c r="R316">
        <f t="shared" si="11"/>
        <v>47150053.411068559</v>
      </c>
      <c r="S316">
        <f t="shared" si="12"/>
        <v>471.50053411068558</v>
      </c>
      <c r="T316">
        <f t="shared" si="13"/>
        <v>0.4715005341106856</v>
      </c>
    </row>
    <row r="317" spans="1:20" x14ac:dyDescent="0.25">
      <c r="A317" s="5">
        <v>44276</v>
      </c>
      <c r="B317">
        <v>4.7027000000000001</v>
      </c>
      <c r="C317">
        <v>4.7939999999999996</v>
      </c>
      <c r="D317">
        <v>4.4870000000000001</v>
      </c>
      <c r="E317">
        <v>4.6725000000000003</v>
      </c>
      <c r="F317">
        <v>6862976.25</v>
      </c>
      <c r="G317">
        <v>-0.64</v>
      </c>
      <c r="L317" t="s">
        <v>7</v>
      </c>
      <c r="M317" t="s">
        <v>8</v>
      </c>
      <c r="N317" t="s">
        <v>8</v>
      </c>
      <c r="P317">
        <f t="shared" si="9"/>
        <v>0.20846905537459626</v>
      </c>
      <c r="Q317">
        <f t="shared" si="10"/>
        <v>1430718.1758957889</v>
      </c>
      <c r="R317">
        <f t="shared" si="11"/>
        <v>53673902.418066747</v>
      </c>
      <c r="S317">
        <f t="shared" si="12"/>
        <v>536.73902418066746</v>
      </c>
      <c r="T317">
        <f t="shared" si="13"/>
        <v>0.53673902418066743</v>
      </c>
    </row>
    <row r="318" spans="1:20" x14ac:dyDescent="0.25">
      <c r="A318" s="5">
        <v>44275</v>
      </c>
      <c r="B318">
        <v>4.8914999999999997</v>
      </c>
      <c r="C318">
        <v>5.1967999999999996</v>
      </c>
      <c r="D318">
        <v>4.68</v>
      </c>
      <c r="E318">
        <v>4.7019000000000002</v>
      </c>
      <c r="F318">
        <v>7774200.5300000003</v>
      </c>
      <c r="G318">
        <v>-3.88</v>
      </c>
      <c r="L318" t="s">
        <v>7</v>
      </c>
      <c r="M318" t="s">
        <v>8</v>
      </c>
      <c r="N318" t="s">
        <v>8</v>
      </c>
      <c r="P318">
        <f t="shared" si="9"/>
        <v>-0.91524767801857398</v>
      </c>
      <c r="Q318">
        <f t="shared" si="10"/>
        <v>-7115318.9835332679</v>
      </c>
      <c r="R318">
        <f t="shared" si="11"/>
        <v>52243184.24217096</v>
      </c>
      <c r="S318">
        <f t="shared" si="12"/>
        <v>522.43184242170958</v>
      </c>
      <c r="T318">
        <f t="shared" si="13"/>
        <v>0.52243184242170959</v>
      </c>
    </row>
    <row r="319" spans="1:20" x14ac:dyDescent="0.25">
      <c r="A319" s="5">
        <v>44274</v>
      </c>
      <c r="B319">
        <v>4.5728999999999997</v>
      </c>
      <c r="C319">
        <v>5.2445000000000004</v>
      </c>
      <c r="D319">
        <v>4.4554999999999998</v>
      </c>
      <c r="E319">
        <v>4.8865999999999996</v>
      </c>
      <c r="F319">
        <v>13864407.439999999</v>
      </c>
      <c r="G319">
        <v>6.86</v>
      </c>
      <c r="L319" t="s">
        <v>8</v>
      </c>
      <c r="M319" t="s">
        <v>8</v>
      </c>
      <c r="N319" t="s">
        <v>8</v>
      </c>
      <c r="P319">
        <f t="shared" si="9"/>
        <v>9.2775665399238261E-2</v>
      </c>
      <c r="Q319">
        <f t="shared" si="10"/>
        <v>1286279.6256121495</v>
      </c>
      <c r="R319">
        <f t="shared" si="11"/>
        <v>59358503.22570423</v>
      </c>
      <c r="S319">
        <f t="shared" si="12"/>
        <v>593.58503225704226</v>
      </c>
      <c r="T319">
        <f t="shared" si="13"/>
        <v>0.59358503225704229</v>
      </c>
    </row>
    <row r="320" spans="1:20" x14ac:dyDescent="0.25">
      <c r="A320" s="5">
        <v>44273</v>
      </c>
      <c r="B320">
        <v>5.0294999999999996</v>
      </c>
      <c r="C320">
        <v>5.0980999999999996</v>
      </c>
      <c r="D320">
        <v>4.5445000000000002</v>
      </c>
      <c r="E320">
        <v>4.5727000000000002</v>
      </c>
      <c r="F320">
        <v>12001106.42</v>
      </c>
      <c r="G320">
        <v>-9.08</v>
      </c>
      <c r="L320" t="s">
        <v>8</v>
      </c>
      <c r="M320" t="s">
        <v>8</v>
      </c>
      <c r="N320" t="s">
        <v>8</v>
      </c>
      <c r="P320">
        <f t="shared" si="9"/>
        <v>-0.89812138728323687</v>
      </c>
      <c r="Q320">
        <f t="shared" si="10"/>
        <v>-10778450.34686416</v>
      </c>
      <c r="R320">
        <f t="shared" si="11"/>
        <v>58072223.600092083</v>
      </c>
      <c r="S320">
        <f t="shared" si="12"/>
        <v>580.72223600092082</v>
      </c>
      <c r="T320">
        <f t="shared" si="13"/>
        <v>0.58072223600092077</v>
      </c>
    </row>
    <row r="321" spans="1:20" x14ac:dyDescent="0.25">
      <c r="A321" s="5">
        <v>44272</v>
      </c>
      <c r="B321">
        <v>4.5602999999999998</v>
      </c>
      <c r="C321">
        <v>5.0339999999999998</v>
      </c>
      <c r="D321">
        <v>4.2511999999999999</v>
      </c>
      <c r="E321">
        <v>5.0339999999999998</v>
      </c>
      <c r="F321">
        <v>19719763.140000001</v>
      </c>
      <c r="G321">
        <v>10.39</v>
      </c>
      <c r="L321" t="s">
        <v>8</v>
      </c>
      <c r="M321" t="s">
        <v>8</v>
      </c>
      <c r="N321" t="s">
        <v>7</v>
      </c>
      <c r="P321">
        <f t="shared" si="9"/>
        <v>1</v>
      </c>
      <c r="Q321">
        <f t="shared" si="10"/>
        <v>19719763.140000001</v>
      </c>
      <c r="R321">
        <f t="shared" si="11"/>
        <v>68850673.946956247</v>
      </c>
      <c r="S321">
        <f t="shared" si="12"/>
        <v>688.50673946956249</v>
      </c>
      <c r="T321">
        <f t="shared" si="13"/>
        <v>0.68850673946956253</v>
      </c>
    </row>
    <row r="322" spans="1:20" x14ac:dyDescent="0.25">
      <c r="A322" s="5">
        <v>44271</v>
      </c>
      <c r="B322">
        <v>3.9434999999999998</v>
      </c>
      <c r="C322">
        <v>4.6425999999999998</v>
      </c>
      <c r="D322">
        <v>3.7869999999999999</v>
      </c>
      <c r="E322">
        <v>4.5602999999999998</v>
      </c>
      <c r="F322">
        <v>19586894.48</v>
      </c>
      <c r="G322">
        <v>15.64</v>
      </c>
      <c r="L322" t="s">
        <v>8</v>
      </c>
      <c r="M322" t="s">
        <v>8</v>
      </c>
      <c r="N322" t="s">
        <v>7</v>
      </c>
      <c r="P322">
        <f t="shared" si="9"/>
        <v>0.8076203833567086</v>
      </c>
      <c r="Q322">
        <f t="shared" si="10"/>
        <v>15818775.228705</v>
      </c>
      <c r="R322">
        <f t="shared" si="11"/>
        <v>49130910.806956246</v>
      </c>
      <c r="S322">
        <f t="shared" si="12"/>
        <v>491.30910806956246</v>
      </c>
      <c r="T322">
        <f t="shared" si="13"/>
        <v>0.49130910806956246</v>
      </c>
    </row>
    <row r="323" spans="1:20" x14ac:dyDescent="0.25">
      <c r="A323" s="5">
        <v>44270</v>
      </c>
      <c r="B323">
        <v>3.8357999999999999</v>
      </c>
      <c r="C323">
        <v>4.3834999999999997</v>
      </c>
      <c r="D323">
        <v>3.72</v>
      </c>
      <c r="E323">
        <v>3.9417</v>
      </c>
      <c r="F323">
        <v>17288039.449999999</v>
      </c>
      <c r="G323">
        <v>2.76</v>
      </c>
      <c r="L323" t="s">
        <v>7</v>
      </c>
      <c r="M323" t="s">
        <v>8</v>
      </c>
      <c r="N323" t="s">
        <v>7</v>
      </c>
      <c r="P323">
        <f t="shared" si="9"/>
        <v>-0.3317256970610401</v>
      </c>
      <c r="Q323">
        <f t="shared" si="10"/>
        <v>-5734886.9373700097</v>
      </c>
      <c r="R323">
        <f t="shared" si="11"/>
        <v>33312135.57825125</v>
      </c>
      <c r="S323">
        <f t="shared" si="12"/>
        <v>333.12135578251252</v>
      </c>
      <c r="T323">
        <f t="shared" si="13"/>
        <v>0.33312135578251251</v>
      </c>
    </row>
    <row r="324" spans="1:20" x14ac:dyDescent="0.25">
      <c r="A324" s="5">
        <v>44269</v>
      </c>
      <c r="B324">
        <v>4.1002000000000001</v>
      </c>
      <c r="C324">
        <v>4.22</v>
      </c>
      <c r="D324">
        <v>3.83</v>
      </c>
      <c r="E324">
        <v>3.8321999999999998</v>
      </c>
      <c r="F324">
        <v>9394966.8200000003</v>
      </c>
      <c r="G324">
        <v>-6.54</v>
      </c>
      <c r="L324" t="s">
        <v>7</v>
      </c>
      <c r="M324" t="s">
        <v>7</v>
      </c>
      <c r="N324" t="s">
        <v>7</v>
      </c>
      <c r="P324">
        <f t="shared" si="9"/>
        <v>-0.98871794871794993</v>
      </c>
      <c r="Q324">
        <f t="shared" si="10"/>
        <v>-9288972.3225436006</v>
      </c>
      <c r="R324">
        <f t="shared" si="11"/>
        <v>39047022.51562126</v>
      </c>
      <c r="S324">
        <f t="shared" si="12"/>
        <v>390.47022515621262</v>
      </c>
      <c r="T324">
        <f t="shared" si="13"/>
        <v>0.3904702251562126</v>
      </c>
    </row>
    <row r="325" spans="1:20" x14ac:dyDescent="0.25">
      <c r="A325" s="5">
        <v>44268</v>
      </c>
      <c r="B325">
        <v>3.8022</v>
      </c>
      <c r="C325">
        <v>4.2434000000000003</v>
      </c>
      <c r="D325">
        <v>3.6301999999999999</v>
      </c>
      <c r="E325">
        <v>4.0955000000000004</v>
      </c>
      <c r="F325">
        <v>11561642.75</v>
      </c>
      <c r="G325">
        <v>7.71</v>
      </c>
      <c r="L325" t="s">
        <v>8</v>
      </c>
      <c r="M325" t="s">
        <v>7</v>
      </c>
      <c r="N325" t="s">
        <v>7</v>
      </c>
      <c r="P325">
        <f t="shared" si="9"/>
        <v>0.51761252446184014</v>
      </c>
      <c r="Q325">
        <f t="shared" si="10"/>
        <v>5984451.0907534314</v>
      </c>
      <c r="R325">
        <f t="shared" si="11"/>
        <v>48335994.838164859</v>
      </c>
      <c r="S325">
        <f t="shared" si="12"/>
        <v>483.35994838164856</v>
      </c>
      <c r="T325">
        <f t="shared" si="13"/>
        <v>0.48335994838164859</v>
      </c>
    </row>
    <row r="326" spans="1:20" x14ac:dyDescent="0.25">
      <c r="A326" s="5">
        <v>44267</v>
      </c>
      <c r="B326">
        <v>3.9998999999999998</v>
      </c>
      <c r="C326">
        <v>4.1420000000000003</v>
      </c>
      <c r="D326">
        <v>3.68</v>
      </c>
      <c r="E326">
        <v>3.8026</v>
      </c>
      <c r="F326">
        <v>12205621.5</v>
      </c>
      <c r="G326">
        <v>-4.93</v>
      </c>
      <c r="L326" t="s">
        <v>7</v>
      </c>
      <c r="M326" t="s">
        <v>7</v>
      </c>
      <c r="N326" t="s">
        <v>7</v>
      </c>
      <c r="P326">
        <f t="shared" ref="P326:P389" si="14">IF(C326=D326,0,((E326-D326)-(C326-E326))/(C326-D326))</f>
        <v>-0.46926406926407027</v>
      </c>
      <c r="Q326">
        <f t="shared" ref="Q326:Q389" si="15">F326*P326</f>
        <v>-5727659.6129870256</v>
      </c>
      <c r="R326">
        <f t="shared" ref="R326:R389" si="16">R327+Q326</f>
        <v>42351543.74741143</v>
      </c>
      <c r="S326">
        <f t="shared" ref="S326:S389" si="17">R326/100000</f>
        <v>423.51543747411432</v>
      </c>
      <c r="T326">
        <f t="shared" ref="T326:T389" si="18">S326/1000</f>
        <v>0.4235154374741143</v>
      </c>
    </row>
    <row r="327" spans="1:20" x14ac:dyDescent="0.25">
      <c r="A327" s="5">
        <v>44266</v>
      </c>
      <c r="B327">
        <v>4.0077999999999996</v>
      </c>
      <c r="C327">
        <v>4.1399999999999997</v>
      </c>
      <c r="D327">
        <v>3.8887999999999998</v>
      </c>
      <c r="E327">
        <v>3.9998999999999998</v>
      </c>
      <c r="F327">
        <v>11027070.390000001</v>
      </c>
      <c r="G327">
        <v>-0.2</v>
      </c>
      <c r="L327" t="s">
        <v>7</v>
      </c>
      <c r="M327" t="s">
        <v>7</v>
      </c>
      <c r="N327" t="s">
        <v>7</v>
      </c>
      <c r="P327">
        <f t="shared" si="14"/>
        <v>-0.11544585987261119</v>
      </c>
      <c r="Q327">
        <f t="shared" si="15"/>
        <v>-1273029.62304936</v>
      </c>
      <c r="R327">
        <f t="shared" si="16"/>
        <v>48079203.360398456</v>
      </c>
      <c r="S327">
        <f t="shared" si="17"/>
        <v>480.79203360398458</v>
      </c>
      <c r="T327">
        <f t="shared" si="18"/>
        <v>0.48079203360398459</v>
      </c>
    </row>
    <row r="328" spans="1:20" x14ac:dyDescent="0.25">
      <c r="A328" s="5">
        <v>44265</v>
      </c>
      <c r="B328">
        <v>4.4364999999999997</v>
      </c>
      <c r="C328">
        <v>4.5225</v>
      </c>
      <c r="D328">
        <v>3.93</v>
      </c>
      <c r="E328">
        <v>4.0046999999999997</v>
      </c>
      <c r="F328">
        <v>15201804.109999999</v>
      </c>
      <c r="G328">
        <v>-9.73</v>
      </c>
      <c r="L328" t="s">
        <v>7</v>
      </c>
      <c r="M328" t="s">
        <v>8</v>
      </c>
      <c r="N328" t="s">
        <v>7</v>
      </c>
      <c r="P328">
        <f t="shared" si="14"/>
        <v>-0.74784810126582424</v>
      </c>
      <c r="Q328">
        <f t="shared" si="15"/>
        <v>-11368640.339478502</v>
      </c>
      <c r="R328">
        <f t="shared" si="16"/>
        <v>49352232.98344782</v>
      </c>
      <c r="S328">
        <f t="shared" si="17"/>
        <v>493.52232983447823</v>
      </c>
      <c r="T328">
        <f t="shared" si="18"/>
        <v>0.49352232983447825</v>
      </c>
    </row>
    <row r="329" spans="1:20" x14ac:dyDescent="0.25">
      <c r="A329" s="5">
        <v>44264</v>
      </c>
      <c r="B329">
        <v>4.3249000000000004</v>
      </c>
      <c r="C329">
        <v>4.5549999999999997</v>
      </c>
      <c r="D329">
        <v>4.2000999999999999</v>
      </c>
      <c r="E329">
        <v>4.4366000000000003</v>
      </c>
      <c r="F329">
        <v>14316973.66</v>
      </c>
      <c r="G329">
        <v>2.58</v>
      </c>
      <c r="L329" t="s">
        <v>8</v>
      </c>
      <c r="M329" t="s">
        <v>8</v>
      </c>
      <c r="N329" t="s">
        <v>7</v>
      </c>
      <c r="P329">
        <f t="shared" si="14"/>
        <v>0.33276979430825882</v>
      </c>
      <c r="Q329">
        <f t="shared" si="15"/>
        <v>4764256.3799549593</v>
      </c>
      <c r="R329">
        <f t="shared" si="16"/>
        <v>60720873.32292632</v>
      </c>
      <c r="S329">
        <f t="shared" si="17"/>
        <v>607.2087332292632</v>
      </c>
      <c r="T329">
        <f t="shared" si="18"/>
        <v>0.60720873322926316</v>
      </c>
    </row>
    <row r="330" spans="1:20" x14ac:dyDescent="0.25">
      <c r="A330" s="5">
        <v>44263</v>
      </c>
      <c r="B330">
        <v>3.988</v>
      </c>
      <c r="C330">
        <v>4.4661999999999997</v>
      </c>
      <c r="D330">
        <v>3.85</v>
      </c>
      <c r="E330">
        <v>4.3249000000000004</v>
      </c>
      <c r="F330">
        <v>17296288.32</v>
      </c>
      <c r="G330">
        <v>8.4499999999999993</v>
      </c>
      <c r="L330" t="s">
        <v>8</v>
      </c>
      <c r="M330" t="s">
        <v>8</v>
      </c>
      <c r="N330" t="s">
        <v>7</v>
      </c>
      <c r="P330">
        <f t="shared" si="14"/>
        <v>0.54138266796494838</v>
      </c>
      <c r="Q330">
        <f t="shared" si="15"/>
        <v>9363910.7165725753</v>
      </c>
      <c r="R330">
        <f t="shared" si="16"/>
        <v>55956616.942971364</v>
      </c>
      <c r="S330">
        <f t="shared" si="17"/>
        <v>559.56616942971368</v>
      </c>
      <c r="T330">
        <f t="shared" si="18"/>
        <v>0.55956616942971371</v>
      </c>
    </row>
    <row r="331" spans="1:20" x14ac:dyDescent="0.25">
      <c r="A331" s="5">
        <v>44262</v>
      </c>
      <c r="B331">
        <v>3.8645999999999998</v>
      </c>
      <c r="C331">
        <v>4.1100000000000003</v>
      </c>
      <c r="D331">
        <v>3.7818000000000001</v>
      </c>
      <c r="E331">
        <v>3.9826999999999999</v>
      </c>
      <c r="F331">
        <v>13306385.890000001</v>
      </c>
      <c r="G331">
        <v>3.06</v>
      </c>
      <c r="L331" t="s">
        <v>8</v>
      </c>
      <c r="M331" t="s">
        <v>7</v>
      </c>
      <c r="N331" t="s">
        <v>7</v>
      </c>
      <c r="P331">
        <f t="shared" si="14"/>
        <v>0.22425350396099752</v>
      </c>
      <c r="Q331">
        <f t="shared" si="15"/>
        <v>2984003.6608896768</v>
      </c>
      <c r="R331">
        <f t="shared" si="16"/>
        <v>46592706.226398788</v>
      </c>
      <c r="S331">
        <f t="shared" si="17"/>
        <v>465.92706226398786</v>
      </c>
      <c r="T331">
        <f t="shared" si="18"/>
        <v>0.46592706226398789</v>
      </c>
    </row>
    <row r="332" spans="1:20" x14ac:dyDescent="0.25">
      <c r="A332" s="5">
        <v>44261</v>
      </c>
      <c r="B332">
        <v>3.7326999999999999</v>
      </c>
      <c r="C332">
        <v>3.8647</v>
      </c>
      <c r="D332">
        <v>3.6051000000000002</v>
      </c>
      <c r="E332">
        <v>3.8626</v>
      </c>
      <c r="F332">
        <v>6060340.4900000002</v>
      </c>
      <c r="G332">
        <v>3.48</v>
      </c>
      <c r="L332" t="s">
        <v>8</v>
      </c>
      <c r="M332" t="s">
        <v>7</v>
      </c>
      <c r="N332" t="s">
        <v>7</v>
      </c>
      <c r="P332">
        <f t="shared" si="14"/>
        <v>0.98382126348228049</v>
      </c>
      <c r="Q332">
        <f t="shared" si="15"/>
        <v>5962291.8380046235</v>
      </c>
      <c r="R332">
        <f t="shared" si="16"/>
        <v>43608702.565509111</v>
      </c>
      <c r="S332">
        <f t="shared" si="17"/>
        <v>436.08702565509111</v>
      </c>
      <c r="T332">
        <f t="shared" si="18"/>
        <v>0.43608702565509111</v>
      </c>
    </row>
    <row r="333" spans="1:20" x14ac:dyDescent="0.25">
      <c r="A333" s="5">
        <v>44260</v>
      </c>
      <c r="B333">
        <v>3.8367</v>
      </c>
      <c r="C333">
        <v>3.85</v>
      </c>
      <c r="D333">
        <v>3.52</v>
      </c>
      <c r="E333">
        <v>3.7286999999999999</v>
      </c>
      <c r="F333">
        <v>9671184.5999999996</v>
      </c>
      <c r="G333">
        <v>-2.81</v>
      </c>
      <c r="L333" t="s">
        <v>7</v>
      </c>
      <c r="M333" t="s">
        <v>7</v>
      </c>
      <c r="N333" t="s">
        <v>7</v>
      </c>
      <c r="P333">
        <f t="shared" si="14"/>
        <v>0.26484848484848389</v>
      </c>
      <c r="Q333">
        <f t="shared" si="15"/>
        <v>2561398.5879999907</v>
      </c>
      <c r="R333">
        <f t="shared" si="16"/>
        <v>37646410.727504484</v>
      </c>
      <c r="S333">
        <f t="shared" si="17"/>
        <v>376.46410727504485</v>
      </c>
      <c r="T333">
        <f t="shared" si="18"/>
        <v>0.37646410727504487</v>
      </c>
    </row>
    <row r="334" spans="1:20" x14ac:dyDescent="0.25">
      <c r="A334" s="5">
        <v>44259</v>
      </c>
      <c r="B334">
        <v>4.0685000000000002</v>
      </c>
      <c r="C334">
        <v>4.2386999999999997</v>
      </c>
      <c r="D334">
        <v>3.7501000000000002</v>
      </c>
      <c r="E334">
        <v>3.8365999999999998</v>
      </c>
      <c r="F334">
        <v>10471212.59</v>
      </c>
      <c r="G334">
        <v>-5.7</v>
      </c>
      <c r="L334" t="s">
        <v>7</v>
      </c>
      <c r="M334" t="s">
        <v>8</v>
      </c>
      <c r="N334" t="s">
        <v>7</v>
      </c>
      <c r="P334">
        <f t="shared" si="14"/>
        <v>-0.64592713876381636</v>
      </c>
      <c r="Q334">
        <f t="shared" si="15"/>
        <v>-6763640.387646351</v>
      </c>
      <c r="R334">
        <f t="shared" si="16"/>
        <v>35085012.139504492</v>
      </c>
      <c r="S334">
        <f t="shared" si="17"/>
        <v>350.85012139504494</v>
      </c>
      <c r="T334">
        <f t="shared" si="18"/>
        <v>0.35085012139504496</v>
      </c>
    </row>
    <row r="335" spans="1:20" x14ac:dyDescent="0.25">
      <c r="A335" s="5">
        <v>44258</v>
      </c>
      <c r="B335">
        <v>4.0110000000000001</v>
      </c>
      <c r="C335">
        <v>4.3177000000000003</v>
      </c>
      <c r="D335">
        <v>3.9860000000000002</v>
      </c>
      <c r="E335">
        <v>4.0648</v>
      </c>
      <c r="F335">
        <v>11383448.93</v>
      </c>
      <c r="G335">
        <v>1.34</v>
      </c>
      <c r="L335" t="s">
        <v>7</v>
      </c>
      <c r="M335" t="s">
        <v>8</v>
      </c>
      <c r="N335" t="s">
        <v>7</v>
      </c>
      <c r="P335">
        <f t="shared" si="14"/>
        <v>-0.5248718721736525</v>
      </c>
      <c r="Q335">
        <f t="shared" si="15"/>
        <v>-5974852.1516822614</v>
      </c>
      <c r="R335">
        <f t="shared" si="16"/>
        <v>41848652.52715084</v>
      </c>
      <c r="S335">
        <f t="shared" si="17"/>
        <v>418.48652527150841</v>
      </c>
      <c r="T335">
        <f t="shared" si="18"/>
        <v>0.41848652527150842</v>
      </c>
    </row>
    <row r="336" spans="1:20" x14ac:dyDescent="0.25">
      <c r="A336" s="5">
        <v>44257</v>
      </c>
      <c r="B336">
        <v>4.1193999999999997</v>
      </c>
      <c r="C336">
        <v>4.3555999999999999</v>
      </c>
      <c r="D336">
        <v>3.81</v>
      </c>
      <c r="E336">
        <v>4.0087000000000002</v>
      </c>
      <c r="F336">
        <v>14640989.02</v>
      </c>
      <c r="G336">
        <v>-2.69</v>
      </c>
      <c r="L336" t="s">
        <v>8</v>
      </c>
      <c r="M336" t="s">
        <v>8</v>
      </c>
      <c r="N336" t="s">
        <v>7</v>
      </c>
      <c r="P336">
        <f t="shared" si="14"/>
        <v>-0.27162756598240417</v>
      </c>
      <c r="Q336">
        <f t="shared" si="15"/>
        <v>-3976896.211077705</v>
      </c>
      <c r="R336">
        <f t="shared" si="16"/>
        <v>47823504.678833097</v>
      </c>
      <c r="S336">
        <f t="shared" si="17"/>
        <v>478.23504678833098</v>
      </c>
      <c r="T336">
        <f t="shared" si="18"/>
        <v>0.47823504678833095</v>
      </c>
    </row>
    <row r="337" spans="1:20" x14ac:dyDescent="0.25">
      <c r="A337" s="5">
        <v>44256</v>
      </c>
      <c r="B337">
        <v>3.8408000000000002</v>
      </c>
      <c r="C337">
        <v>4.2</v>
      </c>
      <c r="D337">
        <v>3.7770000000000001</v>
      </c>
      <c r="E337">
        <v>4.1193999999999997</v>
      </c>
      <c r="F337">
        <v>13458342.810000001</v>
      </c>
      <c r="G337">
        <v>7.25</v>
      </c>
      <c r="L337" t="s">
        <v>8</v>
      </c>
      <c r="M337" t="s">
        <v>8</v>
      </c>
      <c r="N337" t="s">
        <v>7</v>
      </c>
      <c r="P337">
        <f t="shared" si="14"/>
        <v>0.61891252955082532</v>
      </c>
      <c r="Q337">
        <f t="shared" si="15"/>
        <v>8329536.9920992628</v>
      </c>
      <c r="R337">
        <f t="shared" si="16"/>
        <v>51800400.889910802</v>
      </c>
      <c r="S337">
        <f t="shared" si="17"/>
        <v>518.00400889910804</v>
      </c>
      <c r="T337">
        <f t="shared" si="18"/>
        <v>0.51800400889910803</v>
      </c>
    </row>
    <row r="338" spans="1:20" x14ac:dyDescent="0.25">
      <c r="A338" s="5">
        <v>44255</v>
      </c>
      <c r="B338">
        <v>4.1492000000000004</v>
      </c>
      <c r="C338">
        <v>4.1813000000000002</v>
      </c>
      <c r="D338">
        <v>3.5</v>
      </c>
      <c r="E338">
        <v>3.8407</v>
      </c>
      <c r="F338">
        <v>18129452.190000001</v>
      </c>
      <c r="G338">
        <v>-7.44</v>
      </c>
      <c r="L338" t="s">
        <v>7</v>
      </c>
      <c r="M338" t="s">
        <v>7</v>
      </c>
      <c r="N338" t="s">
        <v>7</v>
      </c>
      <c r="P338">
        <f t="shared" si="14"/>
        <v>1.4677821811208999E-4</v>
      </c>
      <c r="Q338">
        <f t="shared" si="15"/>
        <v>2661.0086877965277</v>
      </c>
      <c r="R338">
        <f t="shared" si="16"/>
        <v>43470863.897811539</v>
      </c>
      <c r="S338">
        <f t="shared" si="17"/>
        <v>434.7086389781154</v>
      </c>
      <c r="T338">
        <f t="shared" si="18"/>
        <v>0.4347086389781154</v>
      </c>
    </row>
    <row r="339" spans="1:20" x14ac:dyDescent="0.25">
      <c r="A339" s="5">
        <v>44254</v>
      </c>
      <c r="B339">
        <v>4.4984000000000002</v>
      </c>
      <c r="C339">
        <v>4.8650000000000002</v>
      </c>
      <c r="D339">
        <v>4.01</v>
      </c>
      <c r="E339">
        <v>4.1597999999999997</v>
      </c>
      <c r="F339">
        <v>18105346.550000001</v>
      </c>
      <c r="G339">
        <v>-7.53</v>
      </c>
      <c r="L339" t="s">
        <v>7</v>
      </c>
      <c r="M339" t="s">
        <v>7</v>
      </c>
      <c r="N339" t="s">
        <v>8</v>
      </c>
      <c r="P339">
        <f t="shared" si="14"/>
        <v>-0.64959064327485416</v>
      </c>
      <c r="Q339">
        <f t="shared" si="15"/>
        <v>-11761063.712128662</v>
      </c>
      <c r="R339">
        <f t="shared" si="16"/>
        <v>43468202.889123745</v>
      </c>
      <c r="S339">
        <f t="shared" si="17"/>
        <v>434.68202889123745</v>
      </c>
      <c r="T339">
        <f t="shared" si="18"/>
        <v>0.43468202889123747</v>
      </c>
    </row>
    <row r="340" spans="1:20" x14ac:dyDescent="0.25">
      <c r="A340" s="5">
        <v>44253</v>
      </c>
      <c r="B340">
        <v>3.9355000000000002</v>
      </c>
      <c r="C340">
        <v>5.1676000000000002</v>
      </c>
      <c r="D340">
        <v>3.7764000000000002</v>
      </c>
      <c r="E340">
        <v>4.4897</v>
      </c>
      <c r="F340">
        <v>48877825.619999997</v>
      </c>
      <c r="G340">
        <v>14.08</v>
      </c>
      <c r="L340" t="s">
        <v>8</v>
      </c>
      <c r="M340" t="s">
        <v>8</v>
      </c>
      <c r="N340" t="s">
        <v>8</v>
      </c>
      <c r="P340">
        <f t="shared" si="14"/>
        <v>2.5445658424381581E-2</v>
      </c>
      <c r="Q340">
        <f t="shared" si="15"/>
        <v>1243728.4552530069</v>
      </c>
      <c r="R340">
        <f t="shared" si="16"/>
        <v>55229266.601252407</v>
      </c>
      <c r="S340">
        <f t="shared" si="17"/>
        <v>552.29266601252402</v>
      </c>
      <c r="T340">
        <f t="shared" si="18"/>
        <v>0.55229266601252403</v>
      </c>
    </row>
    <row r="341" spans="1:20" x14ac:dyDescent="0.25">
      <c r="A341" s="5">
        <v>44252</v>
      </c>
      <c r="B341">
        <v>3.6446999999999998</v>
      </c>
      <c r="C341">
        <v>4.66</v>
      </c>
      <c r="D341">
        <v>3.51</v>
      </c>
      <c r="E341">
        <v>3.9342000000000001</v>
      </c>
      <c r="F341">
        <v>33369910.609999999</v>
      </c>
      <c r="G341">
        <v>7.94</v>
      </c>
      <c r="L341" t="s">
        <v>8</v>
      </c>
      <c r="M341" t="s">
        <v>8</v>
      </c>
      <c r="N341" t="s">
        <v>8</v>
      </c>
      <c r="P341">
        <f t="shared" si="14"/>
        <v>-0.26226086956521699</v>
      </c>
      <c r="Q341">
        <f t="shared" si="15"/>
        <v>-8751621.7738921605</v>
      </c>
      <c r="R341">
        <f t="shared" si="16"/>
        <v>53985538.145999402</v>
      </c>
      <c r="S341">
        <f t="shared" si="17"/>
        <v>539.85538145999396</v>
      </c>
      <c r="T341">
        <f t="shared" si="18"/>
        <v>0.53985538145999401</v>
      </c>
    </row>
    <row r="342" spans="1:20" x14ac:dyDescent="0.25">
      <c r="A342" s="5">
        <v>44251</v>
      </c>
      <c r="B342">
        <v>3.6938</v>
      </c>
      <c r="C342">
        <v>4.1635</v>
      </c>
      <c r="D342">
        <v>3.4083000000000001</v>
      </c>
      <c r="E342">
        <v>3.6436000000000002</v>
      </c>
      <c r="F342">
        <v>16484825.41</v>
      </c>
      <c r="G342">
        <v>-1.36</v>
      </c>
      <c r="L342" t="s">
        <v>8</v>
      </c>
      <c r="M342" t="s">
        <v>8</v>
      </c>
      <c r="N342" t="s">
        <v>7</v>
      </c>
      <c r="P342">
        <f t="shared" si="14"/>
        <v>-0.37685381355932174</v>
      </c>
      <c r="Q342">
        <f t="shared" si="15"/>
        <v>-6212369.3216181099</v>
      </c>
      <c r="R342">
        <f t="shared" si="16"/>
        <v>62737159.919891566</v>
      </c>
      <c r="S342">
        <f t="shared" si="17"/>
        <v>627.37159919891565</v>
      </c>
      <c r="T342">
        <f t="shared" si="18"/>
        <v>0.62737159919891561</v>
      </c>
    </row>
    <row r="343" spans="1:20" x14ac:dyDescent="0.25">
      <c r="A343" s="5">
        <v>44250</v>
      </c>
      <c r="B343">
        <v>4.5350999999999999</v>
      </c>
      <c r="C343">
        <v>4.5758999999999999</v>
      </c>
      <c r="D343">
        <v>3</v>
      </c>
      <c r="E343">
        <v>3.6810999999999998</v>
      </c>
      <c r="F343">
        <v>24574982.07</v>
      </c>
      <c r="G343">
        <v>-18.829999999999998</v>
      </c>
      <c r="L343" t="s">
        <v>7</v>
      </c>
      <c r="M343" t="s">
        <v>7</v>
      </c>
      <c r="N343" t="s">
        <v>7</v>
      </c>
      <c r="P343">
        <f t="shared" si="14"/>
        <v>-0.13560505108192158</v>
      </c>
      <c r="Q343">
        <f t="shared" si="15"/>
        <v>-3332491.6989396573</v>
      </c>
      <c r="R343">
        <f t="shared" si="16"/>
        <v>68949529.241509676</v>
      </c>
      <c r="S343">
        <f t="shared" si="17"/>
        <v>689.49529241509674</v>
      </c>
      <c r="T343">
        <f t="shared" si="18"/>
        <v>0.68949529241509677</v>
      </c>
    </row>
    <row r="344" spans="1:20" x14ac:dyDescent="0.25">
      <c r="A344" s="5">
        <v>44249</v>
      </c>
      <c r="B344">
        <v>5.0575000000000001</v>
      </c>
      <c r="C344">
        <v>5.0705999999999998</v>
      </c>
      <c r="D344">
        <v>3.6046999999999998</v>
      </c>
      <c r="E344">
        <v>4.5316999999999998</v>
      </c>
      <c r="F344">
        <v>19020054.600000001</v>
      </c>
      <c r="G344">
        <v>-10.4</v>
      </c>
      <c r="L344" t="s">
        <v>7</v>
      </c>
      <c r="M344" t="s">
        <v>7</v>
      </c>
      <c r="N344" t="s">
        <v>7</v>
      </c>
      <c r="P344">
        <f t="shared" si="14"/>
        <v>0.2647520294699503</v>
      </c>
      <c r="Q344">
        <f t="shared" si="15"/>
        <v>5035598.055979264</v>
      </c>
      <c r="R344">
        <f t="shared" si="16"/>
        <v>72282020.940449327</v>
      </c>
      <c r="S344">
        <f t="shared" si="17"/>
        <v>722.82020940449331</v>
      </c>
      <c r="T344">
        <f t="shared" si="18"/>
        <v>0.72282020940449332</v>
      </c>
    </row>
    <row r="345" spans="1:20" x14ac:dyDescent="0.25">
      <c r="A345" s="5">
        <v>44248</v>
      </c>
      <c r="B345">
        <v>5.1104000000000003</v>
      </c>
      <c r="C345">
        <v>5.4782999999999999</v>
      </c>
      <c r="D345">
        <v>4.9086999999999996</v>
      </c>
      <c r="E345">
        <v>5.0575000000000001</v>
      </c>
      <c r="F345">
        <v>15660772.77</v>
      </c>
      <c r="G345">
        <v>-1.04</v>
      </c>
      <c r="L345" t="s">
        <v>7</v>
      </c>
      <c r="M345" t="s">
        <v>7</v>
      </c>
      <c r="N345" t="s">
        <v>7</v>
      </c>
      <c r="P345">
        <f t="shared" si="14"/>
        <v>-0.47752808988763906</v>
      </c>
      <c r="Q345">
        <f t="shared" si="15"/>
        <v>-7478458.9070224501</v>
      </c>
      <c r="R345">
        <f t="shared" si="16"/>
        <v>67246422.88447006</v>
      </c>
      <c r="S345">
        <f t="shared" si="17"/>
        <v>672.46422884470064</v>
      </c>
      <c r="T345">
        <f t="shared" si="18"/>
        <v>0.6724642288447007</v>
      </c>
    </row>
    <row r="346" spans="1:20" x14ac:dyDescent="0.25">
      <c r="A346" s="5">
        <v>44247</v>
      </c>
      <c r="B346">
        <v>4.6040000000000001</v>
      </c>
      <c r="C346">
        <v>5.8975999999999997</v>
      </c>
      <c r="D346">
        <v>4.4400000000000004</v>
      </c>
      <c r="E346">
        <v>5.1292999999999997</v>
      </c>
      <c r="F346">
        <v>34051875.950000003</v>
      </c>
      <c r="G346">
        <v>11.41</v>
      </c>
      <c r="L346" t="s">
        <v>8</v>
      </c>
      <c r="M346" t="s">
        <v>8</v>
      </c>
      <c r="N346" t="s">
        <v>7</v>
      </c>
      <c r="P346">
        <f t="shared" si="14"/>
        <v>-5.4198682766191456E-2</v>
      </c>
      <c r="Q346">
        <f t="shared" si="15"/>
        <v>-1845566.8222077545</v>
      </c>
      <c r="R346">
        <f t="shared" si="16"/>
        <v>74724881.791492507</v>
      </c>
      <c r="S346">
        <f t="shared" si="17"/>
        <v>747.2488179149251</v>
      </c>
      <c r="T346">
        <f t="shared" si="18"/>
        <v>0.74724881791492515</v>
      </c>
    </row>
    <row r="347" spans="1:20" x14ac:dyDescent="0.25">
      <c r="A347" s="5">
        <v>44246</v>
      </c>
      <c r="B347">
        <v>4.7803000000000004</v>
      </c>
      <c r="C347">
        <v>4.8696999999999999</v>
      </c>
      <c r="D347">
        <v>4.5</v>
      </c>
      <c r="E347">
        <v>4.6031000000000004</v>
      </c>
      <c r="F347">
        <v>12795377.82</v>
      </c>
      <c r="G347">
        <v>-3.71</v>
      </c>
      <c r="L347" t="s">
        <v>7</v>
      </c>
      <c r="M347" t="s">
        <v>8</v>
      </c>
      <c r="N347" t="s">
        <v>7</v>
      </c>
      <c r="P347">
        <f t="shared" si="14"/>
        <v>-0.44225047335677342</v>
      </c>
      <c r="Q347">
        <f t="shared" si="15"/>
        <v>-5658761.8976737596</v>
      </c>
      <c r="R347">
        <f t="shared" si="16"/>
        <v>76570448.613700256</v>
      </c>
      <c r="S347">
        <f t="shared" si="17"/>
        <v>765.7044861370025</v>
      </c>
      <c r="T347">
        <f t="shared" si="18"/>
        <v>0.76570448613700248</v>
      </c>
    </row>
    <row r="348" spans="1:20" x14ac:dyDescent="0.25">
      <c r="A348" s="5">
        <v>44245</v>
      </c>
      <c r="B348">
        <v>4.8307000000000002</v>
      </c>
      <c r="C348">
        <v>5.1749000000000001</v>
      </c>
      <c r="D348">
        <v>4.71</v>
      </c>
      <c r="E348">
        <v>4.7717999999999998</v>
      </c>
      <c r="F348">
        <v>12007663.609999999</v>
      </c>
      <c r="G348">
        <v>-1.22</v>
      </c>
      <c r="L348" t="s">
        <v>8</v>
      </c>
      <c r="M348" t="s">
        <v>8</v>
      </c>
      <c r="N348" t="s">
        <v>7</v>
      </c>
      <c r="P348">
        <f t="shared" si="14"/>
        <v>-0.73413637341363802</v>
      </c>
      <c r="Q348">
        <f t="shared" si="15"/>
        <v>-8815262.6158163119</v>
      </c>
      <c r="R348">
        <f t="shared" si="16"/>
        <v>82229210.511374012</v>
      </c>
      <c r="S348">
        <f t="shared" si="17"/>
        <v>822.29210511374015</v>
      </c>
      <c r="T348">
        <f t="shared" si="18"/>
        <v>0.82229210511374018</v>
      </c>
    </row>
    <row r="349" spans="1:20" x14ac:dyDescent="0.25">
      <c r="A349" s="5">
        <v>44244</v>
      </c>
      <c r="B349">
        <v>4.7625000000000002</v>
      </c>
      <c r="C349">
        <v>5.0698999999999996</v>
      </c>
      <c r="D349">
        <v>4.4000000000000004</v>
      </c>
      <c r="E349">
        <v>4.8280000000000003</v>
      </c>
      <c r="F349">
        <v>14650901.300000001</v>
      </c>
      <c r="G349">
        <v>1.38</v>
      </c>
      <c r="L349" t="s">
        <v>7</v>
      </c>
      <c r="M349" t="s">
        <v>8</v>
      </c>
      <c r="N349" t="s">
        <v>7</v>
      </c>
      <c r="P349">
        <f t="shared" si="14"/>
        <v>0.27780265711300312</v>
      </c>
      <c r="Q349">
        <f t="shared" si="15"/>
        <v>4070059.3102403516</v>
      </c>
      <c r="R349">
        <f t="shared" si="16"/>
        <v>91044473.127190322</v>
      </c>
      <c r="S349">
        <f t="shared" si="17"/>
        <v>910.44473127190327</v>
      </c>
      <c r="T349">
        <f t="shared" si="18"/>
        <v>0.91044473127190328</v>
      </c>
    </row>
    <row r="350" spans="1:20" x14ac:dyDescent="0.25">
      <c r="A350" s="5">
        <v>44243</v>
      </c>
      <c r="B350">
        <v>4.9413</v>
      </c>
      <c r="C350">
        <v>5.1836000000000002</v>
      </c>
      <c r="D350">
        <v>4.6124000000000001</v>
      </c>
      <c r="E350">
        <v>4.7567000000000004</v>
      </c>
      <c r="F350">
        <v>14800214.710000001</v>
      </c>
      <c r="G350">
        <v>-3.74</v>
      </c>
      <c r="L350" t="s">
        <v>8</v>
      </c>
      <c r="M350" t="s">
        <v>8</v>
      </c>
      <c r="N350" t="s">
        <v>7</v>
      </c>
      <c r="P350">
        <f t="shared" si="14"/>
        <v>-0.49474789915966289</v>
      </c>
      <c r="Q350">
        <f t="shared" si="15"/>
        <v>-7322375.1348844394</v>
      </c>
      <c r="R350">
        <f t="shared" si="16"/>
        <v>86974413.816949964</v>
      </c>
      <c r="S350">
        <f t="shared" si="17"/>
        <v>869.74413816949959</v>
      </c>
      <c r="T350">
        <f t="shared" si="18"/>
        <v>0.86974413816949958</v>
      </c>
    </row>
    <row r="351" spans="1:20" x14ac:dyDescent="0.25">
      <c r="A351" s="5">
        <v>44242</v>
      </c>
      <c r="B351">
        <v>5.25</v>
      </c>
      <c r="C351">
        <v>5.5279999999999996</v>
      </c>
      <c r="D351">
        <v>4.2050000000000001</v>
      </c>
      <c r="E351">
        <v>4.95</v>
      </c>
      <c r="F351">
        <v>26654789.16</v>
      </c>
      <c r="G351">
        <v>-5.71</v>
      </c>
      <c r="L351" t="s">
        <v>7</v>
      </c>
      <c r="M351" t="s">
        <v>7</v>
      </c>
      <c r="N351" t="s">
        <v>7</v>
      </c>
      <c r="P351">
        <f t="shared" si="14"/>
        <v>0.12622826908541251</v>
      </c>
      <c r="Q351">
        <f t="shared" si="15"/>
        <v>3364587.8985034167</v>
      </c>
      <c r="R351">
        <f t="shared" si="16"/>
        <v>94296788.95183441</v>
      </c>
      <c r="S351">
        <f t="shared" si="17"/>
        <v>942.96788951834412</v>
      </c>
      <c r="T351">
        <f t="shared" si="18"/>
        <v>0.94296788951834409</v>
      </c>
    </row>
    <row r="352" spans="1:20" x14ac:dyDescent="0.25">
      <c r="A352" s="5">
        <v>44241</v>
      </c>
      <c r="B352">
        <v>5.7</v>
      </c>
      <c r="C352">
        <v>6.29</v>
      </c>
      <c r="D352">
        <v>5.1001000000000003</v>
      </c>
      <c r="E352">
        <v>5.25</v>
      </c>
      <c r="F352">
        <v>19890398.629999999</v>
      </c>
      <c r="G352">
        <v>-7.89</v>
      </c>
      <c r="L352" t="s">
        <v>8</v>
      </c>
      <c r="M352" t="s">
        <v>8</v>
      </c>
      <c r="N352" t="s">
        <v>8</v>
      </c>
      <c r="P352">
        <f t="shared" si="14"/>
        <v>-0.74804605429027693</v>
      </c>
      <c r="Q352">
        <f t="shared" si="15"/>
        <v>-14878934.213432228</v>
      </c>
      <c r="R352">
        <f t="shared" si="16"/>
        <v>90932201.053330988</v>
      </c>
      <c r="S352">
        <f t="shared" si="17"/>
        <v>909.32201053330982</v>
      </c>
      <c r="T352">
        <f t="shared" si="18"/>
        <v>0.90932201053330985</v>
      </c>
    </row>
    <row r="353" spans="1:20" x14ac:dyDescent="0.25">
      <c r="A353" s="5">
        <v>44240</v>
      </c>
      <c r="B353">
        <v>5.2526999999999999</v>
      </c>
      <c r="C353">
        <v>6.024</v>
      </c>
      <c r="D353">
        <v>5.1300999999999997</v>
      </c>
      <c r="E353">
        <v>5.7</v>
      </c>
      <c r="F353">
        <v>24181762.859999999</v>
      </c>
      <c r="G353">
        <v>8.52</v>
      </c>
      <c r="L353" t="s">
        <v>8</v>
      </c>
      <c r="M353" t="s">
        <v>8</v>
      </c>
      <c r="N353" t="s">
        <v>7</v>
      </c>
      <c r="P353">
        <f t="shared" si="14"/>
        <v>0.27508669873587716</v>
      </c>
      <c r="Q353">
        <f t="shared" si="15"/>
        <v>6652081.3147712434</v>
      </c>
      <c r="R353">
        <f t="shared" si="16"/>
        <v>105811135.26676321</v>
      </c>
      <c r="S353">
        <f t="shared" si="17"/>
        <v>1058.111352667632</v>
      </c>
      <c r="T353">
        <f t="shared" si="18"/>
        <v>1.058111352667632</v>
      </c>
    </row>
    <row r="354" spans="1:20" x14ac:dyDescent="0.25">
      <c r="A354" s="5">
        <v>44239</v>
      </c>
      <c r="B354">
        <v>5.6254</v>
      </c>
      <c r="C354">
        <v>5.8</v>
      </c>
      <c r="D354">
        <v>5.1200999999999999</v>
      </c>
      <c r="E354">
        <v>5.2527999999999997</v>
      </c>
      <c r="F354">
        <v>19898521.859999999</v>
      </c>
      <c r="G354">
        <v>-6.62</v>
      </c>
      <c r="L354" t="s">
        <v>7</v>
      </c>
      <c r="M354" t="s">
        <v>8</v>
      </c>
      <c r="N354" t="s">
        <v>7</v>
      </c>
      <c r="P354">
        <f t="shared" si="14"/>
        <v>-0.6096484777173119</v>
      </c>
      <c r="Q354">
        <f t="shared" si="15"/>
        <v>-12131103.560773654</v>
      </c>
      <c r="R354">
        <f t="shared" si="16"/>
        <v>99159053.95199196</v>
      </c>
      <c r="S354">
        <f t="shared" si="17"/>
        <v>991.59053951991962</v>
      </c>
      <c r="T354">
        <f t="shared" si="18"/>
        <v>0.9915905395199196</v>
      </c>
    </row>
    <row r="355" spans="1:20" x14ac:dyDescent="0.25">
      <c r="A355" s="5">
        <v>44238</v>
      </c>
      <c r="B355">
        <v>4.9000000000000004</v>
      </c>
      <c r="C355">
        <v>5.86</v>
      </c>
      <c r="D355">
        <v>4.673</v>
      </c>
      <c r="E355">
        <v>5.6254</v>
      </c>
      <c r="F355">
        <v>20245238.710000001</v>
      </c>
      <c r="G355">
        <v>14.8</v>
      </c>
      <c r="L355" t="s">
        <v>8</v>
      </c>
      <c r="M355" t="s">
        <v>8</v>
      </c>
      <c r="N355" t="s">
        <v>7</v>
      </c>
      <c r="P355">
        <f t="shared" si="14"/>
        <v>0.60471777590564391</v>
      </c>
      <c r="Q355">
        <f t="shared" si="15"/>
        <v>12242655.725390049</v>
      </c>
      <c r="R355">
        <f t="shared" si="16"/>
        <v>111290157.51276562</v>
      </c>
      <c r="S355">
        <f t="shared" si="17"/>
        <v>1112.9015751276561</v>
      </c>
      <c r="T355">
        <f t="shared" si="18"/>
        <v>1.1129015751276561</v>
      </c>
    </row>
    <row r="356" spans="1:20" x14ac:dyDescent="0.25">
      <c r="A356" s="5">
        <v>44237</v>
      </c>
      <c r="B356">
        <v>5.0648</v>
      </c>
      <c r="C356">
        <v>5.4206000000000003</v>
      </c>
      <c r="D356">
        <v>4.4000000000000004</v>
      </c>
      <c r="E356">
        <v>4.8912000000000004</v>
      </c>
      <c r="F356">
        <v>18078644.379999999</v>
      </c>
      <c r="G356">
        <v>-3.43</v>
      </c>
      <c r="L356" t="s">
        <v>7</v>
      </c>
      <c r="M356" t="s">
        <v>7</v>
      </c>
      <c r="N356" t="s">
        <v>7</v>
      </c>
      <c r="P356">
        <f t="shared" si="14"/>
        <v>-3.7428963354889079E-2</v>
      </c>
      <c r="Q356">
        <f t="shared" si="15"/>
        <v>-676664.91800509137</v>
      </c>
      <c r="R356">
        <f t="shared" si="16"/>
        <v>99047501.787375569</v>
      </c>
      <c r="S356">
        <f t="shared" si="17"/>
        <v>990.47501787375575</v>
      </c>
      <c r="T356">
        <f t="shared" si="18"/>
        <v>0.99047501787375569</v>
      </c>
    </row>
    <row r="357" spans="1:20" x14ac:dyDescent="0.25">
      <c r="A357" s="5">
        <v>44236</v>
      </c>
      <c r="B357">
        <v>5.3254999999999999</v>
      </c>
      <c r="C357">
        <v>5.3483999999999998</v>
      </c>
      <c r="D357">
        <v>4.8143000000000002</v>
      </c>
      <c r="E357">
        <v>5.0670000000000002</v>
      </c>
      <c r="F357">
        <v>16186957.029999999</v>
      </c>
      <c r="G357">
        <v>-4.8499999999999996</v>
      </c>
      <c r="L357" t="s">
        <v>7</v>
      </c>
      <c r="M357" t="s">
        <v>8</v>
      </c>
      <c r="N357" t="s">
        <v>7</v>
      </c>
      <c r="P357">
        <f t="shared" si="14"/>
        <v>-5.3735255570117484E-2</v>
      </c>
      <c r="Q357">
        <f t="shared" si="15"/>
        <v>-869810.27290955978</v>
      </c>
      <c r="R357">
        <f t="shared" si="16"/>
        <v>99724166.705380663</v>
      </c>
      <c r="S357">
        <f t="shared" si="17"/>
        <v>997.24166705380662</v>
      </c>
      <c r="T357">
        <f t="shared" si="18"/>
        <v>0.99724166705380657</v>
      </c>
    </row>
    <row r="358" spans="1:20" x14ac:dyDescent="0.25">
      <c r="A358" s="5">
        <v>44235</v>
      </c>
      <c r="B358">
        <v>4.9512999999999998</v>
      </c>
      <c r="C358">
        <v>5.4763000000000002</v>
      </c>
      <c r="D358">
        <v>4.6900000000000004</v>
      </c>
      <c r="E358">
        <v>5.3250999999999999</v>
      </c>
      <c r="F358">
        <v>18626982.190000001</v>
      </c>
      <c r="G358">
        <v>7.55</v>
      </c>
      <c r="L358" t="s">
        <v>8</v>
      </c>
      <c r="M358" t="s">
        <v>8</v>
      </c>
      <c r="N358" t="s">
        <v>7</v>
      </c>
      <c r="P358">
        <f t="shared" si="14"/>
        <v>0.61541396413582539</v>
      </c>
      <c r="Q358">
        <f t="shared" si="15"/>
        <v>11463304.94943532</v>
      </c>
      <c r="R358">
        <f t="shared" si="16"/>
        <v>100593976.97829023</v>
      </c>
      <c r="S358">
        <f t="shared" si="17"/>
        <v>1005.9397697829023</v>
      </c>
      <c r="T358">
        <f t="shared" si="18"/>
        <v>1.0059397697829022</v>
      </c>
    </row>
    <row r="359" spans="1:20" x14ac:dyDescent="0.25">
      <c r="A359" s="5">
        <v>44234</v>
      </c>
      <c r="B359">
        <v>5.2598000000000003</v>
      </c>
      <c r="C359">
        <v>5.3094999999999999</v>
      </c>
      <c r="D359">
        <v>4.3000999999999996</v>
      </c>
      <c r="E359">
        <v>4.9512</v>
      </c>
      <c r="F359">
        <v>21091809.100000001</v>
      </c>
      <c r="G359">
        <v>-5.87</v>
      </c>
      <c r="L359" t="s">
        <v>7</v>
      </c>
      <c r="M359" t="s">
        <v>7</v>
      </c>
      <c r="N359" t="s">
        <v>7</v>
      </c>
      <c r="P359">
        <f t="shared" si="14"/>
        <v>0.29007331087774968</v>
      </c>
      <c r="Q359">
        <f t="shared" si="15"/>
        <v>6118170.8980384497</v>
      </c>
      <c r="R359">
        <f t="shared" si="16"/>
        <v>89130672.028854907</v>
      </c>
      <c r="S359">
        <f t="shared" si="17"/>
        <v>891.30672028854906</v>
      </c>
      <c r="T359">
        <f t="shared" si="18"/>
        <v>0.89130672028854907</v>
      </c>
    </row>
    <row r="360" spans="1:20" x14ac:dyDescent="0.25">
      <c r="A360" s="5">
        <v>44233</v>
      </c>
      <c r="B360">
        <v>5.8250000000000002</v>
      </c>
      <c r="C360">
        <v>5.94</v>
      </c>
      <c r="D360">
        <v>5.0999999999999996</v>
      </c>
      <c r="E360">
        <v>5.26</v>
      </c>
      <c r="F360">
        <v>17203563.300000001</v>
      </c>
      <c r="G360">
        <v>-9.6999999999999993</v>
      </c>
      <c r="L360" t="s">
        <v>7</v>
      </c>
      <c r="M360" t="s">
        <v>7</v>
      </c>
      <c r="N360" t="s">
        <v>8</v>
      </c>
      <c r="P360">
        <f t="shared" si="14"/>
        <v>-0.61904761904761907</v>
      </c>
      <c r="Q360">
        <f t="shared" si="15"/>
        <v>-10649824.9</v>
      </c>
      <c r="R360">
        <f t="shared" si="16"/>
        <v>83012501.13081646</v>
      </c>
      <c r="S360">
        <f t="shared" si="17"/>
        <v>830.12501130816463</v>
      </c>
      <c r="T360">
        <f t="shared" si="18"/>
        <v>0.83012501130816463</v>
      </c>
    </row>
    <row r="361" spans="1:20" x14ac:dyDescent="0.25">
      <c r="A361" s="5">
        <v>44232</v>
      </c>
      <c r="B361">
        <v>5.5698999999999996</v>
      </c>
      <c r="C361">
        <v>6.33</v>
      </c>
      <c r="D361">
        <v>5.5076000000000001</v>
      </c>
      <c r="E361">
        <v>5.8250000000000002</v>
      </c>
      <c r="F361">
        <v>18313335.48</v>
      </c>
      <c r="G361">
        <v>4.58</v>
      </c>
      <c r="L361" t="s">
        <v>8</v>
      </c>
      <c r="M361" t="s">
        <v>8</v>
      </c>
      <c r="N361" t="s">
        <v>8</v>
      </c>
      <c r="P361">
        <f t="shared" si="14"/>
        <v>-0.22811284046692579</v>
      </c>
      <c r="Q361">
        <f t="shared" si="15"/>
        <v>-4177506.974766532</v>
      </c>
      <c r="R361">
        <f t="shared" si="16"/>
        <v>93662326.030816466</v>
      </c>
      <c r="S361">
        <f t="shared" si="17"/>
        <v>936.62326030816462</v>
      </c>
      <c r="T361">
        <f t="shared" si="18"/>
        <v>0.93662326030816456</v>
      </c>
    </row>
    <row r="362" spans="1:20" x14ac:dyDescent="0.25">
      <c r="A362" s="5">
        <v>44231</v>
      </c>
      <c r="B362">
        <v>5.0357000000000003</v>
      </c>
      <c r="C362">
        <v>5.95</v>
      </c>
      <c r="D362">
        <v>4.5818000000000003</v>
      </c>
      <c r="E362">
        <v>5.5705</v>
      </c>
      <c r="F362">
        <v>27437347.940000001</v>
      </c>
      <c r="G362">
        <v>10.62</v>
      </c>
      <c r="L362" t="s">
        <v>8</v>
      </c>
      <c r="M362" t="s">
        <v>8</v>
      </c>
      <c r="N362" t="s">
        <v>8</v>
      </c>
      <c r="P362">
        <f t="shared" si="14"/>
        <v>0.44525654144130944</v>
      </c>
      <c r="Q362">
        <f t="shared" si="15"/>
        <v>12216658.650086237</v>
      </c>
      <c r="R362">
        <f t="shared" si="16"/>
        <v>97839833.005583003</v>
      </c>
      <c r="S362">
        <f t="shared" si="17"/>
        <v>978.39833005583</v>
      </c>
      <c r="T362">
        <f t="shared" si="18"/>
        <v>0.97839833005582999</v>
      </c>
    </row>
    <row r="363" spans="1:20" x14ac:dyDescent="0.25">
      <c r="A363" s="5">
        <v>44230</v>
      </c>
      <c r="B363">
        <v>4.67</v>
      </c>
      <c r="C363">
        <v>5.2656999999999998</v>
      </c>
      <c r="D363">
        <v>4.3499999999999996</v>
      </c>
      <c r="E363">
        <v>5.0362999999999998</v>
      </c>
      <c r="F363">
        <v>18109526.370000001</v>
      </c>
      <c r="G363">
        <v>7.84</v>
      </c>
      <c r="L363" t="s">
        <v>8</v>
      </c>
      <c r="M363" t="s">
        <v>8</v>
      </c>
      <c r="N363" t="s">
        <v>8</v>
      </c>
      <c r="P363">
        <f t="shared" si="14"/>
        <v>0.49896254231735282</v>
      </c>
      <c r="Q363">
        <f t="shared" si="15"/>
        <v>9035975.317738343</v>
      </c>
      <c r="R363">
        <f t="shared" si="16"/>
        <v>85623174.355496764</v>
      </c>
      <c r="S363">
        <f t="shared" si="17"/>
        <v>856.23174355496769</v>
      </c>
      <c r="T363">
        <f t="shared" si="18"/>
        <v>0.85623174355496767</v>
      </c>
    </row>
    <row r="364" spans="1:20" x14ac:dyDescent="0.25">
      <c r="A364" s="5">
        <v>44229</v>
      </c>
      <c r="B364">
        <v>5.0179</v>
      </c>
      <c r="C364">
        <v>5.0739999999999998</v>
      </c>
      <c r="D364">
        <v>4.5599999999999996</v>
      </c>
      <c r="E364">
        <v>4.6714000000000002</v>
      </c>
      <c r="F364">
        <v>13304716.720000001</v>
      </c>
      <c r="G364">
        <v>-6.91</v>
      </c>
      <c r="L364" t="s">
        <v>8</v>
      </c>
      <c r="M364" t="s">
        <v>8</v>
      </c>
      <c r="N364" t="s">
        <v>8</v>
      </c>
      <c r="P364">
        <f t="shared" si="14"/>
        <v>-0.56653696498054262</v>
      </c>
      <c r="Q364">
        <f t="shared" si="15"/>
        <v>-7537613.8304746803</v>
      </c>
      <c r="R364">
        <f t="shared" si="16"/>
        <v>76587199.037758425</v>
      </c>
      <c r="S364">
        <f t="shared" si="17"/>
        <v>765.87199037758421</v>
      </c>
      <c r="T364">
        <f t="shared" si="18"/>
        <v>0.76587199037758424</v>
      </c>
    </row>
    <row r="365" spans="1:20" x14ac:dyDescent="0.25">
      <c r="A365" s="5">
        <v>44228</v>
      </c>
      <c r="B365">
        <v>4.9306999999999999</v>
      </c>
      <c r="C365">
        <v>5.2728999999999999</v>
      </c>
      <c r="D365">
        <v>4.2714999999999996</v>
      </c>
      <c r="E365">
        <v>5.0194000000000001</v>
      </c>
      <c r="F365">
        <v>33226376.16</v>
      </c>
      <c r="G365">
        <v>1.8</v>
      </c>
      <c r="L365" t="s">
        <v>7</v>
      </c>
      <c r="M365" t="s">
        <v>7</v>
      </c>
      <c r="N365" t="s">
        <v>8</v>
      </c>
      <c r="P365">
        <f t="shared" si="14"/>
        <v>0.49370880766926351</v>
      </c>
      <c r="Q365">
        <f t="shared" si="15"/>
        <v>16404154.557124043</v>
      </c>
      <c r="R365">
        <f t="shared" si="16"/>
        <v>84124812.8682331</v>
      </c>
      <c r="S365">
        <f t="shared" si="17"/>
        <v>841.24812868233096</v>
      </c>
      <c r="T365">
        <f t="shared" si="18"/>
        <v>0.84124812868233101</v>
      </c>
    </row>
    <row r="366" spans="1:20" x14ac:dyDescent="0.25">
      <c r="A366" s="5">
        <v>44227</v>
      </c>
      <c r="B366">
        <v>4.5861000000000001</v>
      </c>
      <c r="C366">
        <v>5.55</v>
      </c>
      <c r="D366">
        <v>4.4550000000000001</v>
      </c>
      <c r="E366">
        <v>4.9309000000000003</v>
      </c>
      <c r="F366">
        <v>55866327.759999998</v>
      </c>
      <c r="G366">
        <v>7.52</v>
      </c>
      <c r="L366" t="s">
        <v>8</v>
      </c>
      <c r="M366" t="s">
        <v>8</v>
      </c>
      <c r="N366" t="s">
        <v>8</v>
      </c>
      <c r="P366">
        <f t="shared" si="14"/>
        <v>-0.13077625570776197</v>
      </c>
      <c r="Q366">
        <f t="shared" si="15"/>
        <v>-7305989.1645954009</v>
      </c>
      <c r="R366">
        <f t="shared" si="16"/>
        <v>67720658.311109051</v>
      </c>
      <c r="S366">
        <f t="shared" si="17"/>
        <v>677.20658311109048</v>
      </c>
      <c r="T366">
        <f t="shared" si="18"/>
        <v>0.6772065831110905</v>
      </c>
    </row>
    <row r="367" spans="1:20" x14ac:dyDescent="0.25">
      <c r="A367" s="5">
        <v>44226</v>
      </c>
      <c r="B367">
        <v>3.3571</v>
      </c>
      <c r="C367">
        <v>4.7</v>
      </c>
      <c r="D367">
        <v>3.1707000000000001</v>
      </c>
      <c r="E367">
        <v>4.5860000000000003</v>
      </c>
      <c r="F367">
        <v>44098606.670000002</v>
      </c>
      <c r="G367">
        <v>36.61</v>
      </c>
      <c r="L367" t="s">
        <v>8</v>
      </c>
      <c r="M367" t="s">
        <v>8</v>
      </c>
      <c r="N367" t="s">
        <v>8</v>
      </c>
      <c r="P367">
        <f t="shared" si="14"/>
        <v>0.8509121820440726</v>
      </c>
      <c r="Q367">
        <f t="shared" si="15"/>
        <v>37524041.626672998</v>
      </c>
      <c r="R367">
        <f t="shared" si="16"/>
        <v>75026647.475704446</v>
      </c>
      <c r="S367">
        <f t="shared" si="17"/>
        <v>750.26647475704442</v>
      </c>
      <c r="T367">
        <f t="shared" si="18"/>
        <v>0.75026647475704444</v>
      </c>
    </row>
    <row r="368" spans="1:20" x14ac:dyDescent="0.25">
      <c r="A368" s="5">
        <v>44225</v>
      </c>
      <c r="B368">
        <v>3.1124000000000001</v>
      </c>
      <c r="C368">
        <v>3.4771999999999998</v>
      </c>
      <c r="D368">
        <v>2.8416000000000001</v>
      </c>
      <c r="E368">
        <v>3.3511000000000002</v>
      </c>
      <c r="F368">
        <v>22150621.359999999</v>
      </c>
      <c r="G368">
        <v>7.67</v>
      </c>
      <c r="L368" t="s">
        <v>8</v>
      </c>
      <c r="M368" t="s">
        <v>8</v>
      </c>
      <c r="N368" t="s">
        <v>8</v>
      </c>
      <c r="P368">
        <f t="shared" si="14"/>
        <v>0.6032095657646328</v>
      </c>
      <c r="Q368">
        <f t="shared" si="15"/>
        <v>13361466.6919824</v>
      </c>
      <c r="R368">
        <f t="shared" si="16"/>
        <v>37502605.849031448</v>
      </c>
      <c r="S368">
        <f t="shared" si="17"/>
        <v>375.02605849031448</v>
      </c>
      <c r="T368">
        <f t="shared" si="18"/>
        <v>0.37502605849031451</v>
      </c>
    </row>
    <row r="369" spans="1:20" x14ac:dyDescent="0.25">
      <c r="A369" s="5">
        <v>44224</v>
      </c>
      <c r="B369">
        <v>2.4984999999999999</v>
      </c>
      <c r="C369">
        <v>3.3578999999999999</v>
      </c>
      <c r="D369">
        <v>2.4249999999999998</v>
      </c>
      <c r="E369">
        <v>3.1196999999999999</v>
      </c>
      <c r="F369">
        <v>30681113.579999998</v>
      </c>
      <c r="G369">
        <v>24.86</v>
      </c>
      <c r="L369" t="s">
        <v>8</v>
      </c>
      <c r="M369" t="s">
        <v>8</v>
      </c>
      <c r="N369" t="s">
        <v>8</v>
      </c>
      <c r="P369">
        <f t="shared" si="14"/>
        <v>0.48933433379783481</v>
      </c>
      <c r="Q369">
        <f t="shared" si="15"/>
        <v>15013322.273845002</v>
      </c>
      <c r="R369">
        <f t="shared" si="16"/>
        <v>24141139.157049045</v>
      </c>
      <c r="S369">
        <f t="shared" si="17"/>
        <v>241.41139157049045</v>
      </c>
      <c r="T369">
        <f t="shared" si="18"/>
        <v>0.24141139157049046</v>
      </c>
    </row>
    <row r="370" spans="1:20" x14ac:dyDescent="0.25">
      <c r="A370" s="5">
        <v>44223</v>
      </c>
      <c r="B370">
        <v>2.6898</v>
      </c>
      <c r="C370">
        <v>2.7277999999999998</v>
      </c>
      <c r="D370">
        <v>2.2288000000000001</v>
      </c>
      <c r="E370">
        <v>2.4954999999999998</v>
      </c>
      <c r="F370">
        <v>21663954.75</v>
      </c>
      <c r="G370">
        <v>-7.22</v>
      </c>
      <c r="L370" t="s">
        <v>8</v>
      </c>
      <c r="M370" t="s">
        <v>8</v>
      </c>
      <c r="N370" t="s">
        <v>8</v>
      </c>
      <c r="P370">
        <f t="shared" si="14"/>
        <v>6.8937875751502578E-2</v>
      </c>
      <c r="Q370">
        <f t="shared" si="15"/>
        <v>1493467.0208416742</v>
      </c>
      <c r="R370">
        <f t="shared" si="16"/>
        <v>9127816.8832040448</v>
      </c>
      <c r="S370">
        <f t="shared" si="17"/>
        <v>91.27816883204045</v>
      </c>
      <c r="T370">
        <f t="shared" si="18"/>
        <v>9.1278168832040443E-2</v>
      </c>
    </row>
    <row r="371" spans="1:20" x14ac:dyDescent="0.25">
      <c r="A371" s="5">
        <v>44222</v>
      </c>
      <c r="B371">
        <v>2.3546</v>
      </c>
      <c r="C371">
        <v>2.69</v>
      </c>
      <c r="D371">
        <v>2.1800000000000002</v>
      </c>
      <c r="E371">
        <v>2.6880999999999999</v>
      </c>
      <c r="F371">
        <v>21837127.98</v>
      </c>
      <c r="G371">
        <v>14.16</v>
      </c>
      <c r="L371" t="s">
        <v>7</v>
      </c>
      <c r="M371" t="s">
        <v>7</v>
      </c>
      <c r="N371" t="s">
        <v>8</v>
      </c>
      <c r="P371">
        <f t="shared" si="14"/>
        <v>0.99254901960784303</v>
      </c>
      <c r="Q371">
        <f t="shared" si="15"/>
        <v>21674419.967599999</v>
      </c>
      <c r="R371">
        <f t="shared" si="16"/>
        <v>7634349.8623623699</v>
      </c>
      <c r="S371">
        <f t="shared" si="17"/>
        <v>76.343498623623702</v>
      </c>
      <c r="T371">
        <f t="shared" si="18"/>
        <v>7.6343498623623704E-2</v>
      </c>
    </row>
    <row r="372" spans="1:20" x14ac:dyDescent="0.25">
      <c r="A372" s="5">
        <v>44221</v>
      </c>
      <c r="B372">
        <v>2.4706999999999999</v>
      </c>
      <c r="C372">
        <v>2.72</v>
      </c>
      <c r="D372">
        <v>2.2932999999999999</v>
      </c>
      <c r="E372">
        <v>2.3584999999999998</v>
      </c>
      <c r="F372">
        <v>28495931.149999999</v>
      </c>
      <c r="G372">
        <v>-4.54</v>
      </c>
      <c r="L372" t="s">
        <v>8</v>
      </c>
      <c r="M372" t="s">
        <v>8</v>
      </c>
      <c r="N372" t="s">
        <v>8</v>
      </c>
      <c r="P372">
        <f t="shared" si="14"/>
        <v>-0.69439887508788434</v>
      </c>
      <c r="Q372">
        <f t="shared" si="15"/>
        <v>-19787542.5351418</v>
      </c>
      <c r="R372">
        <f t="shared" si="16"/>
        <v>-14040070.105237629</v>
      </c>
      <c r="S372">
        <f t="shared" si="17"/>
        <v>-140.40070105237629</v>
      </c>
      <c r="T372">
        <f t="shared" si="18"/>
        <v>-0.14040070105237629</v>
      </c>
    </row>
    <row r="373" spans="1:20" x14ac:dyDescent="0.25">
      <c r="A373" s="5">
        <v>44220</v>
      </c>
      <c r="B373">
        <v>1.9338</v>
      </c>
      <c r="C373">
        <v>2.4900000000000002</v>
      </c>
      <c r="D373">
        <v>1.8786</v>
      </c>
      <c r="E373">
        <v>2.4742999999999999</v>
      </c>
      <c r="F373">
        <v>23208043.75</v>
      </c>
      <c r="G373">
        <v>27.95</v>
      </c>
      <c r="L373" t="s">
        <v>8</v>
      </c>
      <c r="M373" t="s">
        <v>8</v>
      </c>
      <c r="N373" t="s">
        <v>8</v>
      </c>
      <c r="P373">
        <f t="shared" si="14"/>
        <v>0.9486424599280332</v>
      </c>
      <c r="Q373">
        <f t="shared" si="15"/>
        <v>22016135.713117417</v>
      </c>
      <c r="R373">
        <f t="shared" si="16"/>
        <v>5747472.4299041703</v>
      </c>
      <c r="S373">
        <f t="shared" si="17"/>
        <v>57.474724299041704</v>
      </c>
      <c r="T373">
        <f t="shared" si="18"/>
        <v>5.7474724299041706E-2</v>
      </c>
    </row>
    <row r="374" spans="1:20" x14ac:dyDescent="0.25">
      <c r="A374" s="5">
        <v>44219</v>
      </c>
      <c r="B374">
        <v>1.7548999999999999</v>
      </c>
      <c r="C374">
        <v>1.998</v>
      </c>
      <c r="D374">
        <v>1.7058</v>
      </c>
      <c r="E374">
        <v>1.9309000000000001</v>
      </c>
      <c r="F374">
        <v>14696995.310000001</v>
      </c>
      <c r="G374">
        <v>10.029999999999999</v>
      </c>
      <c r="L374" t="s">
        <v>8</v>
      </c>
      <c r="M374" t="s">
        <v>8</v>
      </c>
      <c r="N374" t="s">
        <v>8</v>
      </c>
      <c r="P374">
        <f t="shared" si="14"/>
        <v>0.54072553045859051</v>
      </c>
      <c r="Q374">
        <f t="shared" si="15"/>
        <v>7947040.5851471676</v>
      </c>
      <c r="R374">
        <f t="shared" si="16"/>
        <v>-16268663.283213247</v>
      </c>
      <c r="S374">
        <f t="shared" si="17"/>
        <v>-162.68663283213246</v>
      </c>
      <c r="T374">
        <f t="shared" si="18"/>
        <v>-0.16268663283213247</v>
      </c>
    </row>
    <row r="375" spans="1:20" x14ac:dyDescent="0.25">
      <c r="A375" s="5">
        <v>44218</v>
      </c>
      <c r="B375">
        <v>1.5732999999999999</v>
      </c>
      <c r="C375">
        <v>1.85</v>
      </c>
      <c r="D375">
        <v>1.4113</v>
      </c>
      <c r="E375">
        <v>1.7562</v>
      </c>
      <c r="F375">
        <v>14724984.43</v>
      </c>
      <c r="G375">
        <v>11.63</v>
      </c>
      <c r="L375" t="s">
        <v>7</v>
      </c>
      <c r="M375" t="s">
        <v>7</v>
      </c>
      <c r="N375" t="s">
        <v>7</v>
      </c>
      <c r="P375">
        <f t="shared" si="14"/>
        <v>0.5723729199908818</v>
      </c>
      <c r="Q375">
        <f t="shared" si="15"/>
        <v>8428182.3350193705</v>
      </c>
      <c r="R375">
        <f t="shared" si="16"/>
        <v>-24215703.868360415</v>
      </c>
      <c r="S375">
        <f t="shared" si="17"/>
        <v>-242.15703868360416</v>
      </c>
      <c r="T375">
        <f t="shared" si="18"/>
        <v>-0.24215703868360416</v>
      </c>
    </row>
    <row r="376" spans="1:20" x14ac:dyDescent="0.25">
      <c r="A376" s="5">
        <v>44217</v>
      </c>
      <c r="B376">
        <v>1.8452999999999999</v>
      </c>
      <c r="C376">
        <v>1.8847</v>
      </c>
      <c r="D376">
        <v>1.546</v>
      </c>
      <c r="E376">
        <v>1.569</v>
      </c>
      <c r="F376">
        <v>14945722.210000001</v>
      </c>
      <c r="G376">
        <v>-14.97</v>
      </c>
      <c r="L376" t="s">
        <v>7</v>
      </c>
      <c r="M376" t="s">
        <v>7</v>
      </c>
      <c r="N376" t="s">
        <v>7</v>
      </c>
      <c r="P376">
        <f t="shared" si="14"/>
        <v>-0.86418659580749979</v>
      </c>
      <c r="Q376">
        <f t="shared" si="15"/>
        <v>-12915892.798544444</v>
      </c>
      <c r="R376">
        <f t="shared" si="16"/>
        <v>-32643886.203379788</v>
      </c>
      <c r="S376">
        <f t="shared" si="17"/>
        <v>-326.43886203379788</v>
      </c>
      <c r="T376">
        <f t="shared" si="18"/>
        <v>-0.32643886203379785</v>
      </c>
    </row>
    <row r="377" spans="1:20" x14ac:dyDescent="0.25">
      <c r="A377" s="5">
        <v>44216</v>
      </c>
      <c r="B377">
        <v>1.9043000000000001</v>
      </c>
      <c r="C377">
        <v>1.9652000000000001</v>
      </c>
      <c r="D377">
        <v>1.6412</v>
      </c>
      <c r="E377">
        <v>1.847</v>
      </c>
      <c r="F377">
        <v>15359199.050000001</v>
      </c>
      <c r="G377">
        <v>-3.01</v>
      </c>
      <c r="L377" t="s">
        <v>7</v>
      </c>
      <c r="M377" t="s">
        <v>7</v>
      </c>
      <c r="N377" t="s">
        <v>8</v>
      </c>
      <c r="P377">
        <f t="shared" si="14"/>
        <v>0.27037037037036998</v>
      </c>
      <c r="Q377">
        <f t="shared" si="15"/>
        <v>4152672.3357407348</v>
      </c>
      <c r="R377">
        <f t="shared" si="16"/>
        <v>-19727993.404835343</v>
      </c>
      <c r="S377">
        <f t="shared" si="17"/>
        <v>-197.27993404835343</v>
      </c>
      <c r="T377">
        <f t="shared" si="18"/>
        <v>-0.19727993404835342</v>
      </c>
    </row>
    <row r="378" spans="1:20" x14ac:dyDescent="0.25">
      <c r="A378" s="5">
        <v>44215</v>
      </c>
      <c r="B378">
        <v>1.8792</v>
      </c>
      <c r="C378">
        <v>2.1</v>
      </c>
      <c r="D378">
        <v>1.7979000000000001</v>
      </c>
      <c r="E378">
        <v>1.9005000000000001</v>
      </c>
      <c r="F378">
        <v>21184499.68</v>
      </c>
      <c r="G378">
        <v>1.1299999999999999</v>
      </c>
      <c r="L378" t="s">
        <v>8</v>
      </c>
      <c r="M378" t="s">
        <v>8</v>
      </c>
      <c r="N378" t="s">
        <v>8</v>
      </c>
      <c r="P378">
        <f t="shared" si="14"/>
        <v>-0.320754716981132</v>
      </c>
      <c r="Q378">
        <f t="shared" si="15"/>
        <v>-6795028.1992452815</v>
      </c>
      <c r="R378">
        <f t="shared" si="16"/>
        <v>-23880665.740576077</v>
      </c>
      <c r="S378">
        <f t="shared" si="17"/>
        <v>-238.80665740576077</v>
      </c>
      <c r="T378">
        <f t="shared" si="18"/>
        <v>-0.23880665740576076</v>
      </c>
    </row>
    <row r="379" spans="1:20" x14ac:dyDescent="0.25">
      <c r="A379" s="5">
        <v>44214</v>
      </c>
      <c r="B379">
        <v>2.0283000000000002</v>
      </c>
      <c r="C379">
        <v>2.0768</v>
      </c>
      <c r="D379">
        <v>1.68</v>
      </c>
      <c r="E379">
        <v>1.8827</v>
      </c>
      <c r="F379">
        <v>24567762.77</v>
      </c>
      <c r="G379">
        <v>-7.18</v>
      </c>
      <c r="L379" t="s">
        <v>7</v>
      </c>
      <c r="M379" t="s">
        <v>7</v>
      </c>
      <c r="N379" t="s">
        <v>8</v>
      </c>
      <c r="P379">
        <f t="shared" si="14"/>
        <v>2.1673387096774601E-2</v>
      </c>
      <c r="Q379">
        <f t="shared" si="15"/>
        <v>532466.63261593739</v>
      </c>
      <c r="R379">
        <f t="shared" si="16"/>
        <v>-17085637.541330796</v>
      </c>
      <c r="S379">
        <f t="shared" si="17"/>
        <v>-170.85637541330794</v>
      </c>
      <c r="T379">
        <f t="shared" si="18"/>
        <v>-0.17085637541330795</v>
      </c>
    </row>
    <row r="380" spans="1:20" x14ac:dyDescent="0.25">
      <c r="A380" s="5">
        <v>44213</v>
      </c>
      <c r="B380">
        <v>1.6315999999999999</v>
      </c>
      <c r="C380">
        <v>2.19</v>
      </c>
      <c r="D380">
        <v>1.5844</v>
      </c>
      <c r="E380">
        <v>2.0362</v>
      </c>
      <c r="F380">
        <v>40145438.060000002</v>
      </c>
      <c r="G380">
        <v>24.8</v>
      </c>
      <c r="L380" t="s">
        <v>8</v>
      </c>
      <c r="M380" t="s">
        <v>8</v>
      </c>
      <c r="N380" t="s">
        <v>8</v>
      </c>
      <c r="P380">
        <f t="shared" si="14"/>
        <v>0.49207397622192878</v>
      </c>
      <c r="Q380">
        <f t="shared" si="15"/>
        <v>19754525.333355356</v>
      </c>
      <c r="R380">
        <f t="shared" si="16"/>
        <v>-17618104.173946735</v>
      </c>
      <c r="S380">
        <f t="shared" si="17"/>
        <v>-176.18104173946733</v>
      </c>
      <c r="T380">
        <f t="shared" si="18"/>
        <v>-0.17618104173946733</v>
      </c>
    </row>
    <row r="381" spans="1:20" x14ac:dyDescent="0.25">
      <c r="A381" s="5">
        <v>44212</v>
      </c>
      <c r="B381">
        <v>1.3488</v>
      </c>
      <c r="C381">
        <v>1.8415999999999999</v>
      </c>
      <c r="D381">
        <v>1.3312999999999999</v>
      </c>
      <c r="E381">
        <v>1.6318999999999999</v>
      </c>
      <c r="F381">
        <v>30763976.800000001</v>
      </c>
      <c r="G381">
        <v>20.99</v>
      </c>
      <c r="L381" t="s">
        <v>8</v>
      </c>
      <c r="M381" t="s">
        <v>8</v>
      </c>
      <c r="N381" t="s">
        <v>8</v>
      </c>
      <c r="P381">
        <f t="shared" si="14"/>
        <v>0.17813051146384476</v>
      </c>
      <c r="Q381">
        <f t="shared" si="15"/>
        <v>5480002.9220458539</v>
      </c>
      <c r="R381">
        <f t="shared" si="16"/>
        <v>-37372629.507302091</v>
      </c>
      <c r="S381">
        <f t="shared" si="17"/>
        <v>-373.72629507302088</v>
      </c>
      <c r="T381">
        <f t="shared" si="18"/>
        <v>-0.37372629507302085</v>
      </c>
    </row>
    <row r="382" spans="1:20" x14ac:dyDescent="0.25">
      <c r="A382" s="5">
        <v>44211</v>
      </c>
      <c r="B382">
        <v>1.3379000000000001</v>
      </c>
      <c r="C382">
        <v>1.51</v>
      </c>
      <c r="D382">
        <v>1.1716</v>
      </c>
      <c r="E382">
        <v>1.3515999999999999</v>
      </c>
      <c r="F382">
        <v>24679310.93</v>
      </c>
      <c r="G382">
        <v>1.02</v>
      </c>
      <c r="L382" t="s">
        <v>8</v>
      </c>
      <c r="M382" t="s">
        <v>8</v>
      </c>
      <c r="N382" t="s">
        <v>8</v>
      </c>
      <c r="P382">
        <f t="shared" si="14"/>
        <v>6.3829787234042076E-2</v>
      </c>
      <c r="Q382">
        <f t="shared" si="15"/>
        <v>1575275.165744669</v>
      </c>
      <c r="R382">
        <f t="shared" si="16"/>
        <v>-42852632.429347947</v>
      </c>
      <c r="S382">
        <f t="shared" si="17"/>
        <v>-428.52632429347949</v>
      </c>
      <c r="T382">
        <f t="shared" si="18"/>
        <v>-0.42852632429347948</v>
      </c>
    </row>
    <row r="383" spans="1:20" x14ac:dyDescent="0.25">
      <c r="A383" s="5">
        <v>44210</v>
      </c>
      <c r="B383">
        <v>1.2749999999999999</v>
      </c>
      <c r="C383">
        <v>1.4026000000000001</v>
      </c>
      <c r="D383">
        <v>1.2637</v>
      </c>
      <c r="E383">
        <v>1.3394999999999999</v>
      </c>
      <c r="F383">
        <v>13593431.029999999</v>
      </c>
      <c r="G383">
        <v>5.0599999999999996</v>
      </c>
      <c r="L383" t="s">
        <v>8</v>
      </c>
      <c r="M383" t="s">
        <v>8</v>
      </c>
      <c r="N383" t="s">
        <v>8</v>
      </c>
      <c r="P383">
        <f t="shared" si="14"/>
        <v>9.1432685385167092E-2</v>
      </c>
      <c r="Q383">
        <f t="shared" si="15"/>
        <v>1242883.9026709578</v>
      </c>
      <c r="R383">
        <f t="shared" si="16"/>
        <v>-44427907.595092617</v>
      </c>
      <c r="S383">
        <f t="shared" si="17"/>
        <v>-444.27907595092614</v>
      </c>
      <c r="T383">
        <f t="shared" si="18"/>
        <v>-0.44427907595092614</v>
      </c>
    </row>
    <row r="384" spans="1:20" x14ac:dyDescent="0.25">
      <c r="A384" s="5">
        <v>44209</v>
      </c>
      <c r="B384">
        <v>1.1272</v>
      </c>
      <c r="C384">
        <v>1.3345</v>
      </c>
      <c r="D384">
        <v>1.06</v>
      </c>
      <c r="E384">
        <v>1.2769999999999999</v>
      </c>
      <c r="F384">
        <v>16398822.189999999</v>
      </c>
      <c r="G384">
        <v>13.29</v>
      </c>
      <c r="L384" t="s">
        <v>8</v>
      </c>
      <c r="M384" t="s">
        <v>8</v>
      </c>
      <c r="N384" t="s">
        <v>8</v>
      </c>
      <c r="P384">
        <f t="shared" si="14"/>
        <v>0.58105646630236707</v>
      </c>
      <c r="Q384">
        <f t="shared" si="15"/>
        <v>9528641.6732422449</v>
      </c>
      <c r="R384">
        <f t="shared" si="16"/>
        <v>-45670791.497763574</v>
      </c>
      <c r="S384">
        <f t="shared" si="17"/>
        <v>-456.70791497763577</v>
      </c>
      <c r="T384">
        <f t="shared" si="18"/>
        <v>-0.45670791497763574</v>
      </c>
    </row>
    <row r="385" spans="1:20" x14ac:dyDescent="0.25">
      <c r="A385" s="5">
        <v>44208</v>
      </c>
      <c r="B385">
        <v>1.1262000000000001</v>
      </c>
      <c r="C385">
        <v>1.214</v>
      </c>
      <c r="D385">
        <v>1.0549999999999999</v>
      </c>
      <c r="E385">
        <v>1.1274999999999999</v>
      </c>
      <c r="F385">
        <v>12397670.65</v>
      </c>
      <c r="G385">
        <v>0.12</v>
      </c>
      <c r="L385" t="s">
        <v>8</v>
      </c>
      <c r="M385" t="s">
        <v>8</v>
      </c>
      <c r="N385" t="s">
        <v>7</v>
      </c>
      <c r="P385">
        <f t="shared" si="14"/>
        <v>-8.8050314465408869E-2</v>
      </c>
      <c r="Q385">
        <f t="shared" si="15"/>
        <v>-1091618.79937107</v>
      </c>
      <c r="R385">
        <f t="shared" si="16"/>
        <v>-55199433.171005823</v>
      </c>
      <c r="S385">
        <f t="shared" si="17"/>
        <v>-551.99433171005819</v>
      </c>
      <c r="T385">
        <f t="shared" si="18"/>
        <v>-0.55199433171005818</v>
      </c>
    </row>
    <row r="386" spans="1:20" x14ac:dyDescent="0.25">
      <c r="A386" s="5">
        <v>44207</v>
      </c>
      <c r="B386">
        <v>1.2032</v>
      </c>
      <c r="C386">
        <v>1.2125999999999999</v>
      </c>
      <c r="D386">
        <v>0.96230000000000004</v>
      </c>
      <c r="E386">
        <v>1.1243000000000001</v>
      </c>
      <c r="F386">
        <v>18251793</v>
      </c>
      <c r="G386">
        <v>-6.56</v>
      </c>
      <c r="L386" t="s">
        <v>7</v>
      </c>
      <c r="M386" t="s">
        <v>7</v>
      </c>
      <c r="N386" t="s">
        <v>7</v>
      </c>
      <c r="P386">
        <f t="shared" si="14"/>
        <v>0.29444666400319719</v>
      </c>
      <c r="Q386">
        <f t="shared" si="15"/>
        <v>5374179.5609269068</v>
      </c>
      <c r="R386">
        <f t="shared" si="16"/>
        <v>-54107814.371634752</v>
      </c>
      <c r="S386">
        <f t="shared" si="17"/>
        <v>-541.07814371634754</v>
      </c>
      <c r="T386">
        <f t="shared" si="18"/>
        <v>-0.54107814371634755</v>
      </c>
    </row>
    <row r="387" spans="1:20" x14ac:dyDescent="0.25">
      <c r="A387" s="5">
        <v>44206</v>
      </c>
      <c r="B387">
        <v>1.2441</v>
      </c>
      <c r="C387">
        <v>1.3871</v>
      </c>
      <c r="D387">
        <v>1.1100000000000001</v>
      </c>
      <c r="E387">
        <v>1.2058</v>
      </c>
      <c r="F387">
        <v>21496873.07</v>
      </c>
      <c r="G387">
        <v>-3.08</v>
      </c>
      <c r="L387" t="s">
        <v>8</v>
      </c>
      <c r="M387" t="s">
        <v>8</v>
      </c>
      <c r="N387" t="s">
        <v>7</v>
      </c>
      <c r="P387">
        <f t="shared" si="14"/>
        <v>-0.30855286900036144</v>
      </c>
      <c r="Q387">
        <f t="shared" si="15"/>
        <v>-6632921.860285108</v>
      </c>
      <c r="R387">
        <f t="shared" si="16"/>
        <v>-59481993.932561658</v>
      </c>
      <c r="S387">
        <f t="shared" si="17"/>
        <v>-594.81993932561659</v>
      </c>
      <c r="T387">
        <f t="shared" si="18"/>
        <v>-0.59481993932561661</v>
      </c>
    </row>
    <row r="388" spans="1:20" x14ac:dyDescent="0.25">
      <c r="A388" s="5">
        <v>44205</v>
      </c>
      <c r="B388">
        <v>1.1863999999999999</v>
      </c>
      <c r="C388">
        <v>1.2999000000000001</v>
      </c>
      <c r="D388">
        <v>1.1120000000000001</v>
      </c>
      <c r="E388">
        <v>1.2431000000000001</v>
      </c>
      <c r="F388">
        <v>17542226.690000001</v>
      </c>
      <c r="G388">
        <v>4.78</v>
      </c>
      <c r="L388" t="s">
        <v>8</v>
      </c>
      <c r="M388" t="s">
        <v>8</v>
      </c>
      <c r="N388" t="s">
        <v>7</v>
      </c>
      <c r="P388">
        <f t="shared" si="14"/>
        <v>0.39542309739223019</v>
      </c>
      <c r="Q388">
        <f t="shared" si="15"/>
        <v>6936601.61291645</v>
      </c>
      <c r="R388">
        <f t="shared" si="16"/>
        <v>-52849072.072276548</v>
      </c>
      <c r="S388">
        <f t="shared" si="17"/>
        <v>-528.49072072276545</v>
      </c>
      <c r="T388">
        <f t="shared" si="18"/>
        <v>-0.52849072072276548</v>
      </c>
    </row>
    <row r="389" spans="1:20" x14ac:dyDescent="0.25">
      <c r="A389" s="5">
        <v>44204</v>
      </c>
      <c r="B389">
        <v>1.294</v>
      </c>
      <c r="C389">
        <v>1.3485</v>
      </c>
      <c r="D389">
        <v>1.0111000000000001</v>
      </c>
      <c r="E389">
        <v>1.1867000000000001</v>
      </c>
      <c r="F389">
        <v>22858507.73</v>
      </c>
      <c r="G389">
        <v>-8.2899999999999991</v>
      </c>
      <c r="L389" t="s">
        <v>7</v>
      </c>
      <c r="M389" t="s">
        <v>7</v>
      </c>
      <c r="N389" t="s">
        <v>7</v>
      </c>
      <c r="P389">
        <f t="shared" si="14"/>
        <v>4.0901007705987071E-2</v>
      </c>
      <c r="Q389">
        <f t="shared" si="15"/>
        <v>934936.00081209501</v>
      </c>
      <c r="R389">
        <f t="shared" si="16"/>
        <v>-59785673.685192995</v>
      </c>
      <c r="S389">
        <f t="shared" si="17"/>
        <v>-597.8567368519299</v>
      </c>
      <c r="T389">
        <f t="shared" si="18"/>
        <v>-0.59785673685192986</v>
      </c>
    </row>
    <row r="390" spans="1:20" x14ac:dyDescent="0.25">
      <c r="A390" s="5">
        <v>44203</v>
      </c>
      <c r="B390">
        <v>1.5108999999999999</v>
      </c>
      <c r="C390">
        <v>1.615</v>
      </c>
      <c r="D390">
        <v>1.244</v>
      </c>
      <c r="E390">
        <v>1.2925</v>
      </c>
      <c r="F390">
        <v>25553868.02</v>
      </c>
      <c r="G390">
        <v>-14.45</v>
      </c>
      <c r="L390" t="s">
        <v>8</v>
      </c>
      <c r="M390" t="s">
        <v>8</v>
      </c>
      <c r="N390" t="s">
        <v>8</v>
      </c>
      <c r="P390">
        <f t="shared" ref="P390:P453" si="19">IF(C390=D390,0,((E390-D390)-(C390-E390))/(C390-D390))</f>
        <v>-0.7385444743935311</v>
      </c>
      <c r="Q390">
        <f t="shared" ref="Q390:Q453" si="20">F390*P390</f>
        <v>-18872668.025552563</v>
      </c>
      <c r="R390">
        <f t="shared" ref="R390:R453" si="21">R391+Q390</f>
        <v>-60720609.686005093</v>
      </c>
      <c r="S390">
        <f t="shared" ref="S390:S453" si="22">R390/100000</f>
        <v>-607.20609686005093</v>
      </c>
      <c r="T390">
        <f t="shared" ref="T390:T453" si="23">S390/1000</f>
        <v>-0.60720609686005089</v>
      </c>
    </row>
    <row r="391" spans="1:20" x14ac:dyDescent="0.25">
      <c r="A391" s="5">
        <v>44202</v>
      </c>
      <c r="B391">
        <v>1.2502</v>
      </c>
      <c r="C391">
        <v>1.5268999999999999</v>
      </c>
      <c r="D391">
        <v>1.1884999999999999</v>
      </c>
      <c r="E391">
        <v>1.51</v>
      </c>
      <c r="F391">
        <v>26125892.039999999</v>
      </c>
      <c r="G391">
        <v>20.78</v>
      </c>
      <c r="L391" t="s">
        <v>8</v>
      </c>
      <c r="M391" t="s">
        <v>8</v>
      </c>
      <c r="N391" t="s">
        <v>8</v>
      </c>
      <c r="P391">
        <f t="shared" si="19"/>
        <v>0.90011820330969317</v>
      </c>
      <c r="Q391">
        <f t="shared" si="20"/>
        <v>23516391.002907813</v>
      </c>
      <c r="R391">
        <f t="shared" si="21"/>
        <v>-41847941.66045253</v>
      </c>
      <c r="S391">
        <f t="shared" si="22"/>
        <v>-418.47941660452528</v>
      </c>
      <c r="T391">
        <f t="shared" si="23"/>
        <v>-0.41847941660452526</v>
      </c>
    </row>
    <row r="392" spans="1:20" x14ac:dyDescent="0.25">
      <c r="A392" s="5">
        <v>44201</v>
      </c>
      <c r="B392">
        <v>1.0317000000000001</v>
      </c>
      <c r="C392">
        <v>1.38</v>
      </c>
      <c r="D392">
        <v>0.98</v>
      </c>
      <c r="E392">
        <v>1.2501</v>
      </c>
      <c r="F392">
        <v>21614286.190000001</v>
      </c>
      <c r="G392">
        <v>21.17</v>
      </c>
      <c r="L392" t="s">
        <v>8</v>
      </c>
      <c r="M392" t="s">
        <v>8</v>
      </c>
      <c r="N392" t="s">
        <v>8</v>
      </c>
      <c r="P392">
        <f t="shared" si="19"/>
        <v>0.35050000000000031</v>
      </c>
      <c r="Q392">
        <f t="shared" si="20"/>
        <v>7575807.3095950074</v>
      </c>
      <c r="R392">
        <f t="shared" si="21"/>
        <v>-65364332.663360342</v>
      </c>
      <c r="S392">
        <f t="shared" si="22"/>
        <v>-653.64332663360346</v>
      </c>
      <c r="T392">
        <f t="shared" si="23"/>
        <v>-0.65364332663360347</v>
      </c>
    </row>
    <row r="393" spans="1:20" x14ac:dyDescent="0.25">
      <c r="A393" s="5">
        <v>44200</v>
      </c>
      <c r="B393">
        <v>1.1080000000000001</v>
      </c>
      <c r="C393">
        <v>1.24</v>
      </c>
      <c r="D393">
        <v>0.96660000000000001</v>
      </c>
      <c r="E393">
        <v>1.0317000000000001</v>
      </c>
      <c r="F393">
        <v>18714450.359999999</v>
      </c>
      <c r="G393">
        <v>-6.89</v>
      </c>
      <c r="L393" t="s">
        <v>8</v>
      </c>
      <c r="M393" t="s">
        <v>8</v>
      </c>
      <c r="N393" t="s">
        <v>7</v>
      </c>
      <c r="P393">
        <f t="shared" si="19"/>
        <v>-0.52377468910021907</v>
      </c>
      <c r="Q393">
        <f t="shared" si="20"/>
        <v>-9802155.4189904816</v>
      </c>
      <c r="R393">
        <f t="shared" si="21"/>
        <v>-72940139.972955346</v>
      </c>
      <c r="S393">
        <f t="shared" si="22"/>
        <v>-729.40139972955342</v>
      </c>
      <c r="T393">
        <f t="shared" si="23"/>
        <v>-0.72940139972955342</v>
      </c>
    </row>
    <row r="394" spans="1:20" x14ac:dyDescent="0.25">
      <c r="A394" s="5">
        <v>44199</v>
      </c>
      <c r="B394">
        <v>1.0259</v>
      </c>
      <c r="C394">
        <v>1.1568000000000001</v>
      </c>
      <c r="D394">
        <v>0.9456</v>
      </c>
      <c r="E394">
        <v>1.1080000000000001</v>
      </c>
      <c r="F394">
        <v>20147704.010000002</v>
      </c>
      <c r="G394">
        <v>8</v>
      </c>
      <c r="L394" t="s">
        <v>7</v>
      </c>
      <c r="M394" t="s">
        <v>7</v>
      </c>
      <c r="N394" t="s">
        <v>7</v>
      </c>
      <c r="P394">
        <f t="shared" si="19"/>
        <v>0.5378787878787884</v>
      </c>
      <c r="Q394">
        <f t="shared" si="20"/>
        <v>10837022.611439405</v>
      </c>
      <c r="R394">
        <f t="shared" si="21"/>
        <v>-63137984.553964868</v>
      </c>
      <c r="S394">
        <f t="shared" si="22"/>
        <v>-631.37984553964873</v>
      </c>
      <c r="T394">
        <f t="shared" si="23"/>
        <v>-0.63137984553964877</v>
      </c>
    </row>
    <row r="395" spans="1:20" x14ac:dyDescent="0.25">
      <c r="A395" s="5">
        <v>44198</v>
      </c>
      <c r="B395">
        <v>1.1520999999999999</v>
      </c>
      <c r="C395">
        <v>1.1607000000000001</v>
      </c>
      <c r="D395">
        <v>1</v>
      </c>
      <c r="E395">
        <v>1.0249999999999999</v>
      </c>
      <c r="F395">
        <v>11922746.16</v>
      </c>
      <c r="G395">
        <v>-11.03</v>
      </c>
      <c r="L395" t="s">
        <v>7</v>
      </c>
      <c r="M395" t="s">
        <v>7</v>
      </c>
      <c r="N395" t="s">
        <v>8</v>
      </c>
      <c r="P395">
        <f t="shared" si="19"/>
        <v>-0.6888612321095221</v>
      </c>
      <c r="Q395">
        <f t="shared" si="20"/>
        <v>-8213117.6099066734</v>
      </c>
      <c r="R395">
        <f t="shared" si="21"/>
        <v>-73975007.165404275</v>
      </c>
      <c r="S395">
        <f t="shared" si="22"/>
        <v>-739.7500716540427</v>
      </c>
      <c r="T395">
        <f t="shared" si="23"/>
        <v>-0.73975007165404272</v>
      </c>
    </row>
    <row r="396" spans="1:20" x14ac:dyDescent="0.25">
      <c r="A396" s="5">
        <v>44197</v>
      </c>
      <c r="B396">
        <v>1.3623000000000001</v>
      </c>
      <c r="C396">
        <v>1.3974</v>
      </c>
      <c r="D396">
        <v>1.0863</v>
      </c>
      <c r="E396">
        <v>1.155</v>
      </c>
      <c r="F396">
        <v>20279992.260000002</v>
      </c>
      <c r="G396">
        <v>-15.22</v>
      </c>
      <c r="L396" t="s">
        <v>7</v>
      </c>
      <c r="M396" t="s">
        <v>7</v>
      </c>
      <c r="N396" t="s">
        <v>8</v>
      </c>
      <c r="P396">
        <f t="shared" si="19"/>
        <v>-0.55834136933461909</v>
      </c>
      <c r="Q396">
        <f t="shared" si="20"/>
        <v>-11323158.648543878</v>
      </c>
      <c r="R396">
        <f t="shared" si="21"/>
        <v>-65761889.555497602</v>
      </c>
      <c r="S396">
        <f t="shared" si="22"/>
        <v>-657.61889555497601</v>
      </c>
      <c r="T396">
        <f t="shared" si="23"/>
        <v>-0.65761889555497599</v>
      </c>
    </row>
    <row r="397" spans="1:20" x14ac:dyDescent="0.25">
      <c r="A397" s="5">
        <v>44196</v>
      </c>
      <c r="B397">
        <v>1.0931999999999999</v>
      </c>
      <c r="C397">
        <v>1.4033</v>
      </c>
      <c r="D397">
        <v>1.0582</v>
      </c>
      <c r="E397">
        <v>1.3636999999999999</v>
      </c>
      <c r="F397">
        <v>44493450.729999997</v>
      </c>
      <c r="G397">
        <v>24.74</v>
      </c>
      <c r="L397" t="s">
        <v>8</v>
      </c>
      <c r="M397" t="s">
        <v>8</v>
      </c>
      <c r="N397" t="s">
        <v>8</v>
      </c>
      <c r="P397">
        <f t="shared" si="19"/>
        <v>0.77050130396986327</v>
      </c>
      <c r="Q397">
        <f t="shared" si="20"/>
        <v>34282261.805583864</v>
      </c>
      <c r="R397">
        <f t="shared" si="21"/>
        <v>-54438730.906953722</v>
      </c>
      <c r="S397">
        <f t="shared" si="22"/>
        <v>-544.3873090695372</v>
      </c>
      <c r="T397">
        <f t="shared" si="23"/>
        <v>-0.54438730906953725</v>
      </c>
    </row>
    <row r="398" spans="1:20" x14ac:dyDescent="0.25">
      <c r="A398" s="5">
        <v>44195</v>
      </c>
      <c r="B398">
        <v>0.88449999999999995</v>
      </c>
      <c r="C398">
        <v>1.2574000000000001</v>
      </c>
      <c r="D398">
        <v>0.87019999999999997</v>
      </c>
      <c r="E398">
        <v>1.0933999999999999</v>
      </c>
      <c r="F398">
        <v>57120473.109999999</v>
      </c>
      <c r="G398">
        <v>23.62</v>
      </c>
      <c r="L398" t="s">
        <v>8</v>
      </c>
      <c r="M398" t="s">
        <v>8</v>
      </c>
      <c r="N398" t="s">
        <v>8</v>
      </c>
      <c r="P398">
        <f t="shared" si="19"/>
        <v>0.15289256198347054</v>
      </c>
      <c r="Q398">
        <f t="shared" si="20"/>
        <v>8733295.4754958376</v>
      </c>
      <c r="R398">
        <f t="shared" si="21"/>
        <v>-88720992.712537587</v>
      </c>
      <c r="S398">
        <f t="shared" si="22"/>
        <v>-887.20992712537588</v>
      </c>
      <c r="T398">
        <f t="shared" si="23"/>
        <v>-0.88720992712537583</v>
      </c>
    </row>
    <row r="399" spans="1:20" x14ac:dyDescent="0.25">
      <c r="A399" s="5">
        <v>44194</v>
      </c>
      <c r="B399">
        <v>1.1140000000000001</v>
      </c>
      <c r="C399">
        <v>1.1166</v>
      </c>
      <c r="D399">
        <v>0.75409999999999999</v>
      </c>
      <c r="E399">
        <v>0.88449999999999995</v>
      </c>
      <c r="F399">
        <v>53786032.770000003</v>
      </c>
      <c r="G399">
        <v>-20.6</v>
      </c>
      <c r="L399" t="s">
        <v>7</v>
      </c>
      <c r="M399" t="s">
        <v>7</v>
      </c>
      <c r="N399" t="s">
        <v>7</v>
      </c>
      <c r="P399">
        <f t="shared" si="19"/>
        <v>-0.28055172413793134</v>
      </c>
      <c r="Q399">
        <f t="shared" si="20"/>
        <v>-15089764.228162775</v>
      </c>
      <c r="R399">
        <f t="shared" si="21"/>
        <v>-97454288.188033417</v>
      </c>
      <c r="S399">
        <f t="shared" si="22"/>
        <v>-974.54288188033422</v>
      </c>
      <c r="T399">
        <f t="shared" si="23"/>
        <v>-0.97454288188033422</v>
      </c>
    </row>
    <row r="400" spans="1:20" x14ac:dyDescent="0.25">
      <c r="A400" s="5">
        <v>44193</v>
      </c>
      <c r="B400">
        <v>1.06</v>
      </c>
      <c r="C400">
        <v>1.2786999999999999</v>
      </c>
      <c r="D400">
        <v>1.0353000000000001</v>
      </c>
      <c r="E400">
        <v>1.1140000000000001</v>
      </c>
      <c r="F400">
        <v>39346066.969999999</v>
      </c>
      <c r="G400">
        <v>5.09</v>
      </c>
      <c r="L400" t="s">
        <v>8</v>
      </c>
      <c r="M400" t="s">
        <v>8</v>
      </c>
      <c r="N400" t="s">
        <v>7</v>
      </c>
      <c r="P400">
        <f t="shared" si="19"/>
        <v>-0.35332785538208672</v>
      </c>
      <c r="Q400">
        <f t="shared" si="20"/>
        <v>-13902061.460230058</v>
      </c>
      <c r="R400">
        <f t="shared" si="21"/>
        <v>-82364523.959870636</v>
      </c>
      <c r="S400">
        <f t="shared" si="22"/>
        <v>-823.64523959870633</v>
      </c>
      <c r="T400">
        <f t="shared" si="23"/>
        <v>-0.82364523959870628</v>
      </c>
    </row>
    <row r="401" spans="1:20" x14ac:dyDescent="0.25">
      <c r="A401" s="5">
        <v>44192</v>
      </c>
      <c r="B401">
        <v>1.597</v>
      </c>
      <c r="C401">
        <v>1.6516</v>
      </c>
      <c r="D401">
        <v>1.036</v>
      </c>
      <c r="E401">
        <v>1.0611999999999999</v>
      </c>
      <c r="F401">
        <v>77797336.069999993</v>
      </c>
      <c r="G401">
        <v>-33.549999999999997</v>
      </c>
      <c r="L401" t="s">
        <v>7</v>
      </c>
      <c r="M401" t="s">
        <v>7</v>
      </c>
      <c r="N401" t="s">
        <v>7</v>
      </c>
      <c r="P401">
        <f t="shared" si="19"/>
        <v>-0.91812865497076057</v>
      </c>
      <c r="Q401">
        <f t="shared" si="20"/>
        <v>-71427963.526257336</v>
      </c>
      <c r="R401">
        <f t="shared" si="21"/>
        <v>-68462462.499640584</v>
      </c>
      <c r="S401">
        <f t="shared" si="22"/>
        <v>-684.62462499640583</v>
      </c>
      <c r="T401">
        <f t="shared" si="23"/>
        <v>-0.68462462499640586</v>
      </c>
    </row>
    <row r="402" spans="1:20" x14ac:dyDescent="0.25">
      <c r="A402" s="5">
        <v>44191</v>
      </c>
      <c r="B402">
        <v>2.2957999999999998</v>
      </c>
      <c r="C402">
        <v>2.4609000000000001</v>
      </c>
      <c r="D402">
        <v>1.5717000000000001</v>
      </c>
      <c r="E402">
        <v>1.5967</v>
      </c>
      <c r="F402">
        <v>57039701.920000002</v>
      </c>
      <c r="G402">
        <v>-30.45</v>
      </c>
      <c r="L402" t="s">
        <v>8</v>
      </c>
      <c r="M402" t="s">
        <v>8</v>
      </c>
      <c r="N402" t="s">
        <v>8</v>
      </c>
      <c r="P402">
        <f t="shared" si="19"/>
        <v>-0.94376968061178612</v>
      </c>
      <c r="Q402">
        <f t="shared" si="20"/>
        <v>-53832341.263229884</v>
      </c>
      <c r="R402">
        <f t="shared" si="21"/>
        <v>2965501.0266167447</v>
      </c>
      <c r="S402">
        <f t="shared" si="22"/>
        <v>29.655010266167448</v>
      </c>
      <c r="T402">
        <f t="shared" si="23"/>
        <v>2.9655010266167448E-2</v>
      </c>
    </row>
    <row r="403" spans="1:20" x14ac:dyDescent="0.25">
      <c r="A403" s="5">
        <v>44190</v>
      </c>
      <c r="B403">
        <v>0.2</v>
      </c>
      <c r="C403">
        <v>3.0884999999999998</v>
      </c>
      <c r="D403">
        <v>0.2</v>
      </c>
      <c r="E403">
        <v>2.2953999999999999</v>
      </c>
      <c r="F403">
        <v>125977553.14</v>
      </c>
      <c r="G403">
        <v>1047.7</v>
      </c>
      <c r="P403">
        <f t="shared" si="19"/>
        <v>0.45085684611389992</v>
      </c>
      <c r="Q403">
        <f t="shared" si="20"/>
        <v>56797842.289846629</v>
      </c>
      <c r="R403">
        <f t="shared" si="21"/>
        <v>56797842.289846629</v>
      </c>
      <c r="S403">
        <f t="shared" si="22"/>
        <v>567.97842289846631</v>
      </c>
      <c r="T403">
        <f t="shared" si="23"/>
        <v>0.56797842289846634</v>
      </c>
    </row>
    <row r="404" spans="1:20" x14ac:dyDescent="0.25">
      <c r="A404" s="5"/>
      <c r="C404"/>
      <c r="D404"/>
      <c r="P404">
        <f t="shared" si="19"/>
        <v>0</v>
      </c>
      <c r="Q404">
        <f t="shared" si="20"/>
        <v>0</v>
      </c>
      <c r="R404">
        <f t="shared" si="21"/>
        <v>0</v>
      </c>
      <c r="S404">
        <f t="shared" si="22"/>
        <v>0</v>
      </c>
      <c r="T404">
        <f t="shared" si="23"/>
        <v>0</v>
      </c>
    </row>
    <row r="405" spans="1:20" x14ac:dyDescent="0.25">
      <c r="A405" s="5"/>
      <c r="C405"/>
      <c r="D405"/>
      <c r="P405">
        <f t="shared" si="19"/>
        <v>0</v>
      </c>
      <c r="Q405">
        <f t="shared" si="20"/>
        <v>0</v>
      </c>
      <c r="R405">
        <f t="shared" si="21"/>
        <v>0</v>
      </c>
      <c r="S405">
        <f t="shared" si="22"/>
        <v>0</v>
      </c>
      <c r="T405">
        <f t="shared" si="23"/>
        <v>0</v>
      </c>
    </row>
    <row r="406" spans="1:20" x14ac:dyDescent="0.25">
      <c r="A406" s="5"/>
      <c r="C406"/>
      <c r="D406"/>
      <c r="P406">
        <f t="shared" si="19"/>
        <v>0</v>
      </c>
      <c r="Q406">
        <f t="shared" si="20"/>
        <v>0</v>
      </c>
      <c r="R406">
        <f t="shared" si="21"/>
        <v>0</v>
      </c>
      <c r="S406">
        <f t="shared" si="22"/>
        <v>0</v>
      </c>
      <c r="T406">
        <f t="shared" si="23"/>
        <v>0</v>
      </c>
    </row>
    <row r="407" spans="1:20" x14ac:dyDescent="0.25">
      <c r="A407" s="5"/>
      <c r="C407"/>
      <c r="D407"/>
      <c r="P407">
        <f t="shared" si="19"/>
        <v>0</v>
      </c>
      <c r="Q407">
        <f t="shared" si="20"/>
        <v>0</v>
      </c>
      <c r="R407">
        <f t="shared" si="21"/>
        <v>0</v>
      </c>
      <c r="S407">
        <f t="shared" si="22"/>
        <v>0</v>
      </c>
      <c r="T407">
        <f t="shared" si="23"/>
        <v>0</v>
      </c>
    </row>
    <row r="408" spans="1:20" x14ac:dyDescent="0.25">
      <c r="A408" s="5"/>
      <c r="C408"/>
      <c r="D408"/>
      <c r="P408">
        <f t="shared" si="19"/>
        <v>0</v>
      </c>
      <c r="Q408">
        <f t="shared" si="20"/>
        <v>0</v>
      </c>
      <c r="R408">
        <f t="shared" si="21"/>
        <v>0</v>
      </c>
      <c r="S408">
        <f t="shared" si="22"/>
        <v>0</v>
      </c>
      <c r="T408">
        <f t="shared" si="23"/>
        <v>0</v>
      </c>
    </row>
    <row r="409" spans="1:20" x14ac:dyDescent="0.25">
      <c r="A409" s="5"/>
      <c r="C409"/>
      <c r="D409"/>
      <c r="P409">
        <f t="shared" si="19"/>
        <v>0</v>
      </c>
      <c r="Q409">
        <f t="shared" si="20"/>
        <v>0</v>
      </c>
      <c r="R409">
        <f t="shared" si="21"/>
        <v>0</v>
      </c>
      <c r="S409">
        <f t="shared" si="22"/>
        <v>0</v>
      </c>
      <c r="T409">
        <f t="shared" si="23"/>
        <v>0</v>
      </c>
    </row>
    <row r="410" spans="1:20" x14ac:dyDescent="0.25">
      <c r="A410" s="5"/>
      <c r="C410"/>
      <c r="D410"/>
      <c r="P410">
        <f t="shared" si="19"/>
        <v>0</v>
      </c>
      <c r="Q410">
        <f t="shared" si="20"/>
        <v>0</v>
      </c>
      <c r="R410">
        <f t="shared" si="21"/>
        <v>0</v>
      </c>
      <c r="S410">
        <f t="shared" si="22"/>
        <v>0</v>
      </c>
      <c r="T410">
        <f t="shared" si="23"/>
        <v>0</v>
      </c>
    </row>
    <row r="411" spans="1:20" x14ac:dyDescent="0.25">
      <c r="A411" s="5"/>
      <c r="C411"/>
      <c r="D411"/>
      <c r="P411">
        <f t="shared" si="19"/>
        <v>0</v>
      </c>
      <c r="Q411">
        <f t="shared" si="20"/>
        <v>0</v>
      </c>
      <c r="R411">
        <f t="shared" si="21"/>
        <v>0</v>
      </c>
      <c r="S411">
        <f t="shared" si="22"/>
        <v>0</v>
      </c>
      <c r="T411">
        <f t="shared" si="23"/>
        <v>0</v>
      </c>
    </row>
    <row r="412" spans="1:20" x14ac:dyDescent="0.25">
      <c r="A412" s="5"/>
      <c r="C412"/>
      <c r="D412"/>
      <c r="P412">
        <f t="shared" si="19"/>
        <v>0</v>
      </c>
      <c r="Q412">
        <f t="shared" si="20"/>
        <v>0</v>
      </c>
      <c r="R412">
        <f t="shared" si="21"/>
        <v>0</v>
      </c>
      <c r="S412">
        <f t="shared" si="22"/>
        <v>0</v>
      </c>
      <c r="T412">
        <f t="shared" si="23"/>
        <v>0</v>
      </c>
    </row>
    <row r="413" spans="1:20" x14ac:dyDescent="0.25">
      <c r="A413" s="5"/>
      <c r="C413"/>
      <c r="D413"/>
      <c r="P413">
        <f t="shared" si="19"/>
        <v>0</v>
      </c>
      <c r="Q413">
        <f t="shared" si="20"/>
        <v>0</v>
      </c>
      <c r="R413">
        <f t="shared" si="21"/>
        <v>0</v>
      </c>
      <c r="S413">
        <f t="shared" si="22"/>
        <v>0</v>
      </c>
      <c r="T413">
        <f t="shared" si="23"/>
        <v>0</v>
      </c>
    </row>
    <row r="414" spans="1:20" x14ac:dyDescent="0.25">
      <c r="A414" s="5"/>
      <c r="C414"/>
      <c r="D414"/>
      <c r="P414">
        <f t="shared" si="19"/>
        <v>0</v>
      </c>
      <c r="Q414">
        <f t="shared" si="20"/>
        <v>0</v>
      </c>
      <c r="R414">
        <f t="shared" si="21"/>
        <v>0</v>
      </c>
      <c r="S414">
        <f t="shared" si="22"/>
        <v>0</v>
      </c>
      <c r="T414">
        <f t="shared" si="23"/>
        <v>0</v>
      </c>
    </row>
    <row r="415" spans="1:20" x14ac:dyDescent="0.25">
      <c r="A415" s="5"/>
      <c r="C415"/>
      <c r="D415"/>
      <c r="P415">
        <f t="shared" si="19"/>
        <v>0</v>
      </c>
      <c r="Q415">
        <f t="shared" si="20"/>
        <v>0</v>
      </c>
      <c r="R415">
        <f t="shared" si="21"/>
        <v>0</v>
      </c>
      <c r="S415">
        <f t="shared" si="22"/>
        <v>0</v>
      </c>
      <c r="T415">
        <f t="shared" si="23"/>
        <v>0</v>
      </c>
    </row>
    <row r="416" spans="1:20" x14ac:dyDescent="0.25">
      <c r="A416" s="5"/>
      <c r="C416"/>
      <c r="D416"/>
      <c r="P416">
        <f t="shared" si="19"/>
        <v>0</v>
      </c>
      <c r="Q416">
        <f t="shared" si="20"/>
        <v>0</v>
      </c>
      <c r="R416">
        <f t="shared" si="21"/>
        <v>0</v>
      </c>
      <c r="S416">
        <f t="shared" si="22"/>
        <v>0</v>
      </c>
      <c r="T416">
        <f t="shared" si="23"/>
        <v>0</v>
      </c>
    </row>
    <row r="417" spans="1:20" x14ac:dyDescent="0.25">
      <c r="A417" s="5"/>
      <c r="C417"/>
      <c r="D417"/>
      <c r="P417">
        <f t="shared" si="19"/>
        <v>0</v>
      </c>
      <c r="Q417">
        <f t="shared" si="20"/>
        <v>0</v>
      </c>
      <c r="R417">
        <f t="shared" si="21"/>
        <v>0</v>
      </c>
      <c r="S417">
        <f t="shared" si="22"/>
        <v>0</v>
      </c>
      <c r="T417">
        <f t="shared" si="23"/>
        <v>0</v>
      </c>
    </row>
    <row r="418" spans="1:20" x14ac:dyDescent="0.25">
      <c r="A418" s="5"/>
      <c r="C418"/>
      <c r="D418"/>
      <c r="P418">
        <f t="shared" si="19"/>
        <v>0</v>
      </c>
      <c r="Q418">
        <f t="shared" si="20"/>
        <v>0</v>
      </c>
      <c r="R418">
        <f t="shared" si="21"/>
        <v>0</v>
      </c>
      <c r="S418">
        <f t="shared" si="22"/>
        <v>0</v>
      </c>
      <c r="T418">
        <f t="shared" si="23"/>
        <v>0</v>
      </c>
    </row>
    <row r="419" spans="1:20" x14ac:dyDescent="0.25">
      <c r="A419" s="5"/>
      <c r="C419"/>
      <c r="D419"/>
      <c r="P419">
        <f t="shared" si="19"/>
        <v>0</v>
      </c>
      <c r="Q419">
        <f t="shared" si="20"/>
        <v>0</v>
      </c>
      <c r="R419">
        <f t="shared" si="21"/>
        <v>0</v>
      </c>
      <c r="S419">
        <f t="shared" si="22"/>
        <v>0</v>
      </c>
      <c r="T419">
        <f t="shared" si="23"/>
        <v>0</v>
      </c>
    </row>
    <row r="420" spans="1:20" x14ac:dyDescent="0.25">
      <c r="A420" s="5"/>
      <c r="C420"/>
      <c r="D420"/>
      <c r="P420">
        <f t="shared" si="19"/>
        <v>0</v>
      </c>
      <c r="Q420">
        <f t="shared" si="20"/>
        <v>0</v>
      </c>
      <c r="R420">
        <f t="shared" si="21"/>
        <v>0</v>
      </c>
      <c r="S420">
        <f t="shared" si="22"/>
        <v>0</v>
      </c>
      <c r="T420">
        <f t="shared" si="23"/>
        <v>0</v>
      </c>
    </row>
    <row r="421" spans="1:20" x14ac:dyDescent="0.25">
      <c r="A421" s="5"/>
      <c r="C421"/>
      <c r="D421"/>
      <c r="P421">
        <f t="shared" si="19"/>
        <v>0</v>
      </c>
      <c r="Q421">
        <f t="shared" si="20"/>
        <v>0</v>
      </c>
      <c r="R421">
        <f t="shared" si="21"/>
        <v>0</v>
      </c>
      <c r="S421">
        <f t="shared" si="22"/>
        <v>0</v>
      </c>
      <c r="T421">
        <f t="shared" si="23"/>
        <v>0</v>
      </c>
    </row>
    <row r="422" spans="1:20" x14ac:dyDescent="0.25">
      <c r="A422" s="5"/>
      <c r="C422"/>
      <c r="D422"/>
      <c r="P422">
        <f t="shared" si="19"/>
        <v>0</v>
      </c>
      <c r="Q422">
        <f t="shared" si="20"/>
        <v>0</v>
      </c>
      <c r="R422">
        <f t="shared" si="21"/>
        <v>0</v>
      </c>
      <c r="S422">
        <f t="shared" si="22"/>
        <v>0</v>
      </c>
      <c r="T422">
        <f t="shared" si="23"/>
        <v>0</v>
      </c>
    </row>
    <row r="423" spans="1:20" x14ac:dyDescent="0.25">
      <c r="A423" s="5"/>
      <c r="C423"/>
      <c r="D423"/>
      <c r="P423">
        <f t="shared" si="19"/>
        <v>0</v>
      </c>
      <c r="Q423">
        <f t="shared" si="20"/>
        <v>0</v>
      </c>
      <c r="R423">
        <f t="shared" si="21"/>
        <v>0</v>
      </c>
      <c r="S423">
        <f t="shared" si="22"/>
        <v>0</v>
      </c>
      <c r="T423">
        <f t="shared" si="23"/>
        <v>0</v>
      </c>
    </row>
    <row r="424" spans="1:20" x14ac:dyDescent="0.25">
      <c r="A424" s="5"/>
      <c r="C424"/>
      <c r="D424"/>
      <c r="P424">
        <f t="shared" si="19"/>
        <v>0</v>
      </c>
      <c r="Q424">
        <f t="shared" si="20"/>
        <v>0</v>
      </c>
      <c r="R424">
        <f t="shared" si="21"/>
        <v>0</v>
      </c>
      <c r="S424">
        <f t="shared" si="22"/>
        <v>0</v>
      </c>
      <c r="T424">
        <f t="shared" si="23"/>
        <v>0</v>
      </c>
    </row>
    <row r="425" spans="1:20" x14ac:dyDescent="0.25">
      <c r="A425" s="5"/>
      <c r="C425"/>
      <c r="D425"/>
      <c r="P425">
        <f t="shared" si="19"/>
        <v>0</v>
      </c>
      <c r="Q425">
        <f t="shared" si="20"/>
        <v>0</v>
      </c>
      <c r="R425">
        <f t="shared" si="21"/>
        <v>0</v>
      </c>
      <c r="S425">
        <f t="shared" si="22"/>
        <v>0</v>
      </c>
      <c r="T425">
        <f t="shared" si="23"/>
        <v>0</v>
      </c>
    </row>
    <row r="426" spans="1:20" x14ac:dyDescent="0.25">
      <c r="A426" s="5"/>
      <c r="C426"/>
      <c r="D426"/>
      <c r="P426">
        <f t="shared" si="19"/>
        <v>0</v>
      </c>
      <c r="Q426">
        <f t="shared" si="20"/>
        <v>0</v>
      </c>
      <c r="R426">
        <f t="shared" si="21"/>
        <v>0</v>
      </c>
      <c r="S426">
        <f t="shared" si="22"/>
        <v>0</v>
      </c>
      <c r="T426">
        <f t="shared" si="23"/>
        <v>0</v>
      </c>
    </row>
    <row r="427" spans="1:20" x14ac:dyDescent="0.25">
      <c r="A427" s="5"/>
      <c r="C427"/>
      <c r="D427"/>
      <c r="P427">
        <f t="shared" si="19"/>
        <v>0</v>
      </c>
      <c r="Q427">
        <f t="shared" si="20"/>
        <v>0</v>
      </c>
      <c r="R427">
        <f t="shared" si="21"/>
        <v>0</v>
      </c>
      <c r="S427">
        <f t="shared" si="22"/>
        <v>0</v>
      </c>
      <c r="T427">
        <f t="shared" si="23"/>
        <v>0</v>
      </c>
    </row>
    <row r="428" spans="1:20" x14ac:dyDescent="0.25">
      <c r="A428" s="5"/>
      <c r="C428"/>
      <c r="D428"/>
      <c r="P428">
        <f t="shared" si="19"/>
        <v>0</v>
      </c>
      <c r="Q428">
        <f t="shared" si="20"/>
        <v>0</v>
      </c>
      <c r="R428">
        <f t="shared" si="21"/>
        <v>0</v>
      </c>
      <c r="S428">
        <f t="shared" si="22"/>
        <v>0</v>
      </c>
      <c r="T428">
        <f t="shared" si="23"/>
        <v>0</v>
      </c>
    </row>
    <row r="429" spans="1:20" x14ac:dyDescent="0.25">
      <c r="A429" s="5"/>
      <c r="C429"/>
      <c r="D429"/>
      <c r="P429">
        <f t="shared" si="19"/>
        <v>0</v>
      </c>
      <c r="Q429">
        <f t="shared" si="20"/>
        <v>0</v>
      </c>
      <c r="R429">
        <f t="shared" si="21"/>
        <v>0</v>
      </c>
      <c r="S429">
        <f t="shared" si="22"/>
        <v>0</v>
      </c>
      <c r="T429">
        <f t="shared" si="23"/>
        <v>0</v>
      </c>
    </row>
    <row r="430" spans="1:20" x14ac:dyDescent="0.25">
      <c r="A430" s="5"/>
      <c r="C430"/>
      <c r="D430"/>
      <c r="P430">
        <f t="shared" si="19"/>
        <v>0</v>
      </c>
      <c r="Q430">
        <f t="shared" si="20"/>
        <v>0</v>
      </c>
      <c r="R430">
        <f t="shared" si="21"/>
        <v>0</v>
      </c>
      <c r="S430">
        <f t="shared" si="22"/>
        <v>0</v>
      </c>
      <c r="T430">
        <f t="shared" si="23"/>
        <v>0</v>
      </c>
    </row>
    <row r="431" spans="1:20" x14ac:dyDescent="0.25">
      <c r="A431" s="5"/>
      <c r="C431"/>
      <c r="D431"/>
      <c r="P431">
        <f t="shared" si="19"/>
        <v>0</v>
      </c>
      <c r="Q431">
        <f t="shared" si="20"/>
        <v>0</v>
      </c>
      <c r="R431">
        <f t="shared" si="21"/>
        <v>0</v>
      </c>
      <c r="S431">
        <f t="shared" si="22"/>
        <v>0</v>
      </c>
      <c r="T431">
        <f t="shared" si="23"/>
        <v>0</v>
      </c>
    </row>
    <row r="432" spans="1:20" x14ac:dyDescent="0.25">
      <c r="A432" s="5"/>
      <c r="C432"/>
      <c r="D432"/>
      <c r="P432">
        <f t="shared" si="19"/>
        <v>0</v>
      </c>
      <c r="Q432">
        <f t="shared" si="20"/>
        <v>0</v>
      </c>
      <c r="R432">
        <f t="shared" si="21"/>
        <v>0</v>
      </c>
      <c r="S432">
        <f t="shared" si="22"/>
        <v>0</v>
      </c>
      <c r="T432">
        <f t="shared" si="23"/>
        <v>0</v>
      </c>
    </row>
    <row r="433" spans="1:20" x14ac:dyDescent="0.25">
      <c r="A433" s="5"/>
      <c r="C433"/>
      <c r="D433"/>
      <c r="P433">
        <f t="shared" si="19"/>
        <v>0</v>
      </c>
      <c r="Q433">
        <f t="shared" si="20"/>
        <v>0</v>
      </c>
      <c r="R433">
        <f t="shared" si="21"/>
        <v>0</v>
      </c>
      <c r="S433">
        <f t="shared" si="22"/>
        <v>0</v>
      </c>
      <c r="T433">
        <f t="shared" si="23"/>
        <v>0</v>
      </c>
    </row>
    <row r="434" spans="1:20" x14ac:dyDescent="0.25">
      <c r="A434" s="5"/>
      <c r="C434"/>
      <c r="D434"/>
      <c r="P434">
        <f t="shared" si="19"/>
        <v>0</v>
      </c>
      <c r="Q434">
        <f t="shared" si="20"/>
        <v>0</v>
      </c>
      <c r="R434">
        <f t="shared" si="21"/>
        <v>0</v>
      </c>
      <c r="S434">
        <f t="shared" si="22"/>
        <v>0</v>
      </c>
      <c r="T434">
        <f t="shared" si="23"/>
        <v>0</v>
      </c>
    </row>
    <row r="435" spans="1:20" x14ac:dyDescent="0.25">
      <c r="A435" s="5"/>
      <c r="C435"/>
      <c r="D435"/>
      <c r="P435">
        <f t="shared" si="19"/>
        <v>0</v>
      </c>
      <c r="Q435">
        <f t="shared" si="20"/>
        <v>0</v>
      </c>
      <c r="R435">
        <f t="shared" si="21"/>
        <v>0</v>
      </c>
      <c r="S435">
        <f t="shared" si="22"/>
        <v>0</v>
      </c>
      <c r="T435">
        <f t="shared" si="23"/>
        <v>0</v>
      </c>
    </row>
    <row r="436" spans="1:20" x14ac:dyDescent="0.25">
      <c r="A436" s="5"/>
      <c r="C436"/>
      <c r="D436"/>
      <c r="P436">
        <f t="shared" si="19"/>
        <v>0</v>
      </c>
      <c r="Q436">
        <f t="shared" si="20"/>
        <v>0</v>
      </c>
      <c r="R436">
        <f t="shared" si="21"/>
        <v>0</v>
      </c>
      <c r="S436">
        <f t="shared" si="22"/>
        <v>0</v>
      </c>
      <c r="T436">
        <f t="shared" si="23"/>
        <v>0</v>
      </c>
    </row>
    <row r="437" spans="1:20" x14ac:dyDescent="0.25">
      <c r="A437" s="5"/>
      <c r="C437"/>
      <c r="D437"/>
      <c r="P437">
        <f t="shared" si="19"/>
        <v>0</v>
      </c>
      <c r="Q437">
        <f t="shared" si="20"/>
        <v>0</v>
      </c>
      <c r="R437">
        <f t="shared" si="21"/>
        <v>0</v>
      </c>
      <c r="S437">
        <f t="shared" si="22"/>
        <v>0</v>
      </c>
      <c r="T437">
        <f t="shared" si="23"/>
        <v>0</v>
      </c>
    </row>
    <row r="438" spans="1:20" x14ac:dyDescent="0.25">
      <c r="A438" s="5"/>
      <c r="C438"/>
      <c r="D438"/>
      <c r="P438">
        <f t="shared" si="19"/>
        <v>0</v>
      </c>
      <c r="Q438">
        <f t="shared" si="20"/>
        <v>0</v>
      </c>
      <c r="R438">
        <f t="shared" si="21"/>
        <v>0</v>
      </c>
      <c r="S438">
        <f t="shared" si="22"/>
        <v>0</v>
      </c>
      <c r="T438">
        <f t="shared" si="23"/>
        <v>0</v>
      </c>
    </row>
    <row r="439" spans="1:20" x14ac:dyDescent="0.25">
      <c r="A439" s="5"/>
      <c r="C439"/>
      <c r="D439"/>
      <c r="P439">
        <f t="shared" si="19"/>
        <v>0</v>
      </c>
      <c r="Q439">
        <f t="shared" si="20"/>
        <v>0</v>
      </c>
      <c r="R439">
        <f t="shared" si="21"/>
        <v>0</v>
      </c>
      <c r="S439">
        <f t="shared" si="22"/>
        <v>0</v>
      </c>
      <c r="T439">
        <f t="shared" si="23"/>
        <v>0</v>
      </c>
    </row>
    <row r="440" spans="1:20" x14ac:dyDescent="0.25">
      <c r="A440" s="5"/>
      <c r="C440"/>
      <c r="D440"/>
      <c r="P440">
        <f t="shared" si="19"/>
        <v>0</v>
      </c>
      <c r="Q440">
        <f t="shared" si="20"/>
        <v>0</v>
      </c>
      <c r="R440">
        <f t="shared" si="21"/>
        <v>0</v>
      </c>
      <c r="S440">
        <f t="shared" si="22"/>
        <v>0</v>
      </c>
      <c r="T440">
        <f t="shared" si="23"/>
        <v>0</v>
      </c>
    </row>
    <row r="441" spans="1:20" x14ac:dyDescent="0.25">
      <c r="A441" s="5"/>
      <c r="C441"/>
      <c r="D441"/>
      <c r="P441">
        <f t="shared" si="19"/>
        <v>0</v>
      </c>
      <c r="Q441">
        <f t="shared" si="20"/>
        <v>0</v>
      </c>
      <c r="R441">
        <f t="shared" si="21"/>
        <v>0</v>
      </c>
      <c r="S441">
        <f t="shared" si="22"/>
        <v>0</v>
      </c>
      <c r="T441">
        <f t="shared" si="23"/>
        <v>0</v>
      </c>
    </row>
    <row r="442" spans="1:20" x14ac:dyDescent="0.25">
      <c r="A442" s="5"/>
      <c r="C442"/>
      <c r="D442"/>
      <c r="P442">
        <f t="shared" si="19"/>
        <v>0</v>
      </c>
      <c r="Q442">
        <f t="shared" si="20"/>
        <v>0</v>
      </c>
      <c r="R442">
        <f t="shared" si="21"/>
        <v>0</v>
      </c>
      <c r="S442">
        <f t="shared" si="22"/>
        <v>0</v>
      </c>
      <c r="T442">
        <f t="shared" si="23"/>
        <v>0</v>
      </c>
    </row>
    <row r="443" spans="1:20" x14ac:dyDescent="0.25">
      <c r="A443" s="5"/>
      <c r="C443"/>
      <c r="D443"/>
      <c r="P443">
        <f t="shared" si="19"/>
        <v>0</v>
      </c>
      <c r="Q443">
        <f t="shared" si="20"/>
        <v>0</v>
      </c>
      <c r="R443">
        <f t="shared" si="21"/>
        <v>0</v>
      </c>
      <c r="S443">
        <f t="shared" si="22"/>
        <v>0</v>
      </c>
      <c r="T443">
        <f t="shared" si="23"/>
        <v>0</v>
      </c>
    </row>
    <row r="444" spans="1:20" x14ac:dyDescent="0.25">
      <c r="A444" s="5"/>
      <c r="C444"/>
      <c r="D444"/>
      <c r="P444">
        <f t="shared" si="19"/>
        <v>0</v>
      </c>
      <c r="Q444">
        <f t="shared" si="20"/>
        <v>0</v>
      </c>
      <c r="R444">
        <f t="shared" si="21"/>
        <v>0</v>
      </c>
      <c r="S444">
        <f t="shared" si="22"/>
        <v>0</v>
      </c>
      <c r="T444">
        <f t="shared" si="23"/>
        <v>0</v>
      </c>
    </row>
    <row r="445" spans="1:20" x14ac:dyDescent="0.25">
      <c r="A445" s="5"/>
      <c r="C445"/>
      <c r="D445"/>
      <c r="P445">
        <f t="shared" si="19"/>
        <v>0</v>
      </c>
      <c r="Q445">
        <f t="shared" si="20"/>
        <v>0</v>
      </c>
      <c r="R445">
        <f t="shared" si="21"/>
        <v>0</v>
      </c>
      <c r="S445">
        <f t="shared" si="22"/>
        <v>0</v>
      </c>
      <c r="T445">
        <f t="shared" si="23"/>
        <v>0</v>
      </c>
    </row>
    <row r="446" spans="1:20" x14ac:dyDescent="0.25">
      <c r="A446" s="5"/>
      <c r="C446"/>
      <c r="D446"/>
      <c r="P446">
        <f t="shared" si="19"/>
        <v>0</v>
      </c>
      <c r="Q446">
        <f t="shared" si="20"/>
        <v>0</v>
      </c>
      <c r="R446">
        <f t="shared" si="21"/>
        <v>0</v>
      </c>
      <c r="S446">
        <f t="shared" si="22"/>
        <v>0</v>
      </c>
      <c r="T446">
        <f t="shared" si="23"/>
        <v>0</v>
      </c>
    </row>
    <row r="447" spans="1:20" x14ac:dyDescent="0.25">
      <c r="A447" s="5"/>
      <c r="C447"/>
      <c r="D447"/>
      <c r="P447">
        <f t="shared" si="19"/>
        <v>0</v>
      </c>
      <c r="Q447">
        <f t="shared" si="20"/>
        <v>0</v>
      </c>
      <c r="R447">
        <f t="shared" si="21"/>
        <v>0</v>
      </c>
      <c r="S447">
        <f t="shared" si="22"/>
        <v>0</v>
      </c>
      <c r="T447">
        <f t="shared" si="23"/>
        <v>0</v>
      </c>
    </row>
    <row r="448" spans="1:20" x14ac:dyDescent="0.25">
      <c r="A448" s="5"/>
      <c r="C448"/>
      <c r="D448"/>
      <c r="P448">
        <f t="shared" si="19"/>
        <v>0</v>
      </c>
      <c r="Q448">
        <f t="shared" si="20"/>
        <v>0</v>
      </c>
      <c r="R448">
        <f t="shared" si="21"/>
        <v>0</v>
      </c>
      <c r="S448">
        <f t="shared" si="22"/>
        <v>0</v>
      </c>
      <c r="T448">
        <f t="shared" si="23"/>
        <v>0</v>
      </c>
    </row>
    <row r="449" spans="1:20" x14ac:dyDescent="0.25">
      <c r="A449" s="5"/>
      <c r="C449"/>
      <c r="D449"/>
      <c r="P449">
        <f t="shared" si="19"/>
        <v>0</v>
      </c>
      <c r="Q449">
        <f t="shared" si="20"/>
        <v>0</v>
      </c>
      <c r="R449">
        <f t="shared" si="21"/>
        <v>0</v>
      </c>
      <c r="S449">
        <f t="shared" si="22"/>
        <v>0</v>
      </c>
      <c r="T449">
        <f t="shared" si="23"/>
        <v>0</v>
      </c>
    </row>
    <row r="450" spans="1:20" x14ac:dyDescent="0.25">
      <c r="A450" s="5"/>
      <c r="C450"/>
      <c r="D450"/>
      <c r="P450">
        <f t="shared" si="19"/>
        <v>0</v>
      </c>
      <c r="Q450">
        <f t="shared" si="20"/>
        <v>0</v>
      </c>
      <c r="R450">
        <f t="shared" si="21"/>
        <v>0</v>
      </c>
      <c r="S450">
        <f t="shared" si="22"/>
        <v>0</v>
      </c>
      <c r="T450">
        <f t="shared" si="23"/>
        <v>0</v>
      </c>
    </row>
    <row r="451" spans="1:20" x14ac:dyDescent="0.25">
      <c r="A451" s="5"/>
      <c r="C451"/>
      <c r="D451"/>
      <c r="P451">
        <f t="shared" si="19"/>
        <v>0</v>
      </c>
      <c r="Q451">
        <f t="shared" si="20"/>
        <v>0</v>
      </c>
      <c r="R451">
        <f t="shared" si="21"/>
        <v>0</v>
      </c>
      <c r="S451">
        <f t="shared" si="22"/>
        <v>0</v>
      </c>
      <c r="T451">
        <f t="shared" si="23"/>
        <v>0</v>
      </c>
    </row>
    <row r="452" spans="1:20" x14ac:dyDescent="0.25">
      <c r="A452" s="5"/>
      <c r="C452"/>
      <c r="D452"/>
      <c r="P452">
        <f t="shared" si="19"/>
        <v>0</v>
      </c>
      <c r="Q452">
        <f t="shared" si="20"/>
        <v>0</v>
      </c>
      <c r="R452">
        <f t="shared" si="21"/>
        <v>0</v>
      </c>
      <c r="S452">
        <f t="shared" si="22"/>
        <v>0</v>
      </c>
      <c r="T452">
        <f t="shared" si="23"/>
        <v>0</v>
      </c>
    </row>
    <row r="453" spans="1:20" x14ac:dyDescent="0.25">
      <c r="A453" s="5"/>
      <c r="C453"/>
      <c r="D453"/>
      <c r="P453">
        <f t="shared" si="19"/>
        <v>0</v>
      </c>
      <c r="Q453">
        <f t="shared" si="20"/>
        <v>0</v>
      </c>
      <c r="R453">
        <f t="shared" si="21"/>
        <v>0</v>
      </c>
      <c r="S453">
        <f t="shared" si="22"/>
        <v>0</v>
      </c>
      <c r="T453">
        <f t="shared" si="23"/>
        <v>0</v>
      </c>
    </row>
    <row r="454" spans="1:20" x14ac:dyDescent="0.25">
      <c r="A454" s="5"/>
      <c r="C454"/>
      <c r="D454"/>
      <c r="P454">
        <f t="shared" ref="P454:P517" si="24">IF(C454=D454,0,((E454-D454)-(C454-E454))/(C454-D454))</f>
        <v>0</v>
      </c>
      <c r="Q454">
        <f t="shared" ref="Q454:Q517" si="25">F454*P454</f>
        <v>0</v>
      </c>
      <c r="R454">
        <f t="shared" ref="R454:R517" si="26">R455+Q454</f>
        <v>0</v>
      </c>
      <c r="S454">
        <f t="shared" ref="S454:S517" si="27">R454/100000</f>
        <v>0</v>
      </c>
      <c r="T454">
        <f t="shared" ref="T454:T517" si="28">S454/1000</f>
        <v>0</v>
      </c>
    </row>
    <row r="455" spans="1:20" x14ac:dyDescent="0.25">
      <c r="A455" s="5"/>
      <c r="C455"/>
      <c r="D455"/>
      <c r="P455">
        <f t="shared" si="24"/>
        <v>0</v>
      </c>
      <c r="Q455">
        <f t="shared" si="25"/>
        <v>0</v>
      </c>
      <c r="R455">
        <f t="shared" si="26"/>
        <v>0</v>
      </c>
      <c r="S455">
        <f t="shared" si="27"/>
        <v>0</v>
      </c>
      <c r="T455">
        <f t="shared" si="28"/>
        <v>0</v>
      </c>
    </row>
    <row r="456" spans="1:20" x14ac:dyDescent="0.25">
      <c r="A456" s="5"/>
      <c r="C456"/>
      <c r="D456"/>
      <c r="P456">
        <f t="shared" si="24"/>
        <v>0</v>
      </c>
      <c r="Q456">
        <f t="shared" si="25"/>
        <v>0</v>
      </c>
      <c r="R456">
        <f t="shared" si="26"/>
        <v>0</v>
      </c>
      <c r="S456">
        <f t="shared" si="27"/>
        <v>0</v>
      </c>
      <c r="T456">
        <f t="shared" si="28"/>
        <v>0</v>
      </c>
    </row>
    <row r="457" spans="1:20" x14ac:dyDescent="0.25">
      <c r="A457" s="5"/>
      <c r="C457"/>
      <c r="D457"/>
      <c r="P457">
        <f t="shared" si="24"/>
        <v>0</v>
      </c>
      <c r="Q457">
        <f t="shared" si="25"/>
        <v>0</v>
      </c>
      <c r="R457">
        <f t="shared" si="26"/>
        <v>0</v>
      </c>
      <c r="S457">
        <f t="shared" si="27"/>
        <v>0</v>
      </c>
      <c r="T457">
        <f t="shared" si="28"/>
        <v>0</v>
      </c>
    </row>
    <row r="458" spans="1:20" x14ac:dyDescent="0.25">
      <c r="A458" s="5"/>
      <c r="C458"/>
      <c r="D458"/>
      <c r="P458">
        <f t="shared" si="24"/>
        <v>0</v>
      </c>
      <c r="Q458">
        <f t="shared" si="25"/>
        <v>0</v>
      </c>
      <c r="R458">
        <f t="shared" si="26"/>
        <v>0</v>
      </c>
      <c r="S458">
        <f t="shared" si="27"/>
        <v>0</v>
      </c>
      <c r="T458">
        <f t="shared" si="28"/>
        <v>0</v>
      </c>
    </row>
    <row r="459" spans="1:20" x14ac:dyDescent="0.25">
      <c r="A459" s="5"/>
      <c r="C459"/>
      <c r="D459"/>
      <c r="P459">
        <f t="shared" si="24"/>
        <v>0</v>
      </c>
      <c r="Q459">
        <f t="shared" si="25"/>
        <v>0</v>
      </c>
      <c r="R459">
        <f t="shared" si="26"/>
        <v>0</v>
      </c>
      <c r="S459">
        <f t="shared" si="27"/>
        <v>0</v>
      </c>
      <c r="T459">
        <f t="shared" si="28"/>
        <v>0</v>
      </c>
    </row>
    <row r="460" spans="1:20" x14ac:dyDescent="0.25">
      <c r="A460" s="5"/>
      <c r="C460"/>
      <c r="D460"/>
      <c r="P460">
        <f t="shared" si="24"/>
        <v>0</v>
      </c>
      <c r="Q460">
        <f t="shared" si="25"/>
        <v>0</v>
      </c>
      <c r="R460">
        <f t="shared" si="26"/>
        <v>0</v>
      </c>
      <c r="S460">
        <f t="shared" si="27"/>
        <v>0</v>
      </c>
      <c r="T460">
        <f t="shared" si="28"/>
        <v>0</v>
      </c>
    </row>
    <row r="461" spans="1:20" x14ac:dyDescent="0.25">
      <c r="A461" s="5"/>
      <c r="C461"/>
      <c r="D461"/>
      <c r="P461">
        <f t="shared" si="24"/>
        <v>0</v>
      </c>
      <c r="Q461">
        <f t="shared" si="25"/>
        <v>0</v>
      </c>
      <c r="R461">
        <f t="shared" si="26"/>
        <v>0</v>
      </c>
      <c r="S461">
        <f t="shared" si="27"/>
        <v>0</v>
      </c>
      <c r="T461">
        <f t="shared" si="28"/>
        <v>0</v>
      </c>
    </row>
    <row r="462" spans="1:20" x14ac:dyDescent="0.25">
      <c r="A462" s="5"/>
      <c r="C462"/>
      <c r="D462"/>
      <c r="P462">
        <f t="shared" si="24"/>
        <v>0</v>
      </c>
      <c r="Q462">
        <f t="shared" si="25"/>
        <v>0</v>
      </c>
      <c r="R462">
        <f t="shared" si="26"/>
        <v>0</v>
      </c>
      <c r="S462">
        <f t="shared" si="27"/>
        <v>0</v>
      </c>
      <c r="T462">
        <f t="shared" si="28"/>
        <v>0</v>
      </c>
    </row>
    <row r="463" spans="1:20" x14ac:dyDescent="0.25">
      <c r="A463" s="5"/>
      <c r="C463"/>
      <c r="D463"/>
      <c r="P463">
        <f t="shared" si="24"/>
        <v>0</v>
      </c>
      <c r="Q463">
        <f t="shared" si="25"/>
        <v>0</v>
      </c>
      <c r="R463">
        <f t="shared" si="26"/>
        <v>0</v>
      </c>
      <c r="S463">
        <f t="shared" si="27"/>
        <v>0</v>
      </c>
      <c r="T463">
        <f t="shared" si="28"/>
        <v>0</v>
      </c>
    </row>
    <row r="464" spans="1:20" x14ac:dyDescent="0.25">
      <c r="A464" s="5"/>
      <c r="C464"/>
      <c r="D464"/>
      <c r="P464">
        <f t="shared" si="24"/>
        <v>0</v>
      </c>
      <c r="Q464">
        <f t="shared" si="25"/>
        <v>0</v>
      </c>
      <c r="R464">
        <f t="shared" si="26"/>
        <v>0</v>
      </c>
      <c r="S464">
        <f t="shared" si="27"/>
        <v>0</v>
      </c>
      <c r="T464">
        <f t="shared" si="28"/>
        <v>0</v>
      </c>
    </row>
    <row r="465" spans="1:20" x14ac:dyDescent="0.25">
      <c r="A465" s="5"/>
      <c r="C465"/>
      <c r="D465"/>
      <c r="P465">
        <f t="shared" si="24"/>
        <v>0</v>
      </c>
      <c r="Q465">
        <f t="shared" si="25"/>
        <v>0</v>
      </c>
      <c r="R465">
        <f t="shared" si="26"/>
        <v>0</v>
      </c>
      <c r="S465">
        <f t="shared" si="27"/>
        <v>0</v>
      </c>
      <c r="T465">
        <f t="shared" si="28"/>
        <v>0</v>
      </c>
    </row>
    <row r="466" spans="1:20" x14ac:dyDescent="0.25">
      <c r="A466" s="5"/>
      <c r="C466"/>
      <c r="D466"/>
      <c r="P466">
        <f t="shared" si="24"/>
        <v>0</v>
      </c>
      <c r="Q466">
        <f t="shared" si="25"/>
        <v>0</v>
      </c>
      <c r="R466">
        <f t="shared" si="26"/>
        <v>0</v>
      </c>
      <c r="S466">
        <f t="shared" si="27"/>
        <v>0</v>
      </c>
      <c r="T466">
        <f t="shared" si="28"/>
        <v>0</v>
      </c>
    </row>
    <row r="467" spans="1:20" x14ac:dyDescent="0.25">
      <c r="A467" s="5"/>
      <c r="C467"/>
      <c r="D467"/>
      <c r="P467">
        <f t="shared" si="24"/>
        <v>0</v>
      </c>
      <c r="Q467">
        <f t="shared" si="25"/>
        <v>0</v>
      </c>
      <c r="R467">
        <f t="shared" si="26"/>
        <v>0</v>
      </c>
      <c r="S467">
        <f t="shared" si="27"/>
        <v>0</v>
      </c>
      <c r="T467">
        <f t="shared" si="28"/>
        <v>0</v>
      </c>
    </row>
    <row r="468" spans="1:20" x14ac:dyDescent="0.25">
      <c r="A468" s="5"/>
      <c r="C468"/>
      <c r="D468"/>
      <c r="P468">
        <f t="shared" si="24"/>
        <v>0</v>
      </c>
      <c r="Q468">
        <f t="shared" si="25"/>
        <v>0</v>
      </c>
      <c r="R468">
        <f t="shared" si="26"/>
        <v>0</v>
      </c>
      <c r="S468">
        <f t="shared" si="27"/>
        <v>0</v>
      </c>
      <c r="T468">
        <f t="shared" si="28"/>
        <v>0</v>
      </c>
    </row>
    <row r="469" spans="1:20" x14ac:dyDescent="0.25">
      <c r="A469" s="5"/>
      <c r="C469"/>
      <c r="D469"/>
      <c r="P469">
        <f t="shared" si="24"/>
        <v>0</v>
      </c>
      <c r="Q469">
        <f t="shared" si="25"/>
        <v>0</v>
      </c>
      <c r="R469">
        <f t="shared" si="26"/>
        <v>0</v>
      </c>
      <c r="S469">
        <f t="shared" si="27"/>
        <v>0</v>
      </c>
      <c r="T469">
        <f t="shared" si="28"/>
        <v>0</v>
      </c>
    </row>
    <row r="470" spans="1:20" x14ac:dyDescent="0.25">
      <c r="A470" s="5"/>
      <c r="C470"/>
      <c r="D470"/>
      <c r="P470">
        <f t="shared" si="24"/>
        <v>0</v>
      </c>
      <c r="Q470">
        <f t="shared" si="25"/>
        <v>0</v>
      </c>
      <c r="R470">
        <f t="shared" si="26"/>
        <v>0</v>
      </c>
      <c r="S470">
        <f t="shared" si="27"/>
        <v>0</v>
      </c>
      <c r="T470">
        <f t="shared" si="28"/>
        <v>0</v>
      </c>
    </row>
    <row r="471" spans="1:20" x14ac:dyDescent="0.25">
      <c r="A471" s="5"/>
      <c r="C471"/>
      <c r="D471"/>
      <c r="P471">
        <f t="shared" si="24"/>
        <v>0</v>
      </c>
      <c r="Q471">
        <f t="shared" si="25"/>
        <v>0</v>
      </c>
      <c r="R471">
        <f t="shared" si="26"/>
        <v>0</v>
      </c>
      <c r="S471">
        <f t="shared" si="27"/>
        <v>0</v>
      </c>
      <c r="T471">
        <f t="shared" si="28"/>
        <v>0</v>
      </c>
    </row>
    <row r="472" spans="1:20" x14ac:dyDescent="0.25">
      <c r="A472" s="5"/>
      <c r="C472"/>
      <c r="D472"/>
      <c r="P472">
        <f t="shared" si="24"/>
        <v>0</v>
      </c>
      <c r="Q472">
        <f t="shared" si="25"/>
        <v>0</v>
      </c>
      <c r="R472">
        <f t="shared" si="26"/>
        <v>0</v>
      </c>
      <c r="S472">
        <f t="shared" si="27"/>
        <v>0</v>
      </c>
      <c r="T472">
        <f t="shared" si="28"/>
        <v>0</v>
      </c>
    </row>
    <row r="473" spans="1:20" x14ac:dyDescent="0.25">
      <c r="A473" s="5"/>
      <c r="C473"/>
      <c r="D473"/>
      <c r="P473">
        <f t="shared" si="24"/>
        <v>0</v>
      </c>
      <c r="Q473">
        <f t="shared" si="25"/>
        <v>0</v>
      </c>
      <c r="R473">
        <f t="shared" si="26"/>
        <v>0</v>
      </c>
      <c r="S473">
        <f t="shared" si="27"/>
        <v>0</v>
      </c>
      <c r="T473">
        <f t="shared" si="28"/>
        <v>0</v>
      </c>
    </row>
    <row r="474" spans="1:20" x14ac:dyDescent="0.25">
      <c r="A474" s="5"/>
      <c r="C474"/>
      <c r="D474"/>
      <c r="P474">
        <f t="shared" si="24"/>
        <v>0</v>
      </c>
      <c r="Q474">
        <f t="shared" si="25"/>
        <v>0</v>
      </c>
      <c r="R474">
        <f t="shared" si="26"/>
        <v>0</v>
      </c>
      <c r="S474">
        <f t="shared" si="27"/>
        <v>0</v>
      </c>
      <c r="T474">
        <f t="shared" si="28"/>
        <v>0</v>
      </c>
    </row>
    <row r="475" spans="1:20" x14ac:dyDescent="0.25">
      <c r="A475" s="5"/>
      <c r="C475"/>
      <c r="D475"/>
      <c r="P475">
        <f t="shared" si="24"/>
        <v>0</v>
      </c>
      <c r="Q475">
        <f t="shared" si="25"/>
        <v>0</v>
      </c>
      <c r="R475">
        <f t="shared" si="26"/>
        <v>0</v>
      </c>
      <c r="S475">
        <f t="shared" si="27"/>
        <v>0</v>
      </c>
      <c r="T475">
        <f t="shared" si="28"/>
        <v>0</v>
      </c>
    </row>
    <row r="476" spans="1:20" x14ac:dyDescent="0.25">
      <c r="A476" s="5"/>
      <c r="C476"/>
      <c r="D476"/>
      <c r="P476">
        <f t="shared" si="24"/>
        <v>0</v>
      </c>
      <c r="Q476">
        <f t="shared" si="25"/>
        <v>0</v>
      </c>
      <c r="R476">
        <f t="shared" si="26"/>
        <v>0</v>
      </c>
      <c r="S476">
        <f t="shared" si="27"/>
        <v>0</v>
      </c>
      <c r="T476">
        <f t="shared" si="28"/>
        <v>0</v>
      </c>
    </row>
    <row r="477" spans="1:20" x14ac:dyDescent="0.25">
      <c r="A477" s="5"/>
      <c r="C477"/>
      <c r="D477"/>
      <c r="P477">
        <f t="shared" si="24"/>
        <v>0</v>
      </c>
      <c r="Q477">
        <f t="shared" si="25"/>
        <v>0</v>
      </c>
      <c r="R477">
        <f t="shared" si="26"/>
        <v>0</v>
      </c>
      <c r="S477">
        <f t="shared" si="27"/>
        <v>0</v>
      </c>
      <c r="T477">
        <f t="shared" si="28"/>
        <v>0</v>
      </c>
    </row>
    <row r="478" spans="1:20" x14ac:dyDescent="0.25">
      <c r="A478" s="5"/>
      <c r="C478"/>
      <c r="D478"/>
      <c r="P478">
        <f t="shared" si="24"/>
        <v>0</v>
      </c>
      <c r="Q478">
        <f t="shared" si="25"/>
        <v>0</v>
      </c>
      <c r="R478">
        <f t="shared" si="26"/>
        <v>0</v>
      </c>
      <c r="S478">
        <f t="shared" si="27"/>
        <v>0</v>
      </c>
      <c r="T478">
        <f t="shared" si="28"/>
        <v>0</v>
      </c>
    </row>
    <row r="479" spans="1:20" x14ac:dyDescent="0.25">
      <c r="A479" s="5"/>
      <c r="C479"/>
      <c r="D479"/>
      <c r="P479">
        <f t="shared" si="24"/>
        <v>0</v>
      </c>
      <c r="Q479">
        <f t="shared" si="25"/>
        <v>0</v>
      </c>
      <c r="R479">
        <f t="shared" si="26"/>
        <v>0</v>
      </c>
      <c r="S479">
        <f t="shared" si="27"/>
        <v>0</v>
      </c>
      <c r="T479">
        <f t="shared" si="28"/>
        <v>0</v>
      </c>
    </row>
    <row r="480" spans="1:20" x14ac:dyDescent="0.25">
      <c r="A480" s="5"/>
      <c r="C480"/>
      <c r="D480"/>
      <c r="P480">
        <f t="shared" si="24"/>
        <v>0</v>
      </c>
      <c r="Q480">
        <f t="shared" si="25"/>
        <v>0</v>
      </c>
      <c r="R480">
        <f t="shared" si="26"/>
        <v>0</v>
      </c>
      <c r="S480">
        <f t="shared" si="27"/>
        <v>0</v>
      </c>
      <c r="T480">
        <f t="shared" si="28"/>
        <v>0</v>
      </c>
    </row>
    <row r="481" spans="1:20" x14ac:dyDescent="0.25">
      <c r="A481" s="5"/>
      <c r="C481"/>
      <c r="D481"/>
      <c r="P481">
        <f t="shared" si="24"/>
        <v>0</v>
      </c>
      <c r="Q481">
        <f t="shared" si="25"/>
        <v>0</v>
      </c>
      <c r="R481">
        <f t="shared" si="26"/>
        <v>0</v>
      </c>
      <c r="S481">
        <f t="shared" si="27"/>
        <v>0</v>
      </c>
      <c r="T481">
        <f t="shared" si="28"/>
        <v>0</v>
      </c>
    </row>
    <row r="482" spans="1:20" x14ac:dyDescent="0.25">
      <c r="A482" s="5"/>
      <c r="C482"/>
      <c r="D482"/>
      <c r="P482">
        <f t="shared" si="24"/>
        <v>0</v>
      </c>
      <c r="Q482">
        <f t="shared" si="25"/>
        <v>0</v>
      </c>
      <c r="R482">
        <f t="shared" si="26"/>
        <v>0</v>
      </c>
      <c r="S482">
        <f t="shared" si="27"/>
        <v>0</v>
      </c>
      <c r="T482">
        <f t="shared" si="28"/>
        <v>0</v>
      </c>
    </row>
    <row r="483" spans="1:20" x14ac:dyDescent="0.25">
      <c r="A483" s="5"/>
      <c r="C483"/>
      <c r="D483"/>
      <c r="P483">
        <f t="shared" si="24"/>
        <v>0</v>
      </c>
      <c r="Q483">
        <f t="shared" si="25"/>
        <v>0</v>
      </c>
      <c r="R483">
        <f t="shared" si="26"/>
        <v>0</v>
      </c>
      <c r="S483">
        <f t="shared" si="27"/>
        <v>0</v>
      </c>
      <c r="T483">
        <f t="shared" si="28"/>
        <v>0</v>
      </c>
    </row>
    <row r="484" spans="1:20" x14ac:dyDescent="0.25">
      <c r="A484" s="5"/>
      <c r="C484"/>
      <c r="D484"/>
      <c r="P484">
        <f t="shared" si="24"/>
        <v>0</v>
      </c>
      <c r="Q484">
        <f t="shared" si="25"/>
        <v>0</v>
      </c>
      <c r="R484">
        <f t="shared" si="26"/>
        <v>0</v>
      </c>
      <c r="S484">
        <f t="shared" si="27"/>
        <v>0</v>
      </c>
      <c r="T484">
        <f t="shared" si="28"/>
        <v>0</v>
      </c>
    </row>
    <row r="485" spans="1:20" x14ac:dyDescent="0.25">
      <c r="A485" s="5"/>
      <c r="C485"/>
      <c r="D485"/>
      <c r="P485">
        <f t="shared" si="24"/>
        <v>0</v>
      </c>
      <c r="Q485">
        <f t="shared" si="25"/>
        <v>0</v>
      </c>
      <c r="R485">
        <f t="shared" si="26"/>
        <v>0</v>
      </c>
      <c r="S485">
        <f t="shared" si="27"/>
        <v>0</v>
      </c>
      <c r="T485">
        <f t="shared" si="28"/>
        <v>0</v>
      </c>
    </row>
    <row r="486" spans="1:20" x14ac:dyDescent="0.25">
      <c r="A486" s="5"/>
      <c r="C486"/>
      <c r="D486"/>
      <c r="P486">
        <f t="shared" si="24"/>
        <v>0</v>
      </c>
      <c r="Q486">
        <f t="shared" si="25"/>
        <v>0</v>
      </c>
      <c r="R486">
        <f t="shared" si="26"/>
        <v>0</v>
      </c>
      <c r="S486">
        <f t="shared" si="27"/>
        <v>0</v>
      </c>
      <c r="T486">
        <f t="shared" si="28"/>
        <v>0</v>
      </c>
    </row>
    <row r="487" spans="1:20" x14ac:dyDescent="0.25">
      <c r="A487" s="5"/>
      <c r="C487"/>
      <c r="D487"/>
      <c r="P487">
        <f t="shared" si="24"/>
        <v>0</v>
      </c>
      <c r="Q487">
        <f t="shared" si="25"/>
        <v>0</v>
      </c>
      <c r="R487">
        <f t="shared" si="26"/>
        <v>0</v>
      </c>
      <c r="S487">
        <f t="shared" si="27"/>
        <v>0</v>
      </c>
      <c r="T487">
        <f t="shared" si="28"/>
        <v>0</v>
      </c>
    </row>
    <row r="488" spans="1:20" x14ac:dyDescent="0.25">
      <c r="A488" s="5"/>
      <c r="C488"/>
      <c r="D488"/>
      <c r="P488">
        <f t="shared" si="24"/>
        <v>0</v>
      </c>
      <c r="Q488">
        <f t="shared" si="25"/>
        <v>0</v>
      </c>
      <c r="R488">
        <f t="shared" si="26"/>
        <v>0</v>
      </c>
      <c r="S488">
        <f t="shared" si="27"/>
        <v>0</v>
      </c>
      <c r="T488">
        <f t="shared" si="28"/>
        <v>0</v>
      </c>
    </row>
    <row r="489" spans="1:20" x14ac:dyDescent="0.25">
      <c r="A489" s="5"/>
      <c r="C489"/>
      <c r="D489"/>
      <c r="P489">
        <f t="shared" si="24"/>
        <v>0</v>
      </c>
      <c r="Q489">
        <f t="shared" si="25"/>
        <v>0</v>
      </c>
      <c r="R489">
        <f t="shared" si="26"/>
        <v>0</v>
      </c>
      <c r="S489">
        <f t="shared" si="27"/>
        <v>0</v>
      </c>
      <c r="T489">
        <f t="shared" si="28"/>
        <v>0</v>
      </c>
    </row>
    <row r="490" spans="1:20" x14ac:dyDescent="0.25">
      <c r="A490" s="5"/>
      <c r="C490"/>
      <c r="D490"/>
      <c r="P490">
        <f t="shared" si="24"/>
        <v>0</v>
      </c>
      <c r="Q490">
        <f t="shared" si="25"/>
        <v>0</v>
      </c>
      <c r="R490">
        <f t="shared" si="26"/>
        <v>0</v>
      </c>
      <c r="S490">
        <f t="shared" si="27"/>
        <v>0</v>
      </c>
      <c r="T490">
        <f t="shared" si="28"/>
        <v>0</v>
      </c>
    </row>
    <row r="491" spans="1:20" x14ac:dyDescent="0.25">
      <c r="A491" s="5"/>
      <c r="C491"/>
      <c r="D491"/>
      <c r="P491">
        <f t="shared" si="24"/>
        <v>0</v>
      </c>
      <c r="Q491">
        <f t="shared" si="25"/>
        <v>0</v>
      </c>
      <c r="R491">
        <f t="shared" si="26"/>
        <v>0</v>
      </c>
      <c r="S491">
        <f t="shared" si="27"/>
        <v>0</v>
      </c>
      <c r="T491">
        <f t="shared" si="28"/>
        <v>0</v>
      </c>
    </row>
    <row r="492" spans="1:20" x14ac:dyDescent="0.25">
      <c r="A492" s="5"/>
      <c r="C492"/>
      <c r="D492"/>
      <c r="P492">
        <f t="shared" si="24"/>
        <v>0</v>
      </c>
      <c r="Q492">
        <f t="shared" si="25"/>
        <v>0</v>
      </c>
      <c r="R492">
        <f t="shared" si="26"/>
        <v>0</v>
      </c>
      <c r="S492">
        <f t="shared" si="27"/>
        <v>0</v>
      </c>
      <c r="T492">
        <f t="shared" si="28"/>
        <v>0</v>
      </c>
    </row>
    <row r="493" spans="1:20" x14ac:dyDescent="0.25">
      <c r="A493" s="5"/>
      <c r="C493"/>
      <c r="D493"/>
      <c r="P493">
        <f t="shared" si="24"/>
        <v>0</v>
      </c>
      <c r="Q493">
        <f t="shared" si="25"/>
        <v>0</v>
      </c>
      <c r="R493">
        <f t="shared" si="26"/>
        <v>0</v>
      </c>
      <c r="S493">
        <f t="shared" si="27"/>
        <v>0</v>
      </c>
      <c r="T493">
        <f t="shared" si="28"/>
        <v>0</v>
      </c>
    </row>
    <row r="494" spans="1:20" x14ac:dyDescent="0.25">
      <c r="A494" s="5"/>
      <c r="C494"/>
      <c r="D494"/>
      <c r="P494">
        <f t="shared" si="24"/>
        <v>0</v>
      </c>
      <c r="Q494">
        <f t="shared" si="25"/>
        <v>0</v>
      </c>
      <c r="R494">
        <f t="shared" si="26"/>
        <v>0</v>
      </c>
      <c r="S494">
        <f t="shared" si="27"/>
        <v>0</v>
      </c>
      <c r="T494">
        <f t="shared" si="28"/>
        <v>0</v>
      </c>
    </row>
    <row r="495" spans="1:20" x14ac:dyDescent="0.25">
      <c r="A495" s="5"/>
      <c r="C495"/>
      <c r="D495"/>
      <c r="P495">
        <f t="shared" si="24"/>
        <v>0</v>
      </c>
      <c r="Q495">
        <f t="shared" si="25"/>
        <v>0</v>
      </c>
      <c r="R495">
        <f t="shared" si="26"/>
        <v>0</v>
      </c>
      <c r="S495">
        <f t="shared" si="27"/>
        <v>0</v>
      </c>
      <c r="T495">
        <f t="shared" si="28"/>
        <v>0</v>
      </c>
    </row>
    <row r="496" spans="1:20" x14ac:dyDescent="0.25">
      <c r="A496" s="5"/>
      <c r="C496"/>
      <c r="D496"/>
      <c r="P496">
        <f t="shared" si="24"/>
        <v>0</v>
      </c>
      <c r="Q496">
        <f t="shared" si="25"/>
        <v>0</v>
      </c>
      <c r="R496">
        <f t="shared" si="26"/>
        <v>0</v>
      </c>
      <c r="S496">
        <f t="shared" si="27"/>
        <v>0</v>
      </c>
      <c r="T496">
        <f t="shared" si="28"/>
        <v>0</v>
      </c>
    </row>
    <row r="497" spans="1:20" x14ac:dyDescent="0.25">
      <c r="A497" s="5"/>
      <c r="C497"/>
      <c r="D497"/>
      <c r="P497">
        <f t="shared" si="24"/>
        <v>0</v>
      </c>
      <c r="Q497">
        <f t="shared" si="25"/>
        <v>0</v>
      </c>
      <c r="R497">
        <f t="shared" si="26"/>
        <v>0</v>
      </c>
      <c r="S497">
        <f t="shared" si="27"/>
        <v>0</v>
      </c>
      <c r="T497">
        <f t="shared" si="28"/>
        <v>0</v>
      </c>
    </row>
    <row r="498" spans="1:20" x14ac:dyDescent="0.25">
      <c r="A498" s="5"/>
      <c r="C498"/>
      <c r="D498"/>
      <c r="P498">
        <f t="shared" si="24"/>
        <v>0</v>
      </c>
      <c r="Q498">
        <f t="shared" si="25"/>
        <v>0</v>
      </c>
      <c r="R498">
        <f t="shared" si="26"/>
        <v>0</v>
      </c>
      <c r="S498">
        <f t="shared" si="27"/>
        <v>0</v>
      </c>
      <c r="T498">
        <f t="shared" si="28"/>
        <v>0</v>
      </c>
    </row>
    <row r="499" spans="1:20" x14ac:dyDescent="0.25">
      <c r="A499" s="5"/>
      <c r="C499"/>
      <c r="D499"/>
      <c r="P499">
        <f t="shared" si="24"/>
        <v>0</v>
      </c>
      <c r="Q499">
        <f t="shared" si="25"/>
        <v>0</v>
      </c>
      <c r="R499">
        <f t="shared" si="26"/>
        <v>0</v>
      </c>
      <c r="S499">
        <f t="shared" si="27"/>
        <v>0</v>
      </c>
      <c r="T499">
        <f t="shared" si="28"/>
        <v>0</v>
      </c>
    </row>
    <row r="500" spans="1:20" x14ac:dyDescent="0.25">
      <c r="A500" s="5"/>
      <c r="C500"/>
      <c r="D500"/>
      <c r="P500">
        <f t="shared" si="24"/>
        <v>0</v>
      </c>
      <c r="Q500">
        <f t="shared" si="25"/>
        <v>0</v>
      </c>
      <c r="R500">
        <f t="shared" si="26"/>
        <v>0</v>
      </c>
      <c r="S500">
        <f t="shared" si="27"/>
        <v>0</v>
      </c>
      <c r="T500">
        <f t="shared" si="28"/>
        <v>0</v>
      </c>
    </row>
    <row r="501" spans="1:20" x14ac:dyDescent="0.25">
      <c r="A501" s="5"/>
      <c r="C501"/>
      <c r="D501"/>
      <c r="P501">
        <f t="shared" si="24"/>
        <v>0</v>
      </c>
      <c r="Q501">
        <f t="shared" si="25"/>
        <v>0</v>
      </c>
      <c r="R501">
        <f t="shared" si="26"/>
        <v>0</v>
      </c>
      <c r="S501">
        <f t="shared" si="27"/>
        <v>0</v>
      </c>
      <c r="T501">
        <f t="shared" si="28"/>
        <v>0</v>
      </c>
    </row>
    <row r="502" spans="1:20" x14ac:dyDescent="0.25">
      <c r="A502" s="5"/>
      <c r="C502"/>
      <c r="D502"/>
      <c r="P502">
        <f t="shared" si="24"/>
        <v>0</v>
      </c>
      <c r="Q502">
        <f t="shared" si="25"/>
        <v>0</v>
      </c>
      <c r="R502">
        <f t="shared" si="26"/>
        <v>0</v>
      </c>
      <c r="S502">
        <f t="shared" si="27"/>
        <v>0</v>
      </c>
      <c r="T502">
        <f t="shared" si="28"/>
        <v>0</v>
      </c>
    </row>
    <row r="503" spans="1:20" x14ac:dyDescent="0.25">
      <c r="A503" s="5"/>
      <c r="C503"/>
      <c r="D503"/>
      <c r="P503">
        <f t="shared" si="24"/>
        <v>0</v>
      </c>
      <c r="Q503">
        <f t="shared" si="25"/>
        <v>0</v>
      </c>
      <c r="R503">
        <f t="shared" si="26"/>
        <v>0</v>
      </c>
      <c r="S503">
        <f t="shared" si="27"/>
        <v>0</v>
      </c>
      <c r="T503">
        <f t="shared" si="28"/>
        <v>0</v>
      </c>
    </row>
    <row r="504" spans="1:20" x14ac:dyDescent="0.25">
      <c r="A504" s="5"/>
      <c r="C504"/>
      <c r="D504"/>
      <c r="P504">
        <f t="shared" si="24"/>
        <v>0</v>
      </c>
      <c r="Q504">
        <f t="shared" si="25"/>
        <v>0</v>
      </c>
      <c r="R504">
        <f t="shared" si="26"/>
        <v>0</v>
      </c>
      <c r="S504">
        <f t="shared" si="27"/>
        <v>0</v>
      </c>
      <c r="T504">
        <f t="shared" si="28"/>
        <v>0</v>
      </c>
    </row>
    <row r="505" spans="1:20" x14ac:dyDescent="0.25">
      <c r="A505" s="5"/>
      <c r="C505"/>
      <c r="D505"/>
      <c r="P505">
        <f t="shared" si="24"/>
        <v>0</v>
      </c>
      <c r="Q505">
        <f t="shared" si="25"/>
        <v>0</v>
      </c>
      <c r="R505">
        <f t="shared" si="26"/>
        <v>0</v>
      </c>
      <c r="S505">
        <f t="shared" si="27"/>
        <v>0</v>
      </c>
      <c r="T505">
        <f t="shared" si="28"/>
        <v>0</v>
      </c>
    </row>
    <row r="506" spans="1:20" x14ac:dyDescent="0.25">
      <c r="A506" s="5"/>
      <c r="C506"/>
      <c r="D506"/>
      <c r="P506">
        <f t="shared" si="24"/>
        <v>0</v>
      </c>
      <c r="Q506">
        <f t="shared" si="25"/>
        <v>0</v>
      </c>
      <c r="R506">
        <f t="shared" si="26"/>
        <v>0</v>
      </c>
      <c r="S506">
        <f t="shared" si="27"/>
        <v>0</v>
      </c>
      <c r="T506">
        <f t="shared" si="28"/>
        <v>0</v>
      </c>
    </row>
    <row r="507" spans="1:20" x14ac:dyDescent="0.25">
      <c r="A507" s="5"/>
      <c r="C507"/>
      <c r="D507"/>
      <c r="P507">
        <f t="shared" si="24"/>
        <v>0</v>
      </c>
      <c r="Q507">
        <f t="shared" si="25"/>
        <v>0</v>
      </c>
      <c r="R507">
        <f t="shared" si="26"/>
        <v>0</v>
      </c>
      <c r="S507">
        <f t="shared" si="27"/>
        <v>0</v>
      </c>
      <c r="T507">
        <f t="shared" si="28"/>
        <v>0</v>
      </c>
    </row>
    <row r="508" spans="1:20" x14ac:dyDescent="0.25">
      <c r="A508" s="5"/>
      <c r="C508"/>
      <c r="D508"/>
      <c r="P508">
        <f t="shared" si="24"/>
        <v>0</v>
      </c>
      <c r="Q508">
        <f t="shared" si="25"/>
        <v>0</v>
      </c>
      <c r="R508">
        <f t="shared" si="26"/>
        <v>0</v>
      </c>
      <c r="S508">
        <f t="shared" si="27"/>
        <v>0</v>
      </c>
      <c r="T508">
        <f t="shared" si="28"/>
        <v>0</v>
      </c>
    </row>
    <row r="509" spans="1:20" x14ac:dyDescent="0.25">
      <c r="A509" s="5"/>
      <c r="C509"/>
      <c r="D509"/>
      <c r="P509">
        <f t="shared" si="24"/>
        <v>0</v>
      </c>
      <c r="Q509">
        <f t="shared" si="25"/>
        <v>0</v>
      </c>
      <c r="R509">
        <f t="shared" si="26"/>
        <v>0</v>
      </c>
      <c r="S509">
        <f t="shared" si="27"/>
        <v>0</v>
      </c>
      <c r="T509">
        <f t="shared" si="28"/>
        <v>0</v>
      </c>
    </row>
    <row r="510" spans="1:20" x14ac:dyDescent="0.25">
      <c r="A510" s="5"/>
      <c r="C510"/>
      <c r="D510"/>
      <c r="P510">
        <f t="shared" si="24"/>
        <v>0</v>
      </c>
      <c r="Q510">
        <f t="shared" si="25"/>
        <v>0</v>
      </c>
      <c r="R510">
        <f t="shared" si="26"/>
        <v>0</v>
      </c>
      <c r="S510">
        <f t="shared" si="27"/>
        <v>0</v>
      </c>
      <c r="T510">
        <f t="shared" si="28"/>
        <v>0</v>
      </c>
    </row>
    <row r="511" spans="1:20" x14ac:dyDescent="0.25">
      <c r="A511" s="5"/>
      <c r="C511"/>
      <c r="D511"/>
      <c r="P511">
        <f t="shared" si="24"/>
        <v>0</v>
      </c>
      <c r="Q511">
        <f t="shared" si="25"/>
        <v>0</v>
      </c>
      <c r="R511">
        <f t="shared" si="26"/>
        <v>0</v>
      </c>
      <c r="S511">
        <f t="shared" si="27"/>
        <v>0</v>
      </c>
      <c r="T511">
        <f t="shared" si="28"/>
        <v>0</v>
      </c>
    </row>
    <row r="512" spans="1:20" x14ac:dyDescent="0.25">
      <c r="A512" s="5"/>
      <c r="C512"/>
      <c r="D512"/>
      <c r="P512">
        <f t="shared" si="24"/>
        <v>0</v>
      </c>
      <c r="Q512">
        <f t="shared" si="25"/>
        <v>0</v>
      </c>
      <c r="R512">
        <f t="shared" si="26"/>
        <v>0</v>
      </c>
      <c r="S512">
        <f t="shared" si="27"/>
        <v>0</v>
      </c>
      <c r="T512">
        <f t="shared" si="28"/>
        <v>0</v>
      </c>
    </row>
    <row r="513" spans="1:20" x14ac:dyDescent="0.25">
      <c r="A513" s="5"/>
      <c r="C513"/>
      <c r="D513"/>
      <c r="P513">
        <f t="shared" si="24"/>
        <v>0</v>
      </c>
      <c r="Q513">
        <f t="shared" si="25"/>
        <v>0</v>
      </c>
      <c r="R513">
        <f t="shared" si="26"/>
        <v>0</v>
      </c>
      <c r="S513">
        <f t="shared" si="27"/>
        <v>0</v>
      </c>
      <c r="T513">
        <f t="shared" si="28"/>
        <v>0</v>
      </c>
    </row>
    <row r="514" spans="1:20" x14ac:dyDescent="0.25">
      <c r="A514" s="5"/>
      <c r="C514"/>
      <c r="D514"/>
      <c r="P514">
        <f t="shared" si="24"/>
        <v>0</v>
      </c>
      <c r="Q514">
        <f t="shared" si="25"/>
        <v>0</v>
      </c>
      <c r="R514">
        <f t="shared" si="26"/>
        <v>0</v>
      </c>
      <c r="S514">
        <f t="shared" si="27"/>
        <v>0</v>
      </c>
      <c r="T514">
        <f t="shared" si="28"/>
        <v>0</v>
      </c>
    </row>
    <row r="515" spans="1:20" x14ac:dyDescent="0.25">
      <c r="A515" s="5"/>
      <c r="C515"/>
      <c r="D515"/>
      <c r="P515">
        <f t="shared" si="24"/>
        <v>0</v>
      </c>
      <c r="Q515">
        <f t="shared" si="25"/>
        <v>0</v>
      </c>
      <c r="R515">
        <f t="shared" si="26"/>
        <v>0</v>
      </c>
      <c r="S515">
        <f t="shared" si="27"/>
        <v>0</v>
      </c>
      <c r="T515">
        <f t="shared" si="28"/>
        <v>0</v>
      </c>
    </row>
    <row r="516" spans="1:20" x14ac:dyDescent="0.25">
      <c r="A516" s="5"/>
      <c r="C516"/>
      <c r="D516"/>
      <c r="P516">
        <f t="shared" si="24"/>
        <v>0</v>
      </c>
      <c r="Q516">
        <f t="shared" si="25"/>
        <v>0</v>
      </c>
      <c r="R516">
        <f t="shared" si="26"/>
        <v>0</v>
      </c>
      <c r="S516">
        <f t="shared" si="27"/>
        <v>0</v>
      </c>
      <c r="T516">
        <f t="shared" si="28"/>
        <v>0</v>
      </c>
    </row>
    <row r="517" spans="1:20" x14ac:dyDescent="0.25">
      <c r="A517" s="5"/>
      <c r="C517"/>
      <c r="D517"/>
      <c r="P517">
        <f t="shared" si="24"/>
        <v>0</v>
      </c>
      <c r="Q517">
        <f t="shared" si="25"/>
        <v>0</v>
      </c>
      <c r="R517">
        <f t="shared" si="26"/>
        <v>0</v>
      </c>
      <c r="S517">
        <f t="shared" si="27"/>
        <v>0</v>
      </c>
      <c r="T517">
        <f t="shared" si="28"/>
        <v>0</v>
      </c>
    </row>
    <row r="518" spans="1:20" x14ac:dyDescent="0.25">
      <c r="A518" s="5"/>
      <c r="C518"/>
      <c r="D518"/>
      <c r="P518">
        <f t="shared" ref="P518:P581" si="29">IF(C518=D518,0,((E518-D518)-(C518-E518))/(C518-D518))</f>
        <v>0</v>
      </c>
      <c r="Q518">
        <f t="shared" ref="Q518:Q581" si="30">F518*P518</f>
        <v>0</v>
      </c>
      <c r="R518">
        <f t="shared" ref="R518:R581" si="31">R519+Q518</f>
        <v>0</v>
      </c>
      <c r="S518">
        <f t="shared" ref="S518:S581" si="32">R518/100000</f>
        <v>0</v>
      </c>
      <c r="T518">
        <f t="shared" ref="T518:T581" si="33">S518/1000</f>
        <v>0</v>
      </c>
    </row>
    <row r="519" spans="1:20" x14ac:dyDescent="0.25">
      <c r="A519" s="5"/>
      <c r="C519"/>
      <c r="D519"/>
      <c r="P519">
        <f t="shared" si="29"/>
        <v>0</v>
      </c>
      <c r="Q519">
        <f t="shared" si="30"/>
        <v>0</v>
      </c>
      <c r="R519">
        <f t="shared" si="31"/>
        <v>0</v>
      </c>
      <c r="S519">
        <f t="shared" si="32"/>
        <v>0</v>
      </c>
      <c r="T519">
        <f t="shared" si="33"/>
        <v>0</v>
      </c>
    </row>
    <row r="520" spans="1:20" x14ac:dyDescent="0.25">
      <c r="A520" s="5"/>
      <c r="C520"/>
      <c r="D520"/>
      <c r="P520">
        <f t="shared" si="29"/>
        <v>0</v>
      </c>
      <c r="Q520">
        <f t="shared" si="30"/>
        <v>0</v>
      </c>
      <c r="R520">
        <f t="shared" si="31"/>
        <v>0</v>
      </c>
      <c r="S520">
        <f t="shared" si="32"/>
        <v>0</v>
      </c>
      <c r="T520">
        <f t="shared" si="33"/>
        <v>0</v>
      </c>
    </row>
    <row r="521" spans="1:20" x14ac:dyDescent="0.25">
      <c r="A521" s="5"/>
      <c r="C521"/>
      <c r="D521"/>
      <c r="P521">
        <f t="shared" si="29"/>
        <v>0</v>
      </c>
      <c r="Q521">
        <f t="shared" si="30"/>
        <v>0</v>
      </c>
      <c r="R521">
        <f t="shared" si="31"/>
        <v>0</v>
      </c>
      <c r="S521">
        <f t="shared" si="32"/>
        <v>0</v>
      </c>
      <c r="T521">
        <f t="shared" si="33"/>
        <v>0</v>
      </c>
    </row>
    <row r="522" spans="1:20" x14ac:dyDescent="0.25">
      <c r="A522" s="5"/>
      <c r="C522"/>
      <c r="D522"/>
      <c r="P522">
        <f t="shared" si="29"/>
        <v>0</v>
      </c>
      <c r="Q522">
        <f t="shared" si="30"/>
        <v>0</v>
      </c>
      <c r="R522">
        <f t="shared" si="31"/>
        <v>0</v>
      </c>
      <c r="S522">
        <f t="shared" si="32"/>
        <v>0</v>
      </c>
      <c r="T522">
        <f t="shared" si="33"/>
        <v>0</v>
      </c>
    </row>
    <row r="523" spans="1:20" x14ac:dyDescent="0.25">
      <c r="A523" s="5"/>
      <c r="C523"/>
      <c r="D523"/>
      <c r="P523">
        <f t="shared" si="29"/>
        <v>0</v>
      </c>
      <c r="Q523">
        <f t="shared" si="30"/>
        <v>0</v>
      </c>
      <c r="R523">
        <f t="shared" si="31"/>
        <v>0</v>
      </c>
      <c r="S523">
        <f t="shared" si="32"/>
        <v>0</v>
      </c>
      <c r="T523">
        <f t="shared" si="33"/>
        <v>0</v>
      </c>
    </row>
    <row r="524" spans="1:20" x14ac:dyDescent="0.25">
      <c r="A524" s="5"/>
      <c r="C524"/>
      <c r="D524"/>
      <c r="P524">
        <f t="shared" si="29"/>
        <v>0</v>
      </c>
      <c r="Q524">
        <f t="shared" si="30"/>
        <v>0</v>
      </c>
      <c r="R524">
        <f t="shared" si="31"/>
        <v>0</v>
      </c>
      <c r="S524">
        <f t="shared" si="32"/>
        <v>0</v>
      </c>
      <c r="T524">
        <f t="shared" si="33"/>
        <v>0</v>
      </c>
    </row>
    <row r="525" spans="1:20" x14ac:dyDescent="0.25">
      <c r="A525" s="5"/>
      <c r="C525"/>
      <c r="D525"/>
      <c r="P525">
        <f t="shared" si="29"/>
        <v>0</v>
      </c>
      <c r="Q525">
        <f t="shared" si="30"/>
        <v>0</v>
      </c>
      <c r="R525">
        <f t="shared" si="31"/>
        <v>0</v>
      </c>
      <c r="S525">
        <f t="shared" si="32"/>
        <v>0</v>
      </c>
      <c r="T525">
        <f t="shared" si="33"/>
        <v>0</v>
      </c>
    </row>
    <row r="526" spans="1:20" x14ac:dyDescent="0.25">
      <c r="A526" s="5"/>
      <c r="C526"/>
      <c r="D526"/>
      <c r="P526">
        <f t="shared" si="29"/>
        <v>0</v>
      </c>
      <c r="Q526">
        <f t="shared" si="30"/>
        <v>0</v>
      </c>
      <c r="R526">
        <f t="shared" si="31"/>
        <v>0</v>
      </c>
      <c r="S526">
        <f t="shared" si="32"/>
        <v>0</v>
      </c>
      <c r="T526">
        <f t="shared" si="33"/>
        <v>0</v>
      </c>
    </row>
    <row r="527" spans="1:20" x14ac:dyDescent="0.25">
      <c r="A527" s="5"/>
      <c r="C527"/>
      <c r="D527"/>
      <c r="P527">
        <f t="shared" si="29"/>
        <v>0</v>
      </c>
      <c r="Q527">
        <f t="shared" si="30"/>
        <v>0</v>
      </c>
      <c r="R527">
        <f t="shared" si="31"/>
        <v>0</v>
      </c>
      <c r="S527">
        <f t="shared" si="32"/>
        <v>0</v>
      </c>
      <c r="T527">
        <f t="shared" si="33"/>
        <v>0</v>
      </c>
    </row>
    <row r="528" spans="1:20" x14ac:dyDescent="0.25">
      <c r="A528" s="5"/>
      <c r="C528"/>
      <c r="D528"/>
      <c r="P528">
        <f t="shared" si="29"/>
        <v>0</v>
      </c>
      <c r="Q528">
        <f t="shared" si="30"/>
        <v>0</v>
      </c>
      <c r="R528">
        <f t="shared" si="31"/>
        <v>0</v>
      </c>
      <c r="S528">
        <f t="shared" si="32"/>
        <v>0</v>
      </c>
      <c r="T528">
        <f t="shared" si="33"/>
        <v>0</v>
      </c>
    </row>
    <row r="529" spans="1:20" x14ac:dyDescent="0.25">
      <c r="A529" s="5"/>
      <c r="C529"/>
      <c r="D529"/>
      <c r="P529">
        <f t="shared" si="29"/>
        <v>0</v>
      </c>
      <c r="Q529">
        <f t="shared" si="30"/>
        <v>0</v>
      </c>
      <c r="R529">
        <f t="shared" si="31"/>
        <v>0</v>
      </c>
      <c r="S529">
        <f t="shared" si="32"/>
        <v>0</v>
      </c>
      <c r="T529">
        <f t="shared" si="33"/>
        <v>0</v>
      </c>
    </row>
    <row r="530" spans="1:20" x14ac:dyDescent="0.25">
      <c r="A530" s="5"/>
      <c r="C530"/>
      <c r="D530"/>
      <c r="P530">
        <f t="shared" si="29"/>
        <v>0</v>
      </c>
      <c r="Q530">
        <f t="shared" si="30"/>
        <v>0</v>
      </c>
      <c r="R530">
        <f t="shared" si="31"/>
        <v>0</v>
      </c>
      <c r="S530">
        <f t="shared" si="32"/>
        <v>0</v>
      </c>
      <c r="T530">
        <f t="shared" si="33"/>
        <v>0</v>
      </c>
    </row>
    <row r="531" spans="1:20" x14ac:dyDescent="0.25">
      <c r="A531" s="5"/>
      <c r="C531"/>
      <c r="D531"/>
      <c r="P531">
        <f t="shared" si="29"/>
        <v>0</v>
      </c>
      <c r="Q531">
        <f t="shared" si="30"/>
        <v>0</v>
      </c>
      <c r="R531">
        <f t="shared" si="31"/>
        <v>0</v>
      </c>
      <c r="S531">
        <f t="shared" si="32"/>
        <v>0</v>
      </c>
      <c r="T531">
        <f t="shared" si="33"/>
        <v>0</v>
      </c>
    </row>
    <row r="532" spans="1:20" x14ac:dyDescent="0.25">
      <c r="A532" s="5"/>
      <c r="C532"/>
      <c r="D532"/>
      <c r="P532">
        <f t="shared" si="29"/>
        <v>0</v>
      </c>
      <c r="Q532">
        <f t="shared" si="30"/>
        <v>0</v>
      </c>
      <c r="R532">
        <f t="shared" si="31"/>
        <v>0</v>
      </c>
      <c r="S532">
        <f t="shared" si="32"/>
        <v>0</v>
      </c>
      <c r="T532">
        <f t="shared" si="33"/>
        <v>0</v>
      </c>
    </row>
    <row r="533" spans="1:20" x14ac:dyDescent="0.25">
      <c r="A533" s="5"/>
      <c r="C533"/>
      <c r="D533"/>
      <c r="P533">
        <f t="shared" si="29"/>
        <v>0</v>
      </c>
      <c r="Q533">
        <f t="shared" si="30"/>
        <v>0</v>
      </c>
      <c r="R533">
        <f t="shared" si="31"/>
        <v>0</v>
      </c>
      <c r="S533">
        <f t="shared" si="32"/>
        <v>0</v>
      </c>
      <c r="T533">
        <f t="shared" si="33"/>
        <v>0</v>
      </c>
    </row>
    <row r="534" spans="1:20" x14ac:dyDescent="0.25">
      <c r="A534" s="5"/>
      <c r="C534"/>
      <c r="D534"/>
      <c r="P534">
        <f t="shared" si="29"/>
        <v>0</v>
      </c>
      <c r="Q534">
        <f t="shared" si="30"/>
        <v>0</v>
      </c>
      <c r="R534">
        <f t="shared" si="31"/>
        <v>0</v>
      </c>
      <c r="S534">
        <f t="shared" si="32"/>
        <v>0</v>
      </c>
      <c r="T534">
        <f t="shared" si="33"/>
        <v>0</v>
      </c>
    </row>
    <row r="535" spans="1:20" x14ac:dyDescent="0.25">
      <c r="A535" s="5"/>
      <c r="C535"/>
      <c r="D535"/>
      <c r="P535">
        <f t="shared" si="29"/>
        <v>0</v>
      </c>
      <c r="Q535">
        <f t="shared" si="30"/>
        <v>0</v>
      </c>
      <c r="R535">
        <f t="shared" si="31"/>
        <v>0</v>
      </c>
      <c r="S535">
        <f t="shared" si="32"/>
        <v>0</v>
      </c>
      <c r="T535">
        <f t="shared" si="33"/>
        <v>0</v>
      </c>
    </row>
    <row r="536" spans="1:20" x14ac:dyDescent="0.25">
      <c r="A536" s="5"/>
      <c r="C536"/>
      <c r="D536"/>
      <c r="P536">
        <f t="shared" si="29"/>
        <v>0</v>
      </c>
      <c r="Q536">
        <f t="shared" si="30"/>
        <v>0</v>
      </c>
      <c r="R536">
        <f t="shared" si="31"/>
        <v>0</v>
      </c>
      <c r="S536">
        <f t="shared" si="32"/>
        <v>0</v>
      </c>
      <c r="T536">
        <f t="shared" si="33"/>
        <v>0</v>
      </c>
    </row>
    <row r="537" spans="1:20" x14ac:dyDescent="0.25">
      <c r="A537" s="5"/>
      <c r="C537"/>
      <c r="D537"/>
      <c r="P537">
        <f t="shared" si="29"/>
        <v>0</v>
      </c>
      <c r="Q537">
        <f t="shared" si="30"/>
        <v>0</v>
      </c>
      <c r="R537">
        <f t="shared" si="31"/>
        <v>0</v>
      </c>
      <c r="S537">
        <f t="shared" si="32"/>
        <v>0</v>
      </c>
      <c r="T537">
        <f t="shared" si="33"/>
        <v>0</v>
      </c>
    </row>
    <row r="538" spans="1:20" x14ac:dyDescent="0.25">
      <c r="A538" s="5"/>
      <c r="C538"/>
      <c r="D538"/>
      <c r="P538">
        <f t="shared" si="29"/>
        <v>0</v>
      </c>
      <c r="Q538">
        <f t="shared" si="30"/>
        <v>0</v>
      </c>
      <c r="R538">
        <f t="shared" si="31"/>
        <v>0</v>
      </c>
      <c r="S538">
        <f t="shared" si="32"/>
        <v>0</v>
      </c>
      <c r="T538">
        <f t="shared" si="33"/>
        <v>0</v>
      </c>
    </row>
    <row r="539" spans="1:20" x14ac:dyDescent="0.25">
      <c r="A539" s="5"/>
      <c r="C539"/>
      <c r="D539"/>
      <c r="P539">
        <f t="shared" si="29"/>
        <v>0</v>
      </c>
      <c r="Q539">
        <f t="shared" si="30"/>
        <v>0</v>
      </c>
      <c r="R539">
        <f t="shared" si="31"/>
        <v>0</v>
      </c>
      <c r="S539">
        <f t="shared" si="32"/>
        <v>0</v>
      </c>
      <c r="T539">
        <f t="shared" si="33"/>
        <v>0</v>
      </c>
    </row>
    <row r="540" spans="1:20" x14ac:dyDescent="0.25">
      <c r="A540" s="5"/>
      <c r="C540"/>
      <c r="D540"/>
      <c r="P540">
        <f t="shared" si="29"/>
        <v>0</v>
      </c>
      <c r="Q540">
        <f t="shared" si="30"/>
        <v>0</v>
      </c>
      <c r="R540">
        <f t="shared" si="31"/>
        <v>0</v>
      </c>
      <c r="S540">
        <f t="shared" si="32"/>
        <v>0</v>
      </c>
      <c r="T540">
        <f t="shared" si="33"/>
        <v>0</v>
      </c>
    </row>
    <row r="541" spans="1:20" x14ac:dyDescent="0.25">
      <c r="A541" s="5"/>
      <c r="C541"/>
      <c r="D541"/>
      <c r="P541">
        <f t="shared" si="29"/>
        <v>0</v>
      </c>
      <c r="Q541">
        <f t="shared" si="30"/>
        <v>0</v>
      </c>
      <c r="R541">
        <f t="shared" si="31"/>
        <v>0</v>
      </c>
      <c r="S541">
        <f t="shared" si="32"/>
        <v>0</v>
      </c>
      <c r="T541">
        <f t="shared" si="33"/>
        <v>0</v>
      </c>
    </row>
    <row r="542" spans="1:20" x14ac:dyDescent="0.25">
      <c r="A542" s="5"/>
      <c r="C542"/>
      <c r="D542"/>
      <c r="P542">
        <f t="shared" si="29"/>
        <v>0</v>
      </c>
      <c r="Q542">
        <f t="shared" si="30"/>
        <v>0</v>
      </c>
      <c r="R542">
        <f t="shared" si="31"/>
        <v>0</v>
      </c>
      <c r="S542">
        <f t="shared" si="32"/>
        <v>0</v>
      </c>
      <c r="T542">
        <f t="shared" si="33"/>
        <v>0</v>
      </c>
    </row>
    <row r="543" spans="1:20" x14ac:dyDescent="0.25">
      <c r="A543" s="5"/>
      <c r="C543"/>
      <c r="D543"/>
      <c r="P543">
        <f t="shared" si="29"/>
        <v>0</v>
      </c>
      <c r="Q543">
        <f t="shared" si="30"/>
        <v>0</v>
      </c>
      <c r="R543">
        <f t="shared" si="31"/>
        <v>0</v>
      </c>
      <c r="S543">
        <f t="shared" si="32"/>
        <v>0</v>
      </c>
      <c r="T543">
        <f t="shared" si="33"/>
        <v>0</v>
      </c>
    </row>
    <row r="544" spans="1:20" x14ac:dyDescent="0.25">
      <c r="A544" s="5"/>
      <c r="C544"/>
      <c r="D544"/>
      <c r="P544">
        <f t="shared" si="29"/>
        <v>0</v>
      </c>
      <c r="Q544">
        <f t="shared" si="30"/>
        <v>0</v>
      </c>
      <c r="R544">
        <f t="shared" si="31"/>
        <v>0</v>
      </c>
      <c r="S544">
        <f t="shared" si="32"/>
        <v>0</v>
      </c>
      <c r="T544">
        <f t="shared" si="33"/>
        <v>0</v>
      </c>
    </row>
    <row r="545" spans="1:20" x14ac:dyDescent="0.25">
      <c r="A545" s="5"/>
      <c r="C545"/>
      <c r="D545"/>
      <c r="P545">
        <f t="shared" si="29"/>
        <v>0</v>
      </c>
      <c r="Q545">
        <f t="shared" si="30"/>
        <v>0</v>
      </c>
      <c r="R545">
        <f t="shared" si="31"/>
        <v>0</v>
      </c>
      <c r="S545">
        <f t="shared" si="32"/>
        <v>0</v>
      </c>
      <c r="T545">
        <f t="shared" si="33"/>
        <v>0</v>
      </c>
    </row>
    <row r="546" spans="1:20" x14ac:dyDescent="0.25">
      <c r="A546" s="5"/>
      <c r="C546"/>
      <c r="D546"/>
      <c r="P546">
        <f t="shared" si="29"/>
        <v>0</v>
      </c>
      <c r="Q546">
        <f t="shared" si="30"/>
        <v>0</v>
      </c>
      <c r="R546">
        <f t="shared" si="31"/>
        <v>0</v>
      </c>
      <c r="S546">
        <f t="shared" si="32"/>
        <v>0</v>
      </c>
      <c r="T546">
        <f t="shared" si="33"/>
        <v>0</v>
      </c>
    </row>
    <row r="547" spans="1:20" x14ac:dyDescent="0.25">
      <c r="A547" s="5"/>
      <c r="C547"/>
      <c r="D547"/>
      <c r="P547">
        <f t="shared" si="29"/>
        <v>0</v>
      </c>
      <c r="Q547">
        <f t="shared" si="30"/>
        <v>0</v>
      </c>
      <c r="R547">
        <f t="shared" si="31"/>
        <v>0</v>
      </c>
      <c r="S547">
        <f t="shared" si="32"/>
        <v>0</v>
      </c>
      <c r="T547">
        <f t="shared" si="33"/>
        <v>0</v>
      </c>
    </row>
    <row r="548" spans="1:20" x14ac:dyDescent="0.25">
      <c r="A548" s="5"/>
      <c r="C548"/>
      <c r="D548"/>
      <c r="P548">
        <f t="shared" si="29"/>
        <v>0</v>
      </c>
      <c r="Q548">
        <f t="shared" si="30"/>
        <v>0</v>
      </c>
      <c r="R548">
        <f t="shared" si="31"/>
        <v>0</v>
      </c>
      <c r="S548">
        <f t="shared" si="32"/>
        <v>0</v>
      </c>
      <c r="T548">
        <f t="shared" si="33"/>
        <v>0</v>
      </c>
    </row>
    <row r="549" spans="1:20" x14ac:dyDescent="0.25">
      <c r="A549" s="5"/>
      <c r="P549">
        <f t="shared" si="29"/>
        <v>0</v>
      </c>
      <c r="Q549">
        <f t="shared" si="30"/>
        <v>0</v>
      </c>
      <c r="R549">
        <f t="shared" si="31"/>
        <v>0</v>
      </c>
      <c r="S549">
        <f t="shared" si="32"/>
        <v>0</v>
      </c>
      <c r="T549">
        <f t="shared" si="33"/>
        <v>0</v>
      </c>
    </row>
    <row r="550" spans="1:20" x14ac:dyDescent="0.25">
      <c r="A550" s="5"/>
      <c r="P550">
        <f t="shared" si="29"/>
        <v>0</v>
      </c>
      <c r="Q550">
        <f t="shared" si="30"/>
        <v>0</v>
      </c>
      <c r="R550">
        <f t="shared" si="31"/>
        <v>0</v>
      </c>
      <c r="S550">
        <f t="shared" si="32"/>
        <v>0</v>
      </c>
      <c r="T550">
        <f t="shared" si="33"/>
        <v>0</v>
      </c>
    </row>
    <row r="551" spans="1:20" x14ac:dyDescent="0.25">
      <c r="A551" s="5"/>
      <c r="P551">
        <f t="shared" si="29"/>
        <v>0</v>
      </c>
      <c r="Q551">
        <f t="shared" si="30"/>
        <v>0</v>
      </c>
      <c r="R551">
        <f t="shared" si="31"/>
        <v>0</v>
      </c>
      <c r="S551">
        <f t="shared" si="32"/>
        <v>0</v>
      </c>
      <c r="T551">
        <f t="shared" si="33"/>
        <v>0</v>
      </c>
    </row>
    <row r="552" spans="1:20" x14ac:dyDescent="0.25">
      <c r="A552" s="5"/>
      <c r="P552">
        <f t="shared" si="29"/>
        <v>0</v>
      </c>
      <c r="Q552">
        <f t="shared" si="30"/>
        <v>0</v>
      </c>
      <c r="R552">
        <f t="shared" si="31"/>
        <v>0</v>
      </c>
      <c r="S552">
        <f t="shared" si="32"/>
        <v>0</v>
      </c>
      <c r="T552">
        <f t="shared" si="33"/>
        <v>0</v>
      </c>
    </row>
    <row r="553" spans="1:20" x14ac:dyDescent="0.25">
      <c r="A553" s="5"/>
      <c r="P553">
        <f t="shared" si="29"/>
        <v>0</v>
      </c>
      <c r="Q553">
        <f t="shared" si="30"/>
        <v>0</v>
      </c>
      <c r="R553">
        <f t="shared" si="31"/>
        <v>0</v>
      </c>
      <c r="S553">
        <f t="shared" si="32"/>
        <v>0</v>
      </c>
      <c r="T553">
        <f t="shared" si="33"/>
        <v>0</v>
      </c>
    </row>
    <row r="554" spans="1:20" x14ac:dyDescent="0.25">
      <c r="A554" s="5"/>
      <c r="P554">
        <f t="shared" si="29"/>
        <v>0</v>
      </c>
      <c r="Q554">
        <f t="shared" si="30"/>
        <v>0</v>
      </c>
      <c r="R554">
        <f t="shared" si="31"/>
        <v>0</v>
      </c>
      <c r="S554">
        <f t="shared" si="32"/>
        <v>0</v>
      </c>
      <c r="T554">
        <f t="shared" si="33"/>
        <v>0</v>
      </c>
    </row>
    <row r="555" spans="1:20" x14ac:dyDescent="0.25">
      <c r="A555" s="5"/>
      <c r="P555">
        <f t="shared" si="29"/>
        <v>0</v>
      </c>
      <c r="Q555">
        <f t="shared" si="30"/>
        <v>0</v>
      </c>
      <c r="R555">
        <f t="shared" si="31"/>
        <v>0</v>
      </c>
      <c r="S555">
        <f t="shared" si="32"/>
        <v>0</v>
      </c>
      <c r="T555">
        <f t="shared" si="33"/>
        <v>0</v>
      </c>
    </row>
    <row r="556" spans="1:20" x14ac:dyDescent="0.25">
      <c r="A556" s="5"/>
      <c r="P556">
        <f t="shared" si="29"/>
        <v>0</v>
      </c>
      <c r="Q556">
        <f t="shared" si="30"/>
        <v>0</v>
      </c>
      <c r="R556">
        <f t="shared" si="31"/>
        <v>0</v>
      </c>
      <c r="S556">
        <f t="shared" si="32"/>
        <v>0</v>
      </c>
      <c r="T556">
        <f t="shared" si="33"/>
        <v>0</v>
      </c>
    </row>
    <row r="557" spans="1:20" x14ac:dyDescent="0.25">
      <c r="A557" s="5"/>
      <c r="P557">
        <f t="shared" si="29"/>
        <v>0</v>
      </c>
      <c r="Q557">
        <f t="shared" si="30"/>
        <v>0</v>
      </c>
      <c r="R557">
        <f t="shared" si="31"/>
        <v>0</v>
      </c>
      <c r="S557">
        <f t="shared" si="32"/>
        <v>0</v>
      </c>
      <c r="T557">
        <f t="shared" si="33"/>
        <v>0</v>
      </c>
    </row>
    <row r="558" spans="1:20" x14ac:dyDescent="0.25">
      <c r="A558" s="5"/>
      <c r="P558">
        <f t="shared" si="29"/>
        <v>0</v>
      </c>
      <c r="Q558">
        <f t="shared" si="30"/>
        <v>0</v>
      </c>
      <c r="R558">
        <f t="shared" si="31"/>
        <v>0</v>
      </c>
      <c r="S558">
        <f t="shared" si="32"/>
        <v>0</v>
      </c>
      <c r="T558">
        <f t="shared" si="33"/>
        <v>0</v>
      </c>
    </row>
    <row r="559" spans="1:20" x14ac:dyDescent="0.25">
      <c r="A559" s="5"/>
      <c r="P559">
        <f t="shared" si="29"/>
        <v>0</v>
      </c>
      <c r="Q559">
        <f t="shared" si="30"/>
        <v>0</v>
      </c>
      <c r="R559">
        <f t="shared" si="31"/>
        <v>0</v>
      </c>
      <c r="S559">
        <f t="shared" si="32"/>
        <v>0</v>
      </c>
      <c r="T559">
        <f t="shared" si="33"/>
        <v>0</v>
      </c>
    </row>
    <row r="560" spans="1:20" x14ac:dyDescent="0.25">
      <c r="A560" s="5"/>
      <c r="P560">
        <f t="shared" si="29"/>
        <v>0</v>
      </c>
      <c r="Q560">
        <f t="shared" si="30"/>
        <v>0</v>
      </c>
      <c r="R560">
        <f t="shared" si="31"/>
        <v>0</v>
      </c>
      <c r="S560">
        <f t="shared" si="32"/>
        <v>0</v>
      </c>
      <c r="T560">
        <f t="shared" si="33"/>
        <v>0</v>
      </c>
    </row>
    <row r="561" spans="1:104" x14ac:dyDescent="0.25">
      <c r="A561" s="5"/>
      <c r="P561">
        <f t="shared" si="29"/>
        <v>0</v>
      </c>
      <c r="Q561">
        <f t="shared" si="30"/>
        <v>0</v>
      </c>
      <c r="R561">
        <f t="shared" si="31"/>
        <v>0</v>
      </c>
      <c r="S561">
        <f t="shared" si="32"/>
        <v>0</v>
      </c>
      <c r="T561">
        <f t="shared" si="33"/>
        <v>0</v>
      </c>
      <c r="CZ561" t="s">
        <v>7</v>
      </c>
    </row>
    <row r="562" spans="1:104" x14ac:dyDescent="0.25">
      <c r="A562" s="5"/>
      <c r="P562">
        <f t="shared" si="29"/>
        <v>0</v>
      </c>
      <c r="Q562">
        <f t="shared" si="30"/>
        <v>0</v>
      </c>
      <c r="R562">
        <f t="shared" si="31"/>
        <v>0</v>
      </c>
      <c r="S562">
        <f t="shared" si="32"/>
        <v>0</v>
      </c>
      <c r="T562">
        <f t="shared" si="33"/>
        <v>0</v>
      </c>
      <c r="CZ562" t="s">
        <v>7</v>
      </c>
    </row>
    <row r="563" spans="1:104" x14ac:dyDescent="0.25">
      <c r="A563" s="5"/>
      <c r="P563">
        <f t="shared" si="29"/>
        <v>0</v>
      </c>
      <c r="Q563">
        <f t="shared" si="30"/>
        <v>0</v>
      </c>
      <c r="R563">
        <f t="shared" si="31"/>
        <v>0</v>
      </c>
      <c r="S563">
        <f t="shared" si="32"/>
        <v>0</v>
      </c>
      <c r="T563">
        <f t="shared" si="33"/>
        <v>0</v>
      </c>
      <c r="CZ563" t="s">
        <v>7</v>
      </c>
    </row>
    <row r="564" spans="1:104" x14ac:dyDescent="0.25">
      <c r="A564" s="5"/>
      <c r="P564">
        <f t="shared" si="29"/>
        <v>0</v>
      </c>
      <c r="Q564">
        <f t="shared" si="30"/>
        <v>0</v>
      </c>
      <c r="R564">
        <f t="shared" si="31"/>
        <v>0</v>
      </c>
      <c r="S564">
        <f t="shared" si="32"/>
        <v>0</v>
      </c>
      <c r="T564">
        <f t="shared" si="33"/>
        <v>0</v>
      </c>
    </row>
    <row r="565" spans="1:104" x14ac:dyDescent="0.25">
      <c r="A565" s="5"/>
      <c r="C565"/>
      <c r="D565"/>
      <c r="P565">
        <f t="shared" si="29"/>
        <v>0</v>
      </c>
      <c r="Q565">
        <f t="shared" si="30"/>
        <v>0</v>
      </c>
      <c r="R565">
        <f t="shared" si="31"/>
        <v>0</v>
      </c>
      <c r="S565">
        <f t="shared" si="32"/>
        <v>0</v>
      </c>
      <c r="T565">
        <f t="shared" si="33"/>
        <v>0</v>
      </c>
    </row>
    <row r="566" spans="1:104" x14ac:dyDescent="0.25">
      <c r="A566" s="5"/>
      <c r="C566"/>
      <c r="D566"/>
      <c r="P566">
        <f t="shared" si="29"/>
        <v>0</v>
      </c>
      <c r="Q566">
        <f t="shared" si="30"/>
        <v>0</v>
      </c>
      <c r="R566">
        <f t="shared" si="31"/>
        <v>0</v>
      </c>
      <c r="S566">
        <f t="shared" si="32"/>
        <v>0</v>
      </c>
      <c r="T566">
        <f t="shared" si="33"/>
        <v>0</v>
      </c>
    </row>
    <row r="567" spans="1:104" x14ac:dyDescent="0.25">
      <c r="A567" s="5"/>
      <c r="C567"/>
      <c r="D567"/>
      <c r="P567">
        <f t="shared" si="29"/>
        <v>0</v>
      </c>
      <c r="Q567">
        <f t="shared" si="30"/>
        <v>0</v>
      </c>
      <c r="R567">
        <f t="shared" si="31"/>
        <v>0</v>
      </c>
      <c r="S567">
        <f t="shared" si="32"/>
        <v>0</v>
      </c>
      <c r="T567">
        <f t="shared" si="33"/>
        <v>0</v>
      </c>
    </row>
    <row r="568" spans="1:104" x14ac:dyDescent="0.25">
      <c r="A568" s="5"/>
      <c r="C568"/>
      <c r="D568"/>
      <c r="P568">
        <f t="shared" si="29"/>
        <v>0</v>
      </c>
      <c r="Q568">
        <f t="shared" si="30"/>
        <v>0</v>
      </c>
      <c r="R568">
        <f t="shared" si="31"/>
        <v>0</v>
      </c>
      <c r="S568">
        <f t="shared" si="32"/>
        <v>0</v>
      </c>
      <c r="T568">
        <f t="shared" si="33"/>
        <v>0</v>
      </c>
    </row>
    <row r="569" spans="1:104" x14ac:dyDescent="0.25">
      <c r="A569" s="5"/>
      <c r="C569"/>
      <c r="D569"/>
      <c r="P569">
        <f t="shared" si="29"/>
        <v>0</v>
      </c>
      <c r="Q569">
        <f t="shared" si="30"/>
        <v>0</v>
      </c>
      <c r="R569">
        <f t="shared" si="31"/>
        <v>0</v>
      </c>
      <c r="S569">
        <f t="shared" si="32"/>
        <v>0</v>
      </c>
      <c r="T569">
        <f t="shared" si="33"/>
        <v>0</v>
      </c>
    </row>
    <row r="570" spans="1:104" x14ac:dyDescent="0.25">
      <c r="A570" s="5"/>
      <c r="C570"/>
      <c r="D570"/>
      <c r="P570">
        <f t="shared" si="29"/>
        <v>0</v>
      </c>
      <c r="Q570">
        <f t="shared" si="30"/>
        <v>0</v>
      </c>
      <c r="R570">
        <f t="shared" si="31"/>
        <v>0</v>
      </c>
      <c r="S570">
        <f t="shared" si="32"/>
        <v>0</v>
      </c>
      <c r="T570">
        <f t="shared" si="33"/>
        <v>0</v>
      </c>
    </row>
    <row r="571" spans="1:104" x14ac:dyDescent="0.25">
      <c r="A571" s="5"/>
      <c r="C571"/>
      <c r="D571"/>
      <c r="P571">
        <f t="shared" si="29"/>
        <v>0</v>
      </c>
      <c r="Q571">
        <f t="shared" si="30"/>
        <v>0</v>
      </c>
      <c r="R571">
        <f t="shared" si="31"/>
        <v>0</v>
      </c>
      <c r="S571">
        <f t="shared" si="32"/>
        <v>0</v>
      </c>
      <c r="T571">
        <f t="shared" si="33"/>
        <v>0</v>
      </c>
    </row>
    <row r="572" spans="1:104" x14ac:dyDescent="0.25">
      <c r="A572" s="5"/>
      <c r="C572"/>
      <c r="D572"/>
      <c r="P572">
        <f t="shared" si="29"/>
        <v>0</v>
      </c>
      <c r="Q572">
        <f t="shared" si="30"/>
        <v>0</v>
      </c>
      <c r="R572">
        <f t="shared" si="31"/>
        <v>0</v>
      </c>
      <c r="S572">
        <f t="shared" si="32"/>
        <v>0</v>
      </c>
      <c r="T572">
        <f t="shared" si="33"/>
        <v>0</v>
      </c>
    </row>
    <row r="573" spans="1:104" x14ac:dyDescent="0.25">
      <c r="A573" s="5"/>
      <c r="C573"/>
      <c r="D573"/>
      <c r="P573">
        <f t="shared" si="29"/>
        <v>0</v>
      </c>
      <c r="Q573">
        <f t="shared" si="30"/>
        <v>0</v>
      </c>
      <c r="R573">
        <f t="shared" si="31"/>
        <v>0</v>
      </c>
      <c r="S573">
        <f t="shared" si="32"/>
        <v>0</v>
      </c>
      <c r="T573">
        <f t="shared" si="33"/>
        <v>0</v>
      </c>
    </row>
    <row r="574" spans="1:104" x14ac:dyDescent="0.25">
      <c r="A574" s="5"/>
      <c r="C574"/>
      <c r="D574"/>
      <c r="P574">
        <f t="shared" si="29"/>
        <v>0</v>
      </c>
      <c r="Q574">
        <f t="shared" si="30"/>
        <v>0</v>
      </c>
      <c r="R574">
        <f t="shared" si="31"/>
        <v>0</v>
      </c>
      <c r="S574">
        <f t="shared" si="32"/>
        <v>0</v>
      </c>
      <c r="T574">
        <f t="shared" si="33"/>
        <v>0</v>
      </c>
    </row>
    <row r="575" spans="1:104" x14ac:dyDescent="0.25">
      <c r="A575" s="5"/>
      <c r="C575"/>
      <c r="D575"/>
      <c r="P575">
        <f t="shared" si="29"/>
        <v>0</v>
      </c>
      <c r="Q575">
        <f t="shared" si="30"/>
        <v>0</v>
      </c>
      <c r="R575">
        <f t="shared" si="31"/>
        <v>0</v>
      </c>
      <c r="S575">
        <f t="shared" si="32"/>
        <v>0</v>
      </c>
      <c r="T575">
        <f t="shared" si="33"/>
        <v>0</v>
      </c>
    </row>
    <row r="576" spans="1:104" x14ac:dyDescent="0.25">
      <c r="A576" s="5"/>
      <c r="C576"/>
      <c r="D576"/>
      <c r="P576">
        <f t="shared" si="29"/>
        <v>0</v>
      </c>
      <c r="Q576">
        <f t="shared" si="30"/>
        <v>0</v>
      </c>
      <c r="R576">
        <f t="shared" si="31"/>
        <v>0</v>
      </c>
      <c r="S576">
        <f t="shared" si="32"/>
        <v>0</v>
      </c>
      <c r="T576">
        <f t="shared" si="33"/>
        <v>0</v>
      </c>
    </row>
    <row r="577" spans="1:20" x14ac:dyDescent="0.25">
      <c r="A577" s="5"/>
      <c r="C577"/>
      <c r="D577"/>
      <c r="P577">
        <f t="shared" si="29"/>
        <v>0</v>
      </c>
      <c r="Q577">
        <f t="shared" si="30"/>
        <v>0</v>
      </c>
      <c r="R577">
        <f t="shared" si="31"/>
        <v>0</v>
      </c>
      <c r="S577">
        <f t="shared" si="32"/>
        <v>0</v>
      </c>
      <c r="T577">
        <f t="shared" si="33"/>
        <v>0</v>
      </c>
    </row>
    <row r="578" spans="1:20" x14ac:dyDescent="0.25">
      <c r="A578" s="5"/>
      <c r="C578"/>
      <c r="D578"/>
      <c r="P578">
        <f t="shared" si="29"/>
        <v>0</v>
      </c>
      <c r="Q578">
        <f t="shared" si="30"/>
        <v>0</v>
      </c>
      <c r="R578">
        <f t="shared" si="31"/>
        <v>0</v>
      </c>
      <c r="S578">
        <f t="shared" si="32"/>
        <v>0</v>
      </c>
      <c r="T578">
        <f t="shared" si="33"/>
        <v>0</v>
      </c>
    </row>
    <row r="579" spans="1:20" x14ac:dyDescent="0.25">
      <c r="A579" s="5"/>
      <c r="C579"/>
      <c r="D579"/>
      <c r="P579">
        <f t="shared" si="29"/>
        <v>0</v>
      </c>
      <c r="Q579">
        <f t="shared" si="30"/>
        <v>0</v>
      </c>
      <c r="R579">
        <f t="shared" si="31"/>
        <v>0</v>
      </c>
      <c r="S579">
        <f t="shared" si="32"/>
        <v>0</v>
      </c>
      <c r="T579">
        <f t="shared" si="33"/>
        <v>0</v>
      </c>
    </row>
    <row r="580" spans="1:20" x14ac:dyDescent="0.25">
      <c r="A580" s="5"/>
      <c r="C580"/>
      <c r="D580"/>
      <c r="P580">
        <f t="shared" si="29"/>
        <v>0</v>
      </c>
      <c r="Q580">
        <f t="shared" si="30"/>
        <v>0</v>
      </c>
      <c r="R580">
        <f t="shared" si="31"/>
        <v>0</v>
      </c>
      <c r="S580">
        <f t="shared" si="32"/>
        <v>0</v>
      </c>
      <c r="T580">
        <f t="shared" si="33"/>
        <v>0</v>
      </c>
    </row>
    <row r="581" spans="1:20" x14ac:dyDescent="0.25">
      <c r="A581" s="5"/>
      <c r="C581"/>
      <c r="D581"/>
      <c r="P581">
        <f t="shared" si="29"/>
        <v>0</v>
      </c>
      <c r="Q581">
        <f t="shared" si="30"/>
        <v>0</v>
      </c>
      <c r="R581">
        <f t="shared" si="31"/>
        <v>0</v>
      </c>
      <c r="S581">
        <f t="shared" si="32"/>
        <v>0</v>
      </c>
      <c r="T581">
        <f t="shared" si="33"/>
        <v>0</v>
      </c>
    </row>
    <row r="582" spans="1:20" x14ac:dyDescent="0.25">
      <c r="A582" s="5"/>
      <c r="C582"/>
      <c r="D582"/>
      <c r="P582">
        <f t="shared" ref="P582:P645" si="34">IF(C582=D582,0,((E582-D582)-(C582-E582))/(C582-D582))</f>
        <v>0</v>
      </c>
      <c r="Q582">
        <f t="shared" ref="Q582:Q645" si="35">F582*P582</f>
        <v>0</v>
      </c>
      <c r="R582">
        <f t="shared" ref="R582:R645" si="36">R583+Q582</f>
        <v>0</v>
      </c>
      <c r="S582">
        <f t="shared" ref="S582:S645" si="37">R582/100000</f>
        <v>0</v>
      </c>
      <c r="T582">
        <f t="shared" ref="T582:T645" si="38">S582/1000</f>
        <v>0</v>
      </c>
    </row>
    <row r="583" spans="1:20" x14ac:dyDescent="0.25">
      <c r="A583" s="5"/>
      <c r="C583"/>
      <c r="D583"/>
      <c r="P583">
        <f t="shared" si="34"/>
        <v>0</v>
      </c>
      <c r="Q583">
        <f t="shared" si="35"/>
        <v>0</v>
      </c>
      <c r="R583">
        <f t="shared" si="36"/>
        <v>0</v>
      </c>
      <c r="S583">
        <f t="shared" si="37"/>
        <v>0</v>
      </c>
      <c r="T583">
        <f t="shared" si="38"/>
        <v>0</v>
      </c>
    </row>
    <row r="584" spans="1:20" x14ac:dyDescent="0.25">
      <c r="A584" s="5"/>
      <c r="C584"/>
      <c r="D584"/>
      <c r="P584">
        <f t="shared" si="34"/>
        <v>0</v>
      </c>
      <c r="Q584">
        <f t="shared" si="35"/>
        <v>0</v>
      </c>
      <c r="R584">
        <f t="shared" si="36"/>
        <v>0</v>
      </c>
      <c r="S584">
        <f t="shared" si="37"/>
        <v>0</v>
      </c>
      <c r="T584">
        <f t="shared" si="38"/>
        <v>0</v>
      </c>
    </row>
    <row r="585" spans="1:20" x14ac:dyDescent="0.25">
      <c r="A585" s="5"/>
      <c r="C585"/>
      <c r="D585"/>
      <c r="P585">
        <f t="shared" si="34"/>
        <v>0</v>
      </c>
      <c r="Q585">
        <f t="shared" si="35"/>
        <v>0</v>
      </c>
      <c r="R585">
        <f t="shared" si="36"/>
        <v>0</v>
      </c>
      <c r="S585">
        <f t="shared" si="37"/>
        <v>0</v>
      </c>
      <c r="T585">
        <f t="shared" si="38"/>
        <v>0</v>
      </c>
    </row>
    <row r="586" spans="1:20" x14ac:dyDescent="0.25">
      <c r="A586" s="5"/>
      <c r="C586"/>
      <c r="D586"/>
      <c r="P586">
        <f t="shared" si="34"/>
        <v>0</v>
      </c>
      <c r="Q586">
        <f t="shared" si="35"/>
        <v>0</v>
      </c>
      <c r="R586">
        <f t="shared" si="36"/>
        <v>0</v>
      </c>
      <c r="S586">
        <f t="shared" si="37"/>
        <v>0</v>
      </c>
      <c r="T586">
        <f t="shared" si="38"/>
        <v>0</v>
      </c>
    </row>
    <row r="587" spans="1:20" x14ac:dyDescent="0.25">
      <c r="A587" s="5"/>
      <c r="C587"/>
      <c r="D587"/>
      <c r="P587">
        <f t="shared" si="34"/>
        <v>0</v>
      </c>
      <c r="Q587">
        <f t="shared" si="35"/>
        <v>0</v>
      </c>
      <c r="R587">
        <f t="shared" si="36"/>
        <v>0</v>
      </c>
      <c r="S587">
        <f t="shared" si="37"/>
        <v>0</v>
      </c>
      <c r="T587">
        <f t="shared" si="38"/>
        <v>0</v>
      </c>
    </row>
    <row r="588" spans="1:20" x14ac:dyDescent="0.25">
      <c r="A588" s="5"/>
      <c r="C588"/>
      <c r="D588"/>
      <c r="P588">
        <f t="shared" si="34"/>
        <v>0</v>
      </c>
      <c r="Q588">
        <f t="shared" si="35"/>
        <v>0</v>
      </c>
      <c r="R588">
        <f t="shared" si="36"/>
        <v>0</v>
      </c>
      <c r="S588">
        <f t="shared" si="37"/>
        <v>0</v>
      </c>
      <c r="T588">
        <f t="shared" si="38"/>
        <v>0</v>
      </c>
    </row>
    <row r="589" spans="1:20" x14ac:dyDescent="0.25">
      <c r="A589" s="5"/>
      <c r="C589"/>
      <c r="D589"/>
      <c r="P589">
        <f t="shared" si="34"/>
        <v>0</v>
      </c>
      <c r="Q589">
        <f t="shared" si="35"/>
        <v>0</v>
      </c>
      <c r="R589">
        <f t="shared" si="36"/>
        <v>0</v>
      </c>
      <c r="S589">
        <f t="shared" si="37"/>
        <v>0</v>
      </c>
      <c r="T589">
        <f t="shared" si="38"/>
        <v>0</v>
      </c>
    </row>
    <row r="590" spans="1:20" x14ac:dyDescent="0.25">
      <c r="A590" s="5"/>
      <c r="C590"/>
      <c r="D590"/>
      <c r="P590">
        <f t="shared" si="34"/>
        <v>0</v>
      </c>
      <c r="Q590">
        <f t="shared" si="35"/>
        <v>0</v>
      </c>
      <c r="R590">
        <f t="shared" si="36"/>
        <v>0</v>
      </c>
      <c r="S590">
        <f t="shared" si="37"/>
        <v>0</v>
      </c>
      <c r="T590">
        <f t="shared" si="38"/>
        <v>0</v>
      </c>
    </row>
    <row r="591" spans="1:20" x14ac:dyDescent="0.25">
      <c r="A591" s="5"/>
      <c r="C591"/>
      <c r="D591"/>
      <c r="P591">
        <f t="shared" si="34"/>
        <v>0</v>
      </c>
      <c r="Q591">
        <f t="shared" si="35"/>
        <v>0</v>
      </c>
      <c r="R591">
        <f t="shared" si="36"/>
        <v>0</v>
      </c>
      <c r="S591">
        <f t="shared" si="37"/>
        <v>0</v>
      </c>
      <c r="T591">
        <f t="shared" si="38"/>
        <v>0</v>
      </c>
    </row>
    <row r="592" spans="1:20" x14ac:dyDescent="0.25">
      <c r="A592" s="5"/>
      <c r="C592"/>
      <c r="D592"/>
      <c r="P592">
        <f t="shared" si="34"/>
        <v>0</v>
      </c>
      <c r="Q592">
        <f t="shared" si="35"/>
        <v>0</v>
      </c>
      <c r="R592">
        <f t="shared" si="36"/>
        <v>0</v>
      </c>
      <c r="S592">
        <f t="shared" si="37"/>
        <v>0</v>
      </c>
      <c r="T592">
        <f t="shared" si="38"/>
        <v>0</v>
      </c>
    </row>
    <row r="593" spans="1:20" x14ac:dyDescent="0.25">
      <c r="A593" s="5"/>
      <c r="C593"/>
      <c r="D593"/>
      <c r="P593">
        <f t="shared" si="34"/>
        <v>0</v>
      </c>
      <c r="Q593">
        <f t="shared" si="35"/>
        <v>0</v>
      </c>
      <c r="R593">
        <f t="shared" si="36"/>
        <v>0</v>
      </c>
      <c r="S593">
        <f t="shared" si="37"/>
        <v>0</v>
      </c>
      <c r="T593">
        <f t="shared" si="38"/>
        <v>0</v>
      </c>
    </row>
    <row r="594" spans="1:20" x14ac:dyDescent="0.25">
      <c r="A594" s="5"/>
      <c r="C594"/>
      <c r="D594"/>
      <c r="P594">
        <f t="shared" si="34"/>
        <v>0</v>
      </c>
      <c r="Q594">
        <f t="shared" si="35"/>
        <v>0</v>
      </c>
      <c r="R594">
        <f t="shared" si="36"/>
        <v>0</v>
      </c>
      <c r="S594">
        <f t="shared" si="37"/>
        <v>0</v>
      </c>
      <c r="T594">
        <f t="shared" si="38"/>
        <v>0</v>
      </c>
    </row>
    <row r="595" spans="1:20" x14ac:dyDescent="0.25">
      <c r="A595" s="5"/>
      <c r="C595"/>
      <c r="D595"/>
      <c r="P595">
        <f t="shared" si="34"/>
        <v>0</v>
      </c>
      <c r="Q595">
        <f t="shared" si="35"/>
        <v>0</v>
      </c>
      <c r="R595">
        <f t="shared" si="36"/>
        <v>0</v>
      </c>
      <c r="S595">
        <f t="shared" si="37"/>
        <v>0</v>
      </c>
      <c r="T595">
        <f t="shared" si="38"/>
        <v>0</v>
      </c>
    </row>
    <row r="596" spans="1:20" x14ac:dyDescent="0.25">
      <c r="A596" s="5"/>
      <c r="C596"/>
      <c r="D596"/>
      <c r="P596">
        <f t="shared" si="34"/>
        <v>0</v>
      </c>
      <c r="Q596">
        <f t="shared" si="35"/>
        <v>0</v>
      </c>
      <c r="R596">
        <f t="shared" si="36"/>
        <v>0</v>
      </c>
      <c r="S596">
        <f t="shared" si="37"/>
        <v>0</v>
      </c>
      <c r="T596">
        <f t="shared" si="38"/>
        <v>0</v>
      </c>
    </row>
    <row r="597" spans="1:20" x14ac:dyDescent="0.25">
      <c r="A597" s="5"/>
      <c r="C597"/>
      <c r="D597"/>
      <c r="P597">
        <f t="shared" si="34"/>
        <v>0</v>
      </c>
      <c r="Q597">
        <f t="shared" si="35"/>
        <v>0</v>
      </c>
      <c r="R597">
        <f t="shared" si="36"/>
        <v>0</v>
      </c>
      <c r="S597">
        <f t="shared" si="37"/>
        <v>0</v>
      </c>
      <c r="T597">
        <f t="shared" si="38"/>
        <v>0</v>
      </c>
    </row>
    <row r="598" spans="1:20" x14ac:dyDescent="0.25">
      <c r="A598" s="5"/>
      <c r="C598"/>
      <c r="D598"/>
      <c r="P598">
        <f t="shared" si="34"/>
        <v>0</v>
      </c>
      <c r="Q598">
        <f t="shared" si="35"/>
        <v>0</v>
      </c>
      <c r="R598">
        <f t="shared" si="36"/>
        <v>0</v>
      </c>
      <c r="S598">
        <f t="shared" si="37"/>
        <v>0</v>
      </c>
      <c r="T598">
        <f t="shared" si="38"/>
        <v>0</v>
      </c>
    </row>
    <row r="599" spans="1:20" x14ac:dyDescent="0.25">
      <c r="A599" s="5"/>
      <c r="C599"/>
      <c r="D599"/>
      <c r="P599">
        <f t="shared" si="34"/>
        <v>0</v>
      </c>
      <c r="Q599">
        <f t="shared" si="35"/>
        <v>0</v>
      </c>
      <c r="R599">
        <f t="shared" si="36"/>
        <v>0</v>
      </c>
      <c r="S599">
        <f t="shared" si="37"/>
        <v>0</v>
      </c>
      <c r="T599">
        <f t="shared" si="38"/>
        <v>0</v>
      </c>
    </row>
    <row r="600" spans="1:20" x14ac:dyDescent="0.25">
      <c r="A600" s="5"/>
      <c r="C600"/>
      <c r="D600"/>
      <c r="P600">
        <f t="shared" si="34"/>
        <v>0</v>
      </c>
      <c r="Q600">
        <f t="shared" si="35"/>
        <v>0</v>
      </c>
      <c r="R600">
        <f t="shared" si="36"/>
        <v>0</v>
      </c>
      <c r="S600">
        <f t="shared" si="37"/>
        <v>0</v>
      </c>
      <c r="T600">
        <f t="shared" si="38"/>
        <v>0</v>
      </c>
    </row>
    <row r="601" spans="1:20" x14ac:dyDescent="0.25">
      <c r="A601" s="5"/>
      <c r="C601"/>
      <c r="D601"/>
      <c r="P601">
        <f t="shared" si="34"/>
        <v>0</v>
      </c>
      <c r="Q601">
        <f t="shared" si="35"/>
        <v>0</v>
      </c>
      <c r="R601">
        <f t="shared" si="36"/>
        <v>0</v>
      </c>
      <c r="S601">
        <f t="shared" si="37"/>
        <v>0</v>
      </c>
      <c r="T601">
        <f t="shared" si="38"/>
        <v>0</v>
      </c>
    </row>
    <row r="602" spans="1:20" x14ac:dyDescent="0.25">
      <c r="A602" s="5"/>
      <c r="C602"/>
      <c r="D602"/>
      <c r="P602">
        <f t="shared" si="34"/>
        <v>0</v>
      </c>
      <c r="Q602">
        <f t="shared" si="35"/>
        <v>0</v>
      </c>
      <c r="R602">
        <f t="shared" si="36"/>
        <v>0</v>
      </c>
      <c r="S602">
        <f t="shared" si="37"/>
        <v>0</v>
      </c>
      <c r="T602">
        <f t="shared" si="38"/>
        <v>0</v>
      </c>
    </row>
    <row r="603" spans="1:20" x14ac:dyDescent="0.25">
      <c r="A603" s="5"/>
      <c r="C603"/>
      <c r="D603"/>
      <c r="P603">
        <f t="shared" si="34"/>
        <v>0</v>
      </c>
      <c r="Q603">
        <f t="shared" si="35"/>
        <v>0</v>
      </c>
      <c r="R603">
        <f t="shared" si="36"/>
        <v>0</v>
      </c>
      <c r="S603">
        <f t="shared" si="37"/>
        <v>0</v>
      </c>
      <c r="T603">
        <f t="shared" si="38"/>
        <v>0</v>
      </c>
    </row>
    <row r="604" spans="1:20" x14ac:dyDescent="0.25">
      <c r="A604" s="5"/>
      <c r="C604"/>
      <c r="D604"/>
      <c r="P604">
        <f t="shared" si="34"/>
        <v>0</v>
      </c>
      <c r="Q604">
        <f t="shared" si="35"/>
        <v>0</v>
      </c>
      <c r="R604">
        <f t="shared" si="36"/>
        <v>0</v>
      </c>
      <c r="S604">
        <f t="shared" si="37"/>
        <v>0</v>
      </c>
      <c r="T604">
        <f t="shared" si="38"/>
        <v>0</v>
      </c>
    </row>
    <row r="605" spans="1:20" x14ac:dyDescent="0.25">
      <c r="A605" s="5"/>
      <c r="C605"/>
      <c r="D605"/>
      <c r="P605">
        <f t="shared" si="34"/>
        <v>0</v>
      </c>
      <c r="Q605">
        <f t="shared" si="35"/>
        <v>0</v>
      </c>
      <c r="R605">
        <f t="shared" si="36"/>
        <v>0</v>
      </c>
      <c r="S605">
        <f t="shared" si="37"/>
        <v>0</v>
      </c>
      <c r="T605">
        <f t="shared" si="38"/>
        <v>0</v>
      </c>
    </row>
    <row r="606" spans="1:20" x14ac:dyDescent="0.25">
      <c r="A606" s="5"/>
      <c r="C606"/>
      <c r="D606"/>
      <c r="P606">
        <f t="shared" si="34"/>
        <v>0</v>
      </c>
      <c r="Q606">
        <f t="shared" si="35"/>
        <v>0</v>
      </c>
      <c r="R606">
        <f t="shared" si="36"/>
        <v>0</v>
      </c>
      <c r="S606">
        <f t="shared" si="37"/>
        <v>0</v>
      </c>
      <c r="T606">
        <f t="shared" si="38"/>
        <v>0</v>
      </c>
    </row>
    <row r="607" spans="1:20" x14ac:dyDescent="0.25">
      <c r="A607" s="5"/>
      <c r="C607"/>
      <c r="D607"/>
      <c r="P607">
        <f t="shared" si="34"/>
        <v>0</v>
      </c>
      <c r="Q607">
        <f t="shared" si="35"/>
        <v>0</v>
      </c>
      <c r="R607">
        <f t="shared" si="36"/>
        <v>0</v>
      </c>
      <c r="S607">
        <f t="shared" si="37"/>
        <v>0</v>
      </c>
      <c r="T607">
        <f t="shared" si="38"/>
        <v>0</v>
      </c>
    </row>
    <row r="608" spans="1:20" x14ac:dyDescent="0.25">
      <c r="A608" s="5"/>
      <c r="C608"/>
      <c r="D608"/>
      <c r="P608">
        <f t="shared" si="34"/>
        <v>0</v>
      </c>
      <c r="Q608">
        <f t="shared" si="35"/>
        <v>0</v>
      </c>
      <c r="R608">
        <f t="shared" si="36"/>
        <v>0</v>
      </c>
      <c r="S608">
        <f t="shared" si="37"/>
        <v>0</v>
      </c>
      <c r="T608">
        <f t="shared" si="38"/>
        <v>0</v>
      </c>
    </row>
    <row r="609" spans="1:20" x14ac:dyDescent="0.25">
      <c r="A609" s="5"/>
      <c r="C609"/>
      <c r="D609"/>
      <c r="P609">
        <f t="shared" si="34"/>
        <v>0</v>
      </c>
      <c r="Q609">
        <f t="shared" si="35"/>
        <v>0</v>
      </c>
      <c r="R609">
        <f t="shared" si="36"/>
        <v>0</v>
      </c>
      <c r="S609">
        <f t="shared" si="37"/>
        <v>0</v>
      </c>
      <c r="T609">
        <f t="shared" si="38"/>
        <v>0</v>
      </c>
    </row>
    <row r="610" spans="1:20" x14ac:dyDescent="0.25">
      <c r="A610" s="5"/>
      <c r="C610"/>
      <c r="D610"/>
      <c r="P610">
        <f t="shared" si="34"/>
        <v>0</v>
      </c>
      <c r="Q610">
        <f t="shared" si="35"/>
        <v>0</v>
      </c>
      <c r="R610">
        <f t="shared" si="36"/>
        <v>0</v>
      </c>
      <c r="S610">
        <f t="shared" si="37"/>
        <v>0</v>
      </c>
      <c r="T610">
        <f t="shared" si="38"/>
        <v>0</v>
      </c>
    </row>
    <row r="611" spans="1:20" x14ac:dyDescent="0.25">
      <c r="A611" s="5"/>
      <c r="C611"/>
      <c r="D611"/>
      <c r="P611">
        <f t="shared" si="34"/>
        <v>0</v>
      </c>
      <c r="Q611">
        <f t="shared" si="35"/>
        <v>0</v>
      </c>
      <c r="R611">
        <f t="shared" si="36"/>
        <v>0</v>
      </c>
      <c r="S611">
        <f t="shared" si="37"/>
        <v>0</v>
      </c>
      <c r="T611">
        <f t="shared" si="38"/>
        <v>0</v>
      </c>
    </row>
    <row r="612" spans="1:20" x14ac:dyDescent="0.25">
      <c r="A612" s="5"/>
      <c r="C612"/>
      <c r="D612"/>
      <c r="P612">
        <f t="shared" si="34"/>
        <v>0</v>
      </c>
      <c r="Q612">
        <f t="shared" si="35"/>
        <v>0</v>
      </c>
      <c r="R612">
        <f t="shared" si="36"/>
        <v>0</v>
      </c>
      <c r="S612">
        <f t="shared" si="37"/>
        <v>0</v>
      </c>
      <c r="T612">
        <f t="shared" si="38"/>
        <v>0</v>
      </c>
    </row>
    <row r="613" spans="1:20" x14ac:dyDescent="0.25">
      <c r="A613" s="5"/>
      <c r="C613"/>
      <c r="D613"/>
      <c r="P613">
        <f t="shared" si="34"/>
        <v>0</v>
      </c>
      <c r="Q613">
        <f t="shared" si="35"/>
        <v>0</v>
      </c>
      <c r="R613">
        <f t="shared" si="36"/>
        <v>0</v>
      </c>
      <c r="S613">
        <f t="shared" si="37"/>
        <v>0</v>
      </c>
      <c r="T613">
        <f t="shared" si="38"/>
        <v>0</v>
      </c>
    </row>
    <row r="614" spans="1:20" x14ac:dyDescent="0.25">
      <c r="A614" s="5"/>
      <c r="C614"/>
      <c r="D614"/>
      <c r="P614">
        <f t="shared" si="34"/>
        <v>0</v>
      </c>
      <c r="Q614">
        <f t="shared" si="35"/>
        <v>0</v>
      </c>
      <c r="R614">
        <f t="shared" si="36"/>
        <v>0</v>
      </c>
      <c r="S614">
        <f t="shared" si="37"/>
        <v>0</v>
      </c>
      <c r="T614">
        <f t="shared" si="38"/>
        <v>0</v>
      </c>
    </row>
    <row r="615" spans="1:20" x14ac:dyDescent="0.25">
      <c r="A615" s="5"/>
      <c r="C615"/>
      <c r="D615"/>
      <c r="P615">
        <f t="shared" si="34"/>
        <v>0</v>
      </c>
      <c r="Q615">
        <f t="shared" si="35"/>
        <v>0</v>
      </c>
      <c r="R615">
        <f t="shared" si="36"/>
        <v>0</v>
      </c>
      <c r="S615">
        <f t="shared" si="37"/>
        <v>0</v>
      </c>
      <c r="T615">
        <f t="shared" si="38"/>
        <v>0</v>
      </c>
    </row>
    <row r="616" spans="1:20" x14ac:dyDescent="0.25">
      <c r="A616" s="5"/>
      <c r="C616"/>
      <c r="D616"/>
      <c r="P616">
        <f t="shared" si="34"/>
        <v>0</v>
      </c>
      <c r="Q616">
        <f t="shared" si="35"/>
        <v>0</v>
      </c>
      <c r="R616">
        <f t="shared" si="36"/>
        <v>0</v>
      </c>
      <c r="S616">
        <f t="shared" si="37"/>
        <v>0</v>
      </c>
      <c r="T616">
        <f t="shared" si="38"/>
        <v>0</v>
      </c>
    </row>
    <row r="617" spans="1:20" x14ac:dyDescent="0.25">
      <c r="A617" s="5"/>
      <c r="C617"/>
      <c r="D617"/>
      <c r="P617">
        <f t="shared" si="34"/>
        <v>0</v>
      </c>
      <c r="Q617">
        <f t="shared" si="35"/>
        <v>0</v>
      </c>
      <c r="R617">
        <f t="shared" si="36"/>
        <v>0</v>
      </c>
      <c r="S617">
        <f t="shared" si="37"/>
        <v>0</v>
      </c>
      <c r="T617">
        <f t="shared" si="38"/>
        <v>0</v>
      </c>
    </row>
    <row r="618" spans="1:20" x14ac:dyDescent="0.25">
      <c r="A618" s="5"/>
      <c r="C618"/>
      <c r="D618"/>
      <c r="P618">
        <f t="shared" si="34"/>
        <v>0</v>
      </c>
      <c r="Q618">
        <f t="shared" si="35"/>
        <v>0</v>
      </c>
      <c r="R618">
        <f t="shared" si="36"/>
        <v>0</v>
      </c>
      <c r="S618">
        <f t="shared" si="37"/>
        <v>0</v>
      </c>
      <c r="T618">
        <f t="shared" si="38"/>
        <v>0</v>
      </c>
    </row>
    <row r="619" spans="1:20" x14ac:dyDescent="0.25">
      <c r="A619" s="5"/>
      <c r="C619"/>
      <c r="D619"/>
      <c r="P619">
        <f t="shared" si="34"/>
        <v>0</v>
      </c>
      <c r="Q619">
        <f t="shared" si="35"/>
        <v>0</v>
      </c>
      <c r="R619">
        <f t="shared" si="36"/>
        <v>0</v>
      </c>
      <c r="S619">
        <f t="shared" si="37"/>
        <v>0</v>
      </c>
      <c r="T619">
        <f t="shared" si="38"/>
        <v>0</v>
      </c>
    </row>
    <row r="620" spans="1:20" x14ac:dyDescent="0.25">
      <c r="A620" s="5"/>
      <c r="C620"/>
      <c r="D620"/>
      <c r="P620">
        <f t="shared" si="34"/>
        <v>0</v>
      </c>
      <c r="Q620">
        <f t="shared" si="35"/>
        <v>0</v>
      </c>
      <c r="R620">
        <f t="shared" si="36"/>
        <v>0</v>
      </c>
      <c r="S620">
        <f t="shared" si="37"/>
        <v>0</v>
      </c>
      <c r="T620">
        <f t="shared" si="38"/>
        <v>0</v>
      </c>
    </row>
    <row r="621" spans="1:20" x14ac:dyDescent="0.25">
      <c r="A621" s="5"/>
      <c r="C621"/>
      <c r="D621"/>
      <c r="P621">
        <f t="shared" si="34"/>
        <v>0</v>
      </c>
      <c r="Q621">
        <f t="shared" si="35"/>
        <v>0</v>
      </c>
      <c r="R621">
        <f t="shared" si="36"/>
        <v>0</v>
      </c>
      <c r="S621">
        <f t="shared" si="37"/>
        <v>0</v>
      </c>
      <c r="T621">
        <f t="shared" si="38"/>
        <v>0</v>
      </c>
    </row>
    <row r="622" spans="1:20" x14ac:dyDescent="0.25">
      <c r="A622" s="5"/>
      <c r="C622"/>
      <c r="D622"/>
      <c r="P622">
        <f t="shared" si="34"/>
        <v>0</v>
      </c>
      <c r="Q622">
        <f t="shared" si="35"/>
        <v>0</v>
      </c>
      <c r="R622">
        <f t="shared" si="36"/>
        <v>0</v>
      </c>
      <c r="S622">
        <f t="shared" si="37"/>
        <v>0</v>
      </c>
      <c r="T622">
        <f t="shared" si="38"/>
        <v>0</v>
      </c>
    </row>
    <row r="623" spans="1:20" x14ac:dyDescent="0.25">
      <c r="A623" s="5"/>
      <c r="C623"/>
      <c r="D623"/>
      <c r="P623">
        <f t="shared" si="34"/>
        <v>0</v>
      </c>
      <c r="Q623">
        <f t="shared" si="35"/>
        <v>0</v>
      </c>
      <c r="R623">
        <f t="shared" si="36"/>
        <v>0</v>
      </c>
      <c r="S623">
        <f t="shared" si="37"/>
        <v>0</v>
      </c>
      <c r="T623">
        <f t="shared" si="38"/>
        <v>0</v>
      </c>
    </row>
    <row r="624" spans="1:20" x14ac:dyDescent="0.25">
      <c r="A624" s="5"/>
      <c r="C624"/>
      <c r="D624"/>
      <c r="P624">
        <f t="shared" si="34"/>
        <v>0</v>
      </c>
      <c r="Q624">
        <f t="shared" si="35"/>
        <v>0</v>
      </c>
      <c r="R624">
        <f t="shared" si="36"/>
        <v>0</v>
      </c>
      <c r="S624">
        <f t="shared" si="37"/>
        <v>0</v>
      </c>
      <c r="T624">
        <f t="shared" si="38"/>
        <v>0</v>
      </c>
    </row>
    <row r="625" spans="1:20" x14ac:dyDescent="0.25">
      <c r="A625" s="5"/>
      <c r="C625"/>
      <c r="D625"/>
      <c r="P625">
        <f t="shared" si="34"/>
        <v>0</v>
      </c>
      <c r="Q625">
        <f t="shared" si="35"/>
        <v>0</v>
      </c>
      <c r="R625">
        <f t="shared" si="36"/>
        <v>0</v>
      </c>
      <c r="S625">
        <f t="shared" si="37"/>
        <v>0</v>
      </c>
      <c r="T625">
        <f t="shared" si="38"/>
        <v>0</v>
      </c>
    </row>
    <row r="626" spans="1:20" x14ac:dyDescent="0.25">
      <c r="A626" s="5"/>
      <c r="C626"/>
      <c r="D626"/>
      <c r="P626">
        <f t="shared" si="34"/>
        <v>0</v>
      </c>
      <c r="Q626">
        <f t="shared" si="35"/>
        <v>0</v>
      </c>
      <c r="R626">
        <f t="shared" si="36"/>
        <v>0</v>
      </c>
      <c r="S626">
        <f t="shared" si="37"/>
        <v>0</v>
      </c>
      <c r="T626">
        <f t="shared" si="38"/>
        <v>0</v>
      </c>
    </row>
    <row r="627" spans="1:20" x14ac:dyDescent="0.25">
      <c r="A627" s="5"/>
      <c r="C627"/>
      <c r="D627"/>
      <c r="P627">
        <f t="shared" si="34"/>
        <v>0</v>
      </c>
      <c r="Q627">
        <f t="shared" si="35"/>
        <v>0</v>
      </c>
      <c r="R627">
        <f t="shared" si="36"/>
        <v>0</v>
      </c>
      <c r="S627">
        <f t="shared" si="37"/>
        <v>0</v>
      </c>
      <c r="T627">
        <f t="shared" si="38"/>
        <v>0</v>
      </c>
    </row>
    <row r="628" spans="1:20" x14ac:dyDescent="0.25">
      <c r="A628" s="5"/>
      <c r="C628"/>
      <c r="D628"/>
      <c r="P628">
        <f t="shared" si="34"/>
        <v>0</v>
      </c>
      <c r="Q628">
        <f t="shared" si="35"/>
        <v>0</v>
      </c>
      <c r="R628">
        <f t="shared" si="36"/>
        <v>0</v>
      </c>
      <c r="S628">
        <f t="shared" si="37"/>
        <v>0</v>
      </c>
      <c r="T628">
        <f t="shared" si="38"/>
        <v>0</v>
      </c>
    </row>
    <row r="629" spans="1:20" x14ac:dyDescent="0.25">
      <c r="A629" s="5"/>
      <c r="C629"/>
      <c r="D629"/>
      <c r="P629">
        <f t="shared" si="34"/>
        <v>0</v>
      </c>
      <c r="Q629">
        <f t="shared" si="35"/>
        <v>0</v>
      </c>
      <c r="R629">
        <f t="shared" si="36"/>
        <v>0</v>
      </c>
      <c r="S629">
        <f t="shared" si="37"/>
        <v>0</v>
      </c>
      <c r="T629">
        <f t="shared" si="38"/>
        <v>0</v>
      </c>
    </row>
    <row r="630" spans="1:20" x14ac:dyDescent="0.25">
      <c r="A630" s="5"/>
      <c r="C630"/>
      <c r="D630"/>
      <c r="P630">
        <f t="shared" si="34"/>
        <v>0</v>
      </c>
      <c r="Q630">
        <f t="shared" si="35"/>
        <v>0</v>
      </c>
      <c r="R630">
        <f t="shared" si="36"/>
        <v>0</v>
      </c>
      <c r="S630">
        <f t="shared" si="37"/>
        <v>0</v>
      </c>
      <c r="T630">
        <f t="shared" si="38"/>
        <v>0</v>
      </c>
    </row>
    <row r="631" spans="1:20" x14ac:dyDescent="0.25">
      <c r="A631" s="5"/>
      <c r="C631"/>
      <c r="D631"/>
      <c r="P631">
        <f t="shared" si="34"/>
        <v>0</v>
      </c>
      <c r="Q631">
        <f t="shared" si="35"/>
        <v>0</v>
      </c>
      <c r="R631">
        <f t="shared" si="36"/>
        <v>0</v>
      </c>
      <c r="S631">
        <f t="shared" si="37"/>
        <v>0</v>
      </c>
      <c r="T631">
        <f t="shared" si="38"/>
        <v>0</v>
      </c>
    </row>
    <row r="632" spans="1:20" x14ac:dyDescent="0.25">
      <c r="A632" s="5"/>
      <c r="C632"/>
      <c r="D632"/>
      <c r="P632">
        <f t="shared" si="34"/>
        <v>0</v>
      </c>
      <c r="Q632">
        <f t="shared" si="35"/>
        <v>0</v>
      </c>
      <c r="R632">
        <f t="shared" si="36"/>
        <v>0</v>
      </c>
      <c r="S632">
        <f t="shared" si="37"/>
        <v>0</v>
      </c>
      <c r="T632">
        <f t="shared" si="38"/>
        <v>0</v>
      </c>
    </row>
    <row r="633" spans="1:20" x14ac:dyDescent="0.25">
      <c r="A633" s="5"/>
      <c r="C633"/>
      <c r="D633"/>
      <c r="P633">
        <f t="shared" si="34"/>
        <v>0</v>
      </c>
      <c r="Q633">
        <f t="shared" si="35"/>
        <v>0</v>
      </c>
      <c r="R633">
        <f t="shared" si="36"/>
        <v>0</v>
      </c>
      <c r="S633">
        <f t="shared" si="37"/>
        <v>0</v>
      </c>
      <c r="T633">
        <f t="shared" si="38"/>
        <v>0</v>
      </c>
    </row>
    <row r="634" spans="1:20" x14ac:dyDescent="0.25">
      <c r="A634" s="5"/>
      <c r="C634"/>
      <c r="D634"/>
      <c r="P634">
        <f t="shared" si="34"/>
        <v>0</v>
      </c>
      <c r="Q634">
        <f t="shared" si="35"/>
        <v>0</v>
      </c>
      <c r="R634">
        <f t="shared" si="36"/>
        <v>0</v>
      </c>
      <c r="S634">
        <f t="shared" si="37"/>
        <v>0</v>
      </c>
      <c r="T634">
        <f t="shared" si="38"/>
        <v>0</v>
      </c>
    </row>
    <row r="635" spans="1:20" x14ac:dyDescent="0.25">
      <c r="A635" s="5"/>
      <c r="C635"/>
      <c r="D635"/>
      <c r="P635">
        <f t="shared" si="34"/>
        <v>0</v>
      </c>
      <c r="Q635">
        <f t="shared" si="35"/>
        <v>0</v>
      </c>
      <c r="R635">
        <f t="shared" si="36"/>
        <v>0</v>
      </c>
      <c r="S635">
        <f t="shared" si="37"/>
        <v>0</v>
      </c>
      <c r="T635">
        <f t="shared" si="38"/>
        <v>0</v>
      </c>
    </row>
    <row r="636" spans="1:20" x14ac:dyDescent="0.25">
      <c r="A636" s="5"/>
      <c r="C636"/>
      <c r="D636"/>
      <c r="P636">
        <f t="shared" si="34"/>
        <v>0</v>
      </c>
      <c r="Q636">
        <f t="shared" si="35"/>
        <v>0</v>
      </c>
      <c r="R636">
        <f t="shared" si="36"/>
        <v>0</v>
      </c>
      <c r="S636">
        <f t="shared" si="37"/>
        <v>0</v>
      </c>
      <c r="T636">
        <f t="shared" si="38"/>
        <v>0</v>
      </c>
    </row>
    <row r="637" spans="1:20" x14ac:dyDescent="0.25">
      <c r="A637" s="5"/>
      <c r="C637"/>
      <c r="D637"/>
      <c r="P637">
        <f t="shared" si="34"/>
        <v>0</v>
      </c>
      <c r="Q637">
        <f t="shared" si="35"/>
        <v>0</v>
      </c>
      <c r="R637">
        <f t="shared" si="36"/>
        <v>0</v>
      </c>
      <c r="S637">
        <f t="shared" si="37"/>
        <v>0</v>
      </c>
      <c r="T637">
        <f t="shared" si="38"/>
        <v>0</v>
      </c>
    </row>
    <row r="638" spans="1:20" x14ac:dyDescent="0.25">
      <c r="A638" s="5"/>
      <c r="C638"/>
      <c r="D638"/>
      <c r="P638">
        <f t="shared" si="34"/>
        <v>0</v>
      </c>
      <c r="Q638">
        <f t="shared" si="35"/>
        <v>0</v>
      </c>
      <c r="R638">
        <f t="shared" si="36"/>
        <v>0</v>
      </c>
      <c r="S638">
        <f t="shared" si="37"/>
        <v>0</v>
      </c>
      <c r="T638">
        <f t="shared" si="38"/>
        <v>0</v>
      </c>
    </row>
    <row r="639" spans="1:20" x14ac:dyDescent="0.25">
      <c r="A639" s="5"/>
      <c r="C639"/>
      <c r="D639"/>
      <c r="P639">
        <f t="shared" si="34"/>
        <v>0</v>
      </c>
      <c r="Q639">
        <f t="shared" si="35"/>
        <v>0</v>
      </c>
      <c r="R639">
        <f t="shared" si="36"/>
        <v>0</v>
      </c>
      <c r="S639">
        <f t="shared" si="37"/>
        <v>0</v>
      </c>
      <c r="T639">
        <f t="shared" si="38"/>
        <v>0</v>
      </c>
    </row>
    <row r="640" spans="1:20" x14ac:dyDescent="0.25">
      <c r="A640" s="5"/>
      <c r="C640"/>
      <c r="D640"/>
      <c r="P640">
        <f t="shared" si="34"/>
        <v>0</v>
      </c>
      <c r="Q640">
        <f t="shared" si="35"/>
        <v>0</v>
      </c>
      <c r="R640">
        <f t="shared" si="36"/>
        <v>0</v>
      </c>
      <c r="S640">
        <f t="shared" si="37"/>
        <v>0</v>
      </c>
      <c r="T640">
        <f t="shared" si="38"/>
        <v>0</v>
      </c>
    </row>
    <row r="641" spans="1:20" x14ac:dyDescent="0.25">
      <c r="A641" s="5"/>
      <c r="C641"/>
      <c r="D641"/>
      <c r="P641">
        <f t="shared" si="34"/>
        <v>0</v>
      </c>
      <c r="Q641">
        <f t="shared" si="35"/>
        <v>0</v>
      </c>
      <c r="R641">
        <f t="shared" si="36"/>
        <v>0</v>
      </c>
      <c r="S641">
        <f t="shared" si="37"/>
        <v>0</v>
      </c>
      <c r="T641">
        <f t="shared" si="38"/>
        <v>0</v>
      </c>
    </row>
    <row r="642" spans="1:20" x14ac:dyDescent="0.25">
      <c r="A642" s="5"/>
      <c r="C642"/>
      <c r="D642"/>
      <c r="P642">
        <f t="shared" si="34"/>
        <v>0</v>
      </c>
      <c r="Q642">
        <f t="shared" si="35"/>
        <v>0</v>
      </c>
      <c r="R642">
        <f t="shared" si="36"/>
        <v>0</v>
      </c>
      <c r="S642">
        <f t="shared" si="37"/>
        <v>0</v>
      </c>
      <c r="T642">
        <f t="shared" si="38"/>
        <v>0</v>
      </c>
    </row>
    <row r="643" spans="1:20" x14ac:dyDescent="0.25">
      <c r="A643" s="5"/>
      <c r="C643"/>
      <c r="D643"/>
      <c r="P643">
        <f t="shared" si="34"/>
        <v>0</v>
      </c>
      <c r="Q643">
        <f t="shared" si="35"/>
        <v>0</v>
      </c>
      <c r="R643">
        <f t="shared" si="36"/>
        <v>0</v>
      </c>
      <c r="S643">
        <f t="shared" si="37"/>
        <v>0</v>
      </c>
      <c r="T643">
        <f t="shared" si="38"/>
        <v>0</v>
      </c>
    </row>
    <row r="644" spans="1:20" x14ac:dyDescent="0.25">
      <c r="A644" s="5"/>
      <c r="C644"/>
      <c r="D644"/>
      <c r="P644">
        <f t="shared" si="34"/>
        <v>0</v>
      </c>
      <c r="Q644">
        <f t="shared" si="35"/>
        <v>0</v>
      </c>
      <c r="R644">
        <f t="shared" si="36"/>
        <v>0</v>
      </c>
      <c r="S644">
        <f t="shared" si="37"/>
        <v>0</v>
      </c>
      <c r="T644">
        <f t="shared" si="38"/>
        <v>0</v>
      </c>
    </row>
    <row r="645" spans="1:20" x14ac:dyDescent="0.25">
      <c r="A645" s="5"/>
      <c r="C645"/>
      <c r="D645"/>
      <c r="P645">
        <f t="shared" si="34"/>
        <v>0</v>
      </c>
      <c r="Q645">
        <f t="shared" si="35"/>
        <v>0</v>
      </c>
      <c r="R645">
        <f t="shared" si="36"/>
        <v>0</v>
      </c>
      <c r="S645">
        <f t="shared" si="37"/>
        <v>0</v>
      </c>
      <c r="T645">
        <f t="shared" si="38"/>
        <v>0</v>
      </c>
    </row>
    <row r="646" spans="1:20" x14ac:dyDescent="0.25">
      <c r="A646" s="5"/>
      <c r="C646"/>
      <c r="D646"/>
      <c r="P646">
        <f t="shared" ref="P646:P709" si="39">IF(C646=D646,0,((E646-D646)-(C646-E646))/(C646-D646))</f>
        <v>0</v>
      </c>
      <c r="Q646">
        <f t="shared" ref="Q646:Q709" si="40">F646*P646</f>
        <v>0</v>
      </c>
      <c r="R646">
        <f t="shared" ref="R646:R709" si="41">R647+Q646</f>
        <v>0</v>
      </c>
      <c r="S646">
        <f t="shared" ref="S646:S709" si="42">R646/100000</f>
        <v>0</v>
      </c>
      <c r="T646">
        <f t="shared" ref="T646:T709" si="43">S646/1000</f>
        <v>0</v>
      </c>
    </row>
    <row r="647" spans="1:20" x14ac:dyDescent="0.25">
      <c r="A647" s="5"/>
      <c r="C647"/>
      <c r="D647"/>
      <c r="P647">
        <f t="shared" si="39"/>
        <v>0</v>
      </c>
      <c r="Q647">
        <f t="shared" si="40"/>
        <v>0</v>
      </c>
      <c r="R647">
        <f t="shared" si="41"/>
        <v>0</v>
      </c>
      <c r="S647">
        <f t="shared" si="42"/>
        <v>0</v>
      </c>
      <c r="T647">
        <f t="shared" si="43"/>
        <v>0</v>
      </c>
    </row>
    <row r="648" spans="1:20" x14ac:dyDescent="0.25">
      <c r="A648" s="5"/>
      <c r="C648"/>
      <c r="D648"/>
      <c r="P648">
        <f t="shared" si="39"/>
        <v>0</v>
      </c>
      <c r="Q648">
        <f t="shared" si="40"/>
        <v>0</v>
      </c>
      <c r="R648">
        <f t="shared" si="41"/>
        <v>0</v>
      </c>
      <c r="S648">
        <f t="shared" si="42"/>
        <v>0</v>
      </c>
      <c r="T648">
        <f t="shared" si="43"/>
        <v>0</v>
      </c>
    </row>
    <row r="649" spans="1:20" x14ac:dyDescent="0.25">
      <c r="A649" s="5"/>
      <c r="C649"/>
      <c r="D649"/>
      <c r="P649">
        <f t="shared" si="39"/>
        <v>0</v>
      </c>
      <c r="Q649">
        <f t="shared" si="40"/>
        <v>0</v>
      </c>
      <c r="R649">
        <f t="shared" si="41"/>
        <v>0</v>
      </c>
      <c r="S649">
        <f t="shared" si="42"/>
        <v>0</v>
      </c>
      <c r="T649">
        <f t="shared" si="43"/>
        <v>0</v>
      </c>
    </row>
    <row r="650" spans="1:20" x14ac:dyDescent="0.25">
      <c r="A650" s="5"/>
      <c r="C650"/>
      <c r="D650"/>
      <c r="P650">
        <f t="shared" si="39"/>
        <v>0</v>
      </c>
      <c r="Q650">
        <f t="shared" si="40"/>
        <v>0</v>
      </c>
      <c r="R650">
        <f t="shared" si="41"/>
        <v>0</v>
      </c>
      <c r="S650">
        <f t="shared" si="42"/>
        <v>0</v>
      </c>
      <c r="T650">
        <f t="shared" si="43"/>
        <v>0</v>
      </c>
    </row>
    <row r="651" spans="1:20" x14ac:dyDescent="0.25">
      <c r="A651" s="5"/>
      <c r="C651"/>
      <c r="D651"/>
      <c r="P651">
        <f t="shared" si="39"/>
        <v>0</v>
      </c>
      <c r="Q651">
        <f t="shared" si="40"/>
        <v>0</v>
      </c>
      <c r="R651">
        <f t="shared" si="41"/>
        <v>0</v>
      </c>
      <c r="S651">
        <f t="shared" si="42"/>
        <v>0</v>
      </c>
      <c r="T651">
        <f t="shared" si="43"/>
        <v>0</v>
      </c>
    </row>
    <row r="652" spans="1:20" x14ac:dyDescent="0.25">
      <c r="A652" s="5"/>
      <c r="C652"/>
      <c r="D652"/>
      <c r="P652">
        <f t="shared" si="39"/>
        <v>0</v>
      </c>
      <c r="Q652">
        <f t="shared" si="40"/>
        <v>0</v>
      </c>
      <c r="R652">
        <f t="shared" si="41"/>
        <v>0</v>
      </c>
      <c r="S652">
        <f t="shared" si="42"/>
        <v>0</v>
      </c>
      <c r="T652">
        <f t="shared" si="43"/>
        <v>0</v>
      </c>
    </row>
    <row r="653" spans="1:20" x14ac:dyDescent="0.25">
      <c r="A653" s="5"/>
      <c r="C653"/>
      <c r="D653"/>
      <c r="P653">
        <f t="shared" si="39"/>
        <v>0</v>
      </c>
      <c r="Q653">
        <f t="shared" si="40"/>
        <v>0</v>
      </c>
      <c r="R653">
        <f t="shared" si="41"/>
        <v>0</v>
      </c>
      <c r="S653">
        <f t="shared" si="42"/>
        <v>0</v>
      </c>
      <c r="T653">
        <f t="shared" si="43"/>
        <v>0</v>
      </c>
    </row>
    <row r="654" spans="1:20" x14ac:dyDescent="0.25">
      <c r="A654" s="5"/>
      <c r="C654"/>
      <c r="D654"/>
      <c r="P654">
        <f t="shared" si="39"/>
        <v>0</v>
      </c>
      <c r="Q654">
        <f t="shared" si="40"/>
        <v>0</v>
      </c>
      <c r="R654">
        <f t="shared" si="41"/>
        <v>0</v>
      </c>
      <c r="S654">
        <f t="shared" si="42"/>
        <v>0</v>
      </c>
      <c r="T654">
        <f t="shared" si="43"/>
        <v>0</v>
      </c>
    </row>
    <row r="655" spans="1:20" x14ac:dyDescent="0.25">
      <c r="A655" s="5"/>
      <c r="C655"/>
      <c r="D655"/>
      <c r="P655">
        <f t="shared" si="39"/>
        <v>0</v>
      </c>
      <c r="Q655">
        <f t="shared" si="40"/>
        <v>0</v>
      </c>
      <c r="R655">
        <f t="shared" si="41"/>
        <v>0</v>
      </c>
      <c r="S655">
        <f t="shared" si="42"/>
        <v>0</v>
      </c>
      <c r="T655">
        <f t="shared" si="43"/>
        <v>0</v>
      </c>
    </row>
    <row r="656" spans="1:20" x14ac:dyDescent="0.25">
      <c r="A656" s="5"/>
      <c r="C656"/>
      <c r="D656"/>
      <c r="P656">
        <f t="shared" si="39"/>
        <v>0</v>
      </c>
      <c r="Q656">
        <f t="shared" si="40"/>
        <v>0</v>
      </c>
      <c r="R656">
        <f t="shared" si="41"/>
        <v>0</v>
      </c>
      <c r="S656">
        <f t="shared" si="42"/>
        <v>0</v>
      </c>
      <c r="T656">
        <f t="shared" si="43"/>
        <v>0</v>
      </c>
    </row>
    <row r="657" spans="1:20" x14ac:dyDescent="0.25">
      <c r="A657" s="5"/>
      <c r="C657"/>
      <c r="D657"/>
      <c r="P657">
        <f t="shared" si="39"/>
        <v>0</v>
      </c>
      <c r="Q657">
        <f t="shared" si="40"/>
        <v>0</v>
      </c>
      <c r="R657">
        <f t="shared" si="41"/>
        <v>0</v>
      </c>
      <c r="S657">
        <f t="shared" si="42"/>
        <v>0</v>
      </c>
      <c r="T657">
        <f t="shared" si="43"/>
        <v>0</v>
      </c>
    </row>
    <row r="658" spans="1:20" x14ac:dyDescent="0.25">
      <c r="A658" s="5"/>
      <c r="C658"/>
      <c r="D658"/>
      <c r="P658">
        <f t="shared" si="39"/>
        <v>0</v>
      </c>
      <c r="Q658">
        <f t="shared" si="40"/>
        <v>0</v>
      </c>
      <c r="R658">
        <f t="shared" si="41"/>
        <v>0</v>
      </c>
      <c r="S658">
        <f t="shared" si="42"/>
        <v>0</v>
      </c>
      <c r="T658">
        <f t="shared" si="43"/>
        <v>0</v>
      </c>
    </row>
    <row r="659" spans="1:20" x14ac:dyDescent="0.25">
      <c r="A659" s="5"/>
      <c r="C659"/>
      <c r="D659"/>
      <c r="P659">
        <f t="shared" si="39"/>
        <v>0</v>
      </c>
      <c r="Q659">
        <f t="shared" si="40"/>
        <v>0</v>
      </c>
      <c r="R659">
        <f t="shared" si="41"/>
        <v>0</v>
      </c>
      <c r="S659">
        <f t="shared" si="42"/>
        <v>0</v>
      </c>
      <c r="T659">
        <f t="shared" si="43"/>
        <v>0</v>
      </c>
    </row>
    <row r="660" spans="1:20" x14ac:dyDescent="0.25">
      <c r="A660" s="5"/>
      <c r="C660"/>
      <c r="D660"/>
      <c r="P660">
        <f t="shared" si="39"/>
        <v>0</v>
      </c>
      <c r="Q660">
        <f t="shared" si="40"/>
        <v>0</v>
      </c>
      <c r="R660">
        <f t="shared" si="41"/>
        <v>0</v>
      </c>
      <c r="S660">
        <f t="shared" si="42"/>
        <v>0</v>
      </c>
      <c r="T660">
        <f t="shared" si="43"/>
        <v>0</v>
      </c>
    </row>
    <row r="661" spans="1:20" x14ac:dyDescent="0.25">
      <c r="A661" s="5"/>
      <c r="P661">
        <f t="shared" si="39"/>
        <v>0</v>
      </c>
      <c r="Q661">
        <f t="shared" si="40"/>
        <v>0</v>
      </c>
      <c r="R661">
        <f t="shared" si="41"/>
        <v>0</v>
      </c>
      <c r="S661">
        <f t="shared" si="42"/>
        <v>0</v>
      </c>
      <c r="T661">
        <f t="shared" si="43"/>
        <v>0</v>
      </c>
    </row>
    <row r="662" spans="1:20" x14ac:dyDescent="0.25">
      <c r="A662" s="5"/>
      <c r="P662">
        <f t="shared" si="39"/>
        <v>0</v>
      </c>
      <c r="Q662">
        <f t="shared" si="40"/>
        <v>0</v>
      </c>
      <c r="R662">
        <f t="shared" si="41"/>
        <v>0</v>
      </c>
      <c r="S662">
        <f t="shared" si="42"/>
        <v>0</v>
      </c>
      <c r="T662">
        <f t="shared" si="43"/>
        <v>0</v>
      </c>
    </row>
    <row r="663" spans="1:20" x14ac:dyDescent="0.25">
      <c r="A663" s="5"/>
      <c r="P663">
        <f t="shared" si="39"/>
        <v>0</v>
      </c>
      <c r="Q663">
        <f t="shared" si="40"/>
        <v>0</v>
      </c>
      <c r="R663">
        <f t="shared" si="41"/>
        <v>0</v>
      </c>
      <c r="S663">
        <f t="shared" si="42"/>
        <v>0</v>
      </c>
      <c r="T663">
        <f t="shared" si="43"/>
        <v>0</v>
      </c>
    </row>
    <row r="664" spans="1:20" x14ac:dyDescent="0.25">
      <c r="A664" s="5"/>
      <c r="C664" s="4"/>
      <c r="D664" s="4"/>
      <c r="P664">
        <f t="shared" si="39"/>
        <v>0</v>
      </c>
      <c r="Q664">
        <f t="shared" si="40"/>
        <v>0</v>
      </c>
      <c r="R664">
        <f t="shared" si="41"/>
        <v>0</v>
      </c>
      <c r="S664">
        <f t="shared" si="42"/>
        <v>0</v>
      </c>
      <c r="T664">
        <f t="shared" si="43"/>
        <v>0</v>
      </c>
    </row>
    <row r="665" spans="1:20" x14ac:dyDescent="0.25">
      <c r="A665" s="5"/>
      <c r="C665" s="4"/>
      <c r="D665" s="4"/>
      <c r="P665">
        <f t="shared" si="39"/>
        <v>0</v>
      </c>
      <c r="Q665">
        <f t="shared" si="40"/>
        <v>0</v>
      </c>
      <c r="R665">
        <f t="shared" si="41"/>
        <v>0</v>
      </c>
      <c r="S665">
        <f t="shared" si="42"/>
        <v>0</v>
      </c>
      <c r="T665">
        <f t="shared" si="43"/>
        <v>0</v>
      </c>
    </row>
    <row r="666" spans="1:20" x14ac:dyDescent="0.25">
      <c r="A666" s="5"/>
      <c r="C666" s="4"/>
      <c r="D666" s="4"/>
      <c r="P666">
        <f t="shared" si="39"/>
        <v>0</v>
      </c>
      <c r="Q666">
        <f t="shared" si="40"/>
        <v>0</v>
      </c>
      <c r="R666">
        <f t="shared" si="41"/>
        <v>0</v>
      </c>
      <c r="S666">
        <f t="shared" si="42"/>
        <v>0</v>
      </c>
      <c r="T666">
        <f t="shared" si="43"/>
        <v>0</v>
      </c>
    </row>
    <row r="667" spans="1:20" x14ac:dyDescent="0.25">
      <c r="A667" s="5"/>
      <c r="C667" s="4"/>
      <c r="D667" s="4"/>
      <c r="P667">
        <f t="shared" si="39"/>
        <v>0</v>
      </c>
      <c r="Q667">
        <f t="shared" si="40"/>
        <v>0</v>
      </c>
      <c r="R667">
        <f t="shared" si="41"/>
        <v>0</v>
      </c>
      <c r="S667">
        <f t="shared" si="42"/>
        <v>0</v>
      </c>
      <c r="T667">
        <f t="shared" si="43"/>
        <v>0</v>
      </c>
    </row>
    <row r="668" spans="1:20" x14ac:dyDescent="0.25">
      <c r="A668" s="5"/>
      <c r="C668" s="4"/>
      <c r="D668" s="4"/>
      <c r="P668">
        <f t="shared" si="39"/>
        <v>0</v>
      </c>
      <c r="Q668">
        <f t="shared" si="40"/>
        <v>0</v>
      </c>
      <c r="R668">
        <f t="shared" si="41"/>
        <v>0</v>
      </c>
      <c r="S668">
        <f t="shared" si="42"/>
        <v>0</v>
      </c>
      <c r="T668">
        <f t="shared" si="43"/>
        <v>0</v>
      </c>
    </row>
    <row r="669" spans="1:20" x14ac:dyDescent="0.25">
      <c r="A669" s="5"/>
      <c r="C669" s="4"/>
      <c r="D669" s="4"/>
      <c r="P669">
        <f t="shared" si="39"/>
        <v>0</v>
      </c>
      <c r="Q669">
        <f t="shared" si="40"/>
        <v>0</v>
      </c>
      <c r="R669">
        <f t="shared" si="41"/>
        <v>0</v>
      </c>
      <c r="S669">
        <f t="shared" si="42"/>
        <v>0</v>
      </c>
      <c r="T669">
        <f t="shared" si="43"/>
        <v>0</v>
      </c>
    </row>
    <row r="670" spans="1:20" x14ac:dyDescent="0.25">
      <c r="A670" s="5"/>
      <c r="C670" s="4"/>
      <c r="D670" s="4"/>
      <c r="P670">
        <f t="shared" si="39"/>
        <v>0</v>
      </c>
      <c r="Q670">
        <f t="shared" si="40"/>
        <v>0</v>
      </c>
      <c r="R670">
        <f t="shared" si="41"/>
        <v>0</v>
      </c>
      <c r="S670">
        <f t="shared" si="42"/>
        <v>0</v>
      </c>
      <c r="T670">
        <f t="shared" si="43"/>
        <v>0</v>
      </c>
    </row>
    <row r="671" spans="1:20" x14ac:dyDescent="0.25">
      <c r="A671" s="5"/>
      <c r="C671" s="4"/>
      <c r="D671" s="4"/>
      <c r="P671">
        <f t="shared" si="39"/>
        <v>0</v>
      </c>
      <c r="Q671">
        <f t="shared" si="40"/>
        <v>0</v>
      </c>
      <c r="R671">
        <f t="shared" si="41"/>
        <v>0</v>
      </c>
      <c r="S671">
        <f t="shared" si="42"/>
        <v>0</v>
      </c>
      <c r="T671">
        <f t="shared" si="43"/>
        <v>0</v>
      </c>
    </row>
    <row r="672" spans="1:20" x14ac:dyDescent="0.25">
      <c r="A672" s="5"/>
      <c r="C672" s="4"/>
      <c r="D672" s="4"/>
      <c r="P672">
        <f t="shared" si="39"/>
        <v>0</v>
      </c>
      <c r="Q672">
        <f t="shared" si="40"/>
        <v>0</v>
      </c>
      <c r="R672">
        <f t="shared" si="41"/>
        <v>0</v>
      </c>
      <c r="S672">
        <f t="shared" si="42"/>
        <v>0</v>
      </c>
      <c r="T672">
        <f t="shared" si="43"/>
        <v>0</v>
      </c>
    </row>
    <row r="673" spans="1:20" x14ac:dyDescent="0.25">
      <c r="A673" s="5"/>
      <c r="C673" s="4"/>
      <c r="D673" s="4"/>
      <c r="P673">
        <f t="shared" si="39"/>
        <v>0</v>
      </c>
      <c r="Q673">
        <f t="shared" si="40"/>
        <v>0</v>
      </c>
      <c r="R673">
        <f t="shared" si="41"/>
        <v>0</v>
      </c>
      <c r="S673">
        <f t="shared" si="42"/>
        <v>0</v>
      </c>
      <c r="T673">
        <f t="shared" si="43"/>
        <v>0</v>
      </c>
    </row>
    <row r="674" spans="1:20" x14ac:dyDescent="0.25">
      <c r="A674" s="5"/>
      <c r="C674" s="4"/>
      <c r="D674" s="4"/>
      <c r="P674">
        <f t="shared" si="39"/>
        <v>0</v>
      </c>
      <c r="Q674">
        <f t="shared" si="40"/>
        <v>0</v>
      </c>
      <c r="R674">
        <f t="shared" si="41"/>
        <v>0</v>
      </c>
      <c r="S674">
        <f t="shared" si="42"/>
        <v>0</v>
      </c>
      <c r="T674">
        <f t="shared" si="43"/>
        <v>0</v>
      </c>
    </row>
    <row r="675" spans="1:20" x14ac:dyDescent="0.25">
      <c r="A675" s="5"/>
      <c r="C675" s="4"/>
      <c r="D675" s="4"/>
      <c r="P675">
        <f t="shared" si="39"/>
        <v>0</v>
      </c>
      <c r="Q675">
        <f t="shared" si="40"/>
        <v>0</v>
      </c>
      <c r="R675">
        <f t="shared" si="41"/>
        <v>0</v>
      </c>
      <c r="S675">
        <f t="shared" si="42"/>
        <v>0</v>
      </c>
      <c r="T675">
        <f t="shared" si="43"/>
        <v>0</v>
      </c>
    </row>
    <row r="676" spans="1:20" x14ac:dyDescent="0.25">
      <c r="A676" s="5"/>
      <c r="C676" s="4"/>
      <c r="D676" s="4"/>
      <c r="P676">
        <f t="shared" si="39"/>
        <v>0</v>
      </c>
      <c r="Q676">
        <f t="shared" si="40"/>
        <v>0</v>
      </c>
      <c r="R676">
        <f t="shared" si="41"/>
        <v>0</v>
      </c>
      <c r="S676">
        <f t="shared" si="42"/>
        <v>0</v>
      </c>
      <c r="T676">
        <f t="shared" si="43"/>
        <v>0</v>
      </c>
    </row>
    <row r="677" spans="1:20" x14ac:dyDescent="0.25">
      <c r="A677" s="5"/>
      <c r="C677" s="4"/>
      <c r="D677" s="4"/>
      <c r="P677">
        <f t="shared" si="39"/>
        <v>0</v>
      </c>
      <c r="Q677">
        <f t="shared" si="40"/>
        <v>0</v>
      </c>
      <c r="R677">
        <f t="shared" si="41"/>
        <v>0</v>
      </c>
      <c r="S677">
        <f t="shared" si="42"/>
        <v>0</v>
      </c>
      <c r="T677">
        <f t="shared" si="43"/>
        <v>0</v>
      </c>
    </row>
    <row r="678" spans="1:20" x14ac:dyDescent="0.25">
      <c r="A678" s="5"/>
      <c r="C678" s="4"/>
      <c r="D678" s="4"/>
      <c r="P678">
        <f t="shared" si="39"/>
        <v>0</v>
      </c>
      <c r="Q678">
        <f t="shared" si="40"/>
        <v>0</v>
      </c>
      <c r="R678">
        <f t="shared" si="41"/>
        <v>0</v>
      </c>
      <c r="S678">
        <f t="shared" si="42"/>
        <v>0</v>
      </c>
      <c r="T678">
        <f t="shared" si="43"/>
        <v>0</v>
      </c>
    </row>
    <row r="679" spans="1:20" x14ac:dyDescent="0.25">
      <c r="A679" s="5"/>
      <c r="C679" s="4"/>
      <c r="D679" s="4"/>
      <c r="P679">
        <f t="shared" si="39"/>
        <v>0</v>
      </c>
      <c r="Q679">
        <f t="shared" si="40"/>
        <v>0</v>
      </c>
      <c r="R679">
        <f t="shared" si="41"/>
        <v>0</v>
      </c>
      <c r="S679">
        <f t="shared" si="42"/>
        <v>0</v>
      </c>
      <c r="T679">
        <f t="shared" si="43"/>
        <v>0</v>
      </c>
    </row>
    <row r="680" spans="1:20" x14ac:dyDescent="0.25">
      <c r="A680" s="5"/>
      <c r="C680" s="4"/>
      <c r="D680" s="4"/>
      <c r="P680">
        <f t="shared" si="39"/>
        <v>0</v>
      </c>
      <c r="Q680">
        <f t="shared" si="40"/>
        <v>0</v>
      </c>
      <c r="R680">
        <f t="shared" si="41"/>
        <v>0</v>
      </c>
      <c r="S680">
        <f t="shared" si="42"/>
        <v>0</v>
      </c>
      <c r="T680">
        <f t="shared" si="43"/>
        <v>0</v>
      </c>
    </row>
    <row r="681" spans="1:20" x14ac:dyDescent="0.25">
      <c r="A681" s="5"/>
      <c r="C681" s="4"/>
      <c r="D681" s="4"/>
      <c r="P681">
        <f t="shared" si="39"/>
        <v>0</v>
      </c>
      <c r="Q681">
        <f t="shared" si="40"/>
        <v>0</v>
      </c>
      <c r="R681">
        <f t="shared" si="41"/>
        <v>0</v>
      </c>
      <c r="S681">
        <f t="shared" si="42"/>
        <v>0</v>
      </c>
      <c r="T681">
        <f t="shared" si="43"/>
        <v>0</v>
      </c>
    </row>
    <row r="682" spans="1:20" x14ac:dyDescent="0.25">
      <c r="A682" s="5"/>
      <c r="C682" s="4"/>
      <c r="D682" s="4"/>
      <c r="P682">
        <f t="shared" si="39"/>
        <v>0</v>
      </c>
      <c r="Q682">
        <f t="shared" si="40"/>
        <v>0</v>
      </c>
      <c r="R682">
        <f t="shared" si="41"/>
        <v>0</v>
      </c>
      <c r="S682">
        <f t="shared" si="42"/>
        <v>0</v>
      </c>
      <c r="T682">
        <f t="shared" si="43"/>
        <v>0</v>
      </c>
    </row>
    <row r="683" spans="1:20" x14ac:dyDescent="0.25">
      <c r="A683" s="5"/>
      <c r="C683" s="4"/>
      <c r="D683" s="4"/>
      <c r="P683">
        <f t="shared" si="39"/>
        <v>0</v>
      </c>
      <c r="Q683">
        <f t="shared" si="40"/>
        <v>0</v>
      </c>
      <c r="R683">
        <f t="shared" si="41"/>
        <v>0</v>
      </c>
      <c r="S683">
        <f t="shared" si="42"/>
        <v>0</v>
      </c>
      <c r="T683">
        <f t="shared" si="43"/>
        <v>0</v>
      </c>
    </row>
    <row r="684" spans="1:20" x14ac:dyDescent="0.25">
      <c r="A684" s="5"/>
      <c r="C684" s="4"/>
      <c r="D684" s="4"/>
      <c r="P684">
        <f t="shared" si="39"/>
        <v>0</v>
      </c>
      <c r="Q684">
        <f t="shared" si="40"/>
        <v>0</v>
      </c>
      <c r="R684">
        <f t="shared" si="41"/>
        <v>0</v>
      </c>
      <c r="S684">
        <f t="shared" si="42"/>
        <v>0</v>
      </c>
      <c r="T684">
        <f t="shared" si="43"/>
        <v>0</v>
      </c>
    </row>
    <row r="685" spans="1:20" x14ac:dyDescent="0.25">
      <c r="A685" s="5"/>
      <c r="C685" s="4"/>
      <c r="D685" s="4"/>
      <c r="P685">
        <f t="shared" si="39"/>
        <v>0</v>
      </c>
      <c r="Q685">
        <f t="shared" si="40"/>
        <v>0</v>
      </c>
      <c r="R685">
        <f t="shared" si="41"/>
        <v>0</v>
      </c>
      <c r="S685">
        <f t="shared" si="42"/>
        <v>0</v>
      </c>
      <c r="T685">
        <f t="shared" si="43"/>
        <v>0</v>
      </c>
    </row>
    <row r="686" spans="1:20" x14ac:dyDescent="0.25">
      <c r="A686" s="5"/>
      <c r="C686" s="4"/>
      <c r="D686" s="4"/>
      <c r="P686">
        <f t="shared" si="39"/>
        <v>0</v>
      </c>
      <c r="Q686">
        <f t="shared" si="40"/>
        <v>0</v>
      </c>
      <c r="R686">
        <f t="shared" si="41"/>
        <v>0</v>
      </c>
      <c r="S686">
        <f t="shared" si="42"/>
        <v>0</v>
      </c>
      <c r="T686">
        <f t="shared" si="43"/>
        <v>0</v>
      </c>
    </row>
    <row r="687" spans="1:20" x14ac:dyDescent="0.25">
      <c r="A687" s="5"/>
      <c r="C687" s="4"/>
      <c r="D687" s="4"/>
      <c r="P687">
        <f t="shared" si="39"/>
        <v>0</v>
      </c>
      <c r="Q687">
        <f t="shared" si="40"/>
        <v>0</v>
      </c>
      <c r="R687">
        <f t="shared" si="41"/>
        <v>0</v>
      </c>
      <c r="S687">
        <f t="shared" si="42"/>
        <v>0</v>
      </c>
      <c r="T687">
        <f t="shared" si="43"/>
        <v>0</v>
      </c>
    </row>
    <row r="688" spans="1:20" x14ac:dyDescent="0.25">
      <c r="A688" s="5"/>
      <c r="C688" s="4"/>
      <c r="D688" s="4"/>
      <c r="P688">
        <f t="shared" si="39"/>
        <v>0</v>
      </c>
      <c r="Q688">
        <f t="shared" si="40"/>
        <v>0</v>
      </c>
      <c r="R688">
        <f t="shared" si="41"/>
        <v>0</v>
      </c>
      <c r="S688">
        <f t="shared" si="42"/>
        <v>0</v>
      </c>
      <c r="T688">
        <f t="shared" si="43"/>
        <v>0</v>
      </c>
    </row>
    <row r="689" spans="1:20" x14ac:dyDescent="0.25">
      <c r="A689" s="5"/>
      <c r="C689" s="4"/>
      <c r="D689" s="4"/>
      <c r="P689">
        <f t="shared" si="39"/>
        <v>0</v>
      </c>
      <c r="Q689">
        <f t="shared" si="40"/>
        <v>0</v>
      </c>
      <c r="R689">
        <f t="shared" si="41"/>
        <v>0</v>
      </c>
      <c r="S689">
        <f t="shared" si="42"/>
        <v>0</v>
      </c>
      <c r="T689">
        <f t="shared" si="43"/>
        <v>0</v>
      </c>
    </row>
    <row r="690" spans="1:20" x14ac:dyDescent="0.25">
      <c r="A690" s="5"/>
      <c r="C690" s="4"/>
      <c r="D690" s="4"/>
      <c r="P690">
        <f t="shared" si="39"/>
        <v>0</v>
      </c>
      <c r="Q690">
        <f t="shared" si="40"/>
        <v>0</v>
      </c>
      <c r="R690">
        <f t="shared" si="41"/>
        <v>0</v>
      </c>
      <c r="S690">
        <f t="shared" si="42"/>
        <v>0</v>
      </c>
      <c r="T690">
        <f t="shared" si="43"/>
        <v>0</v>
      </c>
    </row>
    <row r="691" spans="1:20" x14ac:dyDescent="0.25">
      <c r="A691" s="5"/>
      <c r="C691" s="4"/>
      <c r="D691" s="4"/>
      <c r="P691">
        <f t="shared" si="39"/>
        <v>0</v>
      </c>
      <c r="Q691">
        <f t="shared" si="40"/>
        <v>0</v>
      </c>
      <c r="R691">
        <f t="shared" si="41"/>
        <v>0</v>
      </c>
      <c r="S691">
        <f t="shared" si="42"/>
        <v>0</v>
      </c>
      <c r="T691">
        <f t="shared" si="43"/>
        <v>0</v>
      </c>
    </row>
    <row r="692" spans="1:20" x14ac:dyDescent="0.25">
      <c r="A692" s="5"/>
      <c r="C692" s="4"/>
      <c r="D692" s="4"/>
      <c r="P692">
        <f t="shared" si="39"/>
        <v>0</v>
      </c>
      <c r="Q692">
        <f t="shared" si="40"/>
        <v>0</v>
      </c>
      <c r="R692">
        <f t="shared" si="41"/>
        <v>0</v>
      </c>
      <c r="S692">
        <f t="shared" si="42"/>
        <v>0</v>
      </c>
      <c r="T692">
        <f t="shared" si="43"/>
        <v>0</v>
      </c>
    </row>
    <row r="693" spans="1:20" x14ac:dyDescent="0.25">
      <c r="A693" s="5"/>
      <c r="C693" s="4"/>
      <c r="D693" s="4"/>
      <c r="P693">
        <f t="shared" si="39"/>
        <v>0</v>
      </c>
      <c r="Q693">
        <f t="shared" si="40"/>
        <v>0</v>
      </c>
      <c r="R693">
        <f t="shared" si="41"/>
        <v>0</v>
      </c>
      <c r="S693">
        <f t="shared" si="42"/>
        <v>0</v>
      </c>
      <c r="T693">
        <f t="shared" si="43"/>
        <v>0</v>
      </c>
    </row>
    <row r="694" spans="1:20" x14ac:dyDescent="0.25">
      <c r="A694" s="5"/>
      <c r="C694" s="4"/>
      <c r="D694" s="4"/>
      <c r="P694">
        <f t="shared" si="39"/>
        <v>0</v>
      </c>
      <c r="Q694">
        <f t="shared" si="40"/>
        <v>0</v>
      </c>
      <c r="R694">
        <f t="shared" si="41"/>
        <v>0</v>
      </c>
      <c r="S694">
        <f t="shared" si="42"/>
        <v>0</v>
      </c>
      <c r="T694">
        <f t="shared" si="43"/>
        <v>0</v>
      </c>
    </row>
    <row r="695" spans="1:20" x14ac:dyDescent="0.25">
      <c r="A695" s="5"/>
      <c r="C695" s="4"/>
      <c r="D695" s="4"/>
      <c r="P695">
        <f t="shared" si="39"/>
        <v>0</v>
      </c>
      <c r="Q695">
        <f t="shared" si="40"/>
        <v>0</v>
      </c>
      <c r="R695">
        <f t="shared" si="41"/>
        <v>0</v>
      </c>
      <c r="S695">
        <f t="shared" si="42"/>
        <v>0</v>
      </c>
      <c r="T695">
        <f t="shared" si="43"/>
        <v>0</v>
      </c>
    </row>
    <row r="696" spans="1:20" x14ac:dyDescent="0.25">
      <c r="A696" s="5"/>
      <c r="C696" s="4"/>
      <c r="D696" s="4"/>
      <c r="P696">
        <f t="shared" si="39"/>
        <v>0</v>
      </c>
      <c r="Q696">
        <f t="shared" si="40"/>
        <v>0</v>
      </c>
      <c r="R696">
        <f t="shared" si="41"/>
        <v>0</v>
      </c>
      <c r="S696">
        <f t="shared" si="42"/>
        <v>0</v>
      </c>
      <c r="T696">
        <f t="shared" si="43"/>
        <v>0</v>
      </c>
    </row>
    <row r="697" spans="1:20" x14ac:dyDescent="0.25">
      <c r="A697" s="5"/>
      <c r="C697" s="4"/>
      <c r="D697" s="4"/>
      <c r="P697">
        <f t="shared" si="39"/>
        <v>0</v>
      </c>
      <c r="Q697">
        <f t="shared" si="40"/>
        <v>0</v>
      </c>
      <c r="R697">
        <f t="shared" si="41"/>
        <v>0</v>
      </c>
      <c r="S697">
        <f t="shared" si="42"/>
        <v>0</v>
      </c>
      <c r="T697">
        <f t="shared" si="43"/>
        <v>0</v>
      </c>
    </row>
    <row r="698" spans="1:20" x14ac:dyDescent="0.25">
      <c r="A698" s="5"/>
      <c r="C698" s="4"/>
      <c r="D698" s="4"/>
      <c r="P698">
        <f t="shared" si="39"/>
        <v>0</v>
      </c>
      <c r="Q698">
        <f t="shared" si="40"/>
        <v>0</v>
      </c>
      <c r="R698">
        <f t="shared" si="41"/>
        <v>0</v>
      </c>
      <c r="S698">
        <f t="shared" si="42"/>
        <v>0</v>
      </c>
      <c r="T698">
        <f t="shared" si="43"/>
        <v>0</v>
      </c>
    </row>
    <row r="699" spans="1:20" x14ac:dyDescent="0.25">
      <c r="A699" s="5"/>
      <c r="C699" s="4"/>
      <c r="D699" s="4"/>
      <c r="P699">
        <f t="shared" si="39"/>
        <v>0</v>
      </c>
      <c r="Q699">
        <f t="shared" si="40"/>
        <v>0</v>
      </c>
      <c r="R699">
        <f t="shared" si="41"/>
        <v>0</v>
      </c>
      <c r="S699">
        <f t="shared" si="42"/>
        <v>0</v>
      </c>
      <c r="T699">
        <f t="shared" si="43"/>
        <v>0</v>
      </c>
    </row>
    <row r="700" spans="1:20" x14ac:dyDescent="0.25">
      <c r="A700" s="5"/>
      <c r="C700" s="4"/>
      <c r="D700" s="4"/>
      <c r="P700">
        <f t="shared" si="39"/>
        <v>0</v>
      </c>
      <c r="Q700">
        <f t="shared" si="40"/>
        <v>0</v>
      </c>
      <c r="R700">
        <f t="shared" si="41"/>
        <v>0</v>
      </c>
      <c r="S700">
        <f t="shared" si="42"/>
        <v>0</v>
      </c>
      <c r="T700">
        <f t="shared" si="43"/>
        <v>0</v>
      </c>
    </row>
    <row r="701" spans="1:20" x14ac:dyDescent="0.25">
      <c r="A701" s="5"/>
      <c r="C701" s="4"/>
      <c r="D701" s="4"/>
      <c r="P701">
        <f t="shared" si="39"/>
        <v>0</v>
      </c>
      <c r="Q701">
        <f t="shared" si="40"/>
        <v>0</v>
      </c>
      <c r="R701">
        <f t="shared" si="41"/>
        <v>0</v>
      </c>
      <c r="S701">
        <f t="shared" si="42"/>
        <v>0</v>
      </c>
      <c r="T701">
        <f t="shared" si="43"/>
        <v>0</v>
      </c>
    </row>
    <row r="702" spans="1:20" x14ac:dyDescent="0.25">
      <c r="A702" s="5"/>
      <c r="C702" s="4"/>
      <c r="D702" s="4"/>
      <c r="P702">
        <f t="shared" si="39"/>
        <v>0</v>
      </c>
      <c r="Q702">
        <f t="shared" si="40"/>
        <v>0</v>
      </c>
      <c r="R702">
        <f t="shared" si="41"/>
        <v>0</v>
      </c>
      <c r="S702">
        <f t="shared" si="42"/>
        <v>0</v>
      </c>
      <c r="T702">
        <f t="shared" si="43"/>
        <v>0</v>
      </c>
    </row>
    <row r="703" spans="1:20" x14ac:dyDescent="0.25">
      <c r="A703" s="5"/>
      <c r="C703" s="4"/>
      <c r="D703" s="4"/>
      <c r="P703">
        <f t="shared" si="39"/>
        <v>0</v>
      </c>
      <c r="Q703">
        <f t="shared" si="40"/>
        <v>0</v>
      </c>
      <c r="R703">
        <f t="shared" si="41"/>
        <v>0</v>
      </c>
      <c r="S703">
        <f t="shared" si="42"/>
        <v>0</v>
      </c>
      <c r="T703">
        <f t="shared" si="43"/>
        <v>0</v>
      </c>
    </row>
    <row r="704" spans="1:20" x14ac:dyDescent="0.25">
      <c r="A704" s="5"/>
      <c r="C704" s="4"/>
      <c r="D704" s="4"/>
      <c r="P704">
        <f t="shared" si="39"/>
        <v>0</v>
      </c>
      <c r="Q704">
        <f t="shared" si="40"/>
        <v>0</v>
      </c>
      <c r="R704">
        <f t="shared" si="41"/>
        <v>0</v>
      </c>
      <c r="S704">
        <f t="shared" si="42"/>
        <v>0</v>
      </c>
      <c r="T704">
        <f t="shared" si="43"/>
        <v>0</v>
      </c>
    </row>
    <row r="705" spans="1:20" x14ac:dyDescent="0.25">
      <c r="A705" s="5"/>
      <c r="C705" s="4"/>
      <c r="D705" s="4"/>
      <c r="P705">
        <f t="shared" si="39"/>
        <v>0</v>
      </c>
      <c r="Q705">
        <f t="shared" si="40"/>
        <v>0</v>
      </c>
      <c r="R705">
        <f t="shared" si="41"/>
        <v>0</v>
      </c>
      <c r="S705">
        <f t="shared" si="42"/>
        <v>0</v>
      </c>
      <c r="T705">
        <f t="shared" si="43"/>
        <v>0</v>
      </c>
    </row>
    <row r="706" spans="1:20" x14ac:dyDescent="0.25">
      <c r="A706" s="5"/>
      <c r="C706" s="4"/>
      <c r="D706" s="4"/>
      <c r="P706">
        <f t="shared" si="39"/>
        <v>0</v>
      </c>
      <c r="Q706">
        <f t="shared" si="40"/>
        <v>0</v>
      </c>
      <c r="R706">
        <f t="shared" si="41"/>
        <v>0</v>
      </c>
      <c r="S706">
        <f t="shared" si="42"/>
        <v>0</v>
      </c>
      <c r="T706">
        <f t="shared" si="43"/>
        <v>0</v>
      </c>
    </row>
    <row r="707" spans="1:20" x14ac:dyDescent="0.25">
      <c r="A707" s="5"/>
      <c r="C707" s="4"/>
      <c r="D707" s="4"/>
      <c r="P707">
        <f t="shared" si="39"/>
        <v>0</v>
      </c>
      <c r="Q707">
        <f t="shared" si="40"/>
        <v>0</v>
      </c>
      <c r="R707">
        <f t="shared" si="41"/>
        <v>0</v>
      </c>
      <c r="S707">
        <f t="shared" si="42"/>
        <v>0</v>
      </c>
      <c r="T707">
        <f t="shared" si="43"/>
        <v>0</v>
      </c>
    </row>
    <row r="708" spans="1:20" x14ac:dyDescent="0.25">
      <c r="A708" s="5"/>
      <c r="C708" s="4"/>
      <c r="D708" s="4"/>
      <c r="P708">
        <f t="shared" si="39"/>
        <v>0</v>
      </c>
      <c r="Q708">
        <f t="shared" si="40"/>
        <v>0</v>
      </c>
      <c r="R708">
        <f t="shared" si="41"/>
        <v>0</v>
      </c>
      <c r="S708">
        <f t="shared" si="42"/>
        <v>0</v>
      </c>
      <c r="T708">
        <f t="shared" si="43"/>
        <v>0</v>
      </c>
    </row>
    <row r="709" spans="1:20" x14ac:dyDescent="0.25">
      <c r="A709" s="5"/>
      <c r="C709" s="4"/>
      <c r="D709" s="4"/>
      <c r="P709">
        <f t="shared" si="39"/>
        <v>0</v>
      </c>
      <c r="Q709">
        <f t="shared" si="40"/>
        <v>0</v>
      </c>
      <c r="R709">
        <f t="shared" si="41"/>
        <v>0</v>
      </c>
      <c r="S709">
        <f t="shared" si="42"/>
        <v>0</v>
      </c>
      <c r="T709">
        <f t="shared" si="43"/>
        <v>0</v>
      </c>
    </row>
    <row r="710" spans="1:20" x14ac:dyDescent="0.25">
      <c r="A710" s="5"/>
      <c r="C710" s="4"/>
      <c r="D710" s="4"/>
      <c r="P710">
        <f t="shared" ref="P710:P766" si="44">IF(C710=D710,0,((E710-D710)-(C710-E710))/(C710-D710))</f>
        <v>0</v>
      </c>
      <c r="Q710">
        <f t="shared" ref="Q710:Q766" si="45">F710*P710</f>
        <v>0</v>
      </c>
      <c r="R710">
        <f t="shared" ref="R710:R766" si="46">R711+Q710</f>
        <v>0</v>
      </c>
      <c r="S710">
        <f t="shared" ref="S710:S766" si="47">R710/100000</f>
        <v>0</v>
      </c>
      <c r="T710">
        <f t="shared" ref="T710:T766" si="48">S710/1000</f>
        <v>0</v>
      </c>
    </row>
    <row r="711" spans="1:20" x14ac:dyDescent="0.25">
      <c r="A711" s="5"/>
      <c r="C711" s="4"/>
      <c r="D711" s="4"/>
      <c r="P711">
        <f t="shared" si="44"/>
        <v>0</v>
      </c>
      <c r="Q711">
        <f t="shared" si="45"/>
        <v>0</v>
      </c>
      <c r="R711">
        <f t="shared" si="46"/>
        <v>0</v>
      </c>
      <c r="S711">
        <f t="shared" si="47"/>
        <v>0</v>
      </c>
      <c r="T711">
        <f t="shared" si="48"/>
        <v>0</v>
      </c>
    </row>
    <row r="712" spans="1:20" x14ac:dyDescent="0.25">
      <c r="A712" s="5"/>
      <c r="C712" s="4"/>
      <c r="D712" s="4"/>
      <c r="P712">
        <f t="shared" si="44"/>
        <v>0</v>
      </c>
      <c r="Q712">
        <f t="shared" si="45"/>
        <v>0</v>
      </c>
      <c r="R712">
        <f t="shared" si="46"/>
        <v>0</v>
      </c>
      <c r="S712">
        <f t="shared" si="47"/>
        <v>0</v>
      </c>
      <c r="T712">
        <f t="shared" si="48"/>
        <v>0</v>
      </c>
    </row>
    <row r="713" spans="1:20" x14ac:dyDescent="0.25">
      <c r="A713" s="5"/>
      <c r="C713" s="4"/>
      <c r="D713" s="4"/>
      <c r="P713">
        <f t="shared" si="44"/>
        <v>0</v>
      </c>
      <c r="Q713">
        <f t="shared" si="45"/>
        <v>0</v>
      </c>
      <c r="R713">
        <f t="shared" si="46"/>
        <v>0</v>
      </c>
      <c r="S713">
        <f t="shared" si="47"/>
        <v>0</v>
      </c>
      <c r="T713">
        <f t="shared" si="48"/>
        <v>0</v>
      </c>
    </row>
    <row r="714" spans="1:20" x14ac:dyDescent="0.25">
      <c r="A714" s="5"/>
      <c r="C714" s="4"/>
      <c r="D714" s="4"/>
      <c r="P714">
        <f t="shared" si="44"/>
        <v>0</v>
      </c>
      <c r="Q714">
        <f t="shared" si="45"/>
        <v>0</v>
      </c>
      <c r="R714">
        <f t="shared" si="46"/>
        <v>0</v>
      </c>
      <c r="S714">
        <f t="shared" si="47"/>
        <v>0</v>
      </c>
      <c r="T714">
        <f t="shared" si="48"/>
        <v>0</v>
      </c>
    </row>
    <row r="715" spans="1:20" x14ac:dyDescent="0.25">
      <c r="A715" s="5"/>
      <c r="C715" s="4"/>
      <c r="D715" s="4"/>
      <c r="P715">
        <f t="shared" si="44"/>
        <v>0</v>
      </c>
      <c r="Q715">
        <f t="shared" si="45"/>
        <v>0</v>
      </c>
      <c r="R715">
        <f t="shared" si="46"/>
        <v>0</v>
      </c>
      <c r="S715">
        <f t="shared" si="47"/>
        <v>0</v>
      </c>
      <c r="T715">
        <f t="shared" si="48"/>
        <v>0</v>
      </c>
    </row>
    <row r="716" spans="1:20" x14ac:dyDescent="0.25">
      <c r="A716" s="5"/>
      <c r="C716" s="4"/>
      <c r="D716" s="4"/>
      <c r="P716">
        <f t="shared" si="44"/>
        <v>0</v>
      </c>
      <c r="Q716">
        <f t="shared" si="45"/>
        <v>0</v>
      </c>
      <c r="R716">
        <f t="shared" si="46"/>
        <v>0</v>
      </c>
      <c r="S716">
        <f t="shared" si="47"/>
        <v>0</v>
      </c>
      <c r="T716">
        <f t="shared" si="48"/>
        <v>0</v>
      </c>
    </row>
    <row r="717" spans="1:20" x14ac:dyDescent="0.25">
      <c r="A717" s="5"/>
      <c r="C717" s="4"/>
      <c r="D717" s="4"/>
      <c r="P717">
        <f t="shared" si="44"/>
        <v>0</v>
      </c>
      <c r="Q717">
        <f t="shared" si="45"/>
        <v>0</v>
      </c>
      <c r="R717">
        <f t="shared" si="46"/>
        <v>0</v>
      </c>
      <c r="S717">
        <f t="shared" si="47"/>
        <v>0</v>
      </c>
      <c r="T717">
        <f t="shared" si="48"/>
        <v>0</v>
      </c>
    </row>
    <row r="718" spans="1:20" x14ac:dyDescent="0.25">
      <c r="A718" s="5"/>
      <c r="C718" s="4"/>
      <c r="D718" s="4"/>
      <c r="P718">
        <f t="shared" si="44"/>
        <v>0</v>
      </c>
      <c r="Q718">
        <f t="shared" si="45"/>
        <v>0</v>
      </c>
      <c r="R718">
        <f t="shared" si="46"/>
        <v>0</v>
      </c>
      <c r="S718">
        <f t="shared" si="47"/>
        <v>0</v>
      </c>
      <c r="T718">
        <f t="shared" si="48"/>
        <v>0</v>
      </c>
    </row>
    <row r="719" spans="1:20" x14ac:dyDescent="0.25">
      <c r="A719" s="5"/>
      <c r="C719" s="4"/>
      <c r="D719" s="4"/>
      <c r="P719">
        <f t="shared" si="44"/>
        <v>0</v>
      </c>
      <c r="Q719">
        <f t="shared" si="45"/>
        <v>0</v>
      </c>
      <c r="R719">
        <f t="shared" si="46"/>
        <v>0</v>
      </c>
      <c r="S719">
        <f t="shared" si="47"/>
        <v>0</v>
      </c>
      <c r="T719">
        <f t="shared" si="48"/>
        <v>0</v>
      </c>
    </row>
    <row r="720" spans="1:20" x14ac:dyDescent="0.25">
      <c r="A720" s="5"/>
      <c r="C720" s="4"/>
      <c r="D720" s="4"/>
      <c r="P720">
        <f t="shared" si="44"/>
        <v>0</v>
      </c>
      <c r="Q720">
        <f t="shared" si="45"/>
        <v>0</v>
      </c>
      <c r="R720">
        <f t="shared" si="46"/>
        <v>0</v>
      </c>
      <c r="S720">
        <f t="shared" si="47"/>
        <v>0</v>
      </c>
      <c r="T720">
        <f t="shared" si="48"/>
        <v>0</v>
      </c>
    </row>
    <row r="721" spans="1:20" x14ac:dyDescent="0.25">
      <c r="A721" s="5"/>
      <c r="C721" s="4"/>
      <c r="D721" s="4"/>
      <c r="P721">
        <f t="shared" si="44"/>
        <v>0</v>
      </c>
      <c r="Q721">
        <f t="shared" si="45"/>
        <v>0</v>
      </c>
      <c r="R721">
        <f t="shared" si="46"/>
        <v>0</v>
      </c>
      <c r="S721">
        <f t="shared" si="47"/>
        <v>0</v>
      </c>
      <c r="T721">
        <f t="shared" si="48"/>
        <v>0</v>
      </c>
    </row>
    <row r="722" spans="1:20" x14ac:dyDescent="0.25">
      <c r="A722" s="5"/>
      <c r="C722" s="4"/>
      <c r="D722" s="4"/>
      <c r="P722">
        <f t="shared" si="44"/>
        <v>0</v>
      </c>
      <c r="Q722">
        <f t="shared" si="45"/>
        <v>0</v>
      </c>
      <c r="R722">
        <f t="shared" si="46"/>
        <v>0</v>
      </c>
      <c r="S722">
        <f t="shared" si="47"/>
        <v>0</v>
      </c>
      <c r="T722">
        <f t="shared" si="48"/>
        <v>0</v>
      </c>
    </row>
    <row r="723" spans="1:20" x14ac:dyDescent="0.25">
      <c r="A723" s="5"/>
      <c r="C723" s="4"/>
      <c r="D723" s="4"/>
      <c r="P723">
        <f t="shared" si="44"/>
        <v>0</v>
      </c>
      <c r="Q723">
        <f t="shared" si="45"/>
        <v>0</v>
      </c>
      <c r="R723">
        <f t="shared" si="46"/>
        <v>0</v>
      </c>
      <c r="S723">
        <f t="shared" si="47"/>
        <v>0</v>
      </c>
      <c r="T723">
        <f t="shared" si="48"/>
        <v>0</v>
      </c>
    </row>
    <row r="724" spans="1:20" x14ac:dyDescent="0.25">
      <c r="A724" s="5"/>
      <c r="C724" s="4"/>
      <c r="D724" s="4"/>
      <c r="P724">
        <f t="shared" si="44"/>
        <v>0</v>
      </c>
      <c r="Q724">
        <f t="shared" si="45"/>
        <v>0</v>
      </c>
      <c r="R724">
        <f t="shared" si="46"/>
        <v>0</v>
      </c>
      <c r="S724">
        <f t="shared" si="47"/>
        <v>0</v>
      </c>
      <c r="T724">
        <f t="shared" si="48"/>
        <v>0</v>
      </c>
    </row>
    <row r="725" spans="1:20" x14ac:dyDescent="0.25">
      <c r="A725" s="5"/>
      <c r="C725" s="4"/>
      <c r="D725" s="4"/>
      <c r="P725">
        <f t="shared" si="44"/>
        <v>0</v>
      </c>
      <c r="Q725">
        <f t="shared" si="45"/>
        <v>0</v>
      </c>
      <c r="R725">
        <f t="shared" si="46"/>
        <v>0</v>
      </c>
      <c r="S725">
        <f t="shared" si="47"/>
        <v>0</v>
      </c>
      <c r="T725">
        <f t="shared" si="48"/>
        <v>0</v>
      </c>
    </row>
    <row r="726" spans="1:20" x14ac:dyDescent="0.25">
      <c r="A726" s="5"/>
      <c r="C726" s="4"/>
      <c r="D726" s="4"/>
      <c r="P726">
        <f t="shared" si="44"/>
        <v>0</v>
      </c>
      <c r="Q726">
        <f t="shared" si="45"/>
        <v>0</v>
      </c>
      <c r="R726">
        <f t="shared" si="46"/>
        <v>0</v>
      </c>
      <c r="S726">
        <f t="shared" si="47"/>
        <v>0</v>
      </c>
      <c r="T726">
        <f t="shared" si="48"/>
        <v>0</v>
      </c>
    </row>
    <row r="727" spans="1:20" x14ac:dyDescent="0.25">
      <c r="A727" s="5"/>
      <c r="C727" s="4"/>
      <c r="D727" s="4"/>
      <c r="P727">
        <f t="shared" si="44"/>
        <v>0</v>
      </c>
      <c r="Q727">
        <f t="shared" si="45"/>
        <v>0</v>
      </c>
      <c r="R727">
        <f t="shared" si="46"/>
        <v>0</v>
      </c>
      <c r="S727">
        <f t="shared" si="47"/>
        <v>0</v>
      </c>
      <c r="T727">
        <f t="shared" si="48"/>
        <v>0</v>
      </c>
    </row>
    <row r="728" spans="1:20" x14ac:dyDescent="0.25">
      <c r="A728" s="5"/>
      <c r="C728" s="4"/>
      <c r="D728" s="4"/>
      <c r="P728">
        <f t="shared" si="44"/>
        <v>0</v>
      </c>
      <c r="Q728">
        <f t="shared" si="45"/>
        <v>0</v>
      </c>
      <c r="R728">
        <f t="shared" si="46"/>
        <v>0</v>
      </c>
      <c r="S728">
        <f t="shared" si="47"/>
        <v>0</v>
      </c>
      <c r="T728">
        <f t="shared" si="48"/>
        <v>0</v>
      </c>
    </row>
    <row r="729" spans="1:20" x14ac:dyDescent="0.25">
      <c r="A729" s="5"/>
      <c r="C729" s="4"/>
      <c r="D729" s="4"/>
      <c r="P729">
        <f t="shared" si="44"/>
        <v>0</v>
      </c>
      <c r="Q729">
        <f t="shared" si="45"/>
        <v>0</v>
      </c>
      <c r="R729">
        <f t="shared" si="46"/>
        <v>0</v>
      </c>
      <c r="S729">
        <f t="shared" si="47"/>
        <v>0</v>
      </c>
      <c r="T729">
        <f t="shared" si="48"/>
        <v>0</v>
      </c>
    </row>
    <row r="730" spans="1:20" x14ac:dyDescent="0.25">
      <c r="A730" s="5"/>
      <c r="C730" s="4"/>
      <c r="D730" s="4"/>
      <c r="P730">
        <f t="shared" si="44"/>
        <v>0</v>
      </c>
      <c r="Q730">
        <f t="shared" si="45"/>
        <v>0</v>
      </c>
      <c r="R730">
        <f t="shared" si="46"/>
        <v>0</v>
      </c>
      <c r="S730">
        <f t="shared" si="47"/>
        <v>0</v>
      </c>
      <c r="T730">
        <f t="shared" si="48"/>
        <v>0</v>
      </c>
    </row>
    <row r="731" spans="1:20" x14ac:dyDescent="0.25">
      <c r="A731" s="5"/>
      <c r="C731" s="4"/>
      <c r="D731" s="4"/>
      <c r="P731">
        <f t="shared" si="44"/>
        <v>0</v>
      </c>
      <c r="Q731">
        <f t="shared" si="45"/>
        <v>0</v>
      </c>
      <c r="R731">
        <f t="shared" si="46"/>
        <v>0</v>
      </c>
      <c r="S731">
        <f t="shared" si="47"/>
        <v>0</v>
      </c>
      <c r="T731">
        <f t="shared" si="48"/>
        <v>0</v>
      </c>
    </row>
    <row r="732" spans="1:20" x14ac:dyDescent="0.25">
      <c r="A732" s="5"/>
      <c r="C732" s="4"/>
      <c r="D732" s="4"/>
      <c r="P732">
        <f t="shared" si="44"/>
        <v>0</v>
      </c>
      <c r="Q732">
        <f t="shared" si="45"/>
        <v>0</v>
      </c>
      <c r="R732">
        <f t="shared" si="46"/>
        <v>0</v>
      </c>
      <c r="S732">
        <f t="shared" si="47"/>
        <v>0</v>
      </c>
      <c r="T732">
        <f t="shared" si="48"/>
        <v>0</v>
      </c>
    </row>
    <row r="733" spans="1:20" x14ac:dyDescent="0.25">
      <c r="A733" s="5"/>
      <c r="C733" s="4"/>
      <c r="D733" s="4"/>
      <c r="P733">
        <f t="shared" si="44"/>
        <v>0</v>
      </c>
      <c r="Q733">
        <f t="shared" si="45"/>
        <v>0</v>
      </c>
      <c r="R733">
        <f t="shared" si="46"/>
        <v>0</v>
      </c>
      <c r="S733">
        <f t="shared" si="47"/>
        <v>0</v>
      </c>
      <c r="T733">
        <f t="shared" si="48"/>
        <v>0</v>
      </c>
    </row>
    <row r="734" spans="1:20" x14ac:dyDescent="0.25">
      <c r="A734" s="5"/>
      <c r="C734" s="4"/>
      <c r="D734" s="4"/>
      <c r="P734">
        <f t="shared" si="44"/>
        <v>0</v>
      </c>
      <c r="Q734">
        <f t="shared" si="45"/>
        <v>0</v>
      </c>
      <c r="R734">
        <f t="shared" si="46"/>
        <v>0</v>
      </c>
      <c r="S734">
        <f t="shared" si="47"/>
        <v>0</v>
      </c>
      <c r="T734">
        <f t="shared" si="48"/>
        <v>0</v>
      </c>
    </row>
    <row r="735" spans="1:20" x14ac:dyDescent="0.25">
      <c r="A735" s="5"/>
      <c r="C735" s="4"/>
      <c r="D735" s="4"/>
      <c r="P735">
        <f t="shared" si="44"/>
        <v>0</v>
      </c>
      <c r="Q735">
        <f t="shared" si="45"/>
        <v>0</v>
      </c>
      <c r="R735">
        <f t="shared" si="46"/>
        <v>0</v>
      </c>
      <c r="S735">
        <f t="shared" si="47"/>
        <v>0</v>
      </c>
      <c r="T735">
        <f t="shared" si="48"/>
        <v>0</v>
      </c>
    </row>
    <row r="736" spans="1:20" x14ac:dyDescent="0.25">
      <c r="A736" s="5"/>
      <c r="C736" s="4"/>
      <c r="D736" s="4"/>
      <c r="P736">
        <f t="shared" si="44"/>
        <v>0</v>
      </c>
      <c r="Q736">
        <f t="shared" si="45"/>
        <v>0</v>
      </c>
      <c r="R736">
        <f t="shared" si="46"/>
        <v>0</v>
      </c>
      <c r="S736">
        <f t="shared" si="47"/>
        <v>0</v>
      </c>
      <c r="T736">
        <f t="shared" si="48"/>
        <v>0</v>
      </c>
    </row>
    <row r="737" spans="1:20" x14ac:dyDescent="0.25">
      <c r="A737" s="5"/>
      <c r="C737" s="4"/>
      <c r="D737" s="4"/>
      <c r="P737">
        <f t="shared" si="44"/>
        <v>0</v>
      </c>
      <c r="Q737">
        <f t="shared" si="45"/>
        <v>0</v>
      </c>
      <c r="R737">
        <f t="shared" si="46"/>
        <v>0</v>
      </c>
      <c r="S737">
        <f t="shared" si="47"/>
        <v>0</v>
      </c>
      <c r="T737">
        <f t="shared" si="48"/>
        <v>0</v>
      </c>
    </row>
    <row r="738" spans="1:20" x14ac:dyDescent="0.25">
      <c r="A738" s="5"/>
      <c r="C738" s="4"/>
      <c r="D738" s="4"/>
      <c r="P738">
        <f t="shared" si="44"/>
        <v>0</v>
      </c>
      <c r="Q738">
        <f t="shared" si="45"/>
        <v>0</v>
      </c>
      <c r="R738">
        <f t="shared" si="46"/>
        <v>0</v>
      </c>
      <c r="S738">
        <f t="shared" si="47"/>
        <v>0</v>
      </c>
      <c r="T738">
        <f t="shared" si="48"/>
        <v>0</v>
      </c>
    </row>
    <row r="739" spans="1:20" x14ac:dyDescent="0.25">
      <c r="A739" s="5"/>
      <c r="C739" s="4"/>
      <c r="D739" s="4"/>
      <c r="P739">
        <f t="shared" si="44"/>
        <v>0</v>
      </c>
      <c r="Q739">
        <f t="shared" si="45"/>
        <v>0</v>
      </c>
      <c r="R739">
        <f t="shared" si="46"/>
        <v>0</v>
      </c>
      <c r="S739">
        <f t="shared" si="47"/>
        <v>0</v>
      </c>
      <c r="T739">
        <f t="shared" si="48"/>
        <v>0</v>
      </c>
    </row>
    <row r="740" spans="1:20" x14ac:dyDescent="0.25">
      <c r="A740" s="5"/>
      <c r="C740" s="4"/>
      <c r="D740" s="4"/>
      <c r="P740">
        <f t="shared" si="44"/>
        <v>0</v>
      </c>
      <c r="Q740">
        <f t="shared" si="45"/>
        <v>0</v>
      </c>
      <c r="R740">
        <f t="shared" si="46"/>
        <v>0</v>
      </c>
      <c r="S740">
        <f t="shared" si="47"/>
        <v>0</v>
      </c>
      <c r="T740">
        <f t="shared" si="48"/>
        <v>0</v>
      </c>
    </row>
    <row r="741" spans="1:20" x14ac:dyDescent="0.25">
      <c r="A741" s="5"/>
      <c r="C741" s="4"/>
      <c r="D741" s="4"/>
      <c r="P741">
        <f t="shared" si="44"/>
        <v>0</v>
      </c>
      <c r="Q741">
        <f t="shared" si="45"/>
        <v>0</v>
      </c>
      <c r="R741">
        <f t="shared" si="46"/>
        <v>0</v>
      </c>
      <c r="S741">
        <f t="shared" si="47"/>
        <v>0</v>
      </c>
      <c r="T741">
        <f t="shared" si="48"/>
        <v>0</v>
      </c>
    </row>
    <row r="742" spans="1:20" x14ac:dyDescent="0.25">
      <c r="A742" s="5"/>
      <c r="C742" s="4"/>
      <c r="D742" s="4"/>
      <c r="P742">
        <f t="shared" si="44"/>
        <v>0</v>
      </c>
      <c r="Q742">
        <f t="shared" si="45"/>
        <v>0</v>
      </c>
      <c r="R742">
        <f t="shared" si="46"/>
        <v>0</v>
      </c>
      <c r="S742">
        <f t="shared" si="47"/>
        <v>0</v>
      </c>
      <c r="T742">
        <f t="shared" si="48"/>
        <v>0</v>
      </c>
    </row>
    <row r="743" spans="1:20" x14ac:dyDescent="0.25">
      <c r="A743" s="5"/>
      <c r="C743" s="4"/>
      <c r="D743" s="4"/>
      <c r="P743">
        <f t="shared" si="44"/>
        <v>0</v>
      </c>
      <c r="Q743">
        <f t="shared" si="45"/>
        <v>0</v>
      </c>
      <c r="R743">
        <f t="shared" si="46"/>
        <v>0</v>
      </c>
      <c r="S743">
        <f t="shared" si="47"/>
        <v>0</v>
      </c>
      <c r="T743">
        <f t="shared" si="48"/>
        <v>0</v>
      </c>
    </row>
    <row r="744" spans="1:20" x14ac:dyDescent="0.25">
      <c r="A744" s="5"/>
      <c r="C744" s="4"/>
      <c r="D744" s="4"/>
      <c r="P744">
        <f t="shared" si="44"/>
        <v>0</v>
      </c>
      <c r="Q744">
        <f t="shared" si="45"/>
        <v>0</v>
      </c>
      <c r="R744">
        <f t="shared" si="46"/>
        <v>0</v>
      </c>
      <c r="S744">
        <f t="shared" si="47"/>
        <v>0</v>
      </c>
      <c r="T744">
        <f t="shared" si="48"/>
        <v>0</v>
      </c>
    </row>
    <row r="745" spans="1:20" x14ac:dyDescent="0.25">
      <c r="A745" s="5"/>
      <c r="C745" s="4"/>
      <c r="D745" s="4"/>
      <c r="P745">
        <f t="shared" si="44"/>
        <v>0</v>
      </c>
      <c r="Q745">
        <f t="shared" si="45"/>
        <v>0</v>
      </c>
      <c r="R745">
        <f t="shared" si="46"/>
        <v>0</v>
      </c>
      <c r="S745">
        <f t="shared" si="47"/>
        <v>0</v>
      </c>
      <c r="T745">
        <f t="shared" si="48"/>
        <v>0</v>
      </c>
    </row>
    <row r="746" spans="1:20" x14ac:dyDescent="0.25">
      <c r="A746" s="5"/>
      <c r="C746" s="4"/>
      <c r="D746" s="4"/>
      <c r="P746">
        <f t="shared" si="44"/>
        <v>0</v>
      </c>
      <c r="Q746">
        <f t="shared" si="45"/>
        <v>0</v>
      </c>
      <c r="R746">
        <f t="shared" si="46"/>
        <v>0</v>
      </c>
      <c r="S746">
        <f t="shared" si="47"/>
        <v>0</v>
      </c>
      <c r="T746">
        <f t="shared" si="48"/>
        <v>0</v>
      </c>
    </row>
    <row r="747" spans="1:20" x14ac:dyDescent="0.25">
      <c r="A747" s="5"/>
      <c r="C747" s="4"/>
      <c r="D747" s="4"/>
      <c r="P747">
        <f t="shared" si="44"/>
        <v>0</v>
      </c>
      <c r="Q747">
        <f t="shared" si="45"/>
        <v>0</v>
      </c>
      <c r="R747">
        <f t="shared" si="46"/>
        <v>0</v>
      </c>
      <c r="S747">
        <f t="shared" si="47"/>
        <v>0</v>
      </c>
      <c r="T747">
        <f t="shared" si="48"/>
        <v>0</v>
      </c>
    </row>
    <row r="748" spans="1:20" x14ac:dyDescent="0.25">
      <c r="A748" s="5"/>
      <c r="C748" s="4"/>
      <c r="D748" s="4"/>
      <c r="P748">
        <f t="shared" si="44"/>
        <v>0</v>
      </c>
      <c r="Q748">
        <f t="shared" si="45"/>
        <v>0</v>
      </c>
      <c r="R748">
        <f t="shared" si="46"/>
        <v>0</v>
      </c>
      <c r="S748">
        <f t="shared" si="47"/>
        <v>0</v>
      </c>
      <c r="T748">
        <f t="shared" si="48"/>
        <v>0</v>
      </c>
    </row>
    <row r="749" spans="1:20" x14ac:dyDescent="0.25">
      <c r="A749" s="5"/>
      <c r="C749" s="4"/>
      <c r="D749" s="4"/>
      <c r="P749">
        <f t="shared" si="44"/>
        <v>0</v>
      </c>
      <c r="Q749">
        <f t="shared" si="45"/>
        <v>0</v>
      </c>
      <c r="R749">
        <f t="shared" si="46"/>
        <v>0</v>
      </c>
      <c r="S749">
        <f t="shared" si="47"/>
        <v>0</v>
      </c>
      <c r="T749">
        <f t="shared" si="48"/>
        <v>0</v>
      </c>
    </row>
    <row r="750" spans="1:20" x14ac:dyDescent="0.25">
      <c r="A750" s="5"/>
      <c r="C750" s="4"/>
      <c r="D750" s="4"/>
      <c r="P750">
        <f t="shared" si="44"/>
        <v>0</v>
      </c>
      <c r="Q750">
        <f t="shared" si="45"/>
        <v>0</v>
      </c>
      <c r="R750">
        <f t="shared" si="46"/>
        <v>0</v>
      </c>
      <c r="S750">
        <f t="shared" si="47"/>
        <v>0</v>
      </c>
      <c r="T750">
        <f t="shared" si="48"/>
        <v>0</v>
      </c>
    </row>
    <row r="751" spans="1:20" x14ac:dyDescent="0.25">
      <c r="A751" s="5"/>
      <c r="C751" s="4"/>
      <c r="D751" s="4"/>
      <c r="P751">
        <f t="shared" si="44"/>
        <v>0</v>
      </c>
      <c r="Q751">
        <f t="shared" si="45"/>
        <v>0</v>
      </c>
      <c r="R751">
        <f t="shared" si="46"/>
        <v>0</v>
      </c>
      <c r="S751">
        <f t="shared" si="47"/>
        <v>0</v>
      </c>
      <c r="T751">
        <f t="shared" si="48"/>
        <v>0</v>
      </c>
    </row>
    <row r="752" spans="1:20" x14ac:dyDescent="0.25">
      <c r="A752" s="5"/>
      <c r="C752" s="4"/>
      <c r="D752" s="4"/>
      <c r="P752">
        <f t="shared" si="44"/>
        <v>0</v>
      </c>
      <c r="Q752">
        <f t="shared" si="45"/>
        <v>0</v>
      </c>
      <c r="R752">
        <f t="shared" si="46"/>
        <v>0</v>
      </c>
      <c r="S752">
        <f t="shared" si="47"/>
        <v>0</v>
      </c>
      <c r="T752">
        <f t="shared" si="48"/>
        <v>0</v>
      </c>
    </row>
    <row r="753" spans="1:20" x14ac:dyDescent="0.25">
      <c r="A753" s="5"/>
      <c r="C753" s="4"/>
      <c r="D753" s="4"/>
      <c r="P753">
        <f t="shared" si="44"/>
        <v>0</v>
      </c>
      <c r="Q753">
        <f t="shared" si="45"/>
        <v>0</v>
      </c>
      <c r="R753">
        <f t="shared" si="46"/>
        <v>0</v>
      </c>
      <c r="S753">
        <f t="shared" si="47"/>
        <v>0</v>
      </c>
      <c r="T753">
        <f t="shared" si="48"/>
        <v>0</v>
      </c>
    </row>
    <row r="754" spans="1:20" x14ac:dyDescent="0.25">
      <c r="A754" s="5"/>
      <c r="C754" s="4"/>
      <c r="D754" s="4"/>
      <c r="P754">
        <f t="shared" si="44"/>
        <v>0</v>
      </c>
      <c r="Q754">
        <f t="shared" si="45"/>
        <v>0</v>
      </c>
      <c r="R754">
        <f t="shared" si="46"/>
        <v>0</v>
      </c>
      <c r="S754">
        <f t="shared" si="47"/>
        <v>0</v>
      </c>
      <c r="T754">
        <f t="shared" si="48"/>
        <v>0</v>
      </c>
    </row>
    <row r="755" spans="1:20" x14ac:dyDescent="0.25">
      <c r="A755" s="5"/>
      <c r="C755" s="4"/>
      <c r="D755" s="4"/>
      <c r="P755">
        <f t="shared" si="44"/>
        <v>0</v>
      </c>
      <c r="Q755">
        <f t="shared" si="45"/>
        <v>0</v>
      </c>
      <c r="R755">
        <f t="shared" si="46"/>
        <v>0</v>
      </c>
      <c r="S755">
        <f t="shared" si="47"/>
        <v>0</v>
      </c>
      <c r="T755">
        <f t="shared" si="48"/>
        <v>0</v>
      </c>
    </row>
    <row r="756" spans="1:20" x14ac:dyDescent="0.25">
      <c r="A756" s="5"/>
      <c r="C756" s="4"/>
      <c r="D756" s="4"/>
      <c r="P756">
        <f t="shared" si="44"/>
        <v>0</v>
      </c>
      <c r="Q756">
        <f t="shared" si="45"/>
        <v>0</v>
      </c>
      <c r="R756">
        <f t="shared" si="46"/>
        <v>0</v>
      </c>
      <c r="S756">
        <f t="shared" si="47"/>
        <v>0</v>
      </c>
      <c r="T756">
        <f t="shared" si="48"/>
        <v>0</v>
      </c>
    </row>
    <row r="757" spans="1:20" x14ac:dyDescent="0.25">
      <c r="A757" s="5"/>
      <c r="C757" s="4"/>
      <c r="D757" s="4"/>
      <c r="P757">
        <f t="shared" si="44"/>
        <v>0</v>
      </c>
      <c r="Q757">
        <f t="shared" si="45"/>
        <v>0</v>
      </c>
      <c r="R757">
        <f t="shared" si="46"/>
        <v>0</v>
      </c>
      <c r="S757">
        <f t="shared" si="47"/>
        <v>0</v>
      </c>
      <c r="T757">
        <f t="shared" si="48"/>
        <v>0</v>
      </c>
    </row>
    <row r="758" spans="1:20" x14ac:dyDescent="0.25">
      <c r="A758" s="5"/>
      <c r="C758" s="4"/>
      <c r="D758" s="4"/>
      <c r="P758">
        <f t="shared" si="44"/>
        <v>0</v>
      </c>
      <c r="Q758">
        <f t="shared" si="45"/>
        <v>0</v>
      </c>
      <c r="R758">
        <f t="shared" si="46"/>
        <v>0</v>
      </c>
      <c r="S758">
        <f t="shared" si="47"/>
        <v>0</v>
      </c>
      <c r="T758">
        <f t="shared" si="48"/>
        <v>0</v>
      </c>
    </row>
    <row r="759" spans="1:20" x14ac:dyDescent="0.25">
      <c r="A759" s="5"/>
      <c r="C759" s="4"/>
      <c r="D759" s="4"/>
      <c r="P759">
        <f t="shared" si="44"/>
        <v>0</v>
      </c>
      <c r="Q759">
        <f t="shared" si="45"/>
        <v>0</v>
      </c>
      <c r="R759">
        <f t="shared" si="46"/>
        <v>0</v>
      </c>
      <c r="S759">
        <f t="shared" si="47"/>
        <v>0</v>
      </c>
      <c r="T759">
        <f t="shared" si="48"/>
        <v>0</v>
      </c>
    </row>
    <row r="760" spans="1:20" x14ac:dyDescent="0.25">
      <c r="A760" s="5"/>
      <c r="C760" s="4"/>
      <c r="D760" s="4"/>
      <c r="P760">
        <f t="shared" si="44"/>
        <v>0</v>
      </c>
      <c r="Q760">
        <f t="shared" si="45"/>
        <v>0</v>
      </c>
      <c r="R760">
        <f t="shared" si="46"/>
        <v>0</v>
      </c>
      <c r="S760">
        <f t="shared" si="47"/>
        <v>0</v>
      </c>
      <c r="T760">
        <f t="shared" si="48"/>
        <v>0</v>
      </c>
    </row>
    <row r="761" spans="1:20" x14ac:dyDescent="0.25">
      <c r="A761" s="5"/>
      <c r="C761" s="4"/>
      <c r="D761" s="4"/>
      <c r="P761">
        <f t="shared" si="44"/>
        <v>0</v>
      </c>
      <c r="Q761">
        <f t="shared" si="45"/>
        <v>0</v>
      </c>
      <c r="R761">
        <f t="shared" si="46"/>
        <v>0</v>
      </c>
      <c r="S761">
        <f t="shared" si="47"/>
        <v>0</v>
      </c>
      <c r="T761">
        <f t="shared" si="48"/>
        <v>0</v>
      </c>
    </row>
    <row r="762" spans="1:20" x14ac:dyDescent="0.25">
      <c r="A762" s="5"/>
      <c r="C762" s="4"/>
      <c r="D762" s="4"/>
      <c r="P762">
        <f t="shared" si="44"/>
        <v>0</v>
      </c>
      <c r="Q762">
        <f t="shared" si="45"/>
        <v>0</v>
      </c>
      <c r="R762">
        <f t="shared" si="46"/>
        <v>0</v>
      </c>
      <c r="S762">
        <f t="shared" si="47"/>
        <v>0</v>
      </c>
      <c r="T762">
        <f t="shared" si="48"/>
        <v>0</v>
      </c>
    </row>
    <row r="763" spans="1:20" x14ac:dyDescent="0.25">
      <c r="A763" s="5"/>
      <c r="C763" s="4"/>
      <c r="D763" s="4"/>
      <c r="P763">
        <f t="shared" si="44"/>
        <v>0</v>
      </c>
      <c r="Q763">
        <f t="shared" si="45"/>
        <v>0</v>
      </c>
      <c r="R763">
        <f t="shared" si="46"/>
        <v>0</v>
      </c>
      <c r="S763">
        <f t="shared" si="47"/>
        <v>0</v>
      </c>
      <c r="T763">
        <f t="shared" si="48"/>
        <v>0</v>
      </c>
    </row>
    <row r="764" spans="1:20" x14ac:dyDescent="0.25">
      <c r="A764" s="5"/>
      <c r="C764" s="4"/>
      <c r="D764" s="4"/>
      <c r="P764">
        <f t="shared" si="44"/>
        <v>0</v>
      </c>
      <c r="Q764">
        <f t="shared" si="45"/>
        <v>0</v>
      </c>
      <c r="R764">
        <f t="shared" si="46"/>
        <v>0</v>
      </c>
      <c r="S764">
        <f t="shared" si="47"/>
        <v>0</v>
      </c>
      <c r="T764">
        <f t="shared" si="48"/>
        <v>0</v>
      </c>
    </row>
    <row r="765" spans="1:20" x14ac:dyDescent="0.25">
      <c r="A765" s="5"/>
      <c r="C765" s="4"/>
      <c r="D765" s="4"/>
      <c r="P765">
        <f t="shared" si="44"/>
        <v>0</v>
      </c>
      <c r="Q765">
        <f t="shared" si="45"/>
        <v>0</v>
      </c>
      <c r="R765">
        <f t="shared" si="46"/>
        <v>0</v>
      </c>
      <c r="S765">
        <f t="shared" si="47"/>
        <v>0</v>
      </c>
      <c r="T765">
        <f t="shared" si="48"/>
        <v>0</v>
      </c>
    </row>
    <row r="766" spans="1:20" x14ac:dyDescent="0.25">
      <c r="A766" s="5"/>
      <c r="C766" s="4"/>
      <c r="D766" s="4"/>
      <c r="P766">
        <f t="shared" si="44"/>
        <v>0</v>
      </c>
      <c r="Q766">
        <f t="shared" si="45"/>
        <v>0</v>
      </c>
      <c r="R766">
        <f t="shared" si="46"/>
        <v>0</v>
      </c>
      <c r="S766">
        <f t="shared" si="47"/>
        <v>0</v>
      </c>
      <c r="T766">
        <f t="shared" si="48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V563" sqref="GV563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$A$562</v>
      </c>
      <c r="D111" s="1" t="str">
        <f>ADDRESS(C121-1,D121,1,1)</f>
        <v>$GV$562</v>
      </c>
      <c r="E111"/>
    </row>
    <row r="112" spans="1:5" x14ac:dyDescent="0.25">
      <c r="A112" s="7">
        <v>12164.144957890772</v>
      </c>
      <c r="C112" s="1" t="str">
        <f>ADDRESS(C121,1,1,1)</f>
        <v>$A$563</v>
      </c>
      <c r="D112" s="1" t="str">
        <f>ADDRESS(C121,D121-1,1,1)</f>
        <v>$GU$563</v>
      </c>
      <c r="E112"/>
    </row>
    <row r="113" spans="1:5" x14ac:dyDescent="0.25">
      <c r="A113" s="7">
        <v>11925.63231165762</v>
      </c>
      <c r="C113" s="1" t="str">
        <f>ADDRESS(C121+1,1,1,1)</f>
        <v>$A$564</v>
      </c>
      <c r="D113" s="1" t="str">
        <f>ADDRESS(C121-1,D121+1,1,1)</f>
        <v>$GW$562</v>
      </c>
    </row>
    <row r="114" spans="1:5" x14ac:dyDescent="0.25">
      <c r="A114" s="7">
        <v>11691.796383978059</v>
      </c>
      <c r="C114" s="1" t="str">
        <f>ADDRESS(C121,D121,1,1)</f>
        <v>$GV$563</v>
      </c>
      <c r="D114" s="1" t="str">
        <f>ADDRESS(C121+1,D121+1,1,1)</f>
        <v>$GW$564</v>
      </c>
    </row>
    <row r="115" spans="1:5" x14ac:dyDescent="0.25">
      <c r="A115" s="7">
        <v>11462.545474488292</v>
      </c>
      <c r="C115" s="1" t="str">
        <f>ADDRESS(C121+1,D121,1,1)</f>
        <v>$GV$564</v>
      </c>
    </row>
    <row r="116" spans="1:5" x14ac:dyDescent="0.25">
      <c r="A116" s="7">
        <v>11237.789680870874</v>
      </c>
      <c r="C116" s="1">
        <f>C117-1</f>
        <v>562</v>
      </c>
    </row>
    <row r="117" spans="1:5" x14ac:dyDescent="0.25">
      <c r="A117" s="7">
        <v>11017.440863598895</v>
      </c>
      <c r="C117" s="1">
        <f>C121</f>
        <v>563</v>
      </c>
      <c r="D117" s="1">
        <f>D121</f>
        <v>204</v>
      </c>
    </row>
    <row r="118" spans="1:5" x14ac:dyDescent="0.25">
      <c r="A118" s="7">
        <v>10801.412611371465</v>
      </c>
      <c r="C118" s="1">
        <f>C117+1</f>
        <v>564</v>
      </c>
      <c r="D118" s="1">
        <f>D117+1</f>
        <v>205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563</v>
      </c>
      <c r="D121" s="19">
        <v>204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R563</v>
      </c>
      <c r="D123" s="1" t="str">
        <f>"C"&amp;D121</f>
        <v>C204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1.6084372494752261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156" x14ac:dyDescent="0.25">
      <c r="A481" s="7">
        <v>8.1586481992426112</v>
      </c>
      <c r="B481"/>
      <c r="C481"/>
      <c r="D481"/>
      <c r="E481"/>
    </row>
    <row r="482" spans="1:156" x14ac:dyDescent="0.25">
      <c r="A482" s="7">
        <v>7.9986747051398144</v>
      </c>
      <c r="B482"/>
      <c r="C482"/>
      <c r="D482"/>
      <c r="E482"/>
    </row>
    <row r="483" spans="1:156" x14ac:dyDescent="0.25">
      <c r="A483" s="7">
        <v>7.8418379462155041</v>
      </c>
      <c r="B483"/>
      <c r="C483"/>
      <c r="D483"/>
      <c r="E483"/>
      <c r="BU483" s="27" t="s">
        <v>8</v>
      </c>
    </row>
    <row r="484" spans="1:156" x14ac:dyDescent="0.25">
      <c r="A484" s="7">
        <v>7.688076417858337</v>
      </c>
      <c r="B484"/>
      <c r="C484"/>
      <c r="D484"/>
      <c r="E484"/>
      <c r="BU484" s="27" t="s">
        <v>8</v>
      </c>
      <c r="BV484" s="27" t="s">
        <v>7</v>
      </c>
      <c r="EY484" s="27" t="s">
        <v>8</v>
      </c>
    </row>
    <row r="485" spans="1:156" x14ac:dyDescent="0.25">
      <c r="A485" s="7">
        <v>7.5373298214297417</v>
      </c>
      <c r="B485"/>
      <c r="C485"/>
      <c r="D485"/>
      <c r="E485"/>
      <c r="BS485" s="27" t="s">
        <v>8</v>
      </c>
      <c r="BU485" s="27" t="s">
        <v>8</v>
      </c>
      <c r="BV485" s="27" t="s">
        <v>7</v>
      </c>
      <c r="EY485" s="27" t="s">
        <v>8</v>
      </c>
      <c r="EZ485" s="27" t="s">
        <v>7</v>
      </c>
    </row>
    <row r="486" spans="1:156" x14ac:dyDescent="0.25">
      <c r="A486" s="7">
        <v>7.389539040617394</v>
      </c>
      <c r="B486"/>
      <c r="C486"/>
      <c r="D486"/>
      <c r="E486"/>
      <c r="BS486" s="27" t="s">
        <v>8</v>
      </c>
      <c r="BT486" s="27" t="s">
        <v>7</v>
      </c>
      <c r="BU486" s="27" t="s">
        <v>8</v>
      </c>
      <c r="BV486" s="27" t="s">
        <v>7</v>
      </c>
      <c r="EY486" s="27" t="s">
        <v>8</v>
      </c>
      <c r="EZ486" s="27" t="s">
        <v>7</v>
      </c>
    </row>
    <row r="487" spans="1:156" x14ac:dyDescent="0.25">
      <c r="A487" s="7">
        <v>7.2446461182523469</v>
      </c>
      <c r="B487"/>
      <c r="C487"/>
      <c r="D487"/>
      <c r="E487"/>
      <c r="BS487" s="27" t="s">
        <v>8</v>
      </c>
      <c r="BT487" s="27" t="s">
        <v>7</v>
      </c>
      <c r="BU487" s="27" t="s">
        <v>8</v>
      </c>
      <c r="BV487" s="27" t="s">
        <v>7</v>
      </c>
      <c r="EY487" s="27" t="s">
        <v>8</v>
      </c>
      <c r="EZ487" s="27" t="s">
        <v>7</v>
      </c>
    </row>
    <row r="488" spans="1:156" x14ac:dyDescent="0.25">
      <c r="A488" s="7">
        <v>7.1025942335807324</v>
      </c>
      <c r="B488"/>
      <c r="C488"/>
      <c r="D488"/>
      <c r="E488"/>
      <c r="BS488" s="27" t="s">
        <v>8</v>
      </c>
      <c r="BT488" s="27" t="s">
        <v>7</v>
      </c>
      <c r="BU488" s="27" t="s">
        <v>8</v>
      </c>
      <c r="BV488" s="27" t="s">
        <v>7</v>
      </c>
      <c r="EY488" s="27" t="s">
        <v>8</v>
      </c>
      <c r="EZ488" s="27" t="s">
        <v>7</v>
      </c>
    </row>
    <row r="489" spans="1:156" x14ac:dyDescent="0.25">
      <c r="A489" s="7">
        <v>6.9633276799811101</v>
      </c>
      <c r="B489"/>
      <c r="C489"/>
      <c r="D489"/>
      <c r="E489"/>
      <c r="BS489" s="27" t="s">
        <v>8</v>
      </c>
      <c r="BT489" s="27" t="s">
        <v>7</v>
      </c>
      <c r="BU489" s="27" t="s">
        <v>8</v>
      </c>
      <c r="BV489" s="27" t="s">
        <v>7</v>
      </c>
      <c r="EY489" s="27" t="s">
        <v>8</v>
      </c>
      <c r="EZ489" s="27" t="s">
        <v>7</v>
      </c>
    </row>
    <row r="490" spans="1:156" x14ac:dyDescent="0.25">
      <c r="A490" s="7">
        <v>6.8267918431187349</v>
      </c>
      <c r="B490"/>
      <c r="C490"/>
      <c r="D490"/>
      <c r="E490"/>
      <c r="BS490" s="27" t="s">
        <v>8</v>
      </c>
      <c r="BT490" s="27" t="s">
        <v>7</v>
      </c>
      <c r="BU490" s="27" t="s">
        <v>8</v>
      </c>
      <c r="BV490" s="27" t="s">
        <v>7</v>
      </c>
      <c r="BW490" s="27" t="s">
        <v>8</v>
      </c>
      <c r="EY490" s="27" t="s">
        <v>8</v>
      </c>
      <c r="EZ490" s="27" t="s">
        <v>7</v>
      </c>
    </row>
    <row r="491" spans="1:156" x14ac:dyDescent="0.25">
      <c r="A491" s="7">
        <v>6.692933179528171</v>
      </c>
      <c r="B491"/>
      <c r="C491"/>
      <c r="D491"/>
      <c r="E491"/>
      <c r="BS491" s="27" t="s">
        <v>8</v>
      </c>
      <c r="BT491" s="27" t="s">
        <v>7</v>
      </c>
      <c r="BU491" s="27" t="s">
        <v>8</v>
      </c>
      <c r="BV491" s="27" t="s">
        <v>7</v>
      </c>
      <c r="BW491" s="27" t="s">
        <v>8</v>
      </c>
      <c r="BX491" s="27" t="s">
        <v>7</v>
      </c>
      <c r="EY491" s="27" t="s">
        <v>8</v>
      </c>
      <c r="EZ491" s="27" t="s">
        <v>7</v>
      </c>
    </row>
    <row r="492" spans="1:156" x14ac:dyDescent="0.25">
      <c r="A492" s="7">
        <v>6.5616991956158541</v>
      </c>
      <c r="B492"/>
      <c r="C492"/>
      <c r="D492"/>
      <c r="E492"/>
      <c r="BA492" s="27" t="s">
        <v>8</v>
      </c>
      <c r="BG492" s="27" t="s">
        <v>8</v>
      </c>
      <c r="BS492" s="27" t="s">
        <v>8</v>
      </c>
      <c r="BT492" s="27" t="s">
        <v>7</v>
      </c>
      <c r="BU492" s="27" t="s">
        <v>8</v>
      </c>
      <c r="BV492" s="27" t="s">
        <v>7</v>
      </c>
      <c r="BW492" s="27" t="s">
        <v>8</v>
      </c>
      <c r="BX492" s="27" t="s">
        <v>7</v>
      </c>
      <c r="EY492" s="27" t="s">
        <v>8</v>
      </c>
      <c r="EZ492" s="27" t="s">
        <v>7</v>
      </c>
    </row>
    <row r="493" spans="1:156" x14ac:dyDescent="0.25">
      <c r="A493" s="7">
        <v>6.4330384270743668</v>
      </c>
      <c r="B493"/>
      <c r="C493"/>
      <c r="D493"/>
      <c r="E493"/>
      <c r="BA493" s="27" t="s">
        <v>8</v>
      </c>
      <c r="BB493" s="27" t="s">
        <v>7</v>
      </c>
      <c r="BG493" s="27" t="s">
        <v>8</v>
      </c>
      <c r="BH493" s="27" t="s">
        <v>7</v>
      </c>
      <c r="BS493" s="27" t="s">
        <v>8</v>
      </c>
      <c r="BT493" s="27" t="s">
        <v>7</v>
      </c>
      <c r="BU493" s="27" t="s">
        <v>8</v>
      </c>
      <c r="BV493" s="27" t="s">
        <v>7</v>
      </c>
      <c r="BW493" s="27" t="s">
        <v>8</v>
      </c>
      <c r="BX493" s="27" t="s">
        <v>7</v>
      </c>
      <c r="EY493" s="27" t="s">
        <v>8</v>
      </c>
      <c r="EZ493" s="27" t="s">
        <v>7</v>
      </c>
    </row>
    <row r="494" spans="1:156" x14ac:dyDescent="0.25">
      <c r="A494" s="7">
        <v>6.3069004187003594</v>
      </c>
      <c r="B494"/>
      <c r="C494"/>
      <c r="D494"/>
      <c r="E494"/>
      <c r="W494" s="27" t="s">
        <v>8</v>
      </c>
      <c r="BA494" s="27" t="s">
        <v>8</v>
      </c>
      <c r="BB494" s="27" t="s">
        <v>7</v>
      </c>
      <c r="BE494" s="27" t="s">
        <v>8</v>
      </c>
      <c r="BG494" s="27" t="s">
        <v>8</v>
      </c>
      <c r="BH494" s="27" t="s">
        <v>7</v>
      </c>
      <c r="BS494" s="27" t="s">
        <v>8</v>
      </c>
      <c r="BT494" s="27" t="s">
        <v>7</v>
      </c>
      <c r="BV494" s="27" t="s">
        <v>7</v>
      </c>
      <c r="BW494" s="27" t="s">
        <v>8</v>
      </c>
      <c r="BX494" s="27" t="s">
        <v>7</v>
      </c>
      <c r="EY494" s="27" t="s">
        <v>8</v>
      </c>
      <c r="EZ494" s="27" t="s">
        <v>7</v>
      </c>
    </row>
    <row r="495" spans="1:156" x14ac:dyDescent="0.25">
      <c r="A495" s="7">
        <v>6.1832357046081956</v>
      </c>
      <c r="B495"/>
      <c r="C495"/>
      <c r="D495"/>
      <c r="E495"/>
      <c r="W495" s="27" t="s">
        <v>8</v>
      </c>
      <c r="X495" s="27" t="s">
        <v>7</v>
      </c>
      <c r="AC495" s="27" t="s">
        <v>8</v>
      </c>
      <c r="BA495" s="27" t="s">
        <v>8</v>
      </c>
      <c r="BB495" s="27" t="s">
        <v>7</v>
      </c>
      <c r="BE495" s="27" t="s">
        <v>8</v>
      </c>
      <c r="BF495" s="27" t="s">
        <v>7</v>
      </c>
      <c r="BG495" s="27" t="s">
        <v>8</v>
      </c>
      <c r="BH495" s="27" t="s">
        <v>7</v>
      </c>
      <c r="BS495" s="27" t="s">
        <v>8</v>
      </c>
      <c r="BV495" s="27" t="s">
        <v>7</v>
      </c>
      <c r="BW495" s="27" t="s">
        <v>8</v>
      </c>
      <c r="BX495" s="27" t="s">
        <v>7</v>
      </c>
      <c r="EY495" s="27" t="s">
        <v>8</v>
      </c>
      <c r="EZ495" s="27" t="s">
        <v>7</v>
      </c>
    </row>
    <row r="496" spans="1:156" x14ac:dyDescent="0.25">
      <c r="A496" s="7">
        <v>6.0619957888315641</v>
      </c>
      <c r="B496"/>
      <c r="C496"/>
      <c r="D496"/>
      <c r="E496"/>
      <c r="W496" s="27" t="s">
        <v>8</v>
      </c>
      <c r="X496" s="27" t="s">
        <v>7</v>
      </c>
      <c r="AC496" s="27" t="s">
        <v>8</v>
      </c>
      <c r="AD496" s="27" t="s">
        <v>7</v>
      </c>
      <c r="BA496" s="27" t="s">
        <v>8</v>
      </c>
      <c r="BB496" s="27" t="s">
        <v>7</v>
      </c>
      <c r="BE496" s="27" t="s">
        <v>8</v>
      </c>
      <c r="BF496" s="27" t="s">
        <v>7</v>
      </c>
      <c r="BG496" s="27" t="s">
        <v>8</v>
      </c>
      <c r="BH496" s="27" t="s">
        <v>7</v>
      </c>
      <c r="BS496" s="27" t="s">
        <v>8</v>
      </c>
      <c r="BV496" s="27" t="s">
        <v>7</v>
      </c>
      <c r="BW496" s="27" t="s">
        <v>8</v>
      </c>
      <c r="BX496" s="27" t="s">
        <v>7</v>
      </c>
      <c r="EY496" s="27" t="s">
        <v>8</v>
      </c>
      <c r="EZ496" s="27" t="s">
        <v>7</v>
      </c>
    </row>
    <row r="497" spans="1:164" x14ac:dyDescent="0.25">
      <c r="A497" s="7">
        <v>5.9431331263054545</v>
      </c>
      <c r="B497"/>
      <c r="C497"/>
      <c r="D497"/>
      <c r="E497"/>
      <c r="W497" s="27" t="s">
        <v>8</v>
      </c>
      <c r="X497" s="27" t="s">
        <v>7</v>
      </c>
      <c r="AC497" s="27" t="s">
        <v>8</v>
      </c>
      <c r="AD497" s="27" t="s">
        <v>7</v>
      </c>
      <c r="BA497" s="27" t="s">
        <v>8</v>
      </c>
      <c r="BB497" s="27" t="s">
        <v>7</v>
      </c>
      <c r="BC497" s="27" t="s">
        <v>8</v>
      </c>
      <c r="BE497" s="27" t="s">
        <v>8</v>
      </c>
      <c r="BF497" s="27" t="s">
        <v>7</v>
      </c>
      <c r="BG497" s="27" t="s">
        <v>8</v>
      </c>
      <c r="BH497" s="27" t="s">
        <v>7</v>
      </c>
      <c r="BQ497" s="27" t="s">
        <v>8</v>
      </c>
      <c r="BS497" s="27" t="s">
        <v>8</v>
      </c>
      <c r="BV497" s="27" t="s">
        <v>7</v>
      </c>
      <c r="BW497" s="27" t="s">
        <v>8</v>
      </c>
      <c r="BX497" s="27" t="s">
        <v>7</v>
      </c>
      <c r="BY497" s="27" t="s">
        <v>8</v>
      </c>
      <c r="EY497" s="27" t="s">
        <v>8</v>
      </c>
      <c r="EZ497" s="27" t="s">
        <v>7</v>
      </c>
    </row>
    <row r="498" spans="1:164" x14ac:dyDescent="0.25">
      <c r="A498" s="7">
        <v>5.8266011042210337</v>
      </c>
      <c r="B498"/>
      <c r="C498"/>
      <c r="D498"/>
      <c r="E498"/>
      <c r="W498" s="27" t="s">
        <v>8</v>
      </c>
      <c r="X498" s="27" t="s">
        <v>7</v>
      </c>
      <c r="AA498" s="27" t="s">
        <v>8</v>
      </c>
      <c r="AC498" s="27" t="s">
        <v>8</v>
      </c>
      <c r="AD498" s="27" t="s">
        <v>7</v>
      </c>
      <c r="AI498" s="27" t="s">
        <v>8</v>
      </c>
      <c r="BA498" s="27" t="s">
        <v>8</v>
      </c>
      <c r="BB498" s="27" t="s">
        <v>7</v>
      </c>
      <c r="BC498" s="27" t="s">
        <v>8</v>
      </c>
      <c r="BD498" s="27" t="s">
        <v>7</v>
      </c>
      <c r="BE498" s="27" t="s">
        <v>8</v>
      </c>
      <c r="BF498" s="27" t="s">
        <v>7</v>
      </c>
      <c r="BG498" s="27" t="s">
        <v>8</v>
      </c>
      <c r="BH498" s="27" t="s">
        <v>7</v>
      </c>
      <c r="BM498" s="27" t="s">
        <v>8</v>
      </c>
      <c r="BQ498" s="27" t="s">
        <v>8</v>
      </c>
      <c r="BR498" s="27" t="s">
        <v>7</v>
      </c>
      <c r="BS498" s="27" t="s">
        <v>8</v>
      </c>
      <c r="BV498" s="27" t="s">
        <v>7</v>
      </c>
      <c r="BW498" s="27" t="s">
        <v>8</v>
      </c>
      <c r="BX498" s="27" t="s">
        <v>7</v>
      </c>
      <c r="BY498" s="27" t="s">
        <v>8</v>
      </c>
      <c r="BZ498" s="27" t="s">
        <v>7</v>
      </c>
      <c r="EY498" s="27" t="s">
        <v>8</v>
      </c>
      <c r="EZ498" s="27" t="s">
        <v>7</v>
      </c>
    </row>
    <row r="499" spans="1:164" x14ac:dyDescent="0.25">
      <c r="A499" s="7">
        <v>5.7123540237461112</v>
      </c>
      <c r="B499"/>
      <c r="C499"/>
      <c r="D499"/>
      <c r="E499"/>
      <c r="W499" s="27" t="s">
        <v>8</v>
      </c>
      <c r="X499" s="27" t="s">
        <v>7</v>
      </c>
      <c r="AA499" s="27" t="s">
        <v>8</v>
      </c>
      <c r="AB499" s="27" t="s">
        <v>7</v>
      </c>
      <c r="AC499" s="27" t="s">
        <v>8</v>
      </c>
      <c r="AD499" s="27" t="s">
        <v>7</v>
      </c>
      <c r="AI499" s="27" t="s">
        <v>8</v>
      </c>
      <c r="AJ499" s="27" t="s">
        <v>7</v>
      </c>
      <c r="BA499" s="27" t="s">
        <v>8</v>
      </c>
      <c r="BB499" s="27" t="s">
        <v>7</v>
      </c>
      <c r="BC499" s="27" t="s">
        <v>8</v>
      </c>
      <c r="BD499" s="27" t="s">
        <v>7</v>
      </c>
      <c r="BE499" s="27" t="s">
        <v>8</v>
      </c>
      <c r="BF499" s="27" t="s">
        <v>7</v>
      </c>
      <c r="BG499" s="27" t="s">
        <v>8</v>
      </c>
      <c r="BH499" s="27" t="s">
        <v>7</v>
      </c>
      <c r="BM499" s="27" t="s">
        <v>8</v>
      </c>
      <c r="BN499" s="27" t="s">
        <v>7</v>
      </c>
      <c r="BO499" s="27" t="s">
        <v>8</v>
      </c>
      <c r="BQ499" s="27" t="s">
        <v>8</v>
      </c>
      <c r="BR499" s="27" t="s">
        <v>7</v>
      </c>
      <c r="BS499" s="27" t="s">
        <v>8</v>
      </c>
      <c r="BV499" s="27" t="s">
        <v>7</v>
      </c>
      <c r="BW499" s="27" t="s">
        <v>8</v>
      </c>
      <c r="BX499" s="27" t="s">
        <v>7</v>
      </c>
      <c r="BY499" s="27" t="s">
        <v>8</v>
      </c>
      <c r="BZ499" s="27" t="s">
        <v>7</v>
      </c>
      <c r="EY499" s="27" t="s">
        <v>8</v>
      </c>
      <c r="EZ499" s="27" t="s">
        <v>7</v>
      </c>
    </row>
    <row r="500" spans="1:164" x14ac:dyDescent="0.25">
      <c r="A500" s="7">
        <v>5.6003470821040304</v>
      </c>
      <c r="B500"/>
      <c r="C500"/>
      <c r="D500"/>
      <c r="E500"/>
      <c r="W500" s="27" t="s">
        <v>8</v>
      </c>
      <c r="X500" s="27" t="s">
        <v>7</v>
      </c>
      <c r="AA500" s="27" t="s">
        <v>8</v>
      </c>
      <c r="AB500" s="27" t="s">
        <v>7</v>
      </c>
      <c r="AC500" s="27" t="s">
        <v>8</v>
      </c>
      <c r="AD500" s="27" t="s">
        <v>7</v>
      </c>
      <c r="AI500" s="27" t="s">
        <v>8</v>
      </c>
      <c r="AJ500" s="27" t="s">
        <v>7</v>
      </c>
      <c r="BA500" s="27" t="s">
        <v>8</v>
      </c>
      <c r="BB500" s="27" t="s">
        <v>7</v>
      </c>
      <c r="BD500" s="27" t="s">
        <v>7</v>
      </c>
      <c r="BE500" s="27" t="s">
        <v>8</v>
      </c>
      <c r="BF500" s="27" t="s">
        <v>7</v>
      </c>
      <c r="BH500" s="27" t="s">
        <v>7</v>
      </c>
      <c r="BM500" s="27" t="s">
        <v>8</v>
      </c>
      <c r="BN500" s="27" t="s">
        <v>7</v>
      </c>
      <c r="BO500" s="27" t="s">
        <v>8</v>
      </c>
      <c r="BP500" s="27" t="s">
        <v>7</v>
      </c>
      <c r="BQ500" s="27" t="s">
        <v>8</v>
      </c>
      <c r="BR500" s="27" t="s">
        <v>7</v>
      </c>
      <c r="BS500" s="27" t="s">
        <v>8</v>
      </c>
      <c r="BV500" s="27" t="s">
        <v>7</v>
      </c>
      <c r="BX500" s="27" t="s">
        <v>7</v>
      </c>
      <c r="BY500" s="27" t="s">
        <v>8</v>
      </c>
      <c r="BZ500" s="27" t="s">
        <v>7</v>
      </c>
      <c r="EY500" s="27" t="s">
        <v>8</v>
      </c>
      <c r="EZ500" s="27" t="s">
        <v>7</v>
      </c>
    </row>
    <row r="501" spans="1:164" x14ac:dyDescent="0.25">
      <c r="A501" s="7">
        <v>5.4905363550039512</v>
      </c>
      <c r="B501"/>
      <c r="C501"/>
      <c r="D501"/>
      <c r="E501"/>
      <c r="U501" s="27" t="s">
        <v>8</v>
      </c>
      <c r="W501" s="27" t="s">
        <v>8</v>
      </c>
      <c r="X501" s="27" t="s">
        <v>7</v>
      </c>
      <c r="AA501" s="27" t="s">
        <v>8</v>
      </c>
      <c r="AB501" s="27" t="s">
        <v>7</v>
      </c>
      <c r="AC501" s="27" t="s">
        <v>8</v>
      </c>
      <c r="AD501" s="27" t="s">
        <v>7</v>
      </c>
      <c r="AI501" s="27" t="s">
        <v>8</v>
      </c>
      <c r="AJ501" s="27" t="s">
        <v>7</v>
      </c>
      <c r="BA501" s="27" t="s">
        <v>8</v>
      </c>
      <c r="BD501" s="27" t="s">
        <v>7</v>
      </c>
      <c r="BE501" s="27" t="s">
        <v>8</v>
      </c>
      <c r="BH501" s="27" t="s">
        <v>7</v>
      </c>
      <c r="BM501" s="27" t="s">
        <v>8</v>
      </c>
      <c r="BN501" s="27" t="s">
        <v>7</v>
      </c>
      <c r="BO501" s="27" t="s">
        <v>8</v>
      </c>
      <c r="BP501" s="27" t="s">
        <v>7</v>
      </c>
      <c r="BQ501" s="27" t="s">
        <v>8</v>
      </c>
      <c r="BR501" s="27" t="s">
        <v>7</v>
      </c>
      <c r="BS501" s="27" t="s">
        <v>8</v>
      </c>
      <c r="BX501" s="27" t="s">
        <v>7</v>
      </c>
      <c r="BY501" s="27" t="s">
        <v>8</v>
      </c>
      <c r="BZ501" s="27" t="s">
        <v>7</v>
      </c>
      <c r="EY501" s="27" t="s">
        <v>8</v>
      </c>
      <c r="EZ501" s="27" t="s">
        <v>7</v>
      </c>
      <c r="FA501" s="27" t="s">
        <v>8</v>
      </c>
    </row>
    <row r="502" spans="1:164" x14ac:dyDescent="0.25">
      <c r="A502" s="7">
        <v>5.3828787794156385</v>
      </c>
      <c r="B502"/>
      <c r="C502"/>
      <c r="D502"/>
      <c r="E502"/>
      <c r="U502" s="27" t="s">
        <v>8</v>
      </c>
      <c r="V502" s="27" t="s">
        <v>7</v>
      </c>
      <c r="W502" s="27" t="s">
        <v>8</v>
      </c>
      <c r="X502" s="27" t="s">
        <v>7</v>
      </c>
      <c r="Y502" s="27" t="s">
        <v>8</v>
      </c>
      <c r="AA502" s="27" t="s">
        <v>8</v>
      </c>
      <c r="AB502" s="27" t="s">
        <v>7</v>
      </c>
      <c r="AC502" s="27" t="s">
        <v>8</v>
      </c>
      <c r="AD502" s="27" t="s">
        <v>7</v>
      </c>
      <c r="AI502" s="27" t="s">
        <v>8</v>
      </c>
      <c r="AJ502" s="27" t="s">
        <v>7</v>
      </c>
      <c r="BA502" s="27" t="s">
        <v>8</v>
      </c>
      <c r="BD502" s="27" t="s">
        <v>7</v>
      </c>
      <c r="BE502" s="27" t="s">
        <v>8</v>
      </c>
      <c r="BH502" s="27" t="s">
        <v>7</v>
      </c>
      <c r="BM502" s="27" t="s">
        <v>8</v>
      </c>
      <c r="BN502" s="27" t="s">
        <v>7</v>
      </c>
      <c r="BP502" s="27" t="s">
        <v>7</v>
      </c>
      <c r="BQ502" s="27" t="s">
        <v>8</v>
      </c>
      <c r="BR502" s="27" t="s">
        <v>7</v>
      </c>
      <c r="BS502" s="27" t="s">
        <v>8</v>
      </c>
      <c r="BX502" s="27" t="s">
        <v>7</v>
      </c>
      <c r="BY502" s="27" t="s">
        <v>8</v>
      </c>
      <c r="BZ502" s="27" t="s">
        <v>7</v>
      </c>
      <c r="CA502" s="27" t="s">
        <v>8</v>
      </c>
      <c r="EY502" s="27" t="s">
        <v>8</v>
      </c>
      <c r="EZ502" s="27" t="s">
        <v>7</v>
      </c>
      <c r="FA502" s="27" t="s">
        <v>8</v>
      </c>
      <c r="FB502" s="27" t="s">
        <v>7</v>
      </c>
    </row>
    <row r="503" spans="1:164" x14ac:dyDescent="0.25">
      <c r="A503" s="7">
        <v>5.2773321366819985</v>
      </c>
      <c r="B503"/>
      <c r="C503"/>
      <c r="D503"/>
      <c r="E503"/>
      <c r="U503" s="27" t="s">
        <v>8</v>
      </c>
      <c r="V503" s="27" t="s">
        <v>7</v>
      </c>
      <c r="W503" s="27" t="s">
        <v>8</v>
      </c>
      <c r="X503" s="27" t="s">
        <v>7</v>
      </c>
      <c r="Y503" s="27" t="s">
        <v>8</v>
      </c>
      <c r="Z503" s="27" t="s">
        <v>7</v>
      </c>
      <c r="AA503" s="27" t="s">
        <v>8</v>
      </c>
      <c r="AB503" s="27" t="s">
        <v>7</v>
      </c>
      <c r="AC503" s="27" t="s">
        <v>8</v>
      </c>
      <c r="AD503" s="27" t="s">
        <v>7</v>
      </c>
      <c r="AI503" s="27" t="s">
        <v>8</v>
      </c>
      <c r="AJ503" s="27" t="s">
        <v>7</v>
      </c>
      <c r="BA503" s="27" t="s">
        <v>8</v>
      </c>
      <c r="BD503" s="27" t="s">
        <v>7</v>
      </c>
      <c r="BH503" s="27" t="s">
        <v>7</v>
      </c>
      <c r="BI503" s="27" t="s">
        <v>8</v>
      </c>
      <c r="BM503" s="27" t="s">
        <v>8</v>
      </c>
      <c r="BP503" s="27" t="s">
        <v>7</v>
      </c>
      <c r="BQ503" s="27" t="s">
        <v>8</v>
      </c>
      <c r="BR503" s="27" t="s">
        <v>7</v>
      </c>
      <c r="BX503" s="27" t="s">
        <v>7</v>
      </c>
      <c r="BY503" s="27" t="s">
        <v>8</v>
      </c>
      <c r="BZ503" s="27" t="s">
        <v>7</v>
      </c>
      <c r="CA503" s="27" t="s">
        <v>8</v>
      </c>
      <c r="CB503" s="27" t="s">
        <v>7</v>
      </c>
      <c r="EY503" s="27" t="s">
        <v>8</v>
      </c>
      <c r="EZ503" s="27" t="s">
        <v>7</v>
      </c>
      <c r="FA503" s="27" t="s">
        <v>8</v>
      </c>
      <c r="FB503" s="27" t="s">
        <v>7</v>
      </c>
    </row>
    <row r="504" spans="1:164" x14ac:dyDescent="0.25">
      <c r="A504" s="7">
        <v>5.1738550359627435</v>
      </c>
      <c r="B504"/>
      <c r="C504"/>
      <c r="D504"/>
      <c r="E504"/>
      <c r="U504" s="27" t="s">
        <v>8</v>
      </c>
      <c r="V504" s="27" t="s">
        <v>7</v>
      </c>
      <c r="W504" s="27" t="s">
        <v>8</v>
      </c>
      <c r="X504" s="27" t="s">
        <v>7</v>
      </c>
      <c r="Y504" s="27" t="s">
        <v>8</v>
      </c>
      <c r="Z504" s="27" t="s">
        <v>7</v>
      </c>
      <c r="AA504" s="27" t="s">
        <v>8</v>
      </c>
      <c r="AB504" s="27" t="s">
        <v>7</v>
      </c>
      <c r="AD504" s="27" t="s">
        <v>7</v>
      </c>
      <c r="AE504" s="27" t="s">
        <v>8</v>
      </c>
      <c r="AG504" s="27" t="s">
        <v>8</v>
      </c>
      <c r="AI504" s="27" t="s">
        <v>8</v>
      </c>
      <c r="AJ504" s="27" t="s">
        <v>7</v>
      </c>
      <c r="AS504" s="27" t="s">
        <v>8</v>
      </c>
      <c r="BA504" s="27" t="s">
        <v>8</v>
      </c>
      <c r="BH504" s="27" t="s">
        <v>7</v>
      </c>
      <c r="BI504" s="27" t="s">
        <v>8</v>
      </c>
      <c r="BJ504" s="27" t="s">
        <v>7</v>
      </c>
      <c r="BM504" s="27" t="s">
        <v>8</v>
      </c>
      <c r="BP504" s="27" t="s">
        <v>7</v>
      </c>
      <c r="BX504" s="27" t="s">
        <v>7</v>
      </c>
      <c r="BZ504" s="27" t="s">
        <v>7</v>
      </c>
      <c r="CA504" s="27" t="s">
        <v>8</v>
      </c>
      <c r="CB504" s="27" t="s">
        <v>7</v>
      </c>
      <c r="EY504" s="27" t="s">
        <v>8</v>
      </c>
      <c r="EZ504" s="27" t="s">
        <v>7</v>
      </c>
      <c r="FA504" s="27" t="s">
        <v>8</v>
      </c>
      <c r="FB504" s="27" t="s">
        <v>7</v>
      </c>
    </row>
    <row r="505" spans="1:164" x14ac:dyDescent="0.25">
      <c r="A505" s="7">
        <v>5.07240689800269</v>
      </c>
      <c r="B505"/>
      <c r="C505"/>
      <c r="D505"/>
      <c r="E505"/>
      <c r="U505" s="27" t="s">
        <v>8</v>
      </c>
      <c r="V505" s="27" t="s">
        <v>7</v>
      </c>
      <c r="W505" s="27" t="s">
        <v>8</v>
      </c>
      <c r="X505" s="27" t="s">
        <v>7</v>
      </c>
      <c r="Y505" s="27" t="s">
        <v>8</v>
      </c>
      <c r="Z505" s="27" t="s">
        <v>7</v>
      </c>
      <c r="AA505" s="27" t="s">
        <v>8</v>
      </c>
      <c r="AD505" s="27" t="s">
        <v>7</v>
      </c>
      <c r="AE505" s="27" t="s">
        <v>8</v>
      </c>
      <c r="AF505" s="27" t="s">
        <v>7</v>
      </c>
      <c r="AG505" s="27" t="s">
        <v>8</v>
      </c>
      <c r="AH505" s="27" t="s">
        <v>7</v>
      </c>
      <c r="AI505" s="27" t="s">
        <v>8</v>
      </c>
      <c r="AJ505" s="27" t="s">
        <v>7</v>
      </c>
      <c r="AK505" s="27" t="s">
        <v>8</v>
      </c>
      <c r="AS505" s="27" t="s">
        <v>8</v>
      </c>
      <c r="AT505" s="27" t="s">
        <v>7</v>
      </c>
      <c r="BA505" s="27" t="s">
        <v>8</v>
      </c>
      <c r="BH505" s="27" t="s">
        <v>7</v>
      </c>
      <c r="BI505" s="27" t="s">
        <v>8</v>
      </c>
      <c r="BJ505" s="27" t="s">
        <v>7</v>
      </c>
      <c r="BM505" s="27" t="s">
        <v>8</v>
      </c>
      <c r="BZ505" s="27" t="s">
        <v>7</v>
      </c>
      <c r="CA505" s="27" t="s">
        <v>8</v>
      </c>
      <c r="CB505" s="27" t="s">
        <v>7</v>
      </c>
      <c r="EY505" s="27" t="s">
        <v>8</v>
      </c>
      <c r="EZ505" s="27" t="s">
        <v>7</v>
      </c>
      <c r="FA505" s="27" t="s">
        <v>8</v>
      </c>
      <c r="FB505" s="27" t="s">
        <v>7</v>
      </c>
    </row>
    <row r="506" spans="1:164" x14ac:dyDescent="0.25">
      <c r="A506" s="7">
        <v>4.9729479392183231</v>
      </c>
      <c r="B506"/>
      <c r="C506"/>
      <c r="D506"/>
      <c r="E506"/>
      <c r="U506" s="27" t="s">
        <v>8</v>
      </c>
      <c r="V506" s="27" t="s">
        <v>7</v>
      </c>
      <c r="W506" s="27" t="s">
        <v>8</v>
      </c>
      <c r="X506" s="27" t="s">
        <v>7</v>
      </c>
      <c r="Y506" s="27" t="s">
        <v>8</v>
      </c>
      <c r="Z506" s="27" t="s">
        <v>7</v>
      </c>
      <c r="AA506" s="27" t="s">
        <v>8</v>
      </c>
      <c r="AD506" s="27" t="s">
        <v>7</v>
      </c>
      <c r="AE506" s="27" t="s">
        <v>8</v>
      </c>
      <c r="AF506" s="27" t="s">
        <v>7</v>
      </c>
      <c r="AG506" s="27" t="s">
        <v>8</v>
      </c>
      <c r="AH506" s="27" t="s">
        <v>7</v>
      </c>
      <c r="AI506" s="27" t="s">
        <v>8</v>
      </c>
      <c r="AJ506" s="27" t="s">
        <v>7</v>
      </c>
      <c r="AK506" s="27" t="s">
        <v>8</v>
      </c>
      <c r="AL506" s="27" t="s">
        <v>7</v>
      </c>
      <c r="AS506" s="27" t="s">
        <v>8</v>
      </c>
      <c r="AT506" s="27" t="s">
        <v>7</v>
      </c>
      <c r="BA506" s="27" t="s">
        <v>8</v>
      </c>
      <c r="BH506" s="27" t="s">
        <v>7</v>
      </c>
      <c r="BI506" s="27" t="s">
        <v>8</v>
      </c>
      <c r="BJ506" s="27" t="s">
        <v>7</v>
      </c>
      <c r="BM506" s="27" t="s">
        <v>8</v>
      </c>
      <c r="BZ506" s="27" t="s">
        <v>7</v>
      </c>
      <c r="CA506" s="27" t="s">
        <v>8</v>
      </c>
      <c r="CB506" s="27" t="s">
        <v>7</v>
      </c>
      <c r="EY506" s="27" t="s">
        <v>8</v>
      </c>
      <c r="EZ506" s="27" t="s">
        <v>7</v>
      </c>
      <c r="FA506" s="27" t="s">
        <v>8</v>
      </c>
      <c r="FB506" s="27" t="s">
        <v>7</v>
      </c>
    </row>
    <row r="507" spans="1:164" x14ac:dyDescent="0.25">
      <c r="A507" s="7">
        <v>4.8754391560963954</v>
      </c>
      <c r="B507"/>
      <c r="C507"/>
      <c r="D507"/>
      <c r="E507"/>
      <c r="U507" s="27" t="s">
        <v>8</v>
      </c>
      <c r="V507" s="27" t="s">
        <v>7</v>
      </c>
      <c r="W507" s="27" t="s">
        <v>8</v>
      </c>
      <c r="X507" s="27" t="s">
        <v>7</v>
      </c>
      <c r="Y507" s="27" t="s">
        <v>8</v>
      </c>
      <c r="Z507" s="27" t="s">
        <v>7</v>
      </c>
      <c r="AA507" s="27" t="s">
        <v>8</v>
      </c>
      <c r="AD507" s="27" t="s">
        <v>7</v>
      </c>
      <c r="AE507" s="27" t="s">
        <v>8</v>
      </c>
      <c r="AF507" s="27" t="s">
        <v>7</v>
      </c>
      <c r="AG507" s="27" t="s">
        <v>8</v>
      </c>
      <c r="AH507" s="27" t="s">
        <v>7</v>
      </c>
      <c r="AI507" s="27" t="s">
        <v>8</v>
      </c>
      <c r="AJ507" s="27" t="s">
        <v>7</v>
      </c>
      <c r="AK507" s="27" t="s">
        <v>8</v>
      </c>
      <c r="AL507" s="27" t="s">
        <v>7</v>
      </c>
      <c r="AS507" s="27" t="s">
        <v>8</v>
      </c>
      <c r="AT507" s="27" t="s">
        <v>7</v>
      </c>
      <c r="BA507" s="27" t="s">
        <v>8</v>
      </c>
      <c r="BH507" s="27" t="s">
        <v>7</v>
      </c>
      <c r="BI507" s="27" t="s">
        <v>8</v>
      </c>
      <c r="BJ507" s="27" t="s">
        <v>7</v>
      </c>
      <c r="BM507" s="27" t="s">
        <v>8</v>
      </c>
      <c r="BZ507" s="27" t="s">
        <v>7</v>
      </c>
      <c r="CA507" s="27" t="s">
        <v>8</v>
      </c>
      <c r="CB507" s="27" t="s">
        <v>7</v>
      </c>
      <c r="EY507" s="27" t="s">
        <v>8</v>
      </c>
      <c r="EZ507" s="27" t="s">
        <v>7</v>
      </c>
      <c r="FA507" s="27" t="s">
        <v>8</v>
      </c>
      <c r="FB507" s="27" t="s">
        <v>7</v>
      </c>
    </row>
    <row r="508" spans="1:164" x14ac:dyDescent="0.25">
      <c r="A508" s="7">
        <v>4.7798423098984264</v>
      </c>
      <c r="B508"/>
      <c r="C508"/>
      <c r="D508"/>
      <c r="E508"/>
      <c r="U508" s="27" t="s">
        <v>8</v>
      </c>
      <c r="V508" s="27" t="s">
        <v>7</v>
      </c>
      <c r="W508" s="27" t="s">
        <v>8</v>
      </c>
      <c r="X508" s="27" t="s">
        <v>7</v>
      </c>
      <c r="Y508" s="27" t="s">
        <v>8</v>
      </c>
      <c r="Z508" s="27" t="s">
        <v>7</v>
      </c>
      <c r="AA508" s="27" t="s">
        <v>8</v>
      </c>
      <c r="AD508" s="27" t="s">
        <v>7</v>
      </c>
      <c r="AE508" s="27" t="s">
        <v>8</v>
      </c>
      <c r="AF508" s="27" t="s">
        <v>7</v>
      </c>
      <c r="AG508" s="27" t="s">
        <v>8</v>
      </c>
      <c r="AH508" s="27" t="s">
        <v>7</v>
      </c>
      <c r="AI508" s="27" t="s">
        <v>8</v>
      </c>
      <c r="AJ508" s="27" t="s">
        <v>7</v>
      </c>
      <c r="AK508" s="27" t="s">
        <v>8</v>
      </c>
      <c r="AL508" s="27" t="s">
        <v>7</v>
      </c>
      <c r="AS508" s="27" t="s">
        <v>8</v>
      </c>
      <c r="AT508" s="27" t="s">
        <v>7</v>
      </c>
      <c r="AY508" s="27" t="s">
        <v>8</v>
      </c>
      <c r="BA508" s="27" t="s">
        <v>8</v>
      </c>
      <c r="BH508" s="27" t="s">
        <v>7</v>
      </c>
      <c r="BI508" s="27" t="s">
        <v>8</v>
      </c>
      <c r="BJ508" s="27" t="s">
        <v>7</v>
      </c>
      <c r="BM508" s="27" t="s">
        <v>8</v>
      </c>
      <c r="BZ508" s="27" t="s">
        <v>7</v>
      </c>
      <c r="CA508" s="27" t="s">
        <v>8</v>
      </c>
      <c r="CB508" s="27" t="s">
        <v>7</v>
      </c>
      <c r="EY508" s="27" t="s">
        <v>8</v>
      </c>
      <c r="EZ508" s="27" t="s">
        <v>7</v>
      </c>
      <c r="FB508" s="27" t="s">
        <v>7</v>
      </c>
    </row>
    <row r="509" spans="1:164" x14ac:dyDescent="0.25">
      <c r="A509" s="7">
        <v>4.6861199116651235</v>
      </c>
      <c r="B509"/>
      <c r="C509"/>
      <c r="D509"/>
      <c r="E509"/>
      <c r="U509" s="27" t="s">
        <v>8</v>
      </c>
      <c r="V509" s="27" t="s">
        <v>7</v>
      </c>
      <c r="W509" s="27" t="s">
        <v>8</v>
      </c>
      <c r="X509" s="27" t="s">
        <v>7</v>
      </c>
      <c r="Y509" s="27" t="s">
        <v>8</v>
      </c>
      <c r="Z509" s="27" t="s">
        <v>7</v>
      </c>
      <c r="AA509" s="27" t="s">
        <v>8</v>
      </c>
      <c r="AD509" s="27" t="s">
        <v>7</v>
      </c>
      <c r="AE509" s="27" t="s">
        <v>8</v>
      </c>
      <c r="AF509" s="27" t="s">
        <v>7</v>
      </c>
      <c r="AG509" s="27" t="s">
        <v>8</v>
      </c>
      <c r="AH509" s="27" t="s">
        <v>7</v>
      </c>
      <c r="AI509" s="27" t="s">
        <v>8</v>
      </c>
      <c r="AJ509" s="27" t="s">
        <v>7</v>
      </c>
      <c r="AK509" s="27" t="s">
        <v>8</v>
      </c>
      <c r="AL509" s="27" t="s">
        <v>7</v>
      </c>
      <c r="AS509" s="27" t="s">
        <v>8</v>
      </c>
      <c r="AT509" s="27" t="s">
        <v>7</v>
      </c>
      <c r="AY509" s="27" t="s">
        <v>8</v>
      </c>
      <c r="AZ509" s="27" t="s">
        <v>7</v>
      </c>
      <c r="BA509" s="27" t="s">
        <v>8</v>
      </c>
      <c r="BH509" s="27" t="s">
        <v>7</v>
      </c>
      <c r="BI509" s="27" t="s">
        <v>8</v>
      </c>
      <c r="BJ509" s="27" t="s">
        <v>7</v>
      </c>
      <c r="BM509" s="27" t="s">
        <v>8</v>
      </c>
      <c r="BZ509" s="27" t="s">
        <v>7</v>
      </c>
      <c r="CA509" s="27" t="s">
        <v>8</v>
      </c>
      <c r="CB509" s="27" t="s">
        <v>7</v>
      </c>
      <c r="EY509" s="27" t="s">
        <v>8</v>
      </c>
      <c r="FB509" s="27" t="s">
        <v>7</v>
      </c>
      <c r="FC509" s="27" t="s">
        <v>8</v>
      </c>
      <c r="FG509" s="27" t="s">
        <v>8</v>
      </c>
    </row>
    <row r="510" spans="1:164" x14ac:dyDescent="0.25">
      <c r="A510" s="7">
        <v>4.5942352075148269</v>
      </c>
      <c r="B510"/>
      <c r="C510"/>
      <c r="D510"/>
      <c r="E510"/>
      <c r="U510" s="27" t="s">
        <v>8</v>
      </c>
      <c r="V510" s="27" t="s">
        <v>7</v>
      </c>
      <c r="W510" s="27" t="s">
        <v>8</v>
      </c>
      <c r="X510" s="27" t="s">
        <v>7</v>
      </c>
      <c r="Y510" s="27" t="s">
        <v>8</v>
      </c>
      <c r="Z510" s="27" t="s">
        <v>7</v>
      </c>
      <c r="AA510" s="27" t="s">
        <v>8</v>
      </c>
      <c r="AD510" s="27" t="s">
        <v>7</v>
      </c>
      <c r="AE510" s="27" t="s">
        <v>8</v>
      </c>
      <c r="AF510" s="27" t="s">
        <v>7</v>
      </c>
      <c r="AG510" s="27" t="s">
        <v>8</v>
      </c>
      <c r="AH510" s="27" t="s">
        <v>7</v>
      </c>
      <c r="AI510" s="27" t="s">
        <v>8</v>
      </c>
      <c r="AJ510" s="27" t="s">
        <v>7</v>
      </c>
      <c r="AK510" s="27" t="s">
        <v>8</v>
      </c>
      <c r="AL510" s="27" t="s">
        <v>7</v>
      </c>
      <c r="AS510" s="27" t="s">
        <v>8</v>
      </c>
      <c r="AT510" s="27" t="s">
        <v>7</v>
      </c>
      <c r="AW510" s="27" t="s">
        <v>8</v>
      </c>
      <c r="AY510" s="27" t="s">
        <v>8</v>
      </c>
      <c r="AZ510" s="27" t="s">
        <v>7</v>
      </c>
      <c r="BA510" s="27" t="s">
        <v>8</v>
      </c>
      <c r="BH510" s="27" t="s">
        <v>7</v>
      </c>
      <c r="BI510" s="27" t="s">
        <v>8</v>
      </c>
      <c r="BJ510" s="27" t="s">
        <v>7</v>
      </c>
      <c r="BM510" s="27" t="s">
        <v>8</v>
      </c>
      <c r="BZ510" s="27" t="s">
        <v>7</v>
      </c>
      <c r="CA510" s="27" t="s">
        <v>8</v>
      </c>
      <c r="CB510" s="27" t="s">
        <v>7</v>
      </c>
      <c r="EY510" s="27" t="s">
        <v>8</v>
      </c>
      <c r="FB510" s="27" t="s">
        <v>7</v>
      </c>
      <c r="FC510" s="27" t="s">
        <v>8</v>
      </c>
      <c r="FD510" s="27" t="s">
        <v>7</v>
      </c>
      <c r="FE510" s="27" t="s">
        <v>8</v>
      </c>
      <c r="FG510" s="27" t="s">
        <v>8</v>
      </c>
      <c r="FH510" s="27" t="s">
        <v>7</v>
      </c>
    </row>
    <row r="511" spans="1:164" x14ac:dyDescent="0.25">
      <c r="A511" s="7">
        <v>4.5041521642302227</v>
      </c>
      <c r="B511"/>
      <c r="C511"/>
      <c r="D511"/>
      <c r="E511"/>
      <c r="U511" s="27" t="s">
        <v>8</v>
      </c>
      <c r="V511" s="27" t="s">
        <v>7</v>
      </c>
      <c r="W511" s="27" t="s">
        <v>8</v>
      </c>
      <c r="X511" s="27" t="s">
        <v>7</v>
      </c>
      <c r="Y511" s="27" t="s">
        <v>8</v>
      </c>
      <c r="Z511" s="27" t="s">
        <v>7</v>
      </c>
      <c r="AA511" s="27" t="s">
        <v>8</v>
      </c>
      <c r="AD511" s="27" t="s">
        <v>7</v>
      </c>
      <c r="AE511" s="27" t="s">
        <v>8</v>
      </c>
      <c r="AF511" s="27" t="s">
        <v>7</v>
      </c>
      <c r="AG511" s="27" t="s">
        <v>8</v>
      </c>
      <c r="AH511" s="27" t="s">
        <v>7</v>
      </c>
      <c r="AJ511" s="27" t="s">
        <v>7</v>
      </c>
      <c r="AK511" s="27" t="s">
        <v>8</v>
      </c>
      <c r="AL511" s="27" t="s">
        <v>7</v>
      </c>
      <c r="AO511" s="27" t="s">
        <v>8</v>
      </c>
      <c r="AS511" s="27" t="s">
        <v>8</v>
      </c>
      <c r="AT511" s="27" t="s">
        <v>7</v>
      </c>
      <c r="AW511" s="27" t="s">
        <v>8</v>
      </c>
      <c r="AX511" s="27" t="s">
        <v>7</v>
      </c>
      <c r="AY511" s="27" t="s">
        <v>8</v>
      </c>
      <c r="AZ511" s="27" t="s">
        <v>7</v>
      </c>
      <c r="BA511" s="27" t="s">
        <v>8</v>
      </c>
      <c r="BH511" s="27" t="s">
        <v>7</v>
      </c>
      <c r="BJ511" s="27" t="s">
        <v>7</v>
      </c>
      <c r="BM511" s="27" t="s">
        <v>8</v>
      </c>
      <c r="BZ511" s="27" t="s">
        <v>7</v>
      </c>
      <c r="CB511" s="27" t="s">
        <v>7</v>
      </c>
      <c r="EU511" s="27" t="s">
        <v>8</v>
      </c>
      <c r="EY511" s="27" t="s">
        <v>8</v>
      </c>
      <c r="FB511" s="27" t="s">
        <v>7</v>
      </c>
      <c r="FC511" s="27" t="s">
        <v>8</v>
      </c>
      <c r="FD511" s="27" t="s">
        <v>7</v>
      </c>
      <c r="FE511" s="27" t="s">
        <v>8</v>
      </c>
      <c r="FF511" s="27" t="s">
        <v>7</v>
      </c>
      <c r="FG511" s="27" t="s">
        <v>8</v>
      </c>
      <c r="FH511" s="27" t="s">
        <v>7</v>
      </c>
    </row>
    <row r="512" spans="1:164" x14ac:dyDescent="0.25">
      <c r="A512" s="7">
        <v>4.4158354551276693</v>
      </c>
      <c r="B512"/>
      <c r="C512"/>
      <c r="D512"/>
      <c r="E512"/>
      <c r="U512" s="27" t="s">
        <v>8</v>
      </c>
      <c r="V512" s="27" t="s">
        <v>7</v>
      </c>
      <c r="W512" s="27" t="s">
        <v>8</v>
      </c>
      <c r="X512" s="27" t="s">
        <v>7</v>
      </c>
      <c r="Y512" s="27" t="s">
        <v>8</v>
      </c>
      <c r="Z512" s="27" t="s">
        <v>7</v>
      </c>
      <c r="AD512" s="27" t="s">
        <v>7</v>
      </c>
      <c r="AE512" s="27" t="s">
        <v>8</v>
      </c>
      <c r="AF512" s="27" t="s">
        <v>7</v>
      </c>
      <c r="AJ512" s="27" t="s">
        <v>7</v>
      </c>
      <c r="AK512" s="27" t="s">
        <v>8</v>
      </c>
      <c r="AL512" s="27" t="s">
        <v>7</v>
      </c>
      <c r="AO512" s="27" t="s">
        <v>8</v>
      </c>
      <c r="AP512" s="27" t="s">
        <v>7</v>
      </c>
      <c r="AS512" s="27" t="s">
        <v>8</v>
      </c>
      <c r="AT512" s="27" t="s">
        <v>7</v>
      </c>
      <c r="AW512" s="27" t="s">
        <v>8</v>
      </c>
      <c r="AX512" s="27" t="s">
        <v>7</v>
      </c>
      <c r="AY512" s="27" t="s">
        <v>8</v>
      </c>
      <c r="AZ512" s="27" t="s">
        <v>7</v>
      </c>
      <c r="BA512" s="27" t="s">
        <v>8</v>
      </c>
      <c r="BJ512" s="27" t="s">
        <v>7</v>
      </c>
      <c r="BM512" s="27" t="s">
        <v>8</v>
      </c>
      <c r="CB512" s="27" t="s">
        <v>7</v>
      </c>
      <c r="EU512" s="27" t="s">
        <v>8</v>
      </c>
      <c r="EV512" s="27" t="s">
        <v>7</v>
      </c>
      <c r="EY512" s="27" t="s">
        <v>8</v>
      </c>
      <c r="FB512" s="27" t="s">
        <v>7</v>
      </c>
      <c r="FC512" s="27" t="s">
        <v>8</v>
      </c>
      <c r="FD512" s="27" t="s">
        <v>7</v>
      </c>
      <c r="FE512" s="27" t="s">
        <v>8</v>
      </c>
      <c r="FF512" s="27" t="s">
        <v>7</v>
      </c>
      <c r="FG512" s="27" t="s">
        <v>8</v>
      </c>
      <c r="FH512" s="27" t="s">
        <v>7</v>
      </c>
    </row>
    <row r="513" spans="1:176" x14ac:dyDescent="0.25">
      <c r="A513" s="7">
        <v>4.3292504462035977</v>
      </c>
      <c r="B513"/>
      <c r="C513"/>
      <c r="D513"/>
      <c r="E513"/>
      <c r="U513" s="27" t="s">
        <v>8</v>
      </c>
      <c r="V513" s="27" t="s">
        <v>7</v>
      </c>
      <c r="X513" s="27" t="s">
        <v>7</v>
      </c>
      <c r="AD513" s="27" t="s">
        <v>7</v>
      </c>
      <c r="AE513" s="27" t="s">
        <v>8</v>
      </c>
      <c r="AJ513" s="27" t="s">
        <v>7</v>
      </c>
      <c r="AK513" s="27" t="s">
        <v>8</v>
      </c>
      <c r="AL513" s="27" t="s">
        <v>7</v>
      </c>
      <c r="AM513" s="27" t="s">
        <v>8</v>
      </c>
      <c r="AO513" s="27" t="s">
        <v>8</v>
      </c>
      <c r="AP513" s="27" t="s">
        <v>7</v>
      </c>
      <c r="AS513" s="27" t="s">
        <v>8</v>
      </c>
      <c r="AT513" s="27" t="s">
        <v>7</v>
      </c>
      <c r="AW513" s="27" t="s">
        <v>8</v>
      </c>
      <c r="AX513" s="27" t="s">
        <v>7</v>
      </c>
      <c r="AY513" s="27" t="s">
        <v>8</v>
      </c>
      <c r="AZ513" s="27" t="s">
        <v>7</v>
      </c>
      <c r="BA513" s="27" t="s">
        <v>8</v>
      </c>
      <c r="BJ513" s="27" t="s">
        <v>7</v>
      </c>
      <c r="BM513" s="27" t="s">
        <v>8</v>
      </c>
      <c r="CB513" s="27" t="s">
        <v>7</v>
      </c>
      <c r="EU513" s="27" t="s">
        <v>8</v>
      </c>
      <c r="EV513" s="27" t="s">
        <v>7</v>
      </c>
      <c r="EY513" s="27" t="s">
        <v>8</v>
      </c>
      <c r="FB513" s="27" t="s">
        <v>7</v>
      </c>
      <c r="FC513" s="27" t="s">
        <v>8</v>
      </c>
      <c r="FD513" s="27" t="s">
        <v>7</v>
      </c>
      <c r="FF513" s="27" t="s">
        <v>7</v>
      </c>
      <c r="FG513" s="27" t="s">
        <v>8</v>
      </c>
      <c r="FH513" s="27" t="s">
        <v>7</v>
      </c>
      <c r="FI513" s="27" t="s">
        <v>8</v>
      </c>
    </row>
    <row r="514" spans="1:176" x14ac:dyDescent="0.25">
      <c r="A514" s="7">
        <v>4.2443631825525463</v>
      </c>
      <c r="B514"/>
      <c r="C514"/>
      <c r="D514"/>
      <c r="E514"/>
      <c r="U514" s="27" t="s">
        <v>8</v>
      </c>
      <c r="AD514" s="27" t="s">
        <v>7</v>
      </c>
      <c r="AJ514" s="27" t="s">
        <v>7</v>
      </c>
      <c r="AK514" s="27" t="s">
        <v>8</v>
      </c>
      <c r="AL514" s="27" t="s">
        <v>7</v>
      </c>
      <c r="AM514" s="27" t="s">
        <v>8</v>
      </c>
      <c r="AN514" s="27" t="s">
        <v>7</v>
      </c>
      <c r="AO514" s="27" t="s">
        <v>8</v>
      </c>
      <c r="AP514" s="27" t="s">
        <v>7</v>
      </c>
      <c r="AS514" s="27" t="s">
        <v>8</v>
      </c>
      <c r="AT514" s="27" t="s">
        <v>7</v>
      </c>
      <c r="AW514" s="27" t="s">
        <v>8</v>
      </c>
      <c r="AX514" s="27" t="s">
        <v>7</v>
      </c>
      <c r="AY514" s="27" t="s">
        <v>8</v>
      </c>
      <c r="AZ514" s="27" t="s">
        <v>7</v>
      </c>
      <c r="BA514" s="27" t="s">
        <v>8</v>
      </c>
      <c r="BJ514" s="27" t="s">
        <v>7</v>
      </c>
      <c r="BK514" s="27" t="s">
        <v>8</v>
      </c>
      <c r="BM514" s="27" t="s">
        <v>8</v>
      </c>
      <c r="CB514" s="27" t="s">
        <v>7</v>
      </c>
      <c r="EU514" s="27" t="s">
        <v>8</v>
      </c>
      <c r="EV514" s="27" t="s">
        <v>7</v>
      </c>
      <c r="EY514" s="27" t="s">
        <v>8</v>
      </c>
      <c r="FB514" s="27" t="s">
        <v>7</v>
      </c>
      <c r="FF514" s="27" t="s">
        <v>7</v>
      </c>
      <c r="FG514" s="27" t="s">
        <v>8</v>
      </c>
      <c r="FH514" s="27" t="s">
        <v>7</v>
      </c>
      <c r="FI514" s="27" t="s">
        <v>8</v>
      </c>
      <c r="FJ514" s="27" t="s">
        <v>7</v>
      </c>
      <c r="FO514" s="27" t="s">
        <v>8</v>
      </c>
      <c r="FS514" s="27" t="s">
        <v>8</v>
      </c>
    </row>
    <row r="515" spans="1:176" x14ac:dyDescent="0.25">
      <c r="A515" s="7">
        <v>4.1611403750515157</v>
      </c>
      <c r="B515"/>
      <c r="C515"/>
      <c r="D515"/>
      <c r="E515"/>
      <c r="U515" s="27" t="s">
        <v>8</v>
      </c>
      <c r="AJ515" s="27" t="s">
        <v>7</v>
      </c>
      <c r="AK515" s="27" t="s">
        <v>8</v>
      </c>
      <c r="AL515" s="27" t="s">
        <v>7</v>
      </c>
      <c r="AM515" s="27" t="s">
        <v>8</v>
      </c>
      <c r="AN515" s="27" t="s">
        <v>7</v>
      </c>
      <c r="AO515" s="27" t="s">
        <v>8</v>
      </c>
      <c r="AP515" s="27" t="s">
        <v>7</v>
      </c>
      <c r="AQ515" s="27" t="s">
        <v>8</v>
      </c>
      <c r="AS515" s="27" t="s">
        <v>8</v>
      </c>
      <c r="AT515" s="27" t="s">
        <v>7</v>
      </c>
      <c r="AW515" s="27" t="s">
        <v>8</v>
      </c>
      <c r="AX515" s="27" t="s">
        <v>7</v>
      </c>
      <c r="AZ515" s="27" t="s">
        <v>7</v>
      </c>
      <c r="BJ515" s="27" t="s">
        <v>7</v>
      </c>
      <c r="BK515" s="27" t="s">
        <v>8</v>
      </c>
      <c r="BL515" s="27" t="s">
        <v>7</v>
      </c>
      <c r="BM515" s="27" t="s">
        <v>8</v>
      </c>
      <c r="CB515" s="27" t="s">
        <v>7</v>
      </c>
      <c r="EU515" s="27" t="s">
        <v>8</v>
      </c>
      <c r="EV515" s="27" t="s">
        <v>7</v>
      </c>
      <c r="EW515" s="27" t="s">
        <v>8</v>
      </c>
      <c r="EY515" s="27" t="s">
        <v>8</v>
      </c>
      <c r="FF515" s="27" t="s">
        <v>7</v>
      </c>
      <c r="FH515" s="27" t="s">
        <v>7</v>
      </c>
      <c r="FI515" s="27" t="s">
        <v>8</v>
      </c>
      <c r="FJ515" s="27" t="s">
        <v>7</v>
      </c>
      <c r="FO515" s="27" t="s">
        <v>8</v>
      </c>
      <c r="FP515" s="27" t="s">
        <v>7</v>
      </c>
      <c r="FS515" s="27" t="s">
        <v>8</v>
      </c>
      <c r="FT515" s="27" t="s">
        <v>7</v>
      </c>
    </row>
    <row r="516" spans="1:176" x14ac:dyDescent="0.25">
      <c r="A516" s="7">
        <v>4.0795493873054074</v>
      </c>
      <c r="B516"/>
      <c r="C516"/>
      <c r="D516"/>
      <c r="E516"/>
      <c r="U516" s="27" t="s">
        <v>8</v>
      </c>
      <c r="AJ516" s="27" t="s">
        <v>7</v>
      </c>
      <c r="AK516" s="27" t="s">
        <v>8</v>
      </c>
      <c r="AL516" s="27" t="s">
        <v>7</v>
      </c>
      <c r="AM516" s="27" t="s">
        <v>8</v>
      </c>
      <c r="AN516" s="27" t="s">
        <v>7</v>
      </c>
      <c r="AO516" s="27" t="s">
        <v>8</v>
      </c>
      <c r="AP516" s="27" t="s">
        <v>7</v>
      </c>
      <c r="AQ516" s="27" t="s">
        <v>8</v>
      </c>
      <c r="AR516" s="27" t="s">
        <v>7</v>
      </c>
      <c r="AS516" s="27" t="s">
        <v>8</v>
      </c>
      <c r="AT516" s="27" t="s">
        <v>7</v>
      </c>
      <c r="AU516" s="27" t="s">
        <v>8</v>
      </c>
      <c r="AW516" s="27" t="s">
        <v>8</v>
      </c>
      <c r="BJ516" s="27" t="s">
        <v>7</v>
      </c>
      <c r="BK516" s="27" t="s">
        <v>8</v>
      </c>
      <c r="BL516" s="27" t="s">
        <v>7</v>
      </c>
      <c r="BM516" s="27" t="s">
        <v>8</v>
      </c>
      <c r="CB516" s="27" t="s">
        <v>7</v>
      </c>
      <c r="CK516" s="27" t="s">
        <v>8</v>
      </c>
      <c r="EU516" s="27" t="s">
        <v>8</v>
      </c>
      <c r="EV516" s="27" t="s">
        <v>7</v>
      </c>
      <c r="EW516" s="27" t="s">
        <v>8</v>
      </c>
      <c r="EX516" s="27" t="s">
        <v>7</v>
      </c>
      <c r="EY516" s="27" t="s">
        <v>8</v>
      </c>
      <c r="FH516" s="27" t="s">
        <v>7</v>
      </c>
      <c r="FI516" s="27" t="s">
        <v>8</v>
      </c>
      <c r="FJ516" s="27" t="s">
        <v>7</v>
      </c>
      <c r="FM516" s="27" t="s">
        <v>8</v>
      </c>
      <c r="FO516" s="27" t="s">
        <v>8</v>
      </c>
      <c r="FP516" s="27" t="s">
        <v>7</v>
      </c>
      <c r="FS516" s="27" t="s">
        <v>8</v>
      </c>
      <c r="FT516" s="27" t="s">
        <v>7</v>
      </c>
    </row>
    <row r="517" spans="1:176" x14ac:dyDescent="0.25">
      <c r="A517" s="7">
        <v>3.9995582228484383</v>
      </c>
      <c r="B517"/>
      <c r="C517"/>
      <c r="D517"/>
      <c r="E517"/>
      <c r="U517" s="27" t="s">
        <v>8</v>
      </c>
      <c r="AJ517" s="27" t="s">
        <v>7</v>
      </c>
      <c r="AK517" s="27" t="s">
        <v>8</v>
      </c>
      <c r="AL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  <c r="AR517" s="27" t="s">
        <v>7</v>
      </c>
      <c r="AS517" s="27" t="s">
        <v>8</v>
      </c>
      <c r="AT517" s="27" t="s">
        <v>7</v>
      </c>
      <c r="AU517" s="27" t="s">
        <v>8</v>
      </c>
      <c r="AV517" s="27" t="s">
        <v>7</v>
      </c>
      <c r="AW517" s="27" t="s">
        <v>8</v>
      </c>
      <c r="BJ517" s="27" t="s">
        <v>7</v>
      </c>
      <c r="BK517" s="27" t="s">
        <v>8</v>
      </c>
      <c r="BL517" s="27" t="s">
        <v>7</v>
      </c>
      <c r="BM517" s="27" t="s">
        <v>8</v>
      </c>
      <c r="CB517" s="27" t="s">
        <v>7</v>
      </c>
      <c r="CK517" s="27" t="s">
        <v>8</v>
      </c>
      <c r="CL517" s="27" t="s">
        <v>7</v>
      </c>
      <c r="DY517" s="27" t="s">
        <v>8</v>
      </c>
      <c r="EU517" s="27" t="s">
        <v>8</v>
      </c>
      <c r="EV517" s="27" t="s">
        <v>7</v>
      </c>
      <c r="EW517" s="27" t="s">
        <v>8</v>
      </c>
      <c r="EX517" s="27" t="s">
        <v>7</v>
      </c>
      <c r="EY517" s="27" t="s">
        <v>8</v>
      </c>
      <c r="FH517" s="27" t="s">
        <v>7</v>
      </c>
      <c r="FJ517" s="27" t="s">
        <v>7</v>
      </c>
      <c r="FK517" s="27" t="s">
        <v>8</v>
      </c>
      <c r="FM517" s="27" t="s">
        <v>8</v>
      </c>
      <c r="FN517" s="27" t="s">
        <v>7</v>
      </c>
      <c r="FO517" s="27" t="s">
        <v>8</v>
      </c>
      <c r="FP517" s="27" t="s">
        <v>7</v>
      </c>
      <c r="FS517" s="27" t="s">
        <v>8</v>
      </c>
      <c r="FT517" s="27" t="s">
        <v>7</v>
      </c>
    </row>
    <row r="518" spans="1:176" x14ac:dyDescent="0.25">
      <c r="A518" s="7">
        <v>3.9211355125965079</v>
      </c>
      <c r="B518"/>
      <c r="C518"/>
      <c r="D518"/>
      <c r="E518"/>
      <c r="U518" s="27" t="s">
        <v>8</v>
      </c>
      <c r="AJ518" s="27" t="s">
        <v>7</v>
      </c>
      <c r="AK518" s="27" t="s">
        <v>8</v>
      </c>
      <c r="AL518" s="27" t="s">
        <v>7</v>
      </c>
      <c r="AM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  <c r="AR518" s="27" t="s">
        <v>7</v>
      </c>
      <c r="AS518" s="27" t="s">
        <v>8</v>
      </c>
      <c r="AT518" s="27" t="s">
        <v>7</v>
      </c>
      <c r="AU518" s="27" t="s">
        <v>8</v>
      </c>
      <c r="AV518" s="27" t="s">
        <v>7</v>
      </c>
      <c r="AW518" s="27" t="s">
        <v>8</v>
      </c>
      <c r="BJ518" s="27" t="s">
        <v>7</v>
      </c>
      <c r="BK518" s="27" t="s">
        <v>8</v>
      </c>
      <c r="BL518" s="27" t="s">
        <v>7</v>
      </c>
      <c r="BM518" s="27" t="s">
        <v>8</v>
      </c>
      <c r="CB518" s="27" t="s">
        <v>7</v>
      </c>
      <c r="CC518" s="27" t="s">
        <v>8</v>
      </c>
      <c r="CK518" s="27" t="s">
        <v>8</v>
      </c>
      <c r="CL518" s="27" t="s">
        <v>7</v>
      </c>
      <c r="CQ518" s="27" t="s">
        <v>8</v>
      </c>
      <c r="DY518" s="27" t="s">
        <v>8</v>
      </c>
      <c r="DZ518" s="27" t="s">
        <v>7</v>
      </c>
      <c r="EU518" s="27" t="s">
        <v>8</v>
      </c>
      <c r="EV518" s="27" t="s">
        <v>7</v>
      </c>
      <c r="EW518" s="27" t="s">
        <v>8</v>
      </c>
      <c r="EX518" s="27" t="s">
        <v>7</v>
      </c>
      <c r="FJ518" s="27" t="s">
        <v>7</v>
      </c>
      <c r="FK518" s="27" t="s">
        <v>8</v>
      </c>
      <c r="FL518" s="27" t="s">
        <v>7</v>
      </c>
      <c r="FM518" s="27" t="s">
        <v>8</v>
      </c>
      <c r="FN518" s="27" t="s">
        <v>7</v>
      </c>
      <c r="FO518" s="27" t="s">
        <v>8</v>
      </c>
      <c r="FP518" s="27" t="s">
        <v>7</v>
      </c>
      <c r="FS518" s="27" t="s">
        <v>8</v>
      </c>
      <c r="FT518" s="27" t="s">
        <v>7</v>
      </c>
    </row>
    <row r="519" spans="1:176" x14ac:dyDescent="0.25">
      <c r="A519" s="7">
        <v>3.844250502545596</v>
      </c>
      <c r="B519"/>
      <c r="C519"/>
      <c r="D519"/>
      <c r="E519"/>
      <c r="U519" s="27" t="s">
        <v>8</v>
      </c>
      <c r="AJ519" s="27" t="s">
        <v>7</v>
      </c>
      <c r="AK519" s="27" t="s">
        <v>8</v>
      </c>
      <c r="AL519" s="27" t="s">
        <v>7</v>
      </c>
      <c r="AM519" s="27" t="s">
        <v>8</v>
      </c>
      <c r="AN519" s="27" t="s">
        <v>7</v>
      </c>
      <c r="AO519" s="27" t="s">
        <v>8</v>
      </c>
      <c r="AP519" s="27" t="s">
        <v>7</v>
      </c>
      <c r="AQ519" s="27" t="s">
        <v>8</v>
      </c>
      <c r="AR519" s="27" t="s">
        <v>7</v>
      </c>
      <c r="AS519" s="27" t="s">
        <v>8</v>
      </c>
      <c r="AT519" s="27" t="s">
        <v>7</v>
      </c>
      <c r="AU519" s="27" t="s">
        <v>8</v>
      </c>
      <c r="AV519" s="27" t="s">
        <v>7</v>
      </c>
      <c r="BJ519" s="27" t="s">
        <v>7</v>
      </c>
      <c r="BK519" s="27" t="s">
        <v>8</v>
      </c>
      <c r="BL519" s="27" t="s">
        <v>7</v>
      </c>
      <c r="CB519" s="27" t="s">
        <v>7</v>
      </c>
      <c r="CC519" s="27" t="s">
        <v>8</v>
      </c>
      <c r="CD519" s="27" t="s">
        <v>7</v>
      </c>
      <c r="CK519" s="27" t="s">
        <v>8</v>
      </c>
      <c r="CL519" s="27" t="s">
        <v>7</v>
      </c>
      <c r="CO519" s="27" t="s">
        <v>8</v>
      </c>
      <c r="CQ519" s="27" t="s">
        <v>8</v>
      </c>
      <c r="CR519" s="27" t="s">
        <v>7</v>
      </c>
      <c r="DY519" s="27" t="s">
        <v>8</v>
      </c>
      <c r="DZ519" s="27" t="s">
        <v>7</v>
      </c>
      <c r="EU519" s="27" t="s">
        <v>8</v>
      </c>
      <c r="EV519" s="27" t="s">
        <v>7</v>
      </c>
      <c r="EW519" s="27" t="s">
        <v>8</v>
      </c>
      <c r="FJ519" s="27" t="s">
        <v>7</v>
      </c>
      <c r="FK519" s="27" t="s">
        <v>8</v>
      </c>
      <c r="FL519" s="27" t="s">
        <v>7</v>
      </c>
      <c r="FM519" s="27" t="s">
        <v>8</v>
      </c>
      <c r="FN519" s="27" t="s">
        <v>7</v>
      </c>
      <c r="FO519" s="27" t="s">
        <v>8</v>
      </c>
      <c r="FP519" s="27" t="s">
        <v>7</v>
      </c>
      <c r="FS519" s="27" t="s">
        <v>8</v>
      </c>
      <c r="FT519" s="27" t="s">
        <v>7</v>
      </c>
    </row>
    <row r="520" spans="1:176" x14ac:dyDescent="0.25">
      <c r="A520" s="7">
        <v>3.7688730417113687</v>
      </c>
      <c r="B520"/>
      <c r="C520"/>
      <c r="D520"/>
      <c r="E520"/>
      <c r="U520" s="27" t="s">
        <v>8</v>
      </c>
      <c r="AJ520" s="27" t="s">
        <v>7</v>
      </c>
      <c r="AK520" s="27" t="s">
        <v>8</v>
      </c>
      <c r="AL520" s="27" t="s">
        <v>7</v>
      </c>
      <c r="AM520" s="27" t="s">
        <v>8</v>
      </c>
      <c r="AN520" s="27" t="s">
        <v>7</v>
      </c>
      <c r="AO520" s="27" t="s">
        <v>8</v>
      </c>
      <c r="AP520" s="27" t="s">
        <v>7</v>
      </c>
      <c r="AQ520" s="27" t="s">
        <v>8</v>
      </c>
      <c r="AR520" s="27" t="s">
        <v>7</v>
      </c>
      <c r="AT520" s="27" t="s">
        <v>7</v>
      </c>
      <c r="AU520" s="27" t="s">
        <v>8</v>
      </c>
      <c r="BJ520" s="27" t="s">
        <v>7</v>
      </c>
      <c r="CB520" s="27" t="s">
        <v>7</v>
      </c>
      <c r="CC520" s="27" t="s">
        <v>8</v>
      </c>
      <c r="CD520" s="27" t="s">
        <v>7</v>
      </c>
      <c r="CK520" s="27" t="s">
        <v>8</v>
      </c>
      <c r="CL520" s="27" t="s">
        <v>7</v>
      </c>
      <c r="CO520" s="27" t="s">
        <v>8</v>
      </c>
      <c r="CP520" s="27" t="s">
        <v>7</v>
      </c>
      <c r="CQ520" s="27" t="s">
        <v>8</v>
      </c>
      <c r="CR520" s="27" t="s">
        <v>7</v>
      </c>
      <c r="DY520" s="27" t="s">
        <v>8</v>
      </c>
      <c r="DZ520" s="27" t="s">
        <v>7</v>
      </c>
      <c r="EU520" s="27" t="s">
        <v>8</v>
      </c>
      <c r="EV520" s="27" t="s">
        <v>7</v>
      </c>
      <c r="EW520" s="27" t="s">
        <v>8</v>
      </c>
      <c r="FJ520" s="27" t="s">
        <v>7</v>
      </c>
      <c r="FK520" s="27" t="s">
        <v>8</v>
      </c>
      <c r="FL520" s="27" t="s">
        <v>7</v>
      </c>
      <c r="FM520" s="27" t="s">
        <v>8</v>
      </c>
      <c r="FN520" s="27" t="s">
        <v>7</v>
      </c>
      <c r="FP520" s="27" t="s">
        <v>7</v>
      </c>
      <c r="FQ520" s="27" t="s">
        <v>8</v>
      </c>
      <c r="FS520" s="27" t="s">
        <v>8</v>
      </c>
      <c r="FT520" s="27" t="s">
        <v>7</v>
      </c>
    </row>
    <row r="521" spans="1:176" x14ac:dyDescent="0.25">
      <c r="A521" s="7">
        <v>3.6949735703052635</v>
      </c>
      <c r="B521"/>
      <c r="C521"/>
      <c r="D521"/>
      <c r="E521"/>
      <c r="U521" s="27" t="s">
        <v>8</v>
      </c>
      <c r="AJ521" s="27" t="s">
        <v>7</v>
      </c>
      <c r="AK521" s="27" t="s">
        <v>8</v>
      </c>
      <c r="AL521" s="27" t="s">
        <v>7</v>
      </c>
      <c r="AM521" s="27" t="s">
        <v>8</v>
      </c>
      <c r="AN521" s="27" t="s">
        <v>7</v>
      </c>
      <c r="AO521" s="27" t="s">
        <v>8</v>
      </c>
      <c r="AP521" s="27" t="s">
        <v>7</v>
      </c>
      <c r="AT521" s="27" t="s">
        <v>7</v>
      </c>
      <c r="AU521" s="27" t="s">
        <v>8</v>
      </c>
      <c r="CB521" s="27" t="s">
        <v>7</v>
      </c>
      <c r="CC521" s="27" t="s">
        <v>8</v>
      </c>
      <c r="CD521" s="27" t="s">
        <v>7</v>
      </c>
      <c r="CK521" s="27" t="s">
        <v>8</v>
      </c>
      <c r="CL521" s="27" t="s">
        <v>7</v>
      </c>
      <c r="CO521" s="27" t="s">
        <v>8</v>
      </c>
      <c r="CP521" s="27" t="s">
        <v>7</v>
      </c>
      <c r="CQ521" s="27" t="s">
        <v>8</v>
      </c>
      <c r="CR521" s="27" t="s">
        <v>7</v>
      </c>
      <c r="DY521" s="27" t="s">
        <v>8</v>
      </c>
      <c r="DZ521" s="27" t="s">
        <v>7</v>
      </c>
      <c r="EU521" s="27" t="s">
        <v>8</v>
      </c>
      <c r="EV521" s="27" t="s">
        <v>7</v>
      </c>
      <c r="FJ521" s="27" t="s">
        <v>7</v>
      </c>
      <c r="FK521" s="27" t="s">
        <v>8</v>
      </c>
      <c r="FL521" s="27" t="s">
        <v>7</v>
      </c>
      <c r="FM521" s="27" t="s">
        <v>8</v>
      </c>
      <c r="FP521" s="27" t="s">
        <v>7</v>
      </c>
      <c r="FQ521" s="27" t="s">
        <v>8</v>
      </c>
      <c r="FR521" s="27" t="s">
        <v>7</v>
      </c>
      <c r="FS521" s="27" t="s">
        <v>8</v>
      </c>
      <c r="FT521" s="27" t="s">
        <v>7</v>
      </c>
    </row>
    <row r="522" spans="1:176" x14ac:dyDescent="0.25">
      <c r="A522" s="7">
        <v>3.6225231081424152</v>
      </c>
      <c r="B522"/>
      <c r="C522"/>
      <c r="D522"/>
      <c r="E522"/>
      <c r="U522" s="27" t="s">
        <v>8</v>
      </c>
      <c r="AJ522" s="27" t="s">
        <v>7</v>
      </c>
      <c r="AK522" s="27" t="s">
        <v>8</v>
      </c>
      <c r="AL522" s="27" t="s">
        <v>7</v>
      </c>
      <c r="AM522" s="27" t="s">
        <v>8</v>
      </c>
      <c r="AN522" s="27" t="s">
        <v>7</v>
      </c>
      <c r="AO522" s="27" t="s">
        <v>8</v>
      </c>
      <c r="AT522" s="27" t="s">
        <v>7</v>
      </c>
      <c r="CB522" s="27" t="s">
        <v>7</v>
      </c>
      <c r="CC522" s="27" t="s">
        <v>8</v>
      </c>
      <c r="CD522" s="27" t="s">
        <v>7</v>
      </c>
      <c r="CK522" s="27" t="s">
        <v>8</v>
      </c>
      <c r="CL522" s="27" t="s">
        <v>7</v>
      </c>
      <c r="CO522" s="27" t="s">
        <v>8</v>
      </c>
      <c r="CP522" s="27" t="s">
        <v>7</v>
      </c>
      <c r="CQ522" s="27" t="s">
        <v>8</v>
      </c>
      <c r="CR522" s="27" t="s">
        <v>7</v>
      </c>
      <c r="DY522" s="27" t="s">
        <v>8</v>
      </c>
      <c r="DZ522" s="27" t="s">
        <v>7</v>
      </c>
      <c r="EU522" s="27" t="s">
        <v>8</v>
      </c>
      <c r="FJ522" s="27" t="s">
        <v>7</v>
      </c>
      <c r="FK522" s="27" t="s">
        <v>8</v>
      </c>
      <c r="FL522" s="27" t="s">
        <v>7</v>
      </c>
      <c r="FM522" s="27" t="s">
        <v>8</v>
      </c>
      <c r="FP522" s="27" t="s">
        <v>7</v>
      </c>
      <c r="FQ522" s="27" t="s">
        <v>8</v>
      </c>
      <c r="FR522" s="27" t="s">
        <v>7</v>
      </c>
      <c r="FS522" s="27" t="s">
        <v>8</v>
      </c>
      <c r="FT522" s="27" t="s">
        <v>7</v>
      </c>
    </row>
    <row r="523" spans="1:176" x14ac:dyDescent="0.25">
      <c r="A523" s="7">
        <v>3.5514932432768775</v>
      </c>
      <c r="B523"/>
      <c r="C523"/>
      <c r="D523"/>
      <c r="E523"/>
      <c r="U523" s="27" t="s">
        <v>8</v>
      </c>
      <c r="AJ523" s="27" t="s">
        <v>7</v>
      </c>
      <c r="AK523" s="27" t="s">
        <v>8</v>
      </c>
      <c r="AL523" s="27" t="s">
        <v>7</v>
      </c>
      <c r="AN523" s="27" t="s">
        <v>7</v>
      </c>
      <c r="CB523" s="27" t="s">
        <v>7</v>
      </c>
      <c r="CC523" s="27" t="s">
        <v>8</v>
      </c>
      <c r="CD523" s="27" t="s">
        <v>7</v>
      </c>
      <c r="CI523" s="27" t="s">
        <v>8</v>
      </c>
      <c r="CK523" s="27" t="s">
        <v>8</v>
      </c>
      <c r="CL523" s="27" t="s">
        <v>7</v>
      </c>
      <c r="CO523" s="27" t="s">
        <v>8</v>
      </c>
      <c r="CP523" s="27" t="s">
        <v>7</v>
      </c>
      <c r="CR523" s="27" t="s">
        <v>7</v>
      </c>
      <c r="DU523" s="27" t="s">
        <v>8</v>
      </c>
      <c r="DY523" s="27" t="s">
        <v>8</v>
      </c>
      <c r="DZ523" s="27" t="s">
        <v>7</v>
      </c>
      <c r="EU523" s="27" t="s">
        <v>8</v>
      </c>
      <c r="FJ523" s="27" t="s">
        <v>7</v>
      </c>
      <c r="FL523" s="27" t="s">
        <v>7</v>
      </c>
      <c r="FM523" s="27" t="s">
        <v>8</v>
      </c>
      <c r="FP523" s="27" t="s">
        <v>7</v>
      </c>
      <c r="FQ523" s="27" t="s">
        <v>8</v>
      </c>
      <c r="FR523" s="27" t="s">
        <v>7</v>
      </c>
      <c r="FT523" s="27" t="s">
        <v>7</v>
      </c>
    </row>
    <row r="524" spans="1:176" x14ac:dyDescent="0.25">
      <c r="A524" s="7">
        <v>3.4818561208596837</v>
      </c>
      <c r="B524"/>
      <c r="C524"/>
      <c r="D524"/>
      <c r="E524"/>
      <c r="U524" s="27" t="s">
        <v>8</v>
      </c>
      <c r="AJ524" s="27" t="s">
        <v>7</v>
      </c>
      <c r="AK524" s="27" t="s">
        <v>8</v>
      </c>
      <c r="CB524" s="27" t="s">
        <v>7</v>
      </c>
      <c r="CC524" s="27" t="s">
        <v>8</v>
      </c>
      <c r="CD524" s="27" t="s">
        <v>7</v>
      </c>
      <c r="CE524" s="27" t="s">
        <v>8</v>
      </c>
      <c r="CI524" s="27" t="s">
        <v>8</v>
      </c>
      <c r="CJ524" s="27" t="s">
        <v>7</v>
      </c>
      <c r="CK524" s="27" t="s">
        <v>8</v>
      </c>
      <c r="CL524" s="27" t="s">
        <v>7</v>
      </c>
      <c r="CO524" s="27" t="s">
        <v>8</v>
      </c>
      <c r="CR524" s="27" t="s">
        <v>7</v>
      </c>
      <c r="DU524" s="27" t="s">
        <v>8</v>
      </c>
      <c r="DV524" s="27" t="s">
        <v>7</v>
      </c>
      <c r="DY524" s="27" t="s">
        <v>8</v>
      </c>
      <c r="DZ524" s="27" t="s">
        <v>7</v>
      </c>
      <c r="EE524" s="27" t="s">
        <v>8</v>
      </c>
      <c r="ES524" s="27" t="s">
        <v>8</v>
      </c>
      <c r="EU524" s="27" t="s">
        <v>8</v>
      </c>
      <c r="FL524" s="27" t="s">
        <v>7</v>
      </c>
      <c r="FP524" s="27" t="s">
        <v>7</v>
      </c>
      <c r="FQ524" s="27" t="s">
        <v>8</v>
      </c>
      <c r="FT524" s="27" t="s">
        <v>7</v>
      </c>
    </row>
    <row r="525" spans="1:176" x14ac:dyDescent="0.25">
      <c r="A525" s="7">
        <v>3.4135844322153761</v>
      </c>
      <c r="B525"/>
      <c r="C525"/>
      <c r="D525"/>
      <c r="E525"/>
      <c r="U525" s="27" t="s">
        <v>8</v>
      </c>
      <c r="AJ525" s="27" t="s">
        <v>7</v>
      </c>
      <c r="AK525" s="27" t="s">
        <v>8</v>
      </c>
      <c r="CB525" s="27" t="s">
        <v>7</v>
      </c>
      <c r="CC525" s="27" t="s">
        <v>8</v>
      </c>
      <c r="CD525" s="27" t="s">
        <v>7</v>
      </c>
      <c r="CE525" s="27" t="s">
        <v>8</v>
      </c>
      <c r="CF525" s="27" t="s">
        <v>7</v>
      </c>
      <c r="CI525" s="27" t="s">
        <v>8</v>
      </c>
      <c r="CJ525" s="27" t="s">
        <v>7</v>
      </c>
      <c r="CK525" s="27" t="s">
        <v>8</v>
      </c>
      <c r="CL525" s="27" t="s">
        <v>7</v>
      </c>
      <c r="CO525" s="27" t="s">
        <v>8</v>
      </c>
      <c r="CR525" s="27" t="s">
        <v>7</v>
      </c>
      <c r="DU525" s="27" t="s">
        <v>8</v>
      </c>
      <c r="DV525" s="27" t="s">
        <v>7</v>
      </c>
      <c r="DY525" s="27" t="s">
        <v>8</v>
      </c>
      <c r="DZ525" s="27" t="s">
        <v>7</v>
      </c>
      <c r="EE525" s="27" t="s">
        <v>8</v>
      </c>
      <c r="EF525" s="27" t="s">
        <v>7</v>
      </c>
      <c r="ES525" s="27" t="s">
        <v>8</v>
      </c>
      <c r="ET525" s="27" t="s">
        <v>7</v>
      </c>
      <c r="EU525" s="27" t="s">
        <v>8</v>
      </c>
      <c r="FP525" s="27" t="s">
        <v>7</v>
      </c>
      <c r="FT525" s="27" t="s">
        <v>7</v>
      </c>
    </row>
    <row r="526" spans="1:176" x14ac:dyDescent="0.25">
      <c r="A526" s="7">
        <v>3.3466514041327216</v>
      </c>
      <c r="B526"/>
      <c r="C526"/>
      <c r="D526"/>
      <c r="E526"/>
      <c r="U526" s="27" t="s">
        <v>8</v>
      </c>
      <c r="AJ526" s="27" t="s">
        <v>7</v>
      </c>
      <c r="AK526" s="27" t="s">
        <v>8</v>
      </c>
      <c r="CB526" s="27" t="s">
        <v>7</v>
      </c>
      <c r="CC526" s="27" t="s">
        <v>8</v>
      </c>
      <c r="CD526" s="27" t="s">
        <v>7</v>
      </c>
      <c r="CE526" s="27" t="s">
        <v>8</v>
      </c>
      <c r="CF526" s="27" t="s">
        <v>7</v>
      </c>
      <c r="CI526" s="27" t="s">
        <v>8</v>
      </c>
      <c r="CJ526" s="27" t="s">
        <v>7</v>
      </c>
      <c r="CK526" s="27" t="s">
        <v>8</v>
      </c>
      <c r="CL526" s="27" t="s">
        <v>7</v>
      </c>
      <c r="CO526" s="27" t="s">
        <v>8</v>
      </c>
      <c r="CR526" s="27" t="s">
        <v>7</v>
      </c>
      <c r="DS526" s="27" t="s">
        <v>8</v>
      </c>
      <c r="DU526" s="27" t="s">
        <v>8</v>
      </c>
      <c r="DV526" s="27" t="s">
        <v>7</v>
      </c>
      <c r="DW526" s="27" t="s">
        <v>8</v>
      </c>
      <c r="DY526" s="27" t="s">
        <v>8</v>
      </c>
      <c r="DZ526" s="27" t="s">
        <v>7</v>
      </c>
      <c r="EE526" s="27" t="s">
        <v>8</v>
      </c>
      <c r="EF526" s="27" t="s">
        <v>7</v>
      </c>
      <c r="EO526" s="27" t="s">
        <v>8</v>
      </c>
      <c r="ES526" s="27" t="s">
        <v>8</v>
      </c>
      <c r="ET526" s="27" t="s">
        <v>7</v>
      </c>
      <c r="EU526" s="27" t="s">
        <v>8</v>
      </c>
      <c r="FT526" s="27" t="s">
        <v>7</v>
      </c>
    </row>
    <row r="527" spans="1:176" x14ac:dyDescent="0.25">
      <c r="A527" s="7">
        <v>3.2810307883654133</v>
      </c>
      <c r="B527"/>
      <c r="C527"/>
      <c r="D527"/>
      <c r="E527"/>
      <c r="U527" s="27" t="s">
        <v>8</v>
      </c>
      <c r="AJ527" s="27" t="s">
        <v>7</v>
      </c>
      <c r="AK527" s="27" t="s">
        <v>8</v>
      </c>
      <c r="CB527" s="27" t="s">
        <v>7</v>
      </c>
      <c r="CC527" s="27" t="s">
        <v>8</v>
      </c>
      <c r="CD527" s="27" t="s">
        <v>7</v>
      </c>
      <c r="CE527" s="27" t="s">
        <v>8</v>
      </c>
      <c r="CF527" s="27" t="s">
        <v>7</v>
      </c>
      <c r="CG527" s="27" t="s">
        <v>8</v>
      </c>
      <c r="CI527" s="27" t="s">
        <v>8</v>
      </c>
      <c r="CJ527" s="27" t="s">
        <v>7</v>
      </c>
      <c r="CK527" s="27" t="s">
        <v>8</v>
      </c>
      <c r="CL527" s="27" t="s">
        <v>7</v>
      </c>
      <c r="CO527" s="27" t="s">
        <v>8</v>
      </c>
      <c r="CR527" s="27" t="s">
        <v>7</v>
      </c>
      <c r="DS527" s="27" t="s">
        <v>8</v>
      </c>
      <c r="DT527" s="27" t="s">
        <v>7</v>
      </c>
      <c r="DU527" s="27" t="s">
        <v>8</v>
      </c>
      <c r="DV527" s="27" t="s">
        <v>7</v>
      </c>
      <c r="DW527" s="27" t="s">
        <v>8</v>
      </c>
      <c r="DX527" s="27" t="s">
        <v>7</v>
      </c>
      <c r="DY527" s="27" t="s">
        <v>8</v>
      </c>
      <c r="DZ527" s="27" t="s">
        <v>7</v>
      </c>
      <c r="EE527" s="27" t="s">
        <v>8</v>
      </c>
      <c r="EF527" s="27" t="s">
        <v>7</v>
      </c>
      <c r="EG527" s="27" t="s">
        <v>8</v>
      </c>
      <c r="EO527" s="27" t="s">
        <v>8</v>
      </c>
      <c r="EP527" s="27" t="s">
        <v>7</v>
      </c>
      <c r="EQ527" s="27" t="s">
        <v>8</v>
      </c>
      <c r="ES527" s="27" t="s">
        <v>8</v>
      </c>
      <c r="ET527" s="27" t="s">
        <v>7</v>
      </c>
      <c r="EU527" s="27" t="s">
        <v>8</v>
      </c>
      <c r="FT527" s="27" t="s">
        <v>7</v>
      </c>
    </row>
    <row r="528" spans="1:176" x14ac:dyDescent="0.25">
      <c r="A528" s="7">
        <v>3.2166968513386403</v>
      </c>
      <c r="B528"/>
      <c r="C528"/>
      <c r="D528"/>
      <c r="E528"/>
      <c r="U528" s="27" t="s">
        <v>8</v>
      </c>
      <c r="AJ528" s="27" t="s">
        <v>7</v>
      </c>
      <c r="AK528" s="27" t="s">
        <v>8</v>
      </c>
      <c r="CB528" s="27" t="s">
        <v>7</v>
      </c>
      <c r="CC528" s="27" t="s">
        <v>8</v>
      </c>
      <c r="CD528" s="27" t="s">
        <v>7</v>
      </c>
      <c r="CE528" s="27" t="s">
        <v>8</v>
      </c>
      <c r="CF528" s="27" t="s">
        <v>7</v>
      </c>
      <c r="CG528" s="27" t="s">
        <v>8</v>
      </c>
      <c r="CH528" s="27" t="s">
        <v>7</v>
      </c>
      <c r="CI528" s="27" t="s">
        <v>8</v>
      </c>
      <c r="CJ528" s="27" t="s">
        <v>7</v>
      </c>
      <c r="CK528" s="27" t="s">
        <v>8</v>
      </c>
      <c r="CL528" s="27" t="s">
        <v>7</v>
      </c>
      <c r="CM528" s="27" t="s">
        <v>8</v>
      </c>
      <c r="CO528" s="27" t="s">
        <v>8</v>
      </c>
      <c r="CR528" s="27" t="s">
        <v>7</v>
      </c>
      <c r="DS528" s="27" t="s">
        <v>8</v>
      </c>
      <c r="DT528" s="27" t="s">
        <v>7</v>
      </c>
      <c r="DU528" s="27" t="s">
        <v>8</v>
      </c>
      <c r="DV528" s="27" t="s">
        <v>7</v>
      </c>
      <c r="DW528" s="27" t="s">
        <v>8</v>
      </c>
      <c r="DX528" s="27" t="s">
        <v>7</v>
      </c>
      <c r="DY528" s="27" t="s">
        <v>8</v>
      </c>
      <c r="DZ528" s="27" t="s">
        <v>7</v>
      </c>
      <c r="EE528" s="27" t="s">
        <v>8</v>
      </c>
      <c r="EF528" s="27" t="s">
        <v>7</v>
      </c>
      <c r="EG528" s="27" t="s">
        <v>8</v>
      </c>
      <c r="EH528" s="27" t="s">
        <v>7</v>
      </c>
      <c r="EM528" s="27" t="s">
        <v>8</v>
      </c>
      <c r="EO528" s="27" t="s">
        <v>8</v>
      </c>
      <c r="EP528" s="27" t="s">
        <v>7</v>
      </c>
      <c r="EQ528" s="27" t="s">
        <v>8</v>
      </c>
      <c r="ER528" s="27" t="s">
        <v>7</v>
      </c>
      <c r="ES528" s="27" t="s">
        <v>8</v>
      </c>
      <c r="ET528" s="27" t="s">
        <v>7</v>
      </c>
      <c r="EU528" s="27" t="s">
        <v>8</v>
      </c>
      <c r="FT528" s="27" t="s">
        <v>7</v>
      </c>
    </row>
    <row r="529" spans="1:200" x14ac:dyDescent="0.25">
      <c r="A529" s="7">
        <v>3.1536243640574906</v>
      </c>
      <c r="B529"/>
      <c r="C529"/>
      <c r="D529"/>
      <c r="E529"/>
      <c r="U529" s="27" t="s">
        <v>8</v>
      </c>
      <c r="AJ529" s="27" t="s">
        <v>7</v>
      </c>
      <c r="AK529" s="27" t="s">
        <v>8</v>
      </c>
      <c r="CB529" s="27" t="s">
        <v>7</v>
      </c>
      <c r="CC529" s="27" t="s">
        <v>8</v>
      </c>
      <c r="CD529" s="27" t="s">
        <v>7</v>
      </c>
      <c r="CE529" s="27" t="s">
        <v>8</v>
      </c>
      <c r="CF529" s="27" t="s">
        <v>7</v>
      </c>
      <c r="CG529" s="27" t="s">
        <v>8</v>
      </c>
      <c r="CH529" s="27" t="s">
        <v>7</v>
      </c>
      <c r="CI529" s="27" t="s">
        <v>8</v>
      </c>
      <c r="CJ529" s="27" t="s">
        <v>7</v>
      </c>
      <c r="CL529" s="27" t="s">
        <v>7</v>
      </c>
      <c r="CM529" s="27" t="s">
        <v>8</v>
      </c>
      <c r="CN529" s="27" t="s">
        <v>7</v>
      </c>
      <c r="CO529" s="27" t="s">
        <v>8</v>
      </c>
      <c r="CR529" s="27" t="s">
        <v>7</v>
      </c>
      <c r="DS529" s="27" t="s">
        <v>8</v>
      </c>
      <c r="DT529" s="27" t="s">
        <v>7</v>
      </c>
      <c r="DU529" s="27" t="s">
        <v>8</v>
      </c>
      <c r="DV529" s="27" t="s">
        <v>7</v>
      </c>
      <c r="DW529" s="27" t="s">
        <v>8</v>
      </c>
      <c r="DX529" s="27" t="s">
        <v>7</v>
      </c>
      <c r="DY529" s="27" t="s">
        <v>8</v>
      </c>
      <c r="DZ529" s="27" t="s">
        <v>7</v>
      </c>
      <c r="EA529" s="27" t="s">
        <v>8</v>
      </c>
      <c r="EE529" s="27" t="s">
        <v>8</v>
      </c>
      <c r="EF529" s="27" t="s">
        <v>7</v>
      </c>
      <c r="EG529" s="27" t="s">
        <v>8</v>
      </c>
      <c r="EH529" s="27" t="s">
        <v>7</v>
      </c>
      <c r="EM529" s="27" t="s">
        <v>8</v>
      </c>
      <c r="EN529" s="27" t="s">
        <v>7</v>
      </c>
      <c r="EO529" s="27" t="s">
        <v>8</v>
      </c>
      <c r="EP529" s="27" t="s">
        <v>7</v>
      </c>
      <c r="EQ529" s="27" t="s">
        <v>8</v>
      </c>
      <c r="ER529" s="27" t="s">
        <v>7</v>
      </c>
      <c r="ES529" s="27" t="s">
        <v>8</v>
      </c>
      <c r="ET529" s="27" t="s">
        <v>7</v>
      </c>
      <c r="EU529" s="27" t="s">
        <v>8</v>
      </c>
      <c r="FT529" s="27" t="s">
        <v>7</v>
      </c>
    </row>
    <row r="530" spans="1:200" x14ac:dyDescent="0.25">
      <c r="A530" s="7">
        <v>3.0917885922132262</v>
      </c>
      <c r="B530"/>
      <c r="C530"/>
      <c r="D530"/>
      <c r="E530"/>
      <c r="U530" s="27" t="s">
        <v>8</v>
      </c>
      <c r="AJ530" s="27" t="s">
        <v>7</v>
      </c>
      <c r="AK530" s="27" t="s">
        <v>8</v>
      </c>
      <c r="CB530" s="27" t="s">
        <v>7</v>
      </c>
      <c r="CC530" s="27" t="s">
        <v>8</v>
      </c>
      <c r="CD530" s="27" t="s">
        <v>7</v>
      </c>
      <c r="CE530" s="27" t="s">
        <v>8</v>
      </c>
      <c r="CF530" s="27" t="s">
        <v>7</v>
      </c>
      <c r="CG530" s="27" t="s">
        <v>8</v>
      </c>
      <c r="CH530" s="27" t="s">
        <v>7</v>
      </c>
      <c r="CI530" s="27" t="s">
        <v>8</v>
      </c>
      <c r="CL530" s="27" t="s">
        <v>7</v>
      </c>
      <c r="CM530" s="27" t="s">
        <v>8</v>
      </c>
      <c r="CN530" s="27" t="s">
        <v>7</v>
      </c>
      <c r="CO530" s="27" t="s">
        <v>8</v>
      </c>
      <c r="CR530" s="27" t="s">
        <v>7</v>
      </c>
      <c r="DO530" s="27" t="s">
        <v>8</v>
      </c>
      <c r="DQ530" s="27" t="s">
        <v>8</v>
      </c>
      <c r="DS530" s="27" t="s">
        <v>8</v>
      </c>
      <c r="DT530" s="27" t="s">
        <v>7</v>
      </c>
      <c r="DU530" s="27" t="s">
        <v>8</v>
      </c>
      <c r="DV530" s="27" t="s">
        <v>7</v>
      </c>
      <c r="DW530" s="27" t="s">
        <v>8</v>
      </c>
      <c r="DX530" s="27" t="s">
        <v>7</v>
      </c>
      <c r="DY530" s="27" t="s">
        <v>8</v>
      </c>
      <c r="DZ530" s="27" t="s">
        <v>7</v>
      </c>
      <c r="EA530" s="27" t="s">
        <v>8</v>
      </c>
      <c r="EB530" s="27" t="s">
        <v>7</v>
      </c>
      <c r="EC530" s="27" t="s">
        <v>8</v>
      </c>
      <c r="EE530" s="27" t="s">
        <v>8</v>
      </c>
      <c r="EF530" s="27" t="s">
        <v>7</v>
      </c>
      <c r="EG530" s="27" t="s">
        <v>8</v>
      </c>
      <c r="EH530" s="27" t="s">
        <v>7</v>
      </c>
      <c r="EM530" s="27" t="s">
        <v>8</v>
      </c>
      <c r="EN530" s="27" t="s">
        <v>7</v>
      </c>
      <c r="EO530" s="27" t="s">
        <v>8</v>
      </c>
      <c r="EP530" s="27" t="s">
        <v>7</v>
      </c>
      <c r="EQ530" s="27" t="s">
        <v>8</v>
      </c>
      <c r="ER530" s="27" t="s">
        <v>7</v>
      </c>
      <c r="ES530" s="27" t="s">
        <v>8</v>
      </c>
      <c r="ET530" s="27" t="s">
        <v>7</v>
      </c>
      <c r="FT530" s="27" t="s">
        <v>7</v>
      </c>
    </row>
    <row r="531" spans="1:200" x14ac:dyDescent="0.25">
      <c r="A531" s="7">
        <v>3.0311652864835552</v>
      </c>
      <c r="B531"/>
      <c r="C531"/>
      <c r="D531"/>
      <c r="E531"/>
      <c r="U531" s="27" t="s">
        <v>8</v>
      </c>
      <c r="AJ531" s="27" t="s">
        <v>7</v>
      </c>
      <c r="CB531" s="27" t="s">
        <v>7</v>
      </c>
      <c r="CC531" s="27" t="s">
        <v>8</v>
      </c>
      <c r="CD531" s="27" t="s">
        <v>7</v>
      </c>
      <c r="CE531" s="27" t="s">
        <v>8</v>
      </c>
      <c r="CF531" s="27" t="s">
        <v>7</v>
      </c>
      <c r="CG531" s="27" t="s">
        <v>8</v>
      </c>
      <c r="CH531" s="27" t="s">
        <v>7</v>
      </c>
      <c r="CL531" s="27" t="s">
        <v>7</v>
      </c>
      <c r="CM531" s="27" t="s">
        <v>8</v>
      </c>
      <c r="CN531" s="27" t="s">
        <v>7</v>
      </c>
      <c r="CO531" s="27" t="s">
        <v>8</v>
      </c>
      <c r="CR531" s="27" t="s">
        <v>7</v>
      </c>
      <c r="DO531" s="27" t="s">
        <v>8</v>
      </c>
      <c r="DP531" s="27" t="s">
        <v>7</v>
      </c>
      <c r="DQ531" s="27" t="s">
        <v>8</v>
      </c>
      <c r="DR531" s="27" t="s">
        <v>7</v>
      </c>
      <c r="DS531" s="27" t="s">
        <v>8</v>
      </c>
      <c r="DT531" s="27" t="s">
        <v>7</v>
      </c>
      <c r="DU531" s="27" t="s">
        <v>8</v>
      </c>
      <c r="DV531" s="27" t="s">
        <v>7</v>
      </c>
      <c r="DW531" s="27" t="s">
        <v>8</v>
      </c>
      <c r="DX531" s="27" t="s">
        <v>7</v>
      </c>
      <c r="DY531" s="27" t="s">
        <v>8</v>
      </c>
      <c r="DZ531" s="27" t="s">
        <v>7</v>
      </c>
      <c r="EA531" s="27" t="s">
        <v>8</v>
      </c>
      <c r="EB531" s="27" t="s">
        <v>7</v>
      </c>
      <c r="EC531" s="27" t="s">
        <v>8</v>
      </c>
      <c r="ED531" s="27" t="s">
        <v>7</v>
      </c>
      <c r="EE531" s="27" t="s">
        <v>8</v>
      </c>
      <c r="EF531" s="27" t="s">
        <v>7</v>
      </c>
      <c r="EH531" s="27" t="s">
        <v>7</v>
      </c>
      <c r="EM531" s="27" t="s">
        <v>8</v>
      </c>
      <c r="EN531" s="27" t="s">
        <v>7</v>
      </c>
      <c r="EO531" s="27" t="s">
        <v>8</v>
      </c>
      <c r="EP531" s="27" t="s">
        <v>7</v>
      </c>
      <c r="ER531" s="27" t="s">
        <v>7</v>
      </c>
      <c r="ES531" s="27" t="s">
        <v>8</v>
      </c>
      <c r="FT531" s="27" t="s">
        <v>7</v>
      </c>
    </row>
    <row r="532" spans="1:200" x14ac:dyDescent="0.25">
      <c r="A532" s="7">
        <v>2.9717306730230932</v>
      </c>
      <c r="B532"/>
      <c r="C532"/>
      <c r="D532"/>
      <c r="E532"/>
      <c r="U532" s="27" t="s">
        <v>8</v>
      </c>
      <c r="CB532" s="27" t="s">
        <v>7</v>
      </c>
      <c r="CC532" s="27" t="s">
        <v>8</v>
      </c>
      <c r="CD532" s="27" t="s">
        <v>7</v>
      </c>
      <c r="CE532" s="27" t="s">
        <v>8</v>
      </c>
      <c r="CF532" s="27" t="s">
        <v>7</v>
      </c>
      <c r="CG532" s="27" t="s">
        <v>8</v>
      </c>
      <c r="CL532" s="27" t="s">
        <v>7</v>
      </c>
      <c r="CM532" s="27" t="s">
        <v>8</v>
      </c>
      <c r="CN532" s="27" t="s">
        <v>7</v>
      </c>
      <c r="CO532" s="27" t="s">
        <v>8</v>
      </c>
      <c r="CR532" s="27" t="s">
        <v>7</v>
      </c>
      <c r="DO532" s="27" t="s">
        <v>8</v>
      </c>
      <c r="DP532" s="27" t="s">
        <v>7</v>
      </c>
      <c r="DQ532" s="27" t="s">
        <v>8</v>
      </c>
      <c r="DR532" s="27" t="s">
        <v>7</v>
      </c>
      <c r="DS532" s="27" t="s">
        <v>8</v>
      </c>
      <c r="DT532" s="27" t="s">
        <v>7</v>
      </c>
      <c r="DV532" s="27" t="s">
        <v>7</v>
      </c>
      <c r="DW532" s="27" t="s">
        <v>8</v>
      </c>
      <c r="DX532" s="27" t="s">
        <v>7</v>
      </c>
      <c r="DZ532" s="27" t="s">
        <v>7</v>
      </c>
      <c r="EA532" s="27" t="s">
        <v>8</v>
      </c>
      <c r="EB532" s="27" t="s">
        <v>7</v>
      </c>
      <c r="EC532" s="27" t="s">
        <v>8</v>
      </c>
      <c r="ED532" s="27" t="s">
        <v>7</v>
      </c>
      <c r="EE532" s="27" t="s">
        <v>8</v>
      </c>
      <c r="EH532" s="27" t="s">
        <v>7</v>
      </c>
      <c r="EM532" s="27" t="s">
        <v>8</v>
      </c>
      <c r="EN532" s="27" t="s">
        <v>7</v>
      </c>
      <c r="EO532" s="27" t="s">
        <v>8</v>
      </c>
      <c r="ER532" s="27" t="s">
        <v>7</v>
      </c>
      <c r="ES532" s="27" t="s">
        <v>8</v>
      </c>
      <c r="FT532" s="27" t="s">
        <v>7</v>
      </c>
      <c r="GE532" s="27" t="s">
        <v>8</v>
      </c>
      <c r="GG532" s="27" t="s">
        <v>8</v>
      </c>
    </row>
    <row r="533" spans="1:200" x14ac:dyDescent="0.25">
      <c r="A533" s="7">
        <v>2.9134614441402875</v>
      </c>
      <c r="B533"/>
      <c r="C533"/>
      <c r="D533"/>
      <c r="E533"/>
      <c r="U533" s="27" t="s">
        <v>8</v>
      </c>
      <c r="CB533" s="27" t="s">
        <v>7</v>
      </c>
      <c r="CC533" s="27" t="s">
        <v>8</v>
      </c>
      <c r="CD533" s="27" t="s">
        <v>7</v>
      </c>
      <c r="CE533" s="27" t="s">
        <v>8</v>
      </c>
      <c r="CF533" s="27" t="s">
        <v>7</v>
      </c>
      <c r="CG533" s="27" t="s">
        <v>8</v>
      </c>
      <c r="CL533" s="27" t="s">
        <v>7</v>
      </c>
      <c r="CM533" s="27" t="s">
        <v>8</v>
      </c>
      <c r="CN533" s="27" t="s">
        <v>7</v>
      </c>
      <c r="CO533" s="27" t="s">
        <v>8</v>
      </c>
      <c r="CR533" s="27" t="s">
        <v>7</v>
      </c>
      <c r="DA533" s="27" t="s">
        <v>8</v>
      </c>
      <c r="DO533" s="27" t="s">
        <v>8</v>
      </c>
      <c r="DP533" s="27" t="s">
        <v>7</v>
      </c>
      <c r="DQ533" s="27" t="s">
        <v>8</v>
      </c>
      <c r="DR533" s="27" t="s">
        <v>7</v>
      </c>
      <c r="DV533" s="27" t="s">
        <v>7</v>
      </c>
      <c r="DW533" s="27" t="s">
        <v>8</v>
      </c>
      <c r="DZ533" s="27" t="s">
        <v>7</v>
      </c>
      <c r="EA533" s="27" t="s">
        <v>8</v>
      </c>
      <c r="EB533" s="27" t="s">
        <v>7</v>
      </c>
      <c r="EC533" s="27" t="s">
        <v>8</v>
      </c>
      <c r="ED533" s="27" t="s">
        <v>7</v>
      </c>
      <c r="EE533" s="27" t="s">
        <v>8</v>
      </c>
      <c r="EH533" s="27" t="s">
        <v>7</v>
      </c>
      <c r="EK533" s="27" t="s">
        <v>8</v>
      </c>
      <c r="EM533" s="27" t="s">
        <v>8</v>
      </c>
      <c r="EN533" s="27" t="s">
        <v>7</v>
      </c>
      <c r="ER533" s="27" t="s">
        <v>7</v>
      </c>
      <c r="ES533" s="27" t="s">
        <v>8</v>
      </c>
      <c r="FT533" s="27" t="s">
        <v>7</v>
      </c>
      <c r="GE533" s="27" t="s">
        <v>8</v>
      </c>
      <c r="GF533" s="27" t="s">
        <v>7</v>
      </c>
      <c r="GG533" s="27" t="s">
        <v>8</v>
      </c>
      <c r="GH533" s="27" t="s">
        <v>7</v>
      </c>
    </row>
    <row r="534" spans="1:200" x14ac:dyDescent="0.25">
      <c r="A534" s="7">
        <v>2.8563347491571447</v>
      </c>
      <c r="B534"/>
      <c r="C534"/>
      <c r="D534"/>
      <c r="E534"/>
      <c r="U534" s="27" t="s">
        <v>8</v>
      </c>
      <c r="CB534" s="27" t="s">
        <v>7</v>
      </c>
      <c r="CC534" s="27" t="s">
        <v>8</v>
      </c>
      <c r="CD534" s="27" t="s">
        <v>7</v>
      </c>
      <c r="CE534" s="27" t="s">
        <v>8</v>
      </c>
      <c r="CF534" s="27" t="s">
        <v>7</v>
      </c>
      <c r="CG534" s="27" t="s">
        <v>8</v>
      </c>
      <c r="CL534" s="27" t="s">
        <v>7</v>
      </c>
      <c r="CN534" s="27" t="s">
        <v>7</v>
      </c>
      <c r="CO534" s="27" t="s">
        <v>8</v>
      </c>
      <c r="CR534" s="27" t="s">
        <v>7</v>
      </c>
      <c r="DA534" s="27" t="s">
        <v>8</v>
      </c>
      <c r="DB534" s="27" t="s">
        <v>7</v>
      </c>
      <c r="DO534" s="27" t="s">
        <v>8</v>
      </c>
      <c r="DP534" s="27" t="s">
        <v>7</v>
      </c>
      <c r="DQ534" s="27" t="s">
        <v>8</v>
      </c>
      <c r="DV534" s="27" t="s">
        <v>7</v>
      </c>
      <c r="DZ534" s="27" t="s">
        <v>7</v>
      </c>
      <c r="EA534" s="27" t="s">
        <v>8</v>
      </c>
      <c r="EB534" s="27" t="s">
        <v>7</v>
      </c>
      <c r="EC534" s="27" t="s">
        <v>8</v>
      </c>
      <c r="ED534" s="27" t="s">
        <v>7</v>
      </c>
      <c r="EE534" s="27" t="s">
        <v>8</v>
      </c>
      <c r="EH534" s="27" t="s">
        <v>7</v>
      </c>
      <c r="EI534" s="27" t="s">
        <v>8</v>
      </c>
      <c r="EK534" s="27" t="s">
        <v>8</v>
      </c>
      <c r="EL534" s="27" t="s">
        <v>7</v>
      </c>
      <c r="EM534" s="27" t="s">
        <v>8</v>
      </c>
      <c r="ER534" s="27" t="s">
        <v>7</v>
      </c>
      <c r="ES534" s="27" t="s">
        <v>8</v>
      </c>
      <c r="FT534" s="27" t="s">
        <v>7</v>
      </c>
      <c r="GE534" s="27" t="s">
        <v>8</v>
      </c>
      <c r="GF534" s="27" t="s">
        <v>7</v>
      </c>
      <c r="GG534" s="27" t="s">
        <v>8</v>
      </c>
      <c r="GH534" s="27" t="s">
        <v>7</v>
      </c>
    </row>
    <row r="535" spans="1:200" x14ac:dyDescent="0.25">
      <c r="A535" s="7">
        <v>2.8003281854481812</v>
      </c>
      <c r="B535"/>
      <c r="C535"/>
      <c r="D535"/>
      <c r="E535"/>
      <c r="U535" s="27" t="s">
        <v>8</v>
      </c>
      <c r="CB535" s="27" t="s">
        <v>7</v>
      </c>
      <c r="CC535" s="27" t="s">
        <v>8</v>
      </c>
      <c r="CD535" s="27" t="s">
        <v>7</v>
      </c>
      <c r="CE535" s="27" t="s">
        <v>8</v>
      </c>
      <c r="CF535" s="27" t="s">
        <v>7</v>
      </c>
      <c r="CG535" s="27" t="s">
        <v>8</v>
      </c>
      <c r="CN535" s="27" t="s">
        <v>7</v>
      </c>
      <c r="CO535" s="27" t="s">
        <v>8</v>
      </c>
      <c r="CR535" s="27" t="s">
        <v>7</v>
      </c>
      <c r="CS535" s="27" t="s">
        <v>8</v>
      </c>
      <c r="DA535" s="27" t="s">
        <v>8</v>
      </c>
      <c r="DB535" s="27" t="s">
        <v>7</v>
      </c>
      <c r="DO535" s="27" t="s">
        <v>8</v>
      </c>
      <c r="DP535" s="27" t="s">
        <v>7</v>
      </c>
      <c r="DQ535" s="27" t="s">
        <v>8</v>
      </c>
      <c r="DZ535" s="27" t="s">
        <v>7</v>
      </c>
      <c r="EA535" s="27" t="s">
        <v>8</v>
      </c>
      <c r="EB535" s="27" t="s">
        <v>7</v>
      </c>
      <c r="EC535" s="27" t="s">
        <v>8</v>
      </c>
      <c r="ED535" s="27" t="s">
        <v>7</v>
      </c>
      <c r="EE535" s="27" t="s">
        <v>8</v>
      </c>
      <c r="EH535" s="27" t="s">
        <v>7</v>
      </c>
      <c r="EI535" s="27" t="s">
        <v>8</v>
      </c>
      <c r="EJ535" s="27" t="s">
        <v>7</v>
      </c>
      <c r="EK535" s="27" t="s">
        <v>8</v>
      </c>
      <c r="EL535" s="27" t="s">
        <v>7</v>
      </c>
      <c r="EM535" s="27" t="s">
        <v>8</v>
      </c>
      <c r="ER535" s="27" t="s">
        <v>7</v>
      </c>
      <c r="ES535" s="27" t="s">
        <v>8</v>
      </c>
      <c r="FT535" s="27" t="s">
        <v>7</v>
      </c>
      <c r="FU535" s="27" t="s">
        <v>8</v>
      </c>
      <c r="FW535" s="27" t="s">
        <v>8</v>
      </c>
      <c r="GE535" s="27" t="s">
        <v>8</v>
      </c>
      <c r="GF535" s="27" t="s">
        <v>7</v>
      </c>
      <c r="GG535" s="27" t="s">
        <v>8</v>
      </c>
      <c r="GH535" s="27" t="s">
        <v>7</v>
      </c>
    </row>
    <row r="536" spans="1:200" x14ac:dyDescent="0.25">
      <c r="A536" s="7">
        <v>2.7454197896550796</v>
      </c>
      <c r="B536"/>
      <c r="C536"/>
      <c r="D536"/>
      <c r="E536"/>
      <c r="U536" s="27" t="s">
        <v>8</v>
      </c>
      <c r="CB536" s="27" t="s">
        <v>7</v>
      </c>
      <c r="CC536" s="27" t="s">
        <v>8</v>
      </c>
      <c r="CD536" s="27" t="s">
        <v>7</v>
      </c>
      <c r="CE536" s="27" t="s">
        <v>8</v>
      </c>
      <c r="CF536" s="27" t="s">
        <v>7</v>
      </c>
      <c r="CG536" s="27" t="s">
        <v>8</v>
      </c>
      <c r="CN536" s="27" t="s">
        <v>7</v>
      </c>
      <c r="CO536" s="27" t="s">
        <v>8</v>
      </c>
      <c r="CR536" s="27" t="s">
        <v>7</v>
      </c>
      <c r="CS536" s="27" t="s">
        <v>8</v>
      </c>
      <c r="CT536" s="27" t="s">
        <v>7</v>
      </c>
      <c r="DA536" s="27" t="s">
        <v>8</v>
      </c>
      <c r="DB536" s="27" t="s">
        <v>7</v>
      </c>
      <c r="DO536" s="27" t="s">
        <v>8</v>
      </c>
      <c r="DP536" s="27" t="s">
        <v>7</v>
      </c>
      <c r="DZ536" s="27" t="s">
        <v>7</v>
      </c>
      <c r="EA536" s="27" t="s">
        <v>8</v>
      </c>
      <c r="EB536" s="27" t="s">
        <v>7</v>
      </c>
      <c r="ED536" s="27" t="s">
        <v>7</v>
      </c>
      <c r="EH536" s="27" t="s">
        <v>7</v>
      </c>
      <c r="EI536" s="27" t="s">
        <v>8</v>
      </c>
      <c r="EJ536" s="27" t="s">
        <v>7</v>
      </c>
      <c r="EK536" s="27" t="s">
        <v>8</v>
      </c>
      <c r="EL536" s="27" t="s">
        <v>7</v>
      </c>
      <c r="EM536" s="27" t="s">
        <v>8</v>
      </c>
      <c r="ER536" s="27" t="s">
        <v>7</v>
      </c>
      <c r="FT536" s="27" t="s">
        <v>7</v>
      </c>
      <c r="FU536" s="27" t="s">
        <v>8</v>
      </c>
      <c r="FV536" s="27" t="s">
        <v>7</v>
      </c>
      <c r="FW536" s="27" t="s">
        <v>8</v>
      </c>
      <c r="FX536" s="27" t="s">
        <v>7</v>
      </c>
      <c r="GE536" s="27" t="s">
        <v>8</v>
      </c>
      <c r="GF536" s="27" t="s">
        <v>7</v>
      </c>
      <c r="GG536" s="27" t="s">
        <v>8</v>
      </c>
      <c r="GH536" s="27" t="s">
        <v>7</v>
      </c>
    </row>
    <row r="537" spans="1:200" x14ac:dyDescent="0.25">
      <c r="A537" s="7">
        <v>2.6915880290736074</v>
      </c>
      <c r="B537"/>
      <c r="C537"/>
      <c r="D537"/>
      <c r="E537"/>
      <c r="S537" s="27" t="s">
        <v>8</v>
      </c>
      <c r="U537" s="27" t="s">
        <v>8</v>
      </c>
      <c r="CB537" s="27" t="s">
        <v>7</v>
      </c>
      <c r="CD537" s="27" t="s">
        <v>7</v>
      </c>
      <c r="CE537" s="27" t="s">
        <v>8</v>
      </c>
      <c r="CF537" s="27" t="s">
        <v>7</v>
      </c>
      <c r="CG537" s="27" t="s">
        <v>8</v>
      </c>
      <c r="CN537" s="27" t="s">
        <v>7</v>
      </c>
      <c r="CO537" s="27" t="s">
        <v>8</v>
      </c>
      <c r="CR537" s="27" t="s">
        <v>7</v>
      </c>
      <c r="CS537" s="27" t="s">
        <v>8</v>
      </c>
      <c r="CT537" s="27" t="s">
        <v>7</v>
      </c>
      <c r="CU537" s="27" t="s">
        <v>8</v>
      </c>
      <c r="DA537" s="27" t="s">
        <v>8</v>
      </c>
      <c r="DB537" s="27" t="s">
        <v>7</v>
      </c>
      <c r="DM537" s="27" t="s">
        <v>8</v>
      </c>
      <c r="DO537" s="27" t="s">
        <v>8</v>
      </c>
      <c r="DZ537" s="27" t="s">
        <v>7</v>
      </c>
      <c r="EA537" s="27" t="s">
        <v>8</v>
      </c>
      <c r="EH537" s="27" t="s">
        <v>7</v>
      </c>
      <c r="EI537" s="27" t="s">
        <v>8</v>
      </c>
      <c r="EJ537" s="27" t="s">
        <v>7</v>
      </c>
      <c r="EK537" s="27" t="s">
        <v>8</v>
      </c>
      <c r="EL537" s="27" t="s">
        <v>7</v>
      </c>
      <c r="EM537" s="27" t="s">
        <v>8</v>
      </c>
      <c r="FT537" s="27" t="s">
        <v>7</v>
      </c>
      <c r="FU537" s="27" t="s">
        <v>8</v>
      </c>
      <c r="FV537" s="27" t="s">
        <v>7</v>
      </c>
      <c r="FW537" s="27" t="s">
        <v>8</v>
      </c>
      <c r="FX537" s="27" t="s">
        <v>7</v>
      </c>
      <c r="GA537" s="27" t="s">
        <v>8</v>
      </c>
      <c r="GE537" s="27" t="s">
        <v>8</v>
      </c>
      <c r="GF537" s="27" t="s">
        <v>7</v>
      </c>
      <c r="GG537" s="27" t="s">
        <v>8</v>
      </c>
      <c r="GH537" s="27" t="s">
        <v>7</v>
      </c>
    </row>
    <row r="538" spans="1:200" x14ac:dyDescent="0.25">
      <c r="A538" s="7">
        <v>2.6388117932094191</v>
      </c>
      <c r="B538"/>
      <c r="C538"/>
      <c r="D538"/>
      <c r="E538"/>
      <c r="S538" s="27" t="s">
        <v>8</v>
      </c>
      <c r="T538" s="27" t="s">
        <v>7</v>
      </c>
      <c r="U538" s="27" t="s">
        <v>8</v>
      </c>
      <c r="CD538" s="27" t="s">
        <v>7</v>
      </c>
      <c r="CE538" s="27" t="s">
        <v>8</v>
      </c>
      <c r="CF538" s="27" t="s">
        <v>7</v>
      </c>
      <c r="CG538" s="27" t="s">
        <v>8</v>
      </c>
      <c r="CN538" s="27" t="s">
        <v>7</v>
      </c>
      <c r="CO538" s="27" t="s">
        <v>8</v>
      </c>
      <c r="CR538" s="27" t="s">
        <v>7</v>
      </c>
      <c r="CS538" s="27" t="s">
        <v>8</v>
      </c>
      <c r="CT538" s="27" t="s">
        <v>7</v>
      </c>
      <c r="CU538" s="27" t="s">
        <v>8</v>
      </c>
      <c r="CV538" s="27" t="s">
        <v>7</v>
      </c>
      <c r="CY538" s="27" t="s">
        <v>8</v>
      </c>
      <c r="DA538" s="27" t="s">
        <v>8</v>
      </c>
      <c r="DB538" s="27" t="s">
        <v>7</v>
      </c>
      <c r="DM538" s="27" t="s">
        <v>8</v>
      </c>
      <c r="DN538" s="27" t="s">
        <v>7</v>
      </c>
      <c r="DO538" s="27" t="s">
        <v>8</v>
      </c>
      <c r="DZ538" s="27" t="s">
        <v>7</v>
      </c>
      <c r="EA538" s="27" t="s">
        <v>8</v>
      </c>
      <c r="EH538" s="27" t="s">
        <v>7</v>
      </c>
      <c r="EI538" s="27" t="s">
        <v>8</v>
      </c>
      <c r="EJ538" s="27" t="s">
        <v>7</v>
      </c>
      <c r="EK538" s="27" t="s">
        <v>8</v>
      </c>
      <c r="EL538" s="27" t="s">
        <v>7</v>
      </c>
      <c r="EM538" s="27" t="s">
        <v>8</v>
      </c>
      <c r="FT538" s="27" t="s">
        <v>7</v>
      </c>
      <c r="FU538" s="27" t="s">
        <v>8</v>
      </c>
      <c r="FV538" s="27" t="s">
        <v>7</v>
      </c>
      <c r="FW538" s="27" t="s">
        <v>8</v>
      </c>
      <c r="FX538" s="27" t="s">
        <v>7</v>
      </c>
      <c r="GA538" s="27" t="s">
        <v>8</v>
      </c>
      <c r="GB538" s="27" t="s">
        <v>7</v>
      </c>
      <c r="GE538" s="27" t="s">
        <v>8</v>
      </c>
      <c r="GF538" s="27" t="s">
        <v>7</v>
      </c>
      <c r="GH538" s="27" t="s">
        <v>7</v>
      </c>
      <c r="GI538" s="27" t="s">
        <v>8</v>
      </c>
    </row>
    <row r="539" spans="1:200" x14ac:dyDescent="0.25">
      <c r="A539" s="7">
        <v>2.5870703854994304</v>
      </c>
      <c r="B539"/>
      <c r="C539"/>
      <c r="D539"/>
      <c r="E539"/>
      <c r="S539" s="27" t="s">
        <v>8</v>
      </c>
      <c r="T539" s="27" t="s">
        <v>7</v>
      </c>
      <c r="U539" s="27" t="s">
        <v>8</v>
      </c>
      <c r="CD539" s="27" t="s">
        <v>7</v>
      </c>
      <c r="CE539" s="27" t="s">
        <v>8</v>
      </c>
      <c r="CF539" s="27" t="s">
        <v>7</v>
      </c>
      <c r="CG539" s="27" t="s">
        <v>8</v>
      </c>
      <c r="CN539" s="27" t="s">
        <v>7</v>
      </c>
      <c r="CO539" s="27" t="s">
        <v>8</v>
      </c>
      <c r="CR539" s="27" t="s">
        <v>7</v>
      </c>
      <c r="CS539" s="27" t="s">
        <v>8</v>
      </c>
      <c r="CT539" s="27" t="s">
        <v>7</v>
      </c>
      <c r="CU539" s="27" t="s">
        <v>8</v>
      </c>
      <c r="CV539" s="27" t="s">
        <v>7</v>
      </c>
      <c r="CY539" s="27" t="s">
        <v>8</v>
      </c>
      <c r="CZ539" s="27" t="s">
        <v>7</v>
      </c>
      <c r="DA539" s="27" t="s">
        <v>8</v>
      </c>
      <c r="DB539" s="27" t="s">
        <v>7</v>
      </c>
      <c r="DC539" s="27" t="s">
        <v>8</v>
      </c>
      <c r="DM539" s="27" t="s">
        <v>8</v>
      </c>
      <c r="DN539" s="27" t="s">
        <v>7</v>
      </c>
      <c r="DO539" s="27" t="s">
        <v>8</v>
      </c>
      <c r="DZ539" s="27" t="s">
        <v>7</v>
      </c>
      <c r="EH539" s="27" t="s">
        <v>7</v>
      </c>
      <c r="EI539" s="27" t="s">
        <v>8</v>
      </c>
      <c r="EJ539" s="27" t="s">
        <v>7</v>
      </c>
      <c r="EK539" s="27" t="s">
        <v>8</v>
      </c>
      <c r="EL539" s="27" t="s">
        <v>7</v>
      </c>
      <c r="EM539" s="27" t="s">
        <v>8</v>
      </c>
      <c r="FT539" s="27" t="s">
        <v>7</v>
      </c>
      <c r="FU539" s="27" t="s">
        <v>8</v>
      </c>
      <c r="FV539" s="27" t="s">
        <v>7</v>
      </c>
      <c r="FW539" s="27" t="s">
        <v>8</v>
      </c>
      <c r="FX539" s="27" t="s">
        <v>7</v>
      </c>
      <c r="FY539" s="27" t="s">
        <v>8</v>
      </c>
      <c r="GA539" s="27" t="s">
        <v>8</v>
      </c>
      <c r="GB539" s="27" t="s">
        <v>7</v>
      </c>
      <c r="GC539" s="27" t="s">
        <v>8</v>
      </c>
      <c r="GE539" s="27" t="s">
        <v>8</v>
      </c>
      <c r="GH539" s="27" t="s">
        <v>7</v>
      </c>
      <c r="GI539" s="27" t="s">
        <v>8</v>
      </c>
      <c r="GJ539" s="27" t="s">
        <v>7</v>
      </c>
    </row>
    <row r="540" spans="1:200" x14ac:dyDescent="0.25">
      <c r="A540" s="7">
        <v>2.53634351519552</v>
      </c>
      <c r="B540"/>
      <c r="C540"/>
      <c r="D540"/>
      <c r="E540"/>
      <c r="S540" s="27" t="s">
        <v>8</v>
      </c>
      <c r="T540" s="27" t="s">
        <v>7</v>
      </c>
      <c r="U540" s="27" t="s">
        <v>8</v>
      </c>
      <c r="CD540" s="27" t="s">
        <v>7</v>
      </c>
      <c r="CE540" s="27" t="s">
        <v>8</v>
      </c>
      <c r="CF540" s="27" t="s">
        <v>7</v>
      </c>
      <c r="CG540" s="27" t="s">
        <v>8</v>
      </c>
      <c r="CN540" s="27" t="s">
        <v>7</v>
      </c>
      <c r="CR540" s="27" t="s">
        <v>7</v>
      </c>
      <c r="CS540" s="27" t="s">
        <v>8</v>
      </c>
      <c r="CT540" s="27" t="s">
        <v>7</v>
      </c>
      <c r="CU540" s="27" t="s">
        <v>8</v>
      </c>
      <c r="CV540" s="27" t="s">
        <v>7</v>
      </c>
      <c r="CW540" s="27" t="s">
        <v>8</v>
      </c>
      <c r="CY540" s="27" t="s">
        <v>8</v>
      </c>
      <c r="CZ540" s="27" t="s">
        <v>7</v>
      </c>
      <c r="DA540" s="27" t="s">
        <v>8</v>
      </c>
      <c r="DB540" s="27" t="s">
        <v>7</v>
      </c>
      <c r="DC540" s="27" t="s">
        <v>8</v>
      </c>
      <c r="DD540" s="27" t="s">
        <v>7</v>
      </c>
      <c r="DM540" s="27" t="s">
        <v>8</v>
      </c>
      <c r="DN540" s="27" t="s">
        <v>7</v>
      </c>
      <c r="DO540" s="27" t="s">
        <v>8</v>
      </c>
      <c r="EH540" s="27" t="s">
        <v>7</v>
      </c>
      <c r="EI540" s="27" t="s">
        <v>8</v>
      </c>
      <c r="EJ540" s="27" t="s">
        <v>7</v>
      </c>
      <c r="EK540" s="27" t="s">
        <v>8</v>
      </c>
      <c r="EL540" s="27" t="s">
        <v>7</v>
      </c>
      <c r="EM540" s="27" t="s">
        <v>8</v>
      </c>
      <c r="FT540" s="27" t="s">
        <v>7</v>
      </c>
      <c r="FU540" s="27" t="s">
        <v>8</v>
      </c>
      <c r="FV540" s="27" t="s">
        <v>7</v>
      </c>
      <c r="FW540" s="27" t="s">
        <v>8</v>
      </c>
      <c r="FX540" s="27" t="s">
        <v>7</v>
      </c>
      <c r="FY540" s="27" t="s">
        <v>8</v>
      </c>
      <c r="FZ540" s="27" t="s">
        <v>7</v>
      </c>
      <c r="GA540" s="27" t="s">
        <v>8</v>
      </c>
      <c r="GB540" s="27" t="s">
        <v>7</v>
      </c>
      <c r="GC540" s="27" t="s">
        <v>8</v>
      </c>
      <c r="GD540" s="27" t="s">
        <v>7</v>
      </c>
      <c r="GE540" s="27" t="s">
        <v>8</v>
      </c>
      <c r="GH540" s="27" t="s">
        <v>7</v>
      </c>
      <c r="GI540" s="27" t="s">
        <v>8</v>
      </c>
      <c r="GJ540" s="27" t="s">
        <v>7</v>
      </c>
    </row>
    <row r="541" spans="1:200" x14ac:dyDescent="0.25">
      <c r="A541" s="7">
        <v>2.4866112894073726</v>
      </c>
      <c r="B541"/>
      <c r="C541"/>
      <c r="D541"/>
      <c r="E541"/>
      <c r="S541" s="27" t="s">
        <v>8</v>
      </c>
      <c r="T541" s="27" t="s">
        <v>7</v>
      </c>
      <c r="U541" s="27" t="s">
        <v>8</v>
      </c>
      <c r="CD541" s="27" t="s">
        <v>7</v>
      </c>
      <c r="CE541" s="27" t="s">
        <v>8</v>
      </c>
      <c r="CF541" s="27" t="s">
        <v>7</v>
      </c>
      <c r="CG541" s="27" t="s">
        <v>8</v>
      </c>
      <c r="CR541" s="27" t="s">
        <v>7</v>
      </c>
      <c r="CS541" s="27" t="s">
        <v>8</v>
      </c>
      <c r="CT541" s="27" t="s">
        <v>7</v>
      </c>
      <c r="CU541" s="27" t="s">
        <v>8</v>
      </c>
      <c r="CV541" s="27" t="s">
        <v>7</v>
      </c>
      <c r="CW541" s="27" t="s">
        <v>8</v>
      </c>
      <c r="CX541" s="27" t="s">
        <v>7</v>
      </c>
      <c r="CY541" s="27" t="s">
        <v>8</v>
      </c>
      <c r="CZ541" s="27" t="s">
        <v>7</v>
      </c>
      <c r="DA541" s="27" t="s">
        <v>8</v>
      </c>
      <c r="DB541" s="27" t="s">
        <v>7</v>
      </c>
      <c r="DC541" s="27" t="s">
        <v>8</v>
      </c>
      <c r="DD541" s="27" t="s">
        <v>7</v>
      </c>
      <c r="DM541" s="27" t="s">
        <v>8</v>
      </c>
      <c r="DN541" s="27" t="s">
        <v>7</v>
      </c>
      <c r="DO541" s="27" t="s">
        <v>8</v>
      </c>
      <c r="EH541" s="27" t="s">
        <v>7</v>
      </c>
      <c r="EI541" s="27" t="s">
        <v>8</v>
      </c>
      <c r="EJ541" s="27" t="s">
        <v>7</v>
      </c>
      <c r="EK541" s="27" t="s">
        <v>8</v>
      </c>
      <c r="EL541" s="27" t="s">
        <v>7</v>
      </c>
      <c r="EM541" s="27" t="s">
        <v>8</v>
      </c>
      <c r="FT541" s="27" t="s">
        <v>7</v>
      </c>
      <c r="FU541" s="27" t="s">
        <v>8</v>
      </c>
      <c r="FV541" s="27" t="s">
        <v>7</v>
      </c>
      <c r="FW541" s="27" t="s">
        <v>8</v>
      </c>
      <c r="FX541" s="27" t="s">
        <v>7</v>
      </c>
      <c r="FY541" s="27" t="s">
        <v>8</v>
      </c>
      <c r="FZ541" s="27" t="s">
        <v>7</v>
      </c>
      <c r="GA541" s="27" t="s">
        <v>8</v>
      </c>
      <c r="GB541" s="27" t="s">
        <v>7</v>
      </c>
      <c r="GC541" s="27" t="s">
        <v>8</v>
      </c>
      <c r="GD541" s="27" t="s">
        <v>7</v>
      </c>
      <c r="GE541" s="27" t="s">
        <v>8</v>
      </c>
      <c r="GH541" s="27" t="s">
        <v>7</v>
      </c>
      <c r="GI541" s="27" t="s">
        <v>8</v>
      </c>
      <c r="GJ541" s="27" t="s">
        <v>7</v>
      </c>
      <c r="GO541" s="27" t="s">
        <v>8</v>
      </c>
    </row>
    <row r="542" spans="1:200" x14ac:dyDescent="0.25">
      <c r="A542" s="7">
        <v>2.4378542053013459</v>
      </c>
      <c r="B542"/>
      <c r="C542"/>
      <c r="D542"/>
      <c r="E542" t="s">
        <v>8</v>
      </c>
      <c r="S542" s="27" t="s">
        <v>8</v>
      </c>
      <c r="T542" s="27" t="s">
        <v>7</v>
      </c>
      <c r="U542" s="27" t="s">
        <v>8</v>
      </c>
      <c r="CD542" s="27" t="s">
        <v>7</v>
      </c>
      <c r="CE542" s="27" t="s">
        <v>8</v>
      </c>
      <c r="CF542" s="27" t="s">
        <v>7</v>
      </c>
      <c r="CR542" s="27" t="s">
        <v>7</v>
      </c>
      <c r="CS542" s="27" t="s">
        <v>8</v>
      </c>
      <c r="CT542" s="27" t="s">
        <v>7</v>
      </c>
      <c r="CU542" s="27" t="s">
        <v>8</v>
      </c>
      <c r="CV542" s="27" t="s">
        <v>7</v>
      </c>
      <c r="CW542" s="27" t="s">
        <v>8</v>
      </c>
      <c r="CX542" s="27" t="s">
        <v>7</v>
      </c>
      <c r="CY542" s="27" t="s">
        <v>8</v>
      </c>
      <c r="CZ542" s="27" t="s">
        <v>7</v>
      </c>
      <c r="DA542" s="27" t="s">
        <v>8</v>
      </c>
      <c r="DB542" s="27" t="s">
        <v>7</v>
      </c>
      <c r="DD542" s="27" t="s">
        <v>7</v>
      </c>
      <c r="DK542" s="27" t="s">
        <v>8</v>
      </c>
      <c r="DM542" s="27" t="s">
        <v>8</v>
      </c>
      <c r="DN542" s="27" t="s">
        <v>7</v>
      </c>
      <c r="EH542" s="27" t="s">
        <v>7</v>
      </c>
      <c r="EI542" s="27" t="s">
        <v>8</v>
      </c>
      <c r="EJ542" s="27" t="s">
        <v>7</v>
      </c>
      <c r="EK542" s="27" t="s">
        <v>8</v>
      </c>
      <c r="EL542" s="27" t="s">
        <v>7</v>
      </c>
      <c r="EM542" s="27" t="s">
        <v>8</v>
      </c>
      <c r="FT542" s="27" t="s">
        <v>7</v>
      </c>
      <c r="FU542" s="27" t="s">
        <v>8</v>
      </c>
      <c r="FV542" s="27" t="s">
        <v>7</v>
      </c>
      <c r="FW542" s="27" t="s">
        <v>8</v>
      </c>
      <c r="FX542" s="27" t="s">
        <v>7</v>
      </c>
      <c r="FY542" s="27" t="s">
        <v>8</v>
      </c>
      <c r="FZ542" s="27" t="s">
        <v>7</v>
      </c>
      <c r="GA542" s="27" t="s">
        <v>8</v>
      </c>
      <c r="GB542" s="27" t="s">
        <v>7</v>
      </c>
      <c r="GC542" s="27" t="s">
        <v>8</v>
      </c>
      <c r="GD542" s="27" t="s">
        <v>7</v>
      </c>
      <c r="GE542" s="27" t="s">
        <v>8</v>
      </c>
      <c r="GH542" s="27" t="s">
        <v>7</v>
      </c>
      <c r="GI542" s="27" t="s">
        <v>8</v>
      </c>
      <c r="GJ542" s="27" t="s">
        <v>7</v>
      </c>
      <c r="GK542" s="27" t="s">
        <v>8</v>
      </c>
      <c r="GO542" s="27" t="s">
        <v>8</v>
      </c>
      <c r="GP542" s="27" t="s">
        <v>7</v>
      </c>
      <c r="GQ542" s="27" t="s">
        <v>8</v>
      </c>
    </row>
    <row r="543" spans="1:200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S543" s="27" t="s">
        <v>8</v>
      </c>
      <c r="T543" s="27" t="s">
        <v>7</v>
      </c>
      <c r="U543" s="27" t="s">
        <v>8</v>
      </c>
      <c r="CD543" s="27" t="s">
        <v>7</v>
      </c>
      <c r="CE543" s="27" t="s">
        <v>8</v>
      </c>
      <c r="CR543" s="27" t="s">
        <v>7</v>
      </c>
      <c r="CS543" s="27" t="s">
        <v>8</v>
      </c>
      <c r="CT543" s="27" t="s">
        <v>7</v>
      </c>
      <c r="CU543" s="27" t="s">
        <v>8</v>
      </c>
      <c r="CV543" s="27" t="s">
        <v>7</v>
      </c>
      <c r="CW543" s="27" t="s">
        <v>8</v>
      </c>
      <c r="CX543" s="27" t="s">
        <v>7</v>
      </c>
      <c r="CY543" s="27" t="s">
        <v>8</v>
      </c>
      <c r="CZ543" s="27" t="s">
        <v>7</v>
      </c>
      <c r="DD543" s="27" t="s">
        <v>7</v>
      </c>
      <c r="DK543" s="27" t="s">
        <v>8</v>
      </c>
      <c r="DL543" s="27" t="s">
        <v>7</v>
      </c>
      <c r="DM543" s="27" t="s">
        <v>8</v>
      </c>
      <c r="EH543" s="27" t="s">
        <v>7</v>
      </c>
      <c r="EI543" s="27" t="s">
        <v>8</v>
      </c>
      <c r="EJ543" s="27" t="s">
        <v>7</v>
      </c>
      <c r="EL543" s="27" t="s">
        <v>7</v>
      </c>
      <c r="FT543" s="27" t="s">
        <v>7</v>
      </c>
      <c r="FU543" s="27" t="s">
        <v>8</v>
      </c>
      <c r="FV543" s="27" t="s">
        <v>7</v>
      </c>
      <c r="FX543" s="27" t="s">
        <v>7</v>
      </c>
      <c r="FY543" s="27" t="s">
        <v>8</v>
      </c>
      <c r="FZ543" s="27" t="s">
        <v>7</v>
      </c>
      <c r="GA543" s="27" t="s">
        <v>8</v>
      </c>
      <c r="GB543" s="27" t="s">
        <v>7</v>
      </c>
      <c r="GD543" s="27" t="s">
        <v>7</v>
      </c>
      <c r="GE543" s="27" t="s">
        <v>8</v>
      </c>
      <c r="GH543" s="27" t="s">
        <v>7</v>
      </c>
      <c r="GI543" s="27" t="s">
        <v>8</v>
      </c>
      <c r="GJ543" s="27" t="s">
        <v>7</v>
      </c>
      <c r="GK543" s="27" t="s">
        <v>8</v>
      </c>
      <c r="GL543" s="27" t="s">
        <v>7</v>
      </c>
      <c r="GO543" s="27" t="s">
        <v>8</v>
      </c>
      <c r="GP543" s="27" t="s">
        <v>7</v>
      </c>
      <c r="GQ543" s="27" t="s">
        <v>8</v>
      </c>
      <c r="GR543" s="27" t="s">
        <v>7</v>
      </c>
    </row>
    <row r="544" spans="1:200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S544" s="27" t="s">
        <v>8</v>
      </c>
      <c r="T544" s="27" t="s">
        <v>7</v>
      </c>
      <c r="U544" s="27" t="s">
        <v>8</v>
      </c>
      <c r="CD544" s="27" t="s">
        <v>7</v>
      </c>
      <c r="CE544" s="27" t="s">
        <v>8</v>
      </c>
      <c r="CR544" s="27" t="s">
        <v>7</v>
      </c>
      <c r="CS544" s="27" t="s">
        <v>8</v>
      </c>
      <c r="CT544" s="27" t="s">
        <v>7</v>
      </c>
      <c r="CU544" s="27" t="s">
        <v>8</v>
      </c>
      <c r="CV544" s="27" t="s">
        <v>7</v>
      </c>
      <c r="CX544" s="27" t="s">
        <v>7</v>
      </c>
      <c r="CY544" s="27" t="s">
        <v>8</v>
      </c>
      <c r="DD544" s="27" t="s">
        <v>7</v>
      </c>
      <c r="DI544" s="27" t="s">
        <v>8</v>
      </c>
      <c r="DK544" s="27" t="s">
        <v>8</v>
      </c>
      <c r="DL544" s="27" t="s">
        <v>7</v>
      </c>
      <c r="DM544" s="27" t="s">
        <v>8</v>
      </c>
      <c r="EH544" s="27" t="s">
        <v>7</v>
      </c>
      <c r="EI544" s="27" t="s">
        <v>8</v>
      </c>
      <c r="FT544" s="27" t="s">
        <v>7</v>
      </c>
      <c r="FU544" s="27" t="s">
        <v>8</v>
      </c>
      <c r="FX544" s="27" t="s">
        <v>7</v>
      </c>
      <c r="FY544" s="27" t="s">
        <v>8</v>
      </c>
      <c r="FZ544" s="27" t="s">
        <v>7</v>
      </c>
      <c r="GD544" s="27" t="s">
        <v>7</v>
      </c>
      <c r="GH544" s="27" t="s">
        <v>7</v>
      </c>
      <c r="GJ544" s="27" t="s">
        <v>7</v>
      </c>
      <c r="GK544" s="27" t="s">
        <v>8</v>
      </c>
      <c r="GL544" s="27" t="s">
        <v>7</v>
      </c>
      <c r="GO544" s="27" t="s">
        <v>8</v>
      </c>
      <c r="GP544" s="27" t="s">
        <v>7</v>
      </c>
      <c r="GQ544" s="27" t="s">
        <v>8</v>
      </c>
      <c r="GR544" s="27" t="s">
        <v>7</v>
      </c>
    </row>
    <row r="545" spans="1:204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S545" s="27" t="s">
        <v>8</v>
      </c>
      <c r="T545" s="27" t="s">
        <v>7</v>
      </c>
      <c r="U545" s="27" t="s">
        <v>8</v>
      </c>
      <c r="CD545" s="27" t="s">
        <v>7</v>
      </c>
      <c r="CE545" s="27" t="s">
        <v>8</v>
      </c>
      <c r="CR545" s="27" t="s">
        <v>7</v>
      </c>
      <c r="CS545" s="27" t="s">
        <v>8</v>
      </c>
      <c r="CT545" s="27" t="s">
        <v>7</v>
      </c>
      <c r="CU545" s="27" t="s">
        <v>8</v>
      </c>
      <c r="CX545" s="27" t="s">
        <v>7</v>
      </c>
      <c r="DD545" s="27" t="s">
        <v>7</v>
      </c>
      <c r="DI545" s="27" t="s">
        <v>8</v>
      </c>
      <c r="DJ545" s="27" t="s">
        <v>7</v>
      </c>
      <c r="DK545" s="27" t="s">
        <v>8</v>
      </c>
      <c r="DL545" s="27" t="s">
        <v>7</v>
      </c>
      <c r="DM545" s="27" t="s">
        <v>8</v>
      </c>
      <c r="EH545" s="27" t="s">
        <v>7</v>
      </c>
      <c r="EI545" s="27" t="s">
        <v>8</v>
      </c>
      <c r="FT545" s="27" t="s">
        <v>7</v>
      </c>
      <c r="FU545" s="27" t="s">
        <v>8</v>
      </c>
      <c r="FX545" s="27" t="s">
        <v>7</v>
      </c>
      <c r="FY545" s="27" t="s">
        <v>8</v>
      </c>
      <c r="GJ545" s="27" t="s">
        <v>7</v>
      </c>
      <c r="GK545" s="27" t="s">
        <v>8</v>
      </c>
      <c r="GL545" s="27" t="s">
        <v>7</v>
      </c>
      <c r="GO545" s="27" t="s">
        <v>8</v>
      </c>
      <c r="GP545" s="27" t="s">
        <v>7</v>
      </c>
      <c r="GR545" s="27" t="s">
        <v>7</v>
      </c>
    </row>
    <row r="546" spans="1:204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S546" s="27" t="s">
        <v>8</v>
      </c>
      <c r="T546" s="27" t="s">
        <v>7</v>
      </c>
      <c r="U546" s="27" t="s">
        <v>8</v>
      </c>
      <c r="CD546" s="27" t="s">
        <v>7</v>
      </c>
      <c r="CE546" s="27" t="s">
        <v>8</v>
      </c>
      <c r="CR546" s="27" t="s">
        <v>7</v>
      </c>
      <c r="CS546" s="27" t="s">
        <v>8</v>
      </c>
      <c r="CT546" s="27" t="s">
        <v>7</v>
      </c>
      <c r="CU546" s="27" t="s">
        <v>8</v>
      </c>
      <c r="DD546" s="27" t="s">
        <v>7</v>
      </c>
      <c r="DI546" s="27" t="s">
        <v>8</v>
      </c>
      <c r="DJ546" s="27" t="s">
        <v>7</v>
      </c>
      <c r="DK546" s="27" t="s">
        <v>8</v>
      </c>
      <c r="DL546" s="27" t="s">
        <v>7</v>
      </c>
      <c r="DM546" s="27" t="s">
        <v>8</v>
      </c>
      <c r="EH546" s="27" t="s">
        <v>7</v>
      </c>
      <c r="FT546" s="27" t="s">
        <v>7</v>
      </c>
      <c r="FU546" s="27" t="s">
        <v>8</v>
      </c>
      <c r="FX546" s="27" t="s">
        <v>7</v>
      </c>
      <c r="GJ546" s="27" t="s">
        <v>7</v>
      </c>
      <c r="GK546" s="27" t="s">
        <v>8</v>
      </c>
      <c r="GL546" s="27" t="s">
        <v>7</v>
      </c>
      <c r="GO546" s="27" t="s">
        <v>8</v>
      </c>
      <c r="GR546" s="27" t="s">
        <v>7</v>
      </c>
    </row>
    <row r="547" spans="1:204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S547" s="27" t="s">
        <v>8</v>
      </c>
      <c r="T547" s="27" t="s">
        <v>7</v>
      </c>
      <c r="CD547" s="27" t="s">
        <v>7</v>
      </c>
      <c r="CE547" s="27" t="s">
        <v>8</v>
      </c>
      <c r="CR547" s="27" t="s">
        <v>7</v>
      </c>
      <c r="CS547" s="27" t="s">
        <v>8</v>
      </c>
      <c r="CT547" s="27" t="s">
        <v>7</v>
      </c>
      <c r="DD547" s="27" t="s">
        <v>7</v>
      </c>
      <c r="DI547" s="27" t="s">
        <v>8</v>
      </c>
      <c r="DJ547" s="27" t="s">
        <v>7</v>
      </c>
      <c r="DK547" s="27" t="s">
        <v>8</v>
      </c>
      <c r="DL547" s="27" t="s">
        <v>7</v>
      </c>
      <c r="FT547" s="27" t="s">
        <v>7</v>
      </c>
      <c r="FU547" s="27" t="s">
        <v>8</v>
      </c>
      <c r="GJ547" s="27" t="s">
        <v>7</v>
      </c>
      <c r="GL547" s="27" t="s">
        <v>7</v>
      </c>
      <c r="GO547" s="27" t="s">
        <v>8</v>
      </c>
      <c r="GR547" s="27" t="s">
        <v>7</v>
      </c>
    </row>
    <row r="548" spans="1:204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O548" s="27" t="s">
        <v>8</v>
      </c>
      <c r="S548" s="27" t="s">
        <v>8</v>
      </c>
      <c r="CD548" s="27" t="s">
        <v>7</v>
      </c>
      <c r="CE548" s="27" t="s">
        <v>8</v>
      </c>
      <c r="CR548" s="27" t="s">
        <v>7</v>
      </c>
      <c r="CS548" s="27" t="s">
        <v>8</v>
      </c>
      <c r="DD548" s="27" t="s">
        <v>7</v>
      </c>
      <c r="DI548" s="27" t="s">
        <v>8</v>
      </c>
      <c r="DJ548" s="27" t="s">
        <v>7</v>
      </c>
      <c r="DK548" s="27" t="s">
        <v>8</v>
      </c>
      <c r="FT548" s="27" t="s">
        <v>7</v>
      </c>
      <c r="FU548" s="27" t="s">
        <v>8</v>
      </c>
      <c r="GL548" s="27" t="s">
        <v>7</v>
      </c>
      <c r="GM548" s="27" t="s">
        <v>8</v>
      </c>
      <c r="GO548" s="27" t="s">
        <v>8</v>
      </c>
      <c r="GR548" s="27" t="s">
        <v>7</v>
      </c>
    </row>
    <row r="549" spans="1:204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O549" s="27" t="s">
        <v>8</v>
      </c>
      <c r="P549" s="27" t="s">
        <v>7</v>
      </c>
      <c r="S549" s="27" t="s">
        <v>8</v>
      </c>
      <c r="CD549" s="27" t="s">
        <v>7</v>
      </c>
      <c r="CE549" s="27" t="s">
        <v>8</v>
      </c>
      <c r="CR549" s="27" t="s">
        <v>7</v>
      </c>
      <c r="CS549" s="27" t="s">
        <v>8</v>
      </c>
      <c r="DD549" s="27" t="s">
        <v>7</v>
      </c>
      <c r="DG549" s="27" t="s">
        <v>8</v>
      </c>
      <c r="DI549" s="27" t="s">
        <v>8</v>
      </c>
      <c r="DJ549" s="27" t="s">
        <v>7</v>
      </c>
      <c r="DK549" s="27" t="s">
        <v>8</v>
      </c>
      <c r="FT549" s="27" t="s">
        <v>7</v>
      </c>
      <c r="FU549" s="27" t="s">
        <v>8</v>
      </c>
      <c r="GL549" s="27" t="s">
        <v>7</v>
      </c>
      <c r="GM549" s="27" t="s">
        <v>8</v>
      </c>
      <c r="GN549" s="27" t="s">
        <v>7</v>
      </c>
      <c r="GO549" s="27" t="s">
        <v>8</v>
      </c>
      <c r="GR549" s="27" t="s">
        <v>7</v>
      </c>
    </row>
    <row r="550" spans="1:204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O550" s="27" t="s">
        <v>8</v>
      </c>
      <c r="P550" s="27" t="s">
        <v>7</v>
      </c>
      <c r="Q550" s="27" t="s">
        <v>8</v>
      </c>
      <c r="S550" s="27" t="s">
        <v>8</v>
      </c>
      <c r="CD550" s="27" t="s">
        <v>7</v>
      </c>
      <c r="CE550" s="27" t="s">
        <v>8</v>
      </c>
      <c r="CR550" s="27" t="s">
        <v>7</v>
      </c>
      <c r="DD550" s="27" t="s">
        <v>7</v>
      </c>
      <c r="DE550" s="27" t="s">
        <v>8</v>
      </c>
      <c r="DG550" s="27" t="s">
        <v>8</v>
      </c>
      <c r="DH550" s="27" t="s">
        <v>7</v>
      </c>
      <c r="DI550" s="27" t="s">
        <v>8</v>
      </c>
      <c r="DJ550" s="27" t="s">
        <v>7</v>
      </c>
      <c r="FT550" s="27" t="s">
        <v>7</v>
      </c>
      <c r="FU550" s="27" t="s">
        <v>8</v>
      </c>
      <c r="GL550" s="27" t="s">
        <v>7</v>
      </c>
      <c r="GM550" s="27" t="s">
        <v>8</v>
      </c>
      <c r="GN550" s="27" t="s">
        <v>7</v>
      </c>
      <c r="GO550" s="27" t="s">
        <v>8</v>
      </c>
      <c r="GR550" s="27" t="s">
        <v>7</v>
      </c>
    </row>
    <row r="551" spans="1:204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O551" s="27" t="s">
        <v>8</v>
      </c>
      <c r="P551" s="27" t="s">
        <v>7</v>
      </c>
      <c r="Q551" s="27" t="s">
        <v>8</v>
      </c>
      <c r="R551" s="27" t="s">
        <v>7</v>
      </c>
      <c r="S551" s="27" t="s">
        <v>8</v>
      </c>
      <c r="CD551" s="27" t="s">
        <v>7</v>
      </c>
      <c r="CE551" s="27" t="s">
        <v>8</v>
      </c>
      <c r="DD551" s="27" t="s">
        <v>7</v>
      </c>
      <c r="DE551" s="27" t="s">
        <v>8</v>
      </c>
      <c r="DF551" s="27" t="s">
        <v>7</v>
      </c>
      <c r="DG551" s="27" t="s">
        <v>8</v>
      </c>
      <c r="DH551" s="27" t="s">
        <v>7</v>
      </c>
      <c r="DI551" s="27" t="s">
        <v>8</v>
      </c>
      <c r="FT551" s="27" t="s">
        <v>7</v>
      </c>
      <c r="FU551" s="27" t="s">
        <v>8</v>
      </c>
      <c r="GL551" s="27" t="s">
        <v>7</v>
      </c>
      <c r="GN551" s="27" t="s">
        <v>7</v>
      </c>
      <c r="GO551" s="27" t="s">
        <v>8</v>
      </c>
      <c r="GR551" s="27" t="s">
        <v>7</v>
      </c>
    </row>
    <row r="552" spans="1:204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O552" s="27" t="s">
        <v>8</v>
      </c>
      <c r="P552" s="27" t="s">
        <v>7</v>
      </c>
      <c r="Q552" s="27" t="s">
        <v>8</v>
      </c>
      <c r="R552" s="27" t="s">
        <v>7</v>
      </c>
      <c r="S552" s="27" t="s">
        <v>8</v>
      </c>
      <c r="CD552" s="27" t="s">
        <v>7</v>
      </c>
      <c r="CE552" s="27" t="s">
        <v>8</v>
      </c>
      <c r="DD552" s="27" t="s">
        <v>7</v>
      </c>
      <c r="DE552" s="27" t="s">
        <v>8</v>
      </c>
      <c r="DF552" s="27" t="s">
        <v>7</v>
      </c>
      <c r="DG552" s="27" t="s">
        <v>8</v>
      </c>
      <c r="DH552" s="27" t="s">
        <v>7</v>
      </c>
      <c r="DI552" s="27" t="s">
        <v>8</v>
      </c>
      <c r="FT552" s="27" t="s">
        <v>7</v>
      </c>
      <c r="GN552" s="27" t="s">
        <v>7</v>
      </c>
      <c r="GR552" s="27" t="s">
        <v>7</v>
      </c>
    </row>
    <row r="553" spans="1:204" x14ac:dyDescent="0.25">
      <c r="A553" s="7">
        <v>1.9606760320220162</v>
      </c>
      <c r="B553"/>
      <c r="C553"/>
      <c r="D553"/>
      <c r="E553" t="s">
        <v>8</v>
      </c>
      <c r="F553" s="27" t="s">
        <v>7</v>
      </c>
      <c r="O553" s="27" t="s">
        <v>8</v>
      </c>
      <c r="P553" s="27" t="s">
        <v>7</v>
      </c>
      <c r="Q553" s="27" t="s">
        <v>8</v>
      </c>
      <c r="R553" s="27" t="s">
        <v>7</v>
      </c>
      <c r="S553" s="27" t="s">
        <v>8</v>
      </c>
      <c r="CD553" s="27" t="s">
        <v>7</v>
      </c>
      <c r="CE553" s="27" t="s">
        <v>8</v>
      </c>
      <c r="DD553" s="27" t="s">
        <v>7</v>
      </c>
      <c r="DF553" s="27" t="s">
        <v>7</v>
      </c>
      <c r="DG553" s="27" t="s">
        <v>8</v>
      </c>
      <c r="DH553" s="27" t="s">
        <v>7</v>
      </c>
      <c r="GR553" s="27" t="s">
        <v>7</v>
      </c>
    </row>
    <row r="554" spans="1:204" x14ac:dyDescent="0.25">
      <c r="A554" s="7">
        <v>1.9222314039431532</v>
      </c>
      <c r="B554"/>
      <c r="C554"/>
      <c r="D554"/>
      <c r="E554" t="s">
        <v>8</v>
      </c>
      <c r="F554" s="27" t="s">
        <v>7</v>
      </c>
      <c r="O554" s="27" t="s">
        <v>8</v>
      </c>
      <c r="P554" s="27" t="s">
        <v>7</v>
      </c>
      <c r="Q554" s="27" t="s">
        <v>8</v>
      </c>
      <c r="R554" s="27" t="s">
        <v>7</v>
      </c>
      <c r="S554" s="27" t="s">
        <v>8</v>
      </c>
      <c r="CD554" s="27" t="s">
        <v>7</v>
      </c>
      <c r="CE554" s="27" t="s">
        <v>8</v>
      </c>
      <c r="DF554" s="27" t="s">
        <v>7</v>
      </c>
      <c r="DG554" s="27" t="s">
        <v>8</v>
      </c>
      <c r="GR554" s="27" t="s">
        <v>7</v>
      </c>
    </row>
    <row r="555" spans="1:204" x14ac:dyDescent="0.25">
      <c r="A555" s="7">
        <v>1.8845405921011305</v>
      </c>
      <c r="B555"/>
      <c r="C555"/>
      <c r="D555"/>
      <c r="E555" t="s">
        <v>8</v>
      </c>
      <c r="F555" s="27" t="s">
        <v>7</v>
      </c>
      <c r="O555" s="27" t="s">
        <v>8</v>
      </c>
      <c r="P555" s="27" t="s">
        <v>7</v>
      </c>
      <c r="Q555" s="27" t="s">
        <v>8</v>
      </c>
      <c r="R555" s="27" t="s">
        <v>7</v>
      </c>
      <c r="S555" s="27" t="s">
        <v>8</v>
      </c>
      <c r="CD555" s="27" t="s">
        <v>7</v>
      </c>
      <c r="CE555" s="27" t="s">
        <v>8</v>
      </c>
      <c r="DF555" s="27" t="s">
        <v>7</v>
      </c>
      <c r="DG555" s="27" t="s">
        <v>8</v>
      </c>
      <c r="GR555" s="27" t="s">
        <v>7</v>
      </c>
    </row>
    <row r="556" spans="1:204" x14ac:dyDescent="0.25">
      <c r="A556" s="7">
        <v>1.8475888157854219</v>
      </c>
      <c r="B556"/>
      <c r="C556"/>
      <c r="D556"/>
      <c r="E556" t="s">
        <v>8</v>
      </c>
      <c r="F556" s="27" t="s">
        <v>7</v>
      </c>
      <c r="O556" s="27" t="s">
        <v>8</v>
      </c>
      <c r="P556" s="27" t="s">
        <v>7</v>
      </c>
      <c r="Q556" s="27" t="s">
        <v>8</v>
      </c>
      <c r="R556" s="27" t="s">
        <v>7</v>
      </c>
      <c r="S556" s="27" t="s">
        <v>8</v>
      </c>
      <c r="CD556" s="27" t="s">
        <v>7</v>
      </c>
      <c r="CE556" s="27" t="s">
        <v>8</v>
      </c>
      <c r="DF556" s="27" t="s">
        <v>7</v>
      </c>
      <c r="DG556" s="27" t="s">
        <v>8</v>
      </c>
      <c r="GR556" s="27" t="s">
        <v>7</v>
      </c>
    </row>
    <row r="557" spans="1:204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O557" s="27" t="s">
        <v>8</v>
      </c>
      <c r="P557" s="27" t="s">
        <v>7</v>
      </c>
      <c r="Q557" s="27" t="s">
        <v>8</v>
      </c>
      <c r="R557" s="27" t="s">
        <v>7</v>
      </c>
      <c r="S557" s="27" t="s">
        <v>8</v>
      </c>
      <c r="CD557" s="27" t="s">
        <v>7</v>
      </c>
      <c r="DF557" s="18" t="s">
        <v>7</v>
      </c>
      <c r="DG557" s="27" t="s">
        <v>8</v>
      </c>
      <c r="GR557" s="27" t="s">
        <v>7</v>
      </c>
      <c r="GU557" s="27" t="s">
        <v>8</v>
      </c>
    </row>
    <row r="558" spans="1:204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O558" s="27" t="s">
        <v>8</v>
      </c>
      <c r="P558" s="27" t="s">
        <v>7</v>
      </c>
      <c r="Q558" s="27" t="s">
        <v>8</v>
      </c>
      <c r="R558" s="27" t="s">
        <v>7</v>
      </c>
      <c r="S558" s="27" t="s">
        <v>8</v>
      </c>
      <c r="DF558" s="27" t="s">
        <v>7</v>
      </c>
      <c r="DG558" s="27" t="s">
        <v>8</v>
      </c>
      <c r="GR558" s="27" t="s">
        <v>7</v>
      </c>
      <c r="GU558" s="27" t="s">
        <v>8</v>
      </c>
      <c r="GV558" s="27" t="s">
        <v>7</v>
      </c>
    </row>
    <row r="559" spans="1:204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O559" s="27" t="s">
        <v>8</v>
      </c>
      <c r="P559" s="27" t="s">
        <v>7</v>
      </c>
      <c r="Q559" s="27" t="s">
        <v>8</v>
      </c>
      <c r="R559" s="27" t="s">
        <v>7</v>
      </c>
      <c r="S559" s="27" t="s">
        <v>8</v>
      </c>
      <c r="DF559" s="27" t="s">
        <v>7</v>
      </c>
      <c r="DG559" s="27" t="s">
        <v>8</v>
      </c>
      <c r="GR559" s="27" t="s">
        <v>7</v>
      </c>
      <c r="GU559" s="27" t="s">
        <v>8</v>
      </c>
      <c r="GV559" s="27" t="s">
        <v>7</v>
      </c>
    </row>
    <row r="560" spans="1:204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O560" s="27" t="s">
        <v>8</v>
      </c>
      <c r="P560" s="27" t="s">
        <v>7</v>
      </c>
      <c r="R560" s="27" t="s">
        <v>7</v>
      </c>
      <c r="S560" s="27" t="s">
        <v>8</v>
      </c>
      <c r="DF560" s="27" t="s">
        <v>7</v>
      </c>
      <c r="DG560" s="27" t="s">
        <v>8</v>
      </c>
      <c r="GR560" s="27" t="s">
        <v>7</v>
      </c>
      <c r="GS560" s="27" t="s">
        <v>8</v>
      </c>
      <c r="GU560" s="27" t="s">
        <v>8</v>
      </c>
      <c r="GV560" s="27" t="s">
        <v>7</v>
      </c>
    </row>
    <row r="561" spans="1:204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O561" s="27" t="s">
        <v>8</v>
      </c>
      <c r="R561" s="27" t="s">
        <v>7</v>
      </c>
      <c r="S561" s="27" t="s">
        <v>8</v>
      </c>
      <c r="DF561" s="27" t="s">
        <v>7</v>
      </c>
      <c r="GR561" s="27" t="s">
        <v>7</v>
      </c>
      <c r="GS561" s="27" t="s">
        <v>8</v>
      </c>
      <c r="GT561" s="27" t="s">
        <v>7</v>
      </c>
      <c r="GU561" s="27" t="s">
        <v>8</v>
      </c>
      <c r="GV561" s="27" t="s">
        <v>7</v>
      </c>
    </row>
    <row r="562" spans="1:204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O562" s="27" t="s">
        <v>8</v>
      </c>
      <c r="R562" s="27" t="s">
        <v>7</v>
      </c>
      <c r="S562" s="27" t="s">
        <v>8</v>
      </c>
      <c r="GR562" s="27" t="s">
        <v>7</v>
      </c>
      <c r="GS562" s="27" t="s">
        <v>8</v>
      </c>
      <c r="GT562" s="27" t="s">
        <v>7</v>
      </c>
      <c r="GU562" s="27" t="s">
        <v>8</v>
      </c>
      <c r="GV562" s="27" t="s">
        <v>7</v>
      </c>
    </row>
    <row r="563" spans="1:204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K563" s="27" t="s">
        <v>8</v>
      </c>
      <c r="O563" s="27" t="s">
        <v>8</v>
      </c>
      <c r="R563" s="27" t="s">
        <v>7</v>
      </c>
      <c r="S563" s="27" t="s">
        <v>8</v>
      </c>
      <c r="GR563" s="27" t="s">
        <v>7</v>
      </c>
      <c r="GS563" s="27" t="s">
        <v>8</v>
      </c>
      <c r="GT563" s="27" t="s">
        <v>7</v>
      </c>
      <c r="GU563" s="27" t="s">
        <v>8</v>
      </c>
      <c r="GV563" s="27" t="s">
        <v>7</v>
      </c>
    </row>
    <row r="564" spans="1:204" x14ac:dyDescent="0.25">
      <c r="A564" s="7">
        <v>1.5768992641913981</v>
      </c>
      <c r="B564"/>
      <c r="C564"/>
      <c r="D564"/>
      <c r="E564" t="s">
        <v>8</v>
      </c>
      <c r="F564" s="27" t="s">
        <v>7</v>
      </c>
      <c r="K564" s="27" t="s">
        <v>8</v>
      </c>
      <c r="L564" s="27" t="s">
        <v>7</v>
      </c>
      <c r="O564" s="27" t="s">
        <v>8</v>
      </c>
      <c r="R564" s="27" t="s">
        <v>7</v>
      </c>
      <c r="S564" s="27" t="s">
        <v>8</v>
      </c>
      <c r="GR564" s="27" t="s">
        <v>7</v>
      </c>
      <c r="GS564" s="27" t="s">
        <v>8</v>
      </c>
      <c r="GT564" s="27" t="s">
        <v>7</v>
      </c>
      <c r="GU564" s="27" t="s">
        <v>8</v>
      </c>
    </row>
    <row r="565" spans="1:204" x14ac:dyDescent="0.25">
      <c r="A565" s="7">
        <v>1.5459796707758806</v>
      </c>
      <c r="B565"/>
      <c r="C565"/>
      <c r="D565"/>
      <c r="E565" t="s">
        <v>8</v>
      </c>
      <c r="F565" s="27" t="s">
        <v>7</v>
      </c>
      <c r="K565" s="27" t="s">
        <v>8</v>
      </c>
      <c r="L565" s="27" t="s">
        <v>7</v>
      </c>
      <c r="O565" s="27" t="s">
        <v>8</v>
      </c>
      <c r="R565" s="27" t="s">
        <v>7</v>
      </c>
      <c r="S565" s="27" t="s">
        <v>8</v>
      </c>
      <c r="GR565" s="27" t="s">
        <v>7</v>
      </c>
      <c r="GS565" s="27" t="s">
        <v>8</v>
      </c>
      <c r="GT565" s="27" t="s">
        <v>7</v>
      </c>
      <c r="GU565" s="27" t="s">
        <v>8</v>
      </c>
    </row>
    <row r="566" spans="1:204" x14ac:dyDescent="0.25">
      <c r="A566" s="7">
        <v>1.5156663438979221</v>
      </c>
      <c r="B566"/>
      <c r="C566"/>
      <c r="D566"/>
      <c r="E566" t="s">
        <v>8</v>
      </c>
      <c r="F566" s="27" t="s">
        <v>7</v>
      </c>
      <c r="K566" s="27" t="s">
        <v>8</v>
      </c>
      <c r="L566" s="27" t="s">
        <v>7</v>
      </c>
      <c r="O566" s="27" t="s">
        <v>8</v>
      </c>
      <c r="R566" s="27" t="s">
        <v>7</v>
      </c>
      <c r="S566" s="27" t="s">
        <v>8</v>
      </c>
      <c r="GR566" s="27" t="s">
        <v>7</v>
      </c>
      <c r="GT566" s="27" t="s">
        <v>7</v>
      </c>
      <c r="GU566" s="27" t="s">
        <v>8</v>
      </c>
    </row>
    <row r="567" spans="1:204" x14ac:dyDescent="0.25">
      <c r="A567" s="7">
        <v>1.4859473959783549</v>
      </c>
      <c r="B567"/>
      <c r="C567"/>
      <c r="D567"/>
      <c r="E567" t="s">
        <v>8</v>
      </c>
      <c r="F567" s="27" t="s">
        <v>7</v>
      </c>
      <c r="K567" s="27" t="s">
        <v>8</v>
      </c>
      <c r="L567" s="27" t="s">
        <v>7</v>
      </c>
      <c r="O567" s="27" t="s">
        <v>8</v>
      </c>
      <c r="R567" s="27" t="s">
        <v>7</v>
      </c>
      <c r="S567" s="27" t="s">
        <v>8</v>
      </c>
      <c r="GT567" s="27" t="s">
        <v>7</v>
      </c>
      <c r="GU567" s="27" t="s">
        <v>8</v>
      </c>
    </row>
    <row r="568" spans="1:204" x14ac:dyDescent="0.25">
      <c r="A568" s="7">
        <v>1.4568111725277988</v>
      </c>
      <c r="B568"/>
      <c r="C568"/>
      <c r="D568"/>
      <c r="E568" t="s">
        <v>8</v>
      </c>
      <c r="F568" s="27" t="s">
        <v>7</v>
      </c>
      <c r="K568" s="27" t="s">
        <v>8</v>
      </c>
      <c r="L568" s="27" t="s">
        <v>7</v>
      </c>
      <c r="O568" s="27" t="s">
        <v>8</v>
      </c>
      <c r="R568" s="27" t="s">
        <v>7</v>
      </c>
      <c r="S568" s="27" t="s">
        <v>8</v>
      </c>
      <c r="GT568" s="27" t="s">
        <v>7</v>
      </c>
      <c r="GU568" s="27" t="s">
        <v>8</v>
      </c>
    </row>
    <row r="569" spans="1:204" x14ac:dyDescent="0.25">
      <c r="A569" s="7">
        <v>1.4282462475762734</v>
      </c>
      <c r="B569"/>
      <c r="C569"/>
      <c r="D569"/>
      <c r="E569" t="s">
        <v>8</v>
      </c>
      <c r="F569" s="27" t="s">
        <v>7</v>
      </c>
      <c r="K569" s="27" t="s">
        <v>8</v>
      </c>
      <c r="L569" s="27" t="s">
        <v>7</v>
      </c>
      <c r="O569" s="27" t="s">
        <v>8</v>
      </c>
      <c r="R569" s="27" t="s">
        <v>7</v>
      </c>
      <c r="GT569" s="27" t="s">
        <v>7</v>
      </c>
    </row>
    <row r="570" spans="1:204" x14ac:dyDescent="0.25">
      <c r="A570" s="7">
        <v>1.4002414191924248</v>
      </c>
      <c r="B570"/>
      <c r="C570"/>
      <c r="D570"/>
      <c r="E570" t="s">
        <v>8</v>
      </c>
      <c r="F570" s="27" t="s">
        <v>7</v>
      </c>
      <c r="I570" s="27" t="s">
        <v>8</v>
      </c>
      <c r="K570" s="27" t="s">
        <v>8</v>
      </c>
      <c r="L570" s="27" t="s">
        <v>7</v>
      </c>
      <c r="O570" s="27" t="s">
        <v>8</v>
      </c>
    </row>
    <row r="571" spans="1:204" x14ac:dyDescent="0.25">
      <c r="A571" s="7">
        <v>1.3727857050906125</v>
      </c>
      <c r="B571"/>
      <c r="C571"/>
      <c r="D571"/>
      <c r="E571" t="s">
        <v>8</v>
      </c>
      <c r="F571" s="27" t="s">
        <v>7</v>
      </c>
      <c r="I571" s="27" t="s">
        <v>8</v>
      </c>
      <c r="J571" s="27" t="s">
        <v>7</v>
      </c>
      <c r="K571" s="27" t="s">
        <v>8</v>
      </c>
      <c r="L571" s="27" t="s">
        <v>7</v>
      </c>
      <c r="M571" s="27" t="s">
        <v>8</v>
      </c>
      <c r="O571" s="27" t="s">
        <v>8</v>
      </c>
    </row>
    <row r="572" spans="1:204" x14ac:dyDescent="0.25">
      <c r="A572" s="7">
        <v>1.3458683383241299</v>
      </c>
      <c r="B572"/>
      <c r="C572"/>
      <c r="D572"/>
      <c r="E572" t="s">
        <v>8</v>
      </c>
      <c r="F572" s="27" t="s">
        <v>7</v>
      </c>
      <c r="I572" s="27" t="s">
        <v>8</v>
      </c>
      <c r="J572" s="27" t="s">
        <v>7</v>
      </c>
      <c r="K572" s="27" t="s">
        <v>8</v>
      </c>
      <c r="L572" s="27" t="s">
        <v>7</v>
      </c>
      <c r="M572" s="27" t="s">
        <v>8</v>
      </c>
      <c r="N572" s="27" t="s">
        <v>7</v>
      </c>
      <c r="O572" s="27" t="s">
        <v>8</v>
      </c>
    </row>
    <row r="573" spans="1:204" x14ac:dyDescent="0.25">
      <c r="A573" s="7">
        <v>1.3194787630628724</v>
      </c>
      <c r="B573"/>
      <c r="C573"/>
      <c r="D573"/>
      <c r="E573" t="s">
        <v>8</v>
      </c>
      <c r="F573" s="27" t="s">
        <v>7</v>
      </c>
      <c r="I573" s="27" t="s">
        <v>8</v>
      </c>
      <c r="J573" s="27" t="s">
        <v>7</v>
      </c>
      <c r="K573" s="27" t="s">
        <v>8</v>
      </c>
      <c r="L573" s="27" t="s">
        <v>7</v>
      </c>
      <c r="M573" s="27" t="s">
        <v>8</v>
      </c>
      <c r="N573" s="27" t="s">
        <v>7</v>
      </c>
      <c r="O573" s="27" t="s">
        <v>8</v>
      </c>
    </row>
    <row r="574" spans="1:204" x14ac:dyDescent="0.25">
      <c r="A574" s="7">
        <v>1.2936066304537963</v>
      </c>
      <c r="B574"/>
      <c r="C574"/>
      <c r="D574"/>
      <c r="E574" t="s">
        <v>8</v>
      </c>
      <c r="F574" s="27" t="s">
        <v>7</v>
      </c>
      <c r="I574" s="27" t="s">
        <v>8</v>
      </c>
      <c r="J574" s="27" t="s">
        <v>7</v>
      </c>
      <c r="K574" s="27" t="s">
        <v>8</v>
      </c>
      <c r="L574" s="27" t="s">
        <v>7</v>
      </c>
      <c r="M574" s="27" t="s">
        <v>8</v>
      </c>
      <c r="N574" s="27" t="s">
        <v>7</v>
      </c>
      <c r="O574" s="27" t="s">
        <v>8</v>
      </c>
    </row>
    <row r="575" spans="1:204" x14ac:dyDescent="0.25">
      <c r="A575" s="7">
        <v>1.2682417945625455</v>
      </c>
      <c r="B575"/>
      <c r="C575"/>
      <c r="D575"/>
      <c r="E575" t="s">
        <v>8</v>
      </c>
      <c r="F575" s="27" t="s">
        <v>7</v>
      </c>
      <c r="G575" s="27" t="s">
        <v>8</v>
      </c>
      <c r="I575" s="27" t="s">
        <v>8</v>
      </c>
      <c r="J575" s="27" t="s">
        <v>7</v>
      </c>
      <c r="K575" s="27" t="s">
        <v>8</v>
      </c>
      <c r="L575" s="27" t="s">
        <v>7</v>
      </c>
      <c r="M575" s="27" t="s">
        <v>8</v>
      </c>
      <c r="N575" s="27" t="s">
        <v>7</v>
      </c>
      <c r="O575" s="27" t="s">
        <v>8</v>
      </c>
    </row>
    <row r="576" spans="1:204" x14ac:dyDescent="0.25">
      <c r="A576" s="7">
        <v>1.2433743083946525</v>
      </c>
      <c r="B576"/>
      <c r="C576"/>
      <c r="D576"/>
      <c r="E576" t="s">
        <v>8</v>
      </c>
      <c r="F576" s="27" t="s">
        <v>7</v>
      </c>
      <c r="G576" s="27" t="s">
        <v>8</v>
      </c>
      <c r="H576" s="27" t="s">
        <v>7</v>
      </c>
      <c r="I576" s="27" t="s">
        <v>8</v>
      </c>
      <c r="J576" s="27" t="s">
        <v>7</v>
      </c>
      <c r="K576" s="27" t="s">
        <v>8</v>
      </c>
      <c r="L576" s="27" t="s">
        <v>7</v>
      </c>
      <c r="M576" s="27" t="s">
        <v>8</v>
      </c>
      <c r="N576" s="27" t="s">
        <v>7</v>
      </c>
      <c r="O576" s="27" t="s">
        <v>8</v>
      </c>
    </row>
    <row r="577" spans="1:15" x14ac:dyDescent="0.25">
      <c r="A577" s="7">
        <v>1.2189944199947573</v>
      </c>
      <c r="B577"/>
      <c r="C577"/>
      <c r="D577"/>
      <c r="E577" t="s">
        <v>8</v>
      </c>
      <c r="F577" s="27" t="s">
        <v>7</v>
      </c>
      <c r="G577" s="27" t="s">
        <v>8</v>
      </c>
      <c r="H577" s="27" t="s">
        <v>7</v>
      </c>
      <c r="I577" s="27" t="s">
        <v>8</v>
      </c>
      <c r="J577" s="27" t="s">
        <v>7</v>
      </c>
      <c r="K577" s="27" t="s">
        <v>8</v>
      </c>
      <c r="L577" s="27" t="s">
        <v>7</v>
      </c>
      <c r="M577" s="27" t="s">
        <v>8</v>
      </c>
      <c r="N577" s="27" t="s">
        <v>7</v>
      </c>
      <c r="O577" s="27" t="s">
        <v>8</v>
      </c>
    </row>
    <row r="578" spans="1:15" x14ac:dyDescent="0.25">
      <c r="A578" s="7">
        <v>1.1950925686223111</v>
      </c>
      <c r="B578"/>
      <c r="C578"/>
      <c r="D578"/>
      <c r="E578" t="s">
        <v>8</v>
      </c>
      <c r="F578" s="27" t="s">
        <v>7</v>
      </c>
      <c r="G578" s="27" t="s">
        <v>8</v>
      </c>
      <c r="H578" s="27" t="s">
        <v>7</v>
      </c>
      <c r="I578" s="27" t="s">
        <v>8</v>
      </c>
      <c r="J578" s="27" t="s">
        <v>7</v>
      </c>
      <c r="K578" s="27" t="s">
        <v>8</v>
      </c>
      <c r="L578" s="27" t="s">
        <v>7</v>
      </c>
      <c r="M578" s="27" t="s">
        <v>8</v>
      </c>
      <c r="N578" s="27" t="s">
        <v>7</v>
      </c>
      <c r="O578" s="27" t="s">
        <v>8</v>
      </c>
    </row>
    <row r="579" spans="1:15" x14ac:dyDescent="0.25">
      <c r="A579" s="7">
        <v>1.1716593810022657</v>
      </c>
      <c r="B579"/>
      <c r="C579"/>
      <c r="D579"/>
      <c r="E579" t="s">
        <v>8</v>
      </c>
      <c r="F579" s="27" t="s">
        <v>7</v>
      </c>
      <c r="G579" s="27" t="s">
        <v>8</v>
      </c>
      <c r="H579" s="27" t="s">
        <v>7</v>
      </c>
      <c r="I579" s="27" t="s">
        <v>8</v>
      </c>
      <c r="J579" s="27" t="s">
        <v>7</v>
      </c>
      <c r="K579" s="27" t="s">
        <v>8</v>
      </c>
      <c r="L579" s="27" t="s">
        <v>7</v>
      </c>
      <c r="M579" s="27" t="s">
        <v>8</v>
      </c>
      <c r="N579" s="27" t="s">
        <v>7</v>
      </c>
      <c r="O579" s="27" t="s">
        <v>8</v>
      </c>
    </row>
    <row r="580" spans="1:15" x14ac:dyDescent="0.25">
      <c r="A580" s="7">
        <v>1.14868566764928</v>
      </c>
      <c r="B580"/>
      <c r="C580"/>
      <c r="D580"/>
      <c r="E580" t="s">
        <v>8</v>
      </c>
      <c r="F580" s="27" t="s">
        <v>7</v>
      </c>
      <c r="G580" s="27" t="s">
        <v>8</v>
      </c>
      <c r="H580" s="27" t="s">
        <v>7</v>
      </c>
      <c r="I580" s="27" t="s">
        <v>8</v>
      </c>
      <c r="J580" s="27" t="s">
        <v>7</v>
      </c>
      <c r="K580" s="27" t="s">
        <v>8</v>
      </c>
      <c r="L580" s="27" t="s">
        <v>7</v>
      </c>
      <c r="M580" s="27" t="s">
        <v>8</v>
      </c>
      <c r="N580" s="27" t="s">
        <v>7</v>
      </c>
      <c r="O580" s="27" t="s">
        <v>8</v>
      </c>
    </row>
    <row r="581" spans="1:15" x14ac:dyDescent="0.25">
      <c r="A581" s="7">
        <v>1.1261624192640001</v>
      </c>
      <c r="B581"/>
      <c r="C581"/>
      <c r="D581"/>
      <c r="E581" t="s">
        <v>8</v>
      </c>
      <c r="F581" s="27" t="s">
        <v>7</v>
      </c>
      <c r="G581" s="27" t="s">
        <v>8</v>
      </c>
      <c r="H581" s="27" t="s">
        <v>7</v>
      </c>
      <c r="I581" s="27" t="s">
        <v>8</v>
      </c>
      <c r="J581" s="27" t="s">
        <v>7</v>
      </c>
      <c r="K581" s="27" t="s">
        <v>8</v>
      </c>
      <c r="L581" s="27" t="s">
        <v>7</v>
      </c>
      <c r="M581" s="27" t="s">
        <v>8</v>
      </c>
      <c r="N581" s="27" t="s">
        <v>7</v>
      </c>
      <c r="O581" s="27" t="s">
        <v>8</v>
      </c>
    </row>
    <row r="582" spans="1:15" x14ac:dyDescent="0.25">
      <c r="A582" s="7">
        <v>1.1040808032</v>
      </c>
      <c r="B582"/>
      <c r="C582"/>
      <c r="D582"/>
      <c r="E582" t="s">
        <v>8</v>
      </c>
      <c r="F582" s="27" t="s">
        <v>7</v>
      </c>
      <c r="G582" s="27" t="s">
        <v>8</v>
      </c>
      <c r="H582" s="27" t="s">
        <v>7</v>
      </c>
      <c r="I582" s="27" t="s">
        <v>8</v>
      </c>
      <c r="J582" s="27" t="s">
        <v>7</v>
      </c>
      <c r="K582" s="27" t="s">
        <v>8</v>
      </c>
      <c r="L582" s="27" t="s">
        <v>7</v>
      </c>
      <c r="M582" s="27" t="s">
        <v>8</v>
      </c>
      <c r="N582" s="27" t="s">
        <v>7</v>
      </c>
      <c r="O582" s="27" t="s">
        <v>8</v>
      </c>
    </row>
    <row r="583" spans="1:15" x14ac:dyDescent="0.25">
      <c r="A583" s="7">
        <v>1.08243216</v>
      </c>
      <c r="B583"/>
      <c r="C583"/>
      <c r="D583"/>
      <c r="E583" t="s">
        <v>8</v>
      </c>
      <c r="F583" s="27" t="s">
        <v>7</v>
      </c>
      <c r="G583" s="27" t="s">
        <v>8</v>
      </c>
      <c r="H583" s="27" t="s">
        <v>7</v>
      </c>
      <c r="I583" s="27" t="s">
        <v>8</v>
      </c>
      <c r="J583" s="27" t="s">
        <v>7</v>
      </c>
      <c r="K583" s="27" t="s">
        <v>8</v>
      </c>
      <c r="L583" s="27" t="s">
        <v>7</v>
      </c>
      <c r="M583" s="27" t="s">
        <v>8</v>
      </c>
      <c r="N583" s="27" t="s">
        <v>7</v>
      </c>
      <c r="O583" s="27" t="s">
        <v>8</v>
      </c>
    </row>
    <row r="584" spans="1:15" x14ac:dyDescent="0.25">
      <c r="A584" s="7">
        <v>1.0612079999999999</v>
      </c>
      <c r="B584"/>
      <c r="C584"/>
      <c r="D584"/>
      <c r="E584" t="s">
        <v>8</v>
      </c>
      <c r="F584" s="27" t="s">
        <v>7</v>
      </c>
      <c r="G584" s="27" t="s">
        <v>8</v>
      </c>
      <c r="H584" s="27" t="s">
        <v>7</v>
      </c>
      <c r="I584" s="27" t="s">
        <v>8</v>
      </c>
      <c r="J584" s="27" t="s">
        <v>7</v>
      </c>
      <c r="K584" s="27" t="s">
        <v>8</v>
      </c>
      <c r="L584" s="27" t="s">
        <v>7</v>
      </c>
      <c r="M584" s="27" t="s">
        <v>8</v>
      </c>
      <c r="N584" s="27" t="s">
        <v>7</v>
      </c>
      <c r="O584" s="27" t="s">
        <v>8</v>
      </c>
    </row>
    <row r="585" spans="1:15" x14ac:dyDescent="0.25">
      <c r="A585" s="7">
        <v>1.0404</v>
      </c>
      <c r="B585"/>
      <c r="C585"/>
      <c r="D585"/>
      <c r="E585" t="s">
        <v>8</v>
      </c>
      <c r="F585" s="27" t="s">
        <v>7</v>
      </c>
      <c r="H585" s="27" t="s">
        <v>7</v>
      </c>
      <c r="I585" s="27" t="s">
        <v>8</v>
      </c>
      <c r="J585" s="27" t="s">
        <v>7</v>
      </c>
      <c r="K585" s="27" t="s">
        <v>8</v>
      </c>
      <c r="L585" s="27" t="s">
        <v>7</v>
      </c>
      <c r="M585" s="27" t="s">
        <v>8</v>
      </c>
      <c r="N585" s="27" t="s">
        <v>7</v>
      </c>
      <c r="O585" s="27" t="s">
        <v>8</v>
      </c>
    </row>
    <row r="586" spans="1:15" x14ac:dyDescent="0.25">
      <c r="A586" s="7">
        <v>1.02</v>
      </c>
      <c r="B586"/>
      <c r="C586"/>
      <c r="D586"/>
      <c r="E586" t="s">
        <v>8</v>
      </c>
      <c r="H586" s="27" t="s">
        <v>7</v>
      </c>
      <c r="I586" s="27" t="s">
        <v>8</v>
      </c>
      <c r="J586" s="27" t="s">
        <v>7</v>
      </c>
      <c r="K586" s="27" t="s">
        <v>8</v>
      </c>
      <c r="L586" s="27" t="s">
        <v>7</v>
      </c>
      <c r="N586" s="27" t="s">
        <v>7</v>
      </c>
      <c r="O586" s="27" t="s">
        <v>8</v>
      </c>
    </row>
    <row r="587" spans="1:15" x14ac:dyDescent="0.25">
      <c r="A587" s="7">
        <v>1</v>
      </c>
      <c r="B587"/>
      <c r="C587"/>
      <c r="D587"/>
      <c r="E587" s="29" t="s">
        <v>8</v>
      </c>
      <c r="H587" s="27" t="s">
        <v>7</v>
      </c>
      <c r="I587" s="27" t="s">
        <v>8</v>
      </c>
      <c r="J587" s="27" t="s">
        <v>7</v>
      </c>
      <c r="K587" s="27" t="s">
        <v>8</v>
      </c>
      <c r="N587" s="27" t="s">
        <v>7</v>
      </c>
      <c r="O587" s="27" t="s">
        <v>8</v>
      </c>
    </row>
    <row r="588" spans="1:15" x14ac:dyDescent="0.25">
      <c r="A588" s="7">
        <v>0.98039215686274506</v>
      </c>
      <c r="B588"/>
      <c r="C588"/>
      <c r="D588"/>
      <c r="E588"/>
      <c r="H588" s="27" t="s">
        <v>7</v>
      </c>
      <c r="I588" s="27" t="s">
        <v>8</v>
      </c>
      <c r="J588" s="27" t="s">
        <v>7</v>
      </c>
      <c r="K588" s="27" t="s">
        <v>8</v>
      </c>
      <c r="N588" s="27" t="s">
        <v>7</v>
      </c>
    </row>
    <row r="589" spans="1:15" x14ac:dyDescent="0.25">
      <c r="A589" s="7">
        <v>0.96116878123798544</v>
      </c>
      <c r="B589"/>
      <c r="C589"/>
      <c r="D589"/>
      <c r="E589"/>
      <c r="H589" s="27" t="s">
        <v>7</v>
      </c>
      <c r="I589" s="27" t="s">
        <v>8</v>
      </c>
      <c r="J589" s="27" t="s">
        <v>7</v>
      </c>
    </row>
    <row r="590" spans="1:15" x14ac:dyDescent="0.25">
      <c r="A590" s="7">
        <v>0.94232233454704462</v>
      </c>
      <c r="B590"/>
      <c r="C590"/>
      <c r="D590"/>
      <c r="E590"/>
      <c r="H590" s="27" t="s">
        <v>7</v>
      </c>
      <c r="I590" s="27" t="s">
        <v>8</v>
      </c>
    </row>
    <row r="591" spans="1:15" x14ac:dyDescent="0.25">
      <c r="A591" s="7">
        <v>0.92384542602651432</v>
      </c>
      <c r="B591"/>
      <c r="C591"/>
      <c r="D591"/>
      <c r="E591"/>
      <c r="H591" s="27" t="s">
        <v>7</v>
      </c>
      <c r="I591" s="27" t="s">
        <v>8</v>
      </c>
    </row>
    <row r="592" spans="1:15" x14ac:dyDescent="0.25">
      <c r="A592" s="7">
        <v>0.90573080982991594</v>
      </c>
      <c r="B592"/>
      <c r="C592"/>
      <c r="D592"/>
      <c r="E592"/>
      <c r="H592" s="27" t="s">
        <v>7</v>
      </c>
      <c r="I592" s="27" t="s">
        <v>8</v>
      </c>
    </row>
    <row r="593" spans="1:9" x14ac:dyDescent="0.25">
      <c r="A593" s="7">
        <v>0.8879713821861922</v>
      </c>
      <c r="B593"/>
      <c r="C593"/>
      <c r="D593"/>
      <c r="E593"/>
      <c r="H593" s="27" t="s">
        <v>7</v>
      </c>
      <c r="I593" s="27" t="s">
        <v>8</v>
      </c>
    </row>
    <row r="594" spans="1:9" x14ac:dyDescent="0.25">
      <c r="A594" s="7">
        <v>0.87056017861391399</v>
      </c>
      <c r="B594"/>
      <c r="C594"/>
      <c r="D594"/>
      <c r="E594"/>
      <c r="H594" s="27" t="s">
        <v>7</v>
      </c>
      <c r="I594" s="27" t="s">
        <v>8</v>
      </c>
    </row>
    <row r="595" spans="1:9" x14ac:dyDescent="0.25">
      <c r="A595" s="7">
        <v>0.85349037119011173</v>
      </c>
      <c r="B595"/>
      <c r="C595"/>
      <c r="D595"/>
      <c r="E595"/>
      <c r="H595" s="27" t="s">
        <v>7</v>
      </c>
      <c r="I595" s="27" t="s">
        <v>8</v>
      </c>
    </row>
    <row r="596" spans="1:9" x14ac:dyDescent="0.25">
      <c r="A596" s="7">
        <v>0.83675526587265858</v>
      </c>
      <c r="B596"/>
      <c r="C596"/>
      <c r="D596"/>
      <c r="E596"/>
      <c r="H596" s="27" t="s">
        <v>7</v>
      </c>
      <c r="I596" s="27" t="s">
        <v>8</v>
      </c>
    </row>
    <row r="597" spans="1:9" x14ac:dyDescent="0.25">
      <c r="A597" s="7">
        <v>0.82034829987515545</v>
      </c>
      <c r="B597"/>
      <c r="C597"/>
      <c r="D597"/>
      <c r="E597"/>
      <c r="H597" s="27" t="s">
        <v>7</v>
      </c>
      <c r="I597" s="27" t="s">
        <v>8</v>
      </c>
    </row>
    <row r="598" spans="1:9" x14ac:dyDescent="0.25">
      <c r="A598" s="7">
        <v>0.80426303909328967</v>
      </c>
      <c r="B598"/>
      <c r="C598"/>
      <c r="D598"/>
      <c r="E598"/>
      <c r="H598" s="27" t="s">
        <v>7</v>
      </c>
      <c r="I598" s="27" t="s">
        <v>8</v>
      </c>
    </row>
    <row r="599" spans="1:9" x14ac:dyDescent="0.25">
      <c r="A599" s="7">
        <v>0.78849317558165644</v>
      </c>
      <c r="B599"/>
      <c r="C599"/>
      <c r="D599"/>
      <c r="E599"/>
      <c r="H599" s="27" t="s">
        <v>7</v>
      </c>
      <c r="I599" s="27" t="s">
        <v>8</v>
      </c>
    </row>
    <row r="600" spans="1:9" x14ac:dyDescent="0.25">
      <c r="A600" s="7">
        <v>0.77303252508005538</v>
      </c>
      <c r="B600"/>
      <c r="C600"/>
      <c r="D600"/>
      <c r="E600"/>
      <c r="H600" s="27" t="s">
        <v>7</v>
      </c>
      <c r="I600" s="27" t="s">
        <v>8</v>
      </c>
    </row>
    <row r="601" spans="1:9" x14ac:dyDescent="0.25">
      <c r="A601" s="7">
        <v>0.75787502458828959</v>
      </c>
      <c r="B601"/>
      <c r="C601"/>
      <c r="D601"/>
      <c r="E601"/>
      <c r="H601" s="27" t="s">
        <v>7</v>
      </c>
    </row>
    <row r="602" spans="1:9" x14ac:dyDescent="0.25">
      <c r="A602" s="7">
        <v>0.74301472998851925</v>
      </c>
      <c r="B602"/>
      <c r="C602"/>
      <c r="D602"/>
      <c r="E602"/>
    </row>
    <row r="603" spans="1:9" x14ac:dyDescent="0.25">
      <c r="A603" s="7">
        <v>0.72844581371423456</v>
      </c>
      <c r="B603"/>
      <c r="C603"/>
      <c r="D603"/>
      <c r="E603"/>
    </row>
    <row r="604" spans="1:9" x14ac:dyDescent="0.25">
      <c r="A604" s="7">
        <v>0.71416256246493581</v>
      </c>
      <c r="B604"/>
      <c r="C604"/>
      <c r="D604"/>
      <c r="E604"/>
    </row>
    <row r="605" spans="1:9" x14ac:dyDescent="0.25">
      <c r="A605" s="7">
        <v>0.7001593749656233</v>
      </c>
      <c r="B605"/>
      <c r="C605"/>
      <c r="D605"/>
      <c r="E605"/>
    </row>
    <row r="606" spans="1:9" x14ac:dyDescent="0.25">
      <c r="A606" s="7">
        <v>0.68643075977021883</v>
      </c>
      <c r="B606"/>
      <c r="C606"/>
      <c r="D606"/>
      <c r="E606"/>
    </row>
    <row r="607" spans="1:9" x14ac:dyDescent="0.25">
      <c r="A607" s="7">
        <v>0.67297133310805768</v>
      </c>
      <c r="B607"/>
      <c r="C607"/>
      <c r="D607"/>
      <c r="E607"/>
    </row>
    <row r="608" spans="1:9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02" operator="equal">
      <formula>$U$1</formula>
    </cfRule>
    <cfRule type="cellIs" dxfId="89" priority="803" operator="equal">
      <formula>$S$1</formula>
    </cfRule>
  </conditionalFormatting>
  <conditionalFormatting sqref="D27">
    <cfRule type="cellIs" dxfId="88" priority="800" operator="equal">
      <formula>$S$1</formula>
    </cfRule>
    <cfRule type="cellIs" dxfId="87" priority="801" operator="equal">
      <formula>$U$1</formula>
    </cfRule>
  </conditionalFormatting>
  <conditionalFormatting sqref="C164">
    <cfRule type="cellIs" dxfId="86" priority="798" operator="equal">
      <formula>$U$1</formula>
    </cfRule>
    <cfRule type="cellIs" dxfId="85" priority="799" operator="equal">
      <formula>$S$1</formula>
    </cfRule>
  </conditionalFormatting>
  <conditionalFormatting sqref="D164">
    <cfRule type="cellIs" dxfId="84" priority="796" operator="equal">
      <formula>$S$1</formula>
    </cfRule>
    <cfRule type="cellIs" dxfId="83" priority="797" operator="equal">
      <formula>$U$1</formula>
    </cfRule>
  </conditionalFormatting>
  <conditionalFormatting sqref="C55">
    <cfRule type="cellIs" dxfId="82" priority="794" operator="equal">
      <formula>$U$1</formula>
    </cfRule>
    <cfRule type="cellIs" dxfId="81" priority="795" operator="equal">
      <formula>$S$1</formula>
    </cfRule>
  </conditionalFormatting>
  <conditionalFormatting sqref="D55">
    <cfRule type="cellIs" dxfId="80" priority="792" operator="equal">
      <formula>$S$1</formula>
    </cfRule>
    <cfRule type="cellIs" dxfId="79" priority="793" operator="equal">
      <formula>$U$1</formula>
    </cfRule>
  </conditionalFormatting>
  <conditionalFormatting sqref="C89">
    <cfRule type="cellIs" dxfId="78" priority="790" operator="equal">
      <formula>$U$1</formula>
    </cfRule>
    <cfRule type="cellIs" dxfId="77" priority="791" operator="equal">
      <formula>$S$1</formula>
    </cfRule>
  </conditionalFormatting>
  <conditionalFormatting sqref="D89">
    <cfRule type="cellIs" dxfId="76" priority="788" operator="equal">
      <formula>$S$1</formula>
    </cfRule>
    <cfRule type="cellIs" dxfId="75" priority="789" operator="equal">
      <formula>$U$1</formula>
    </cfRule>
  </conditionalFormatting>
  <conditionalFormatting sqref="C136">
    <cfRule type="cellIs" dxfId="74" priority="786" operator="equal">
      <formula>$U$1</formula>
    </cfRule>
    <cfRule type="cellIs" dxfId="73" priority="787" operator="equal">
      <formula>$S$1</formula>
    </cfRule>
  </conditionalFormatting>
  <conditionalFormatting sqref="D136">
    <cfRule type="cellIs" dxfId="72" priority="784" operator="equal">
      <formula>$S$1</formula>
    </cfRule>
    <cfRule type="cellIs" dxfId="71" priority="785" operator="equal">
      <formula>$U$1</formula>
    </cfRule>
  </conditionalFormatting>
  <conditionalFormatting sqref="C1">
    <cfRule type="cellIs" dxfId="70" priority="78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01" zoomScale="90" zoomScaleNormal="90" workbookViewId="0">
      <pane xSplit="4" topLeftCell="AQ1" activePane="topRight" state="frozen"/>
      <selection activeCell="A109" sqref="A109"/>
      <selection pane="topRight" activeCell="CW228" sqref="CW22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$A$227</v>
      </c>
      <c r="D111" s="1" t="str">
        <f>ADDRESS(C121-1,D121,1,1)</f>
        <v>$CW$227</v>
      </c>
      <c r="E111"/>
    </row>
    <row r="112" spans="1:5" x14ac:dyDescent="0.25">
      <c r="A112" s="30">
        <v>515.50191262726139</v>
      </c>
      <c r="C112" s="1" t="str">
        <f>ADDRESS(C121,1,1,1)</f>
        <v>$A$228</v>
      </c>
      <c r="D112" s="1" t="str">
        <f>ADDRESS(C121,D121-1,1,1)</f>
        <v>$CV$228</v>
      </c>
      <c r="E112"/>
    </row>
    <row r="113" spans="1:5" x14ac:dyDescent="0.25">
      <c r="A113" s="30">
        <v>490.95420250215363</v>
      </c>
      <c r="C113" s="1" t="str">
        <f>ADDRESS(C121+1,1,1,1)</f>
        <v>$A$229</v>
      </c>
      <c r="D113" s="1" t="str">
        <f>ADDRESS(C121-1,D121+1,1,1)</f>
        <v>$CX$227</v>
      </c>
    </row>
    <row r="114" spans="1:5" x14ac:dyDescent="0.25">
      <c r="A114" s="30">
        <v>467.57543095443202</v>
      </c>
      <c r="C114" s="1" t="str">
        <f>ADDRESS(C121,D121,1,1)</f>
        <v>$CW$228</v>
      </c>
      <c r="D114" s="1" t="str">
        <f>ADDRESS(C121+1,D121+1,1,1)</f>
        <v>$CX$229</v>
      </c>
    </row>
    <row r="115" spans="1:5" x14ac:dyDescent="0.25">
      <c r="A115" s="30">
        <v>445.30993424231622</v>
      </c>
      <c r="C115" s="1" t="str">
        <f>ADDRESS(C121+1,D121,1,1)</f>
        <v>$CW$229</v>
      </c>
    </row>
    <row r="116" spans="1:5" x14ac:dyDescent="0.25">
      <c r="A116" s="30">
        <v>424.10469927839637</v>
      </c>
      <c r="C116" s="1">
        <f>C117-1</f>
        <v>227</v>
      </c>
    </row>
    <row r="117" spans="1:5" x14ac:dyDescent="0.25">
      <c r="A117" s="30">
        <v>403.9092374079965</v>
      </c>
      <c r="C117" s="1">
        <f>C121</f>
        <v>228</v>
      </c>
      <c r="D117" s="1">
        <f>D121</f>
        <v>101</v>
      </c>
    </row>
    <row r="118" spans="1:5" x14ac:dyDescent="0.25">
      <c r="A118" s="30">
        <v>384.6754641980919</v>
      </c>
      <c r="C118" s="1">
        <f>C117+1</f>
        <v>229</v>
      </c>
      <c r="D118" s="1">
        <f>D117+1</f>
        <v>102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228</v>
      </c>
      <c r="D121" s="19">
        <v>101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R228</v>
      </c>
      <c r="D123" s="1" t="str">
        <f>"C"&amp;D121</f>
        <v>C101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1.7958563260221301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88" x14ac:dyDescent="0.25">
      <c r="A193" s="30">
        <v>9.9059710923258422</v>
      </c>
      <c r="E193"/>
    </row>
    <row r="194" spans="1:88" x14ac:dyDescent="0.25">
      <c r="A194" s="30">
        <v>9.4342581831674686</v>
      </c>
      <c r="E194"/>
    </row>
    <row r="195" spans="1:88" x14ac:dyDescent="0.25">
      <c r="A195" s="30">
        <v>8.9850077934928265</v>
      </c>
      <c r="E195"/>
    </row>
    <row r="196" spans="1:88" x14ac:dyDescent="0.25">
      <c r="A196" s="30">
        <v>8.5571502795169767</v>
      </c>
      <c r="E196"/>
    </row>
    <row r="197" spans="1:88" x14ac:dyDescent="0.25">
      <c r="A197" s="30">
        <v>8.1496669328733109</v>
      </c>
      <c r="E197"/>
    </row>
    <row r="198" spans="1:88" x14ac:dyDescent="0.25">
      <c r="A198" s="30">
        <v>7.7615875551174378</v>
      </c>
      <c r="E198"/>
      <c r="AY198" s="31" t="s">
        <v>8</v>
      </c>
    </row>
    <row r="199" spans="1:88" x14ac:dyDescent="0.25">
      <c r="A199" s="30">
        <v>7.3919881477308929</v>
      </c>
      <c r="E199"/>
      <c r="AW199" s="27" t="s">
        <v>8</v>
      </c>
      <c r="AY199" s="27" t="s">
        <v>8</v>
      </c>
      <c r="AZ199" s="31" t="s">
        <v>7</v>
      </c>
      <c r="CG199" s="27" t="s">
        <v>8</v>
      </c>
    </row>
    <row r="200" spans="1:88" x14ac:dyDescent="0.25">
      <c r="A200" s="30">
        <v>7.0399887121246598</v>
      </c>
      <c r="E200"/>
      <c r="AW200" s="27" t="s">
        <v>8</v>
      </c>
      <c r="AX200" s="27" t="s">
        <v>7</v>
      </c>
      <c r="AY200" s="27" t="s">
        <v>8</v>
      </c>
      <c r="AZ200" s="27" t="s">
        <v>7</v>
      </c>
      <c r="BA200" s="31"/>
      <c r="CG200" s="27" t="s">
        <v>8</v>
      </c>
      <c r="CH200" s="27" t="s">
        <v>7</v>
      </c>
    </row>
    <row r="201" spans="1:88" x14ac:dyDescent="0.25">
      <c r="A201" s="30">
        <v>6.7047511544044376</v>
      </c>
      <c r="E201"/>
      <c r="AW201" s="27" t="s">
        <v>8</v>
      </c>
      <c r="AX201" s="27" t="s">
        <v>7</v>
      </c>
      <c r="AY201" s="27" t="s">
        <v>8</v>
      </c>
      <c r="AZ201" s="27" t="s">
        <v>7</v>
      </c>
      <c r="BB201" s="31"/>
      <c r="CG201" s="27" t="s">
        <v>8</v>
      </c>
      <c r="CH201" s="27" t="s">
        <v>7</v>
      </c>
    </row>
    <row r="202" spans="1:88" x14ac:dyDescent="0.25">
      <c r="A202" s="30">
        <v>6.3854772899089882</v>
      </c>
      <c r="E202"/>
      <c r="AO202" s="32" t="s">
        <v>8</v>
      </c>
      <c r="AQ202" s="32" t="s">
        <v>8</v>
      </c>
      <c r="AW202" s="27" t="s">
        <v>8</v>
      </c>
      <c r="AX202" s="27" t="s">
        <v>7</v>
      </c>
      <c r="AZ202" s="27" t="s">
        <v>7</v>
      </c>
      <c r="BC202" s="31"/>
      <c r="CG202" s="27" t="s">
        <v>8</v>
      </c>
      <c r="CH202" s="27" t="s">
        <v>7</v>
      </c>
    </row>
    <row r="203" spans="1:88" x14ac:dyDescent="0.25">
      <c r="A203" s="30">
        <v>6.0814069427704647</v>
      </c>
      <c r="C203" s="7"/>
      <c r="D203"/>
      <c r="E203"/>
      <c r="W203" s="27" t="s">
        <v>8</v>
      </c>
      <c r="AA203" s="27" t="s">
        <v>8</v>
      </c>
      <c r="AO203" s="27" t="s">
        <v>8</v>
      </c>
      <c r="AP203" s="27" t="s">
        <v>7</v>
      </c>
      <c r="AQ203" s="27" t="s">
        <v>8</v>
      </c>
      <c r="AR203" s="27" t="s">
        <v>7</v>
      </c>
      <c r="AW203" s="27" t="s">
        <v>8</v>
      </c>
      <c r="AZ203" s="33" t="s">
        <v>7</v>
      </c>
      <c r="BD203" s="31"/>
      <c r="CG203" s="27" t="s">
        <v>8</v>
      </c>
      <c r="CH203" s="27" t="s">
        <v>7</v>
      </c>
    </row>
    <row r="204" spans="1:88" x14ac:dyDescent="0.25">
      <c r="A204" s="30">
        <v>5.7918161359718709</v>
      </c>
      <c r="E204"/>
      <c r="W204" s="27" t="s">
        <v>8</v>
      </c>
      <c r="X204" s="27" t="s">
        <v>7</v>
      </c>
      <c r="AA204" s="27" t="s">
        <v>8</v>
      </c>
      <c r="AB204" s="27" t="s">
        <v>7</v>
      </c>
      <c r="AC204" s="27" t="s">
        <v>8</v>
      </c>
      <c r="AM204" s="27" t="s">
        <v>8</v>
      </c>
      <c r="AO204" s="27" t="s">
        <v>8</v>
      </c>
      <c r="AP204" s="27" t="s">
        <v>7</v>
      </c>
      <c r="AQ204" s="27" t="s">
        <v>8</v>
      </c>
      <c r="AR204" s="27" t="s">
        <v>7</v>
      </c>
      <c r="AW204" s="27" t="s">
        <v>8</v>
      </c>
      <c r="AZ204" s="27" t="s">
        <v>7</v>
      </c>
      <c r="BE204" s="31"/>
      <c r="CG204" s="27" t="s">
        <v>8</v>
      </c>
      <c r="CH204" s="27" t="s">
        <v>7</v>
      </c>
    </row>
    <row r="205" spans="1:88" x14ac:dyDescent="0.25">
      <c r="A205" s="30">
        <v>5.5160153675922574</v>
      </c>
      <c r="E205"/>
      <c r="U205" s="27" t="s">
        <v>8</v>
      </c>
      <c r="W205" s="27" t="s">
        <v>8</v>
      </c>
      <c r="X205" s="27" t="s">
        <v>7</v>
      </c>
      <c r="AA205" s="27" t="s">
        <v>8</v>
      </c>
      <c r="AB205" s="27" t="s">
        <v>7</v>
      </c>
      <c r="AC205" s="27" t="s">
        <v>8</v>
      </c>
      <c r="AD205" s="27" t="s">
        <v>7</v>
      </c>
      <c r="AM205" s="27" t="s">
        <v>8</v>
      </c>
      <c r="AN205" s="27" t="s">
        <v>7</v>
      </c>
      <c r="AO205" s="27" t="s">
        <v>8</v>
      </c>
      <c r="AP205" s="27" t="s">
        <v>7</v>
      </c>
      <c r="AR205" s="27" t="s">
        <v>7</v>
      </c>
      <c r="AW205" s="34" t="s">
        <v>8</v>
      </c>
      <c r="AZ205" s="27" t="s">
        <v>7</v>
      </c>
      <c r="BF205" s="31"/>
      <c r="CG205" s="27" t="s">
        <v>8</v>
      </c>
      <c r="CH205" s="27" t="s">
        <v>7</v>
      </c>
      <c r="CI205" s="27" t="s">
        <v>8</v>
      </c>
    </row>
    <row r="206" spans="1:88" x14ac:dyDescent="0.25">
      <c r="A206" s="30">
        <v>5.2533479691354827</v>
      </c>
      <c r="C206"/>
      <c r="D206"/>
      <c r="E206"/>
      <c r="U206" s="27" t="s">
        <v>8</v>
      </c>
      <c r="V206" s="27" t="s">
        <v>7</v>
      </c>
      <c r="W206" s="27" t="s">
        <v>8</v>
      </c>
      <c r="X206" s="27" t="s">
        <v>7</v>
      </c>
      <c r="Y206" s="27" t="s">
        <v>8</v>
      </c>
      <c r="AA206" s="27" t="s">
        <v>8</v>
      </c>
      <c r="AB206" s="27" t="s">
        <v>7</v>
      </c>
      <c r="AC206" s="27" t="s">
        <v>8</v>
      </c>
      <c r="AD206" s="27" t="s">
        <v>7</v>
      </c>
      <c r="AM206" s="27" t="s">
        <v>8</v>
      </c>
      <c r="AN206" s="27" t="s">
        <v>7</v>
      </c>
      <c r="AO206" s="27" t="s">
        <v>8</v>
      </c>
      <c r="AR206" s="33" t="s">
        <v>7</v>
      </c>
      <c r="AS206" s="32" t="s">
        <v>8</v>
      </c>
      <c r="AU206" s="32" t="s">
        <v>8</v>
      </c>
      <c r="AW206" s="27" t="s">
        <v>8</v>
      </c>
      <c r="AZ206" s="27" t="s">
        <v>7</v>
      </c>
      <c r="BA206" s="27" t="s">
        <v>8</v>
      </c>
      <c r="BG206" s="31"/>
      <c r="CG206" s="27" t="s">
        <v>8</v>
      </c>
      <c r="CH206" s="27" t="s">
        <v>7</v>
      </c>
      <c r="CI206" s="27" t="s">
        <v>8</v>
      </c>
      <c r="CJ206" s="27" t="s">
        <v>7</v>
      </c>
    </row>
    <row r="207" spans="1:88" x14ac:dyDescent="0.25">
      <c r="A207" s="30">
        <v>5.0031885420337927</v>
      </c>
      <c r="E207"/>
      <c r="U207" s="27" t="s">
        <v>8</v>
      </c>
      <c r="V207" s="27" t="s">
        <v>7</v>
      </c>
      <c r="W207" s="27" t="s">
        <v>8</v>
      </c>
      <c r="X207" s="27" t="s">
        <v>7</v>
      </c>
      <c r="Y207" s="27" t="s">
        <v>8</v>
      </c>
      <c r="Z207" s="27" t="s">
        <v>7</v>
      </c>
      <c r="AA207" s="27" t="s">
        <v>8</v>
      </c>
      <c r="AB207" s="27" t="s">
        <v>7</v>
      </c>
      <c r="AC207" s="27" t="s">
        <v>8</v>
      </c>
      <c r="AD207" s="27" t="s">
        <v>7</v>
      </c>
      <c r="AE207" s="27" t="s">
        <v>8</v>
      </c>
      <c r="AK207" s="27" t="s">
        <v>8</v>
      </c>
      <c r="AM207" s="27" t="s">
        <v>8</v>
      </c>
      <c r="AN207" s="27" t="s">
        <v>7</v>
      </c>
      <c r="AO207" s="27" t="s">
        <v>8</v>
      </c>
      <c r="AR207" s="27" t="s">
        <v>7</v>
      </c>
      <c r="AS207" s="27" t="s">
        <v>8</v>
      </c>
      <c r="AT207" s="27" t="s">
        <v>7</v>
      </c>
      <c r="AU207" s="27" t="s">
        <v>8</v>
      </c>
      <c r="AV207" s="27" t="s">
        <v>7</v>
      </c>
      <c r="AW207" s="27" t="s">
        <v>8</v>
      </c>
      <c r="AZ207" s="27" t="s">
        <v>7</v>
      </c>
      <c r="BA207" s="27" t="s">
        <v>8</v>
      </c>
      <c r="BB207" s="27" t="s">
        <v>7</v>
      </c>
      <c r="BH207" s="31"/>
      <c r="CG207" s="27" t="s">
        <v>8</v>
      </c>
      <c r="CH207" s="27" t="s">
        <v>7</v>
      </c>
      <c r="CI207" s="27" t="s">
        <v>8</v>
      </c>
      <c r="CJ207" s="27" t="s">
        <v>7</v>
      </c>
    </row>
    <row r="208" spans="1:88" x14ac:dyDescent="0.25">
      <c r="A208" s="30">
        <v>4.7649414686036122</v>
      </c>
      <c r="E208"/>
      <c r="U208" s="27" t="s">
        <v>8</v>
      </c>
      <c r="V208" s="27" t="s">
        <v>7</v>
      </c>
      <c r="W208" s="27" t="s">
        <v>8</v>
      </c>
      <c r="X208" s="27" t="s">
        <v>7</v>
      </c>
      <c r="Y208" s="27" t="s">
        <v>8</v>
      </c>
      <c r="Z208" s="27" t="s">
        <v>7</v>
      </c>
      <c r="AA208" s="27" t="s">
        <v>8</v>
      </c>
      <c r="AB208" s="27" t="s">
        <v>7</v>
      </c>
      <c r="AC208" s="27" t="s">
        <v>8</v>
      </c>
      <c r="AD208" s="27" t="s">
        <v>7</v>
      </c>
      <c r="AE208" s="27" t="s">
        <v>8</v>
      </c>
      <c r="AF208" s="27" t="s">
        <v>7</v>
      </c>
      <c r="AK208" s="27" t="s">
        <v>8</v>
      </c>
      <c r="AL208" s="27" t="s">
        <v>7</v>
      </c>
      <c r="AM208" s="27" t="s">
        <v>8</v>
      </c>
      <c r="AN208" s="27" t="s">
        <v>7</v>
      </c>
      <c r="AO208" s="27" t="s">
        <v>8</v>
      </c>
      <c r="AR208" s="27" t="s">
        <v>7</v>
      </c>
      <c r="AS208" s="27" t="s">
        <v>8</v>
      </c>
      <c r="AT208" s="27" t="s">
        <v>7</v>
      </c>
      <c r="AU208" s="27" t="s">
        <v>8</v>
      </c>
      <c r="AV208" s="27" t="s">
        <v>7</v>
      </c>
      <c r="AW208" s="27" t="s">
        <v>8</v>
      </c>
      <c r="AZ208" s="27" t="s">
        <v>7</v>
      </c>
      <c r="BA208" s="27" t="s">
        <v>8</v>
      </c>
      <c r="BB208" s="27" t="s">
        <v>7</v>
      </c>
      <c r="BI208" s="31"/>
      <c r="CG208" s="27" t="s">
        <v>8</v>
      </c>
      <c r="CH208" s="27" t="s">
        <v>7</v>
      </c>
      <c r="CJ208" s="27" t="s">
        <v>7</v>
      </c>
    </row>
    <row r="209" spans="1:100" x14ac:dyDescent="0.25">
      <c r="A209" s="30">
        <v>4.5380394939082018</v>
      </c>
      <c r="E209"/>
      <c r="U209" s="27" t="s">
        <v>8</v>
      </c>
      <c r="V209" s="27" t="s">
        <v>7</v>
      </c>
      <c r="W209" s="27" t="s">
        <v>8</v>
      </c>
      <c r="X209" s="27" t="s">
        <v>7</v>
      </c>
      <c r="Y209" s="27" t="s">
        <v>8</v>
      </c>
      <c r="Z209" s="27" t="s">
        <v>7</v>
      </c>
      <c r="AB209" s="27" t="s">
        <v>7</v>
      </c>
      <c r="AC209" s="27" t="s">
        <v>8</v>
      </c>
      <c r="AD209" s="27" t="s">
        <v>7</v>
      </c>
      <c r="AE209" s="27" t="s">
        <v>8</v>
      </c>
      <c r="AF209" s="27" t="s">
        <v>7</v>
      </c>
      <c r="AI209" s="34" t="s">
        <v>8</v>
      </c>
      <c r="AK209" s="27" t="s">
        <v>8</v>
      </c>
      <c r="AL209" s="27" t="s">
        <v>7</v>
      </c>
      <c r="AM209" s="27" t="s">
        <v>8</v>
      </c>
      <c r="AN209" s="27" t="s">
        <v>7</v>
      </c>
      <c r="AR209" s="32" t="s">
        <v>7</v>
      </c>
      <c r="AT209" s="32" t="s">
        <v>7</v>
      </c>
      <c r="AV209" s="27" t="s">
        <v>7</v>
      </c>
      <c r="AW209" s="27" t="s">
        <v>8</v>
      </c>
      <c r="AZ209" s="27" t="s">
        <v>7</v>
      </c>
      <c r="BB209" s="27" t="s">
        <v>7</v>
      </c>
      <c r="BJ209" s="31"/>
      <c r="CE209" s="27" t="s">
        <v>8</v>
      </c>
      <c r="CG209" s="27" t="s">
        <v>8</v>
      </c>
      <c r="CJ209" s="27" t="s">
        <v>7</v>
      </c>
    </row>
    <row r="210" spans="1:100" x14ac:dyDescent="0.25">
      <c r="A210" s="30">
        <v>4.3219423751506678</v>
      </c>
      <c r="C210"/>
      <c r="E210"/>
      <c r="U210" s="27" t="s">
        <v>8</v>
      </c>
      <c r="V210" s="27" t="s">
        <v>7</v>
      </c>
      <c r="X210" s="27" t="s">
        <v>7</v>
      </c>
      <c r="AB210" s="27" t="s">
        <v>7</v>
      </c>
      <c r="AD210" s="27" t="s">
        <v>7</v>
      </c>
      <c r="AE210" s="27" t="s">
        <v>8</v>
      </c>
      <c r="AF210" s="27" t="s">
        <v>7</v>
      </c>
      <c r="AG210" s="27" t="s">
        <v>8</v>
      </c>
      <c r="AI210" s="27" t="s">
        <v>8</v>
      </c>
      <c r="AJ210" s="27" t="s">
        <v>7</v>
      </c>
      <c r="AK210" s="27" t="s">
        <v>8</v>
      </c>
      <c r="AL210" s="27" t="s">
        <v>7</v>
      </c>
      <c r="AM210" s="27" t="s">
        <v>8</v>
      </c>
      <c r="AV210" s="27" t="s">
        <v>7</v>
      </c>
      <c r="AW210" s="27" t="s">
        <v>8</v>
      </c>
      <c r="BB210" s="27" t="s">
        <v>7</v>
      </c>
      <c r="BK210" s="31"/>
      <c r="CE210" s="27" t="s">
        <v>8</v>
      </c>
      <c r="CF210" s="27" t="s">
        <v>7</v>
      </c>
      <c r="CG210" s="27" t="s">
        <v>8</v>
      </c>
      <c r="CJ210" s="27" t="s">
        <v>7</v>
      </c>
    </row>
    <row r="211" spans="1:100" x14ac:dyDescent="0.25">
      <c r="A211" s="30">
        <v>4.1161355953815884</v>
      </c>
      <c r="E211"/>
      <c r="U211" s="27" t="s">
        <v>8</v>
      </c>
      <c r="AD211" s="33" t="s">
        <v>7</v>
      </c>
      <c r="AE211" s="27" t="s">
        <v>8</v>
      </c>
      <c r="AF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K211" s="27" t="s">
        <v>8</v>
      </c>
      <c r="AL211" s="27" t="s">
        <v>7</v>
      </c>
      <c r="AM211" s="27" t="s">
        <v>8</v>
      </c>
      <c r="AV211" s="27" t="s">
        <v>7</v>
      </c>
      <c r="AW211" s="27" t="s">
        <v>8</v>
      </c>
      <c r="BB211" s="27" t="s">
        <v>7</v>
      </c>
      <c r="BI211" s="27" t="s">
        <v>8</v>
      </c>
      <c r="BL211" s="31"/>
      <c r="CE211" s="27" t="s">
        <v>8</v>
      </c>
      <c r="CF211" s="27" t="s">
        <v>7</v>
      </c>
      <c r="CG211" s="27" t="s">
        <v>8</v>
      </c>
      <c r="CJ211" s="27" t="s">
        <v>7</v>
      </c>
      <c r="CK211" s="27" t="s">
        <v>8</v>
      </c>
      <c r="CM211" s="27" t="s">
        <v>8</v>
      </c>
    </row>
    <row r="212" spans="1:100" x14ac:dyDescent="0.25">
      <c r="A212" s="30">
        <v>3.9201291384586554</v>
      </c>
      <c r="E212"/>
      <c r="U212" s="27" t="s">
        <v>8</v>
      </c>
      <c r="AD212" s="27" t="s">
        <v>7</v>
      </c>
      <c r="AE212" s="27" t="s">
        <v>8</v>
      </c>
      <c r="AF212" s="27" t="s">
        <v>7</v>
      </c>
      <c r="AG212" s="27" t="s">
        <v>8</v>
      </c>
      <c r="AH212" s="27" t="s">
        <v>7</v>
      </c>
      <c r="AI212" s="27" t="s">
        <v>8</v>
      </c>
      <c r="AJ212" s="27" t="s">
        <v>7</v>
      </c>
      <c r="AK212" s="27" t="s">
        <v>8</v>
      </c>
      <c r="AL212" s="27" t="s">
        <v>7</v>
      </c>
      <c r="AM212" s="27" t="s">
        <v>8</v>
      </c>
      <c r="AV212" s="27" t="s">
        <v>7</v>
      </c>
      <c r="BB212" s="27" t="s">
        <v>7</v>
      </c>
      <c r="BC212" s="27" t="s">
        <v>8</v>
      </c>
      <c r="BI212" s="27" t="s">
        <v>8</v>
      </c>
      <c r="BJ212" s="27" t="s">
        <v>7</v>
      </c>
      <c r="BK212" s="27" t="s">
        <v>8</v>
      </c>
      <c r="BM212" s="31"/>
      <c r="BU212" s="31" t="s">
        <v>8</v>
      </c>
      <c r="CE212" s="27" t="s">
        <v>8</v>
      </c>
      <c r="CF212" s="27" t="s">
        <v>7</v>
      </c>
      <c r="CG212" s="27" t="s">
        <v>8</v>
      </c>
      <c r="CJ212" s="27" t="s">
        <v>7</v>
      </c>
      <c r="CK212" s="27" t="s">
        <v>8</v>
      </c>
      <c r="CL212" s="27" t="s">
        <v>7</v>
      </c>
      <c r="CM212" s="27" t="s">
        <v>8</v>
      </c>
      <c r="CN212" s="27" t="s">
        <v>7</v>
      </c>
    </row>
    <row r="213" spans="1:100" x14ac:dyDescent="0.25">
      <c r="A213" s="30">
        <v>3.7334563223415764</v>
      </c>
      <c r="E213"/>
      <c r="U213" s="27" t="s">
        <v>8</v>
      </c>
      <c r="AD213" s="27" t="s">
        <v>7</v>
      </c>
      <c r="AE213" s="27" t="s">
        <v>8</v>
      </c>
      <c r="AF213" s="27" t="s">
        <v>7</v>
      </c>
      <c r="AG213" s="27" t="s">
        <v>8</v>
      </c>
      <c r="AH213" s="27" t="s">
        <v>7</v>
      </c>
      <c r="AI213" s="27" t="s">
        <v>8</v>
      </c>
      <c r="AJ213" s="32" t="s">
        <v>7</v>
      </c>
      <c r="AL213" s="32" t="s">
        <v>7</v>
      </c>
      <c r="BB213" s="27" t="s">
        <v>7</v>
      </c>
      <c r="BC213" s="27" t="s">
        <v>8</v>
      </c>
      <c r="BD213" s="27" t="s">
        <v>7</v>
      </c>
      <c r="BI213" s="27" t="s">
        <v>8</v>
      </c>
      <c r="BJ213" s="27" t="s">
        <v>7</v>
      </c>
      <c r="BK213" s="27" t="s">
        <v>8</v>
      </c>
      <c r="BL213" s="27" t="s">
        <v>7</v>
      </c>
      <c r="BN213" s="31"/>
      <c r="BU213" s="27" t="s">
        <v>8</v>
      </c>
      <c r="BV213" s="31" t="s">
        <v>7</v>
      </c>
      <c r="CE213" s="27" t="s">
        <v>8</v>
      </c>
      <c r="CF213" s="27" t="s">
        <v>7</v>
      </c>
      <c r="CJ213" s="27" t="s">
        <v>7</v>
      </c>
      <c r="CK213" s="27" t="s">
        <v>8</v>
      </c>
      <c r="CL213" s="27" t="s">
        <v>7</v>
      </c>
      <c r="CM213" s="27" t="s">
        <v>8</v>
      </c>
      <c r="CN213" s="27" t="s">
        <v>7</v>
      </c>
    </row>
    <row r="214" spans="1:100" x14ac:dyDescent="0.25">
      <c r="A214" s="30">
        <v>3.5556726879443583</v>
      </c>
      <c r="E214"/>
      <c r="U214" s="27" t="s">
        <v>8</v>
      </c>
      <c r="AD214" s="27" t="s">
        <v>7</v>
      </c>
      <c r="AE214" s="27" t="s">
        <v>8</v>
      </c>
      <c r="AF214" s="27" t="s">
        <v>7</v>
      </c>
      <c r="AH214" s="27" t="s">
        <v>7</v>
      </c>
      <c r="BB214" s="27" t="s">
        <v>7</v>
      </c>
      <c r="BC214" s="27" t="s">
        <v>8</v>
      </c>
      <c r="BD214" s="27" t="s">
        <v>7</v>
      </c>
      <c r="BI214" s="27" t="s">
        <v>8</v>
      </c>
      <c r="BJ214" s="27" t="s">
        <v>7</v>
      </c>
      <c r="BK214" s="27" t="s">
        <v>8</v>
      </c>
      <c r="BL214" s="27" t="s">
        <v>7</v>
      </c>
      <c r="BO214" s="31"/>
      <c r="BS214" s="27" t="s">
        <v>8</v>
      </c>
      <c r="BU214" s="27" t="s">
        <v>8</v>
      </c>
      <c r="BV214" s="27" t="s">
        <v>7</v>
      </c>
      <c r="BW214" s="31"/>
      <c r="CE214" s="27" t="s">
        <v>8</v>
      </c>
      <c r="CJ214" s="27" t="s">
        <v>7</v>
      </c>
      <c r="CL214" s="27" t="s">
        <v>7</v>
      </c>
      <c r="CM214" s="27" t="s">
        <v>8</v>
      </c>
      <c r="CN214" s="27" t="s">
        <v>7</v>
      </c>
    </row>
    <row r="215" spans="1:100" x14ac:dyDescent="0.25">
      <c r="A215" s="30">
        <v>3.3863549408993889</v>
      </c>
      <c r="E215"/>
      <c r="U215" s="27" t="s">
        <v>8</v>
      </c>
      <c r="AD215" s="27" t="s">
        <v>7</v>
      </c>
      <c r="AE215" s="27" t="s">
        <v>8</v>
      </c>
      <c r="BB215" s="27" t="s">
        <v>7</v>
      </c>
      <c r="BC215" s="27" t="s">
        <v>8</v>
      </c>
      <c r="BD215" s="27" t="s">
        <v>7</v>
      </c>
      <c r="BG215" s="34" t="s">
        <v>8</v>
      </c>
      <c r="BI215" s="27" t="s">
        <v>8</v>
      </c>
      <c r="BJ215" s="27" t="s">
        <v>7</v>
      </c>
      <c r="BK215" s="27" t="s">
        <v>8</v>
      </c>
      <c r="BL215" s="27" t="s">
        <v>7</v>
      </c>
      <c r="BP215" s="31"/>
      <c r="BS215" s="27" t="s">
        <v>8</v>
      </c>
      <c r="BT215" s="27" t="s">
        <v>7</v>
      </c>
      <c r="BU215" s="27" t="s">
        <v>8</v>
      </c>
      <c r="BV215" s="27" t="s">
        <v>7</v>
      </c>
      <c r="BW215" s="27" t="s">
        <v>8</v>
      </c>
      <c r="BX215" s="31"/>
      <c r="CE215" s="27" t="s">
        <v>8</v>
      </c>
      <c r="CL215" s="27" t="s">
        <v>7</v>
      </c>
      <c r="CN215" s="27" t="s">
        <v>7</v>
      </c>
    </row>
    <row r="216" spans="1:100" x14ac:dyDescent="0.25">
      <c r="A216" s="30">
        <v>3.2250999437137038</v>
      </c>
      <c r="E216"/>
      <c r="U216" s="27" t="s">
        <v>8</v>
      </c>
      <c r="AD216" s="27" t="s">
        <v>7</v>
      </c>
      <c r="AE216" s="27" t="s">
        <v>8</v>
      </c>
      <c r="BB216" s="27" t="s">
        <v>7</v>
      </c>
      <c r="BC216" s="27" t="s">
        <v>8</v>
      </c>
      <c r="BD216" s="27" t="s">
        <v>7</v>
      </c>
      <c r="BE216" s="27" t="s">
        <v>8</v>
      </c>
      <c r="BG216" s="27" t="s">
        <v>8</v>
      </c>
      <c r="BH216" s="27" t="s">
        <v>7</v>
      </c>
      <c r="BI216" s="27" t="s">
        <v>8</v>
      </c>
      <c r="BJ216" s="27" t="s">
        <v>7</v>
      </c>
      <c r="BK216" s="27" t="s">
        <v>8</v>
      </c>
      <c r="BL216" s="27" t="s">
        <v>7</v>
      </c>
      <c r="BQ216" s="31"/>
      <c r="BS216" s="27" t="s">
        <v>8</v>
      </c>
      <c r="BT216" s="27" t="s">
        <v>7</v>
      </c>
      <c r="BU216" s="27" t="s">
        <v>8</v>
      </c>
      <c r="BV216" s="27" t="s">
        <v>7</v>
      </c>
      <c r="BW216" s="27" t="s">
        <v>8</v>
      </c>
      <c r="BX216" s="27" t="s">
        <v>7</v>
      </c>
      <c r="BY216" s="31"/>
      <c r="CC216" s="27" t="s">
        <v>8</v>
      </c>
      <c r="CE216" s="27" t="s">
        <v>8</v>
      </c>
      <c r="CN216" s="27" t="s">
        <v>7</v>
      </c>
    </row>
    <row r="217" spans="1:100" x14ac:dyDescent="0.25">
      <c r="A217" s="30">
        <v>3.0715237559178128</v>
      </c>
      <c r="E217"/>
      <c r="U217" s="27" t="s">
        <v>8</v>
      </c>
      <c r="AD217" s="27" t="s">
        <v>7</v>
      </c>
      <c r="BB217" s="27" t="s">
        <v>7</v>
      </c>
      <c r="BC217" s="27" t="s">
        <v>8</v>
      </c>
      <c r="BD217" s="27" t="s">
        <v>7</v>
      </c>
      <c r="BE217" s="27" t="s">
        <v>8</v>
      </c>
      <c r="BF217" s="27" t="s">
        <v>7</v>
      </c>
      <c r="BG217" s="27" t="s">
        <v>8</v>
      </c>
      <c r="BH217" s="27" t="s">
        <v>7</v>
      </c>
      <c r="BI217" s="27" t="s">
        <v>8</v>
      </c>
      <c r="BJ217" s="27" t="s">
        <v>7</v>
      </c>
      <c r="BK217" s="27" t="s">
        <v>8</v>
      </c>
      <c r="BL217" s="27" t="s">
        <v>7</v>
      </c>
      <c r="BR217" s="31"/>
      <c r="BS217" s="27" t="s">
        <v>8</v>
      </c>
      <c r="BT217" s="27" t="s">
        <v>7</v>
      </c>
      <c r="BU217" s="27" t="s">
        <v>8</v>
      </c>
      <c r="BV217" s="27" t="s">
        <v>7</v>
      </c>
      <c r="BW217" s="27" t="s">
        <v>8</v>
      </c>
      <c r="BX217" s="27" t="s">
        <v>7</v>
      </c>
      <c r="CC217" s="27" t="s">
        <v>8</v>
      </c>
      <c r="CD217" s="27" t="s">
        <v>7</v>
      </c>
      <c r="CE217" s="27" t="s">
        <v>8</v>
      </c>
      <c r="CN217" s="27" t="s">
        <v>7</v>
      </c>
    </row>
    <row r="218" spans="1:100" x14ac:dyDescent="0.25">
      <c r="A218" s="30">
        <v>2.9252607199217264</v>
      </c>
      <c r="E218"/>
      <c r="U218" s="27" t="s">
        <v>8</v>
      </c>
      <c r="BB218" s="27" t="s">
        <v>7</v>
      </c>
      <c r="BC218" s="27" t="s">
        <v>8</v>
      </c>
      <c r="BD218" s="27" t="s">
        <v>7</v>
      </c>
      <c r="BE218" s="27" t="s">
        <v>8</v>
      </c>
      <c r="BF218" s="27" t="s">
        <v>7</v>
      </c>
      <c r="BG218" s="27" t="s">
        <v>8</v>
      </c>
      <c r="BH218" s="27" t="s">
        <v>7</v>
      </c>
      <c r="BI218" s="27" t="s">
        <v>8</v>
      </c>
      <c r="BJ218" s="27" t="s">
        <v>7</v>
      </c>
      <c r="BK218" s="27" t="s">
        <v>8</v>
      </c>
      <c r="BL218" s="27" t="s">
        <v>7</v>
      </c>
      <c r="BQ218" s="27" t="s">
        <v>8</v>
      </c>
      <c r="BS218" s="31" t="s">
        <v>8</v>
      </c>
      <c r="BT218" s="27" t="s">
        <v>7</v>
      </c>
      <c r="BV218" s="27" t="s">
        <v>7</v>
      </c>
      <c r="BW218" s="27" t="s">
        <v>8</v>
      </c>
      <c r="BX218" s="27" t="s">
        <v>7</v>
      </c>
      <c r="CA218" s="27" t="s">
        <v>8</v>
      </c>
      <c r="CC218" s="27" t="s">
        <v>8</v>
      </c>
      <c r="CD218" s="27" t="s">
        <v>7</v>
      </c>
      <c r="CE218" s="27" t="s">
        <v>8</v>
      </c>
      <c r="CN218" s="27" t="s">
        <v>7</v>
      </c>
      <c r="CQ218" s="27" t="s">
        <v>8</v>
      </c>
      <c r="CS218" s="27" t="s">
        <v>8</v>
      </c>
    </row>
    <row r="219" spans="1:100" x14ac:dyDescent="0.25">
      <c r="A219" s="30">
        <v>2.7859625904016441</v>
      </c>
      <c r="E219"/>
      <c r="U219" s="27" t="s">
        <v>8</v>
      </c>
      <c r="BB219" s="27" t="s">
        <v>7</v>
      </c>
      <c r="BC219" s="27" t="s">
        <v>8</v>
      </c>
      <c r="BD219" s="27" t="s">
        <v>7</v>
      </c>
      <c r="BE219" s="27" t="s">
        <v>8</v>
      </c>
      <c r="BF219" s="27" t="s">
        <v>7</v>
      </c>
      <c r="BG219" s="27" t="s">
        <v>8</v>
      </c>
      <c r="BH219" s="27" t="s">
        <v>7</v>
      </c>
      <c r="BI219" s="27" t="s">
        <v>8</v>
      </c>
      <c r="BJ219" s="27" t="s">
        <v>7</v>
      </c>
      <c r="BK219" s="27" t="s">
        <v>8</v>
      </c>
      <c r="BL219" s="27" t="s">
        <v>7</v>
      </c>
      <c r="BM219" s="27" t="s">
        <v>8</v>
      </c>
      <c r="BQ219" s="34" t="s">
        <v>8</v>
      </c>
      <c r="BR219" s="27" t="s">
        <v>7</v>
      </c>
      <c r="BS219" s="27" t="s">
        <v>8</v>
      </c>
      <c r="BT219" s="19"/>
      <c r="BV219" s="27" t="s">
        <v>7</v>
      </c>
      <c r="BW219" s="27" t="s">
        <v>8</v>
      </c>
      <c r="BX219" s="27" t="s">
        <v>7</v>
      </c>
      <c r="BY219" s="27" t="s">
        <v>8</v>
      </c>
      <c r="CA219" s="27" t="s">
        <v>8</v>
      </c>
      <c r="CB219" s="27" t="s">
        <v>7</v>
      </c>
      <c r="CC219" s="27" t="s">
        <v>8</v>
      </c>
      <c r="CD219" s="27" t="s">
        <v>7</v>
      </c>
      <c r="CN219" s="27" t="s">
        <v>7</v>
      </c>
      <c r="CO219" s="27" t="s">
        <v>8</v>
      </c>
      <c r="CQ219" s="27" t="s">
        <v>8</v>
      </c>
      <c r="CR219" s="27" t="s">
        <v>7</v>
      </c>
      <c r="CS219" s="27" t="s">
        <v>8</v>
      </c>
      <c r="CT219" s="27" t="s">
        <v>7</v>
      </c>
    </row>
    <row r="220" spans="1:100" x14ac:dyDescent="0.25">
      <c r="A220" s="30">
        <v>2.6532977051444226</v>
      </c>
      <c r="E220"/>
      <c r="S220" s="27" t="s">
        <v>8</v>
      </c>
      <c r="U220" s="27" t="s">
        <v>8</v>
      </c>
      <c r="BB220" s="32" t="s">
        <v>7</v>
      </c>
      <c r="BD220" s="32" t="s">
        <v>7</v>
      </c>
      <c r="BF220" s="27" t="s">
        <v>7</v>
      </c>
      <c r="BG220" s="27" t="s">
        <v>8</v>
      </c>
      <c r="BH220" s="27" t="s">
        <v>7</v>
      </c>
      <c r="BI220" s="27" t="s">
        <v>8</v>
      </c>
      <c r="BJ220" s="27" t="s">
        <v>7</v>
      </c>
      <c r="BK220" s="27" t="s">
        <v>8</v>
      </c>
      <c r="BL220" s="27" t="s">
        <v>7</v>
      </c>
      <c r="BM220" s="27" t="s">
        <v>8</v>
      </c>
      <c r="BN220" s="27" t="s">
        <v>7</v>
      </c>
      <c r="BO220" s="27" t="s">
        <v>8</v>
      </c>
      <c r="BQ220" s="27" t="s">
        <v>8</v>
      </c>
      <c r="BR220" s="27" t="s">
        <v>7</v>
      </c>
      <c r="BS220" s="27" t="s">
        <v>8</v>
      </c>
      <c r="BU220" s="19"/>
      <c r="BV220" s="27" t="s">
        <v>7</v>
      </c>
      <c r="BX220" s="27" t="s">
        <v>7</v>
      </c>
      <c r="BY220" s="27" t="s">
        <v>8</v>
      </c>
      <c r="BZ220" s="27" t="s">
        <v>7</v>
      </c>
      <c r="CA220" s="27" t="s">
        <v>8</v>
      </c>
      <c r="CB220" s="27" t="s">
        <v>7</v>
      </c>
      <c r="CC220" s="27" t="s">
        <v>8</v>
      </c>
      <c r="CN220" s="27" t="s">
        <v>7</v>
      </c>
      <c r="CO220" s="27" t="s">
        <v>8</v>
      </c>
      <c r="CP220" s="27" t="s">
        <v>7</v>
      </c>
      <c r="CQ220" s="27" t="s">
        <v>8</v>
      </c>
      <c r="CR220" s="27" t="s">
        <v>7</v>
      </c>
      <c r="CS220" s="27" t="s">
        <v>8</v>
      </c>
      <c r="CT220" s="27" t="s">
        <v>7</v>
      </c>
    </row>
    <row r="221" spans="1:100" x14ac:dyDescent="0.25">
      <c r="A221" s="30">
        <v>2.5269501953756404</v>
      </c>
      <c r="E221"/>
      <c r="S221" s="27" t="s">
        <v>8</v>
      </c>
      <c r="T221" s="27" t="s">
        <v>7</v>
      </c>
      <c r="U221" s="27" t="s">
        <v>8</v>
      </c>
      <c r="BF221" s="27" t="s">
        <v>7</v>
      </c>
      <c r="BG221" s="27" t="s">
        <v>8</v>
      </c>
      <c r="BH221" s="27" t="s">
        <v>7</v>
      </c>
      <c r="BI221" s="27" t="s">
        <v>8</v>
      </c>
      <c r="BJ221" s="27" t="s">
        <v>7</v>
      </c>
      <c r="BL221" s="27" t="s">
        <v>7</v>
      </c>
      <c r="BM221" s="27" t="s">
        <v>8</v>
      </c>
      <c r="BN221" s="27" t="s">
        <v>7</v>
      </c>
      <c r="BO221" s="27" t="s">
        <v>8</v>
      </c>
      <c r="BP221" s="27" t="s">
        <v>7</v>
      </c>
      <c r="BQ221" s="27" t="s">
        <v>8</v>
      </c>
      <c r="BR221" s="27" t="s">
        <v>7</v>
      </c>
      <c r="BS221" s="27" t="s">
        <v>8</v>
      </c>
      <c r="BX221" s="27" t="s">
        <v>7</v>
      </c>
      <c r="BY221" s="27" t="s">
        <v>8</v>
      </c>
      <c r="BZ221" s="27" t="s">
        <v>7</v>
      </c>
      <c r="CA221" s="27" t="s">
        <v>8</v>
      </c>
      <c r="CB221" s="27" t="s">
        <v>7</v>
      </c>
      <c r="CC221" s="27" t="s">
        <v>8</v>
      </c>
      <c r="CN221" s="27" t="s">
        <v>7</v>
      </c>
      <c r="CO221" s="27" t="s">
        <v>8</v>
      </c>
      <c r="CP221" s="27" t="s">
        <v>7</v>
      </c>
      <c r="CQ221" s="27" t="s">
        <v>8</v>
      </c>
      <c r="CR221" s="27" t="s">
        <v>7</v>
      </c>
      <c r="CS221" s="27" t="s">
        <v>8</v>
      </c>
      <c r="CT221" s="27" t="s">
        <v>7</v>
      </c>
    </row>
    <row r="222" spans="1:100" x14ac:dyDescent="0.25">
      <c r="A222" s="30">
        <v>2.4066192336910861</v>
      </c>
      <c r="E222" t="s">
        <v>8</v>
      </c>
      <c r="S222" s="27" t="s">
        <v>8</v>
      </c>
      <c r="T222" s="27" t="s">
        <v>7</v>
      </c>
      <c r="U222" s="27" t="s">
        <v>8</v>
      </c>
      <c r="BF222" s="27" t="s">
        <v>7</v>
      </c>
      <c r="BG222" s="27" t="s">
        <v>8</v>
      </c>
      <c r="BH222" s="27" t="s">
        <v>7</v>
      </c>
      <c r="BL222" s="33" t="s">
        <v>7</v>
      </c>
      <c r="BM222" s="27" t="s">
        <v>8</v>
      </c>
      <c r="BN222" s="27" t="s">
        <v>7</v>
      </c>
      <c r="BO222" s="27" t="s">
        <v>8</v>
      </c>
      <c r="BP222" s="27" t="s">
        <v>7</v>
      </c>
      <c r="BQ222" s="27" t="s">
        <v>8</v>
      </c>
      <c r="BR222" s="27" t="s">
        <v>7</v>
      </c>
      <c r="BS222" s="27" t="s">
        <v>8</v>
      </c>
      <c r="BX222" s="27" t="s">
        <v>7</v>
      </c>
      <c r="BY222" s="31" t="s">
        <v>8</v>
      </c>
      <c r="BZ222" s="27" t="s">
        <v>7</v>
      </c>
      <c r="CA222" s="27" t="s">
        <v>8</v>
      </c>
      <c r="CB222" s="27" t="s">
        <v>7</v>
      </c>
      <c r="CN222" s="27" t="s">
        <v>7</v>
      </c>
      <c r="CO222" s="27" t="s">
        <v>8</v>
      </c>
      <c r="CP222" s="27" t="s">
        <v>7</v>
      </c>
      <c r="CR222" s="27" t="s">
        <v>7</v>
      </c>
      <c r="CS222" s="27" t="s">
        <v>8</v>
      </c>
      <c r="CT222" s="27" t="s">
        <v>7</v>
      </c>
      <c r="CU222" s="27" t="s">
        <v>8</v>
      </c>
    </row>
    <row r="223" spans="1:100" x14ac:dyDescent="0.25">
      <c r="A223" s="30">
        <v>2.2920183178010345</v>
      </c>
      <c r="E223" t="s">
        <v>8</v>
      </c>
      <c r="F223" s="27" t="s">
        <v>7</v>
      </c>
      <c r="S223" s="27" t="s">
        <v>8</v>
      </c>
      <c r="T223" s="27" t="s">
        <v>7</v>
      </c>
      <c r="U223" s="27" t="s">
        <v>8</v>
      </c>
      <c r="BF223" s="27" t="s">
        <v>7</v>
      </c>
      <c r="BG223" s="27" t="s">
        <v>8</v>
      </c>
      <c r="BL223" s="27" t="s">
        <v>7</v>
      </c>
      <c r="BM223" s="27" t="s">
        <v>8</v>
      </c>
      <c r="BN223" s="32" t="s">
        <v>7</v>
      </c>
      <c r="BP223" s="32" t="s">
        <v>7</v>
      </c>
      <c r="BR223" s="27" t="s">
        <v>7</v>
      </c>
      <c r="BS223" s="27" t="s">
        <v>8</v>
      </c>
      <c r="BX223" s="31" t="s">
        <v>7</v>
      </c>
      <c r="BZ223" s="27" t="s">
        <v>7</v>
      </c>
      <c r="CN223" s="27" t="s">
        <v>7</v>
      </c>
      <c r="CO223" s="27" t="s">
        <v>8</v>
      </c>
      <c r="CR223" s="27" t="s">
        <v>7</v>
      </c>
      <c r="CT223" s="27" t="s">
        <v>7</v>
      </c>
      <c r="CU223" s="27" t="s">
        <v>8</v>
      </c>
      <c r="CV223" s="27" t="s">
        <v>7</v>
      </c>
    </row>
    <row r="224" spans="1:100" x14ac:dyDescent="0.25">
      <c r="A224" s="30">
        <v>2.1828745883819374</v>
      </c>
      <c r="E224" t="s">
        <v>8</v>
      </c>
      <c r="F224" s="27" t="s">
        <v>7</v>
      </c>
      <c r="O224" s="27" t="s">
        <v>8</v>
      </c>
      <c r="S224" s="27" t="s">
        <v>8</v>
      </c>
      <c r="T224" s="27" t="s">
        <v>7</v>
      </c>
      <c r="BF224" s="27" t="s">
        <v>7</v>
      </c>
      <c r="BG224" s="27" t="s">
        <v>8</v>
      </c>
      <c r="BL224" s="27" t="s">
        <v>7</v>
      </c>
      <c r="BM224" s="27" t="s">
        <v>8</v>
      </c>
      <c r="BR224" s="33" t="s">
        <v>7</v>
      </c>
      <c r="BS224" s="27" t="s">
        <v>8</v>
      </c>
      <c r="BW224" s="31"/>
      <c r="CN224" s="27" t="s">
        <v>7</v>
      </c>
      <c r="CO224" s="27" t="s">
        <v>8</v>
      </c>
      <c r="CT224" s="27" t="s">
        <v>7</v>
      </c>
      <c r="CU224" s="27" t="s">
        <v>8</v>
      </c>
      <c r="CV224" s="27" t="s">
        <v>7</v>
      </c>
    </row>
    <row r="225" spans="1:101" x14ac:dyDescent="0.25">
      <c r="A225" s="30">
        <v>2.0789281794113688</v>
      </c>
      <c r="E225" t="s">
        <v>8</v>
      </c>
      <c r="F225" s="27" t="s">
        <v>7</v>
      </c>
      <c r="O225" s="27" t="s">
        <v>8</v>
      </c>
      <c r="P225" s="27" t="s">
        <v>7</v>
      </c>
      <c r="Q225" s="27" t="s">
        <v>8</v>
      </c>
      <c r="S225" s="27" t="s">
        <v>8</v>
      </c>
      <c r="BF225" s="27" t="s">
        <v>7</v>
      </c>
      <c r="BG225" s="27" t="s">
        <v>8</v>
      </c>
      <c r="BL225" s="27" t="s">
        <v>7</v>
      </c>
      <c r="BR225" s="27" t="s">
        <v>7</v>
      </c>
      <c r="BS225" s="27" t="s">
        <v>8</v>
      </c>
      <c r="BV225" s="31"/>
      <c r="CN225" s="27" t="s">
        <v>7</v>
      </c>
      <c r="CT225" s="27" t="s">
        <v>7</v>
      </c>
      <c r="CU225" s="27" t="s">
        <v>8</v>
      </c>
      <c r="CV225" s="27" t="s">
        <v>7</v>
      </c>
    </row>
    <row r="226" spans="1:101" x14ac:dyDescent="0.25">
      <c r="A226" s="30">
        <v>1.9799315994393987</v>
      </c>
      <c r="E226" t="s">
        <v>8</v>
      </c>
      <c r="F226" s="27" t="s">
        <v>7</v>
      </c>
      <c r="O226" s="27" t="s">
        <v>8</v>
      </c>
      <c r="P226" s="27" t="s">
        <v>7</v>
      </c>
      <c r="Q226" s="27" t="s">
        <v>8</v>
      </c>
      <c r="R226" s="27" t="s">
        <v>7</v>
      </c>
      <c r="S226" s="27" t="s">
        <v>8</v>
      </c>
      <c r="BF226" s="27" t="s">
        <v>7</v>
      </c>
      <c r="BG226" s="27" t="s">
        <v>8</v>
      </c>
      <c r="BR226" s="27" t="s">
        <v>7</v>
      </c>
      <c r="BS226" s="27" t="s">
        <v>8</v>
      </c>
      <c r="BU226" s="31"/>
      <c r="CT226" s="27" t="s">
        <v>7</v>
      </c>
      <c r="CV226" s="27" t="s">
        <v>7</v>
      </c>
    </row>
    <row r="227" spans="1:101" x14ac:dyDescent="0.25">
      <c r="A227" s="30">
        <v>1.8856491423232367</v>
      </c>
      <c r="E227" t="s">
        <v>8</v>
      </c>
      <c r="F227" s="27" t="s">
        <v>7</v>
      </c>
      <c r="O227" s="27" t="s">
        <v>8</v>
      </c>
      <c r="P227" s="27" t="s">
        <v>7</v>
      </c>
      <c r="Q227" s="27" t="s">
        <v>8</v>
      </c>
      <c r="R227" s="27" t="s">
        <v>7</v>
      </c>
      <c r="S227" s="27" t="s">
        <v>8</v>
      </c>
      <c r="BF227" s="27" t="s">
        <v>7</v>
      </c>
      <c r="BG227" s="27" t="s">
        <v>8</v>
      </c>
      <c r="BR227" s="27" t="s">
        <v>7</v>
      </c>
      <c r="BS227" s="27" t="s">
        <v>8</v>
      </c>
      <c r="BT227" s="31"/>
      <c r="CV227" s="27" t="s">
        <v>7</v>
      </c>
    </row>
    <row r="228" spans="1:101" x14ac:dyDescent="0.25">
      <c r="A228" s="30">
        <v>1.7958563260221301</v>
      </c>
      <c r="C228" s="7"/>
      <c r="D228"/>
      <c r="E228" t="s">
        <v>8</v>
      </c>
      <c r="F228" s="27" t="s">
        <v>7</v>
      </c>
      <c r="O228" s="27" t="s">
        <v>8</v>
      </c>
      <c r="P228" s="27" t="s">
        <v>7</v>
      </c>
      <c r="Q228" s="27" t="s">
        <v>8</v>
      </c>
      <c r="R228" s="27" t="s">
        <v>7</v>
      </c>
      <c r="S228" s="27" t="s">
        <v>8</v>
      </c>
      <c r="BF228" s="27" t="s">
        <v>7</v>
      </c>
      <c r="BR228" s="18" t="s">
        <v>7</v>
      </c>
      <c r="BS228" s="31" t="s">
        <v>8</v>
      </c>
      <c r="CV228" s="27" t="s">
        <v>7</v>
      </c>
      <c r="CW228" s="27" t="s">
        <v>8</v>
      </c>
    </row>
    <row r="229" spans="1:101" x14ac:dyDescent="0.25">
      <c r="A229" s="30">
        <v>1.7103393581163142</v>
      </c>
      <c r="E229" t="s">
        <v>8</v>
      </c>
      <c r="F229" s="27" t="s">
        <v>7</v>
      </c>
      <c r="O229" s="27" t="s">
        <v>8</v>
      </c>
      <c r="P229" s="27" t="s">
        <v>7</v>
      </c>
      <c r="R229" s="27" t="s">
        <v>7</v>
      </c>
      <c r="S229" s="27" t="s">
        <v>8</v>
      </c>
      <c r="BR229" s="31" t="s">
        <v>7</v>
      </c>
      <c r="CV229" s="27" t="s">
        <v>7</v>
      </c>
      <c r="CW229" s="27" t="s">
        <v>8</v>
      </c>
    </row>
    <row r="230" spans="1:101" x14ac:dyDescent="0.25">
      <c r="A230" s="30">
        <v>1.628894626777442</v>
      </c>
      <c r="E230" t="s">
        <v>8</v>
      </c>
      <c r="F230" s="27" t="s">
        <v>7</v>
      </c>
      <c r="O230" s="27" t="s">
        <v>8</v>
      </c>
      <c r="R230" s="27" t="s">
        <v>7</v>
      </c>
      <c r="S230" s="27" t="s">
        <v>8</v>
      </c>
      <c r="CV230" s="27" t="s">
        <v>7</v>
      </c>
      <c r="CW230" s="27" t="s">
        <v>8</v>
      </c>
    </row>
    <row r="231" spans="1:101" x14ac:dyDescent="0.25">
      <c r="A231" s="30">
        <v>1.5513282159785162</v>
      </c>
      <c r="C231"/>
      <c r="D231"/>
      <c r="E231" t="s">
        <v>8</v>
      </c>
      <c r="F231" s="27" t="s">
        <v>7</v>
      </c>
      <c r="K231" s="27" t="s">
        <v>8</v>
      </c>
      <c r="O231" s="27" t="s">
        <v>8</v>
      </c>
      <c r="R231" s="27" t="s">
        <v>7</v>
      </c>
      <c r="S231" s="27" t="s">
        <v>8</v>
      </c>
      <c r="CV231" s="27" t="s">
        <v>7</v>
      </c>
      <c r="CW231" s="27" t="s">
        <v>8</v>
      </c>
    </row>
    <row r="232" spans="1:101" x14ac:dyDescent="0.25">
      <c r="A232" s="30">
        <v>1.477455443789063</v>
      </c>
      <c r="E232" t="s">
        <v>8</v>
      </c>
      <c r="F232" s="27" t="s">
        <v>7</v>
      </c>
      <c r="K232" s="27" t="s">
        <v>8</v>
      </c>
      <c r="L232" s="27" t="s">
        <v>7</v>
      </c>
      <c r="O232" s="27" t="s">
        <v>8</v>
      </c>
      <c r="R232" s="27" t="s">
        <v>7</v>
      </c>
      <c r="CV232" s="27" t="s">
        <v>7</v>
      </c>
    </row>
    <row r="233" spans="1:101" x14ac:dyDescent="0.25">
      <c r="A233" s="30">
        <v>1.4071004226562505</v>
      </c>
      <c r="E233" t="s">
        <v>8</v>
      </c>
      <c r="F233" s="27" t="s">
        <v>7</v>
      </c>
      <c r="K233" s="27" t="s">
        <v>8</v>
      </c>
      <c r="L233" s="27" t="s">
        <v>7</v>
      </c>
      <c r="O233" s="27" t="s">
        <v>8</v>
      </c>
    </row>
    <row r="234" spans="1:101" x14ac:dyDescent="0.25">
      <c r="A234" s="30">
        <v>1.3400956406250004</v>
      </c>
      <c r="E234" t="s">
        <v>8</v>
      </c>
      <c r="F234" s="27" t="s">
        <v>7</v>
      </c>
      <c r="I234" s="27" t="s">
        <v>8</v>
      </c>
      <c r="K234" s="27" t="s">
        <v>8</v>
      </c>
      <c r="L234" s="27" t="s">
        <v>7</v>
      </c>
      <c r="M234" s="27" t="s">
        <v>8</v>
      </c>
      <c r="O234" s="27" t="s">
        <v>8</v>
      </c>
    </row>
    <row r="235" spans="1:101" x14ac:dyDescent="0.25">
      <c r="A235" s="30">
        <v>1.2762815625000004</v>
      </c>
      <c r="C235"/>
      <c r="E235" t="s">
        <v>8</v>
      </c>
      <c r="F235" s="27" t="s">
        <v>7</v>
      </c>
      <c r="G235" s="27" t="s">
        <v>8</v>
      </c>
      <c r="I235" s="27" t="s">
        <v>8</v>
      </c>
      <c r="J235" s="27" t="s">
        <v>7</v>
      </c>
      <c r="K235" s="27" t="s">
        <v>8</v>
      </c>
      <c r="L235" s="27" t="s">
        <v>7</v>
      </c>
      <c r="M235" s="27" t="s">
        <v>8</v>
      </c>
      <c r="N235" s="27" t="s">
        <v>7</v>
      </c>
      <c r="O235" s="27" t="s">
        <v>8</v>
      </c>
    </row>
    <row r="236" spans="1:101" x14ac:dyDescent="0.25">
      <c r="A236" s="30">
        <v>1.2155062500000002</v>
      </c>
      <c r="E236" t="s">
        <v>8</v>
      </c>
      <c r="F236" s="27" t="s">
        <v>7</v>
      </c>
      <c r="G236" s="27" t="s">
        <v>8</v>
      </c>
      <c r="H236" s="27" t="s">
        <v>7</v>
      </c>
      <c r="I236" s="27" t="s">
        <v>8</v>
      </c>
      <c r="J236" s="27" t="s">
        <v>7</v>
      </c>
      <c r="K236" s="27" t="s">
        <v>8</v>
      </c>
      <c r="L236" s="27" t="s">
        <v>7</v>
      </c>
      <c r="M236" s="27" t="s">
        <v>8</v>
      </c>
      <c r="N236" s="27" t="s">
        <v>7</v>
      </c>
      <c r="O236" s="27" t="s">
        <v>8</v>
      </c>
    </row>
    <row r="237" spans="1:101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F237" s="27" t="s">
        <v>7</v>
      </c>
      <c r="G237" s="27" t="s">
        <v>8</v>
      </c>
      <c r="H237" s="27" t="s">
        <v>7</v>
      </c>
      <c r="I237" s="27" t="s">
        <v>8</v>
      </c>
      <c r="J237" s="27" t="s">
        <v>7</v>
      </c>
      <c r="K237" s="27" t="s">
        <v>8</v>
      </c>
      <c r="L237" s="27" t="s">
        <v>7</v>
      </c>
      <c r="M237" s="27" t="s">
        <v>8</v>
      </c>
      <c r="N237" s="27" t="s">
        <v>7</v>
      </c>
      <c r="O237" s="27" t="s">
        <v>8</v>
      </c>
    </row>
    <row r="238" spans="1:101" x14ac:dyDescent="0.25">
      <c r="A238" s="30">
        <v>1.1025</v>
      </c>
      <c r="E238" t="s">
        <v>8</v>
      </c>
      <c r="F238" s="27" t="s">
        <v>7</v>
      </c>
      <c r="G238" s="27" t="s">
        <v>8</v>
      </c>
      <c r="H238" s="27" t="s">
        <v>7</v>
      </c>
      <c r="I238" s="27" t="s">
        <v>8</v>
      </c>
      <c r="J238" s="27" t="s">
        <v>7</v>
      </c>
      <c r="K238" s="27" t="s">
        <v>8</v>
      </c>
      <c r="L238" s="27" t="s">
        <v>7</v>
      </c>
      <c r="M238" s="27" t="s">
        <v>8</v>
      </c>
      <c r="N238" s="27" t="s">
        <v>7</v>
      </c>
      <c r="O238" s="27" t="s">
        <v>8</v>
      </c>
    </row>
    <row r="239" spans="1:101" x14ac:dyDescent="0.25">
      <c r="A239" s="30">
        <v>1.05</v>
      </c>
      <c r="E239" t="s">
        <v>8</v>
      </c>
      <c r="F239" s="27" t="s">
        <v>7</v>
      </c>
      <c r="H239" s="27" t="s">
        <v>7</v>
      </c>
      <c r="I239" s="27" t="s">
        <v>8</v>
      </c>
      <c r="J239" s="27" t="s">
        <v>7</v>
      </c>
      <c r="K239" s="27" t="s">
        <v>8</v>
      </c>
      <c r="L239" s="27" t="s">
        <v>7</v>
      </c>
      <c r="N239" s="27" t="s">
        <v>7</v>
      </c>
      <c r="O239" s="27" t="s">
        <v>8</v>
      </c>
    </row>
    <row r="240" spans="1:101" x14ac:dyDescent="0.25">
      <c r="A240" s="30">
        <v>1</v>
      </c>
      <c r="E240" s="29" t="s">
        <v>8</v>
      </c>
      <c r="H240" s="27" t="s">
        <v>7</v>
      </c>
      <c r="I240" s="27" t="s">
        <v>8</v>
      </c>
      <c r="J240" s="27" t="s">
        <v>7</v>
      </c>
      <c r="K240" s="27" t="s">
        <v>8</v>
      </c>
      <c r="N240" s="27" t="s">
        <v>7</v>
      </c>
    </row>
    <row r="241" spans="1:10" x14ac:dyDescent="0.25">
      <c r="A241" s="30">
        <v>0.952380952380952</v>
      </c>
      <c r="B241"/>
      <c r="C241"/>
      <c r="D241"/>
      <c r="E241"/>
      <c r="H241" s="27" t="s">
        <v>7</v>
      </c>
      <c r="I241" s="27" t="s">
        <v>8</v>
      </c>
      <c r="J241" s="27" t="s">
        <v>7</v>
      </c>
    </row>
    <row r="242" spans="1:10" x14ac:dyDescent="0.25">
      <c r="A242" s="30">
        <v>0.90702947845804915</v>
      </c>
      <c r="B242"/>
      <c r="C242"/>
      <c r="D242"/>
      <c r="E242"/>
      <c r="H242" s="27" t="s">
        <v>7</v>
      </c>
      <c r="I242" s="27" t="s">
        <v>8</v>
      </c>
    </row>
    <row r="243" spans="1:10" x14ac:dyDescent="0.25">
      <c r="A243" s="30">
        <v>0.86383759853147501</v>
      </c>
      <c r="B243"/>
      <c r="C243"/>
      <c r="D243"/>
      <c r="E243"/>
      <c r="H243" s="27" t="s">
        <v>7</v>
      </c>
      <c r="I243" s="27" t="s">
        <v>8</v>
      </c>
    </row>
    <row r="244" spans="1:10" x14ac:dyDescent="0.25">
      <c r="A244" s="30">
        <v>0.82270247479188063</v>
      </c>
      <c r="B244"/>
      <c r="C244"/>
      <c r="D244"/>
      <c r="E244"/>
      <c r="H244" s="27" t="s">
        <v>7</v>
      </c>
      <c r="I244" s="27" t="s">
        <v>8</v>
      </c>
    </row>
    <row r="245" spans="1:10" x14ac:dyDescent="0.25">
      <c r="A245" s="30">
        <v>0.78352616646845741</v>
      </c>
      <c r="B245"/>
      <c r="C245"/>
      <c r="D245"/>
      <c r="E245"/>
      <c r="H245" s="27" t="s">
        <v>7</v>
      </c>
    </row>
    <row r="246" spans="1:10" x14ac:dyDescent="0.25">
      <c r="A246" s="30">
        <v>0.74621539663662584</v>
      </c>
      <c r="B246"/>
      <c r="C246"/>
      <c r="D246"/>
      <c r="E246"/>
    </row>
    <row r="247" spans="1:10" x14ac:dyDescent="0.25">
      <c r="A247" s="30">
        <v>0.71068133013011958</v>
      </c>
      <c r="B247"/>
      <c r="C247"/>
      <c r="D247"/>
      <c r="E247"/>
    </row>
    <row r="248" spans="1:10" x14ac:dyDescent="0.25">
      <c r="A248" s="30">
        <v>0.676839362028685</v>
      </c>
      <c r="B248"/>
      <c r="C248"/>
      <c r="D248"/>
      <c r="E248"/>
    </row>
    <row r="249" spans="1:10" x14ac:dyDescent="0.25">
      <c r="A249" s="30">
        <v>0.64460891621779492</v>
      </c>
      <c r="B249"/>
      <c r="C249"/>
      <c r="D249"/>
      <c r="E249"/>
    </row>
    <row r="250" spans="1:10" x14ac:dyDescent="0.25">
      <c r="A250" s="30">
        <v>0.61391325354075688</v>
      </c>
      <c r="B250"/>
      <c r="C250"/>
      <c r="D250"/>
      <c r="E250"/>
    </row>
    <row r="251" spans="1:10" x14ac:dyDescent="0.25">
      <c r="A251" s="30">
        <v>0.58467928908643485</v>
      </c>
      <c r="B251"/>
      <c r="C251"/>
      <c r="D251"/>
      <c r="E251"/>
    </row>
    <row r="252" spans="1:10" x14ac:dyDescent="0.25">
      <c r="A252" s="30">
        <v>0.55683741817755672</v>
      </c>
      <c r="B252"/>
      <c r="C252"/>
      <c r="D252"/>
      <c r="E252"/>
    </row>
    <row r="253" spans="1:10" x14ac:dyDescent="0.25">
      <c r="A253" s="30">
        <v>0.53032135064529184</v>
      </c>
      <c r="B253"/>
      <c r="C253"/>
      <c r="D253"/>
      <c r="E253"/>
    </row>
    <row r="254" spans="1:10" x14ac:dyDescent="0.25">
      <c r="A254" s="30">
        <v>0.50506795299551588</v>
      </c>
      <c r="B254"/>
      <c r="C254"/>
      <c r="D254"/>
      <c r="E254"/>
    </row>
    <row r="255" spans="1:10" x14ac:dyDescent="0.25">
      <c r="A255" s="30">
        <v>0.48101709809096732</v>
      </c>
      <c r="E255"/>
    </row>
    <row r="256" spans="1:10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17" operator="equal">
      <formula>$U$1</formula>
    </cfRule>
    <cfRule type="cellIs" dxfId="67" priority="818" operator="equal">
      <formula>$S$1</formula>
    </cfRule>
  </conditionalFormatting>
  <conditionalFormatting sqref="D136">
    <cfRule type="cellIs" dxfId="66" priority="815" operator="equal">
      <formula>$S$1</formula>
    </cfRule>
    <cfRule type="cellIs" dxfId="65" priority="816" operator="equal">
      <formula>$U$1</formula>
    </cfRule>
  </conditionalFormatting>
  <conditionalFormatting sqref="C162">
    <cfRule type="cellIs" dxfId="64" priority="813" operator="equal">
      <formula>$U$1</formula>
    </cfRule>
    <cfRule type="cellIs" dxfId="63" priority="814" operator="equal">
      <formula>$S$1</formula>
    </cfRule>
  </conditionalFormatting>
  <conditionalFormatting sqref="D162">
    <cfRule type="cellIs" dxfId="62" priority="811" operator="equal">
      <formula>$S$1</formula>
    </cfRule>
    <cfRule type="cellIs" dxfId="61" priority="812" operator="equal">
      <formula>$U$1</formula>
    </cfRule>
  </conditionalFormatting>
  <conditionalFormatting sqref="C187">
    <cfRule type="cellIs" dxfId="60" priority="809" operator="equal">
      <formula>$U$1</formula>
    </cfRule>
    <cfRule type="cellIs" dxfId="59" priority="810" operator="equal">
      <formula>$S$1</formula>
    </cfRule>
  </conditionalFormatting>
  <conditionalFormatting sqref="D187">
    <cfRule type="cellIs" dxfId="58" priority="807" operator="equal">
      <formula>$S$1</formula>
    </cfRule>
    <cfRule type="cellIs" dxfId="57" priority="808" operator="equal">
      <formula>$U$1</formula>
    </cfRule>
  </conditionalFormatting>
  <conditionalFormatting sqref="C212">
    <cfRule type="cellIs" dxfId="56" priority="805" operator="equal">
      <formula>$U$1</formula>
    </cfRule>
    <cfRule type="cellIs" dxfId="55" priority="806" operator="equal">
      <formula>$S$1</formula>
    </cfRule>
  </conditionalFormatting>
  <conditionalFormatting sqref="D212">
    <cfRule type="cellIs" dxfId="54" priority="803" operator="equal">
      <formula>$S$1</formula>
    </cfRule>
    <cfRule type="cellIs" dxfId="53" priority="804" operator="equal">
      <formula>$U$1</formula>
    </cfRule>
  </conditionalFormatting>
  <conditionalFormatting sqref="C237">
    <cfRule type="cellIs" dxfId="52" priority="801" operator="equal">
      <formula>$U$1</formula>
    </cfRule>
    <cfRule type="cellIs" dxfId="51" priority="802" operator="equal">
      <formula>$S$1</formula>
    </cfRule>
  </conditionalFormatting>
  <conditionalFormatting sqref="D237">
    <cfRule type="cellIs" dxfId="50" priority="799" operator="equal">
      <formula>$S$1</formula>
    </cfRule>
    <cfRule type="cellIs" dxfId="49" priority="800" operator="equal">
      <formula>$U$1</formula>
    </cfRule>
  </conditionalFormatting>
  <conditionalFormatting sqref="C106">
    <cfRule type="cellIs" dxfId="48" priority="797" operator="equal">
      <formula>$U$1</formula>
    </cfRule>
    <cfRule type="cellIs" dxfId="47" priority="798" operator="equal">
      <formula>$S$1</formula>
    </cfRule>
  </conditionalFormatting>
  <conditionalFormatting sqref="D106">
    <cfRule type="cellIs" dxfId="46" priority="795" operator="equal">
      <formula>$S$1</formula>
    </cfRule>
    <cfRule type="cellIs" dxfId="45" priority="796" operator="equal">
      <formula>$U$1</formula>
    </cfRule>
  </conditionalFormatting>
  <conditionalFormatting sqref="C81">
    <cfRule type="cellIs" dxfId="44" priority="793" operator="equal">
      <formula>$U$1</formula>
    </cfRule>
    <cfRule type="cellIs" dxfId="43" priority="794" operator="equal">
      <formula>$S$1</formula>
    </cfRule>
  </conditionalFormatting>
  <conditionalFormatting sqref="D81">
    <cfRule type="cellIs" dxfId="42" priority="791" operator="equal">
      <formula>$S$1</formula>
    </cfRule>
    <cfRule type="cellIs" dxfId="41" priority="792" operator="equal">
      <formula>$U$1</formula>
    </cfRule>
  </conditionalFormatting>
  <conditionalFormatting sqref="C56">
    <cfRule type="cellIs" dxfId="40" priority="789" operator="equal">
      <formula>$U$1</formula>
    </cfRule>
    <cfRule type="cellIs" dxfId="39" priority="790" operator="equal">
      <formula>$S$1</formula>
    </cfRule>
  </conditionalFormatting>
  <conditionalFormatting sqref="D56">
    <cfRule type="cellIs" dxfId="38" priority="787" operator="equal">
      <formula>$S$1</formula>
    </cfRule>
    <cfRule type="cellIs" dxfId="37" priority="788" operator="equal">
      <formula>$U$1</formula>
    </cfRule>
  </conditionalFormatting>
  <conditionalFormatting sqref="C31">
    <cfRule type="cellIs" dxfId="36" priority="785" operator="equal">
      <formula>$U$1</formula>
    </cfRule>
    <cfRule type="cellIs" dxfId="35" priority="786" operator="equal">
      <formula>$S$1</formula>
    </cfRule>
  </conditionalFormatting>
  <conditionalFormatting sqref="D31">
    <cfRule type="cellIs" dxfId="34" priority="783" operator="equal">
      <formula>$S$1</formula>
    </cfRule>
    <cfRule type="cellIs" dxfId="33" priority="78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97" zoomScale="90" zoomScaleNormal="90" workbookViewId="0">
      <pane xSplit="4" topLeftCell="G1" activePane="topRight" state="frozen"/>
      <selection activeCell="A109" sqref="A109"/>
      <selection pane="topRight" activeCell="AP117" sqref="AP11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2" x14ac:dyDescent="0.25">
      <c r="A97" s="30">
        <v>9.849732675807628</v>
      </c>
      <c r="E97"/>
    </row>
    <row r="98" spans="1:42" x14ac:dyDescent="0.25">
      <c r="A98" s="30">
        <v>8.9543024325523888</v>
      </c>
      <c r="C98" s="1" t="s">
        <v>13</v>
      </c>
      <c r="E98"/>
    </row>
    <row r="99" spans="1:42" x14ac:dyDescent="0.25">
      <c r="A99" s="30">
        <v>8.140274938683989</v>
      </c>
      <c r="C99" s="1">
        <f>C88</f>
        <v>0</v>
      </c>
      <c r="E99"/>
    </row>
    <row r="100" spans="1:42" x14ac:dyDescent="0.25">
      <c r="A100" s="30">
        <v>7.4002499442581717</v>
      </c>
      <c r="C100"/>
      <c r="D100"/>
      <c r="E100"/>
      <c r="W100" s="31" t="s">
        <v>8</v>
      </c>
      <c r="AM100" s="27" t="s">
        <v>8</v>
      </c>
    </row>
    <row r="101" spans="1:42" x14ac:dyDescent="0.25">
      <c r="A101" s="30">
        <v>6.72749994932561</v>
      </c>
      <c r="C101" s="1" t="s">
        <v>14</v>
      </c>
      <c r="E101"/>
      <c r="W101" s="27" t="s">
        <v>8</v>
      </c>
      <c r="X101" s="31" t="s">
        <v>7</v>
      </c>
      <c r="AM101" s="27" t="s">
        <v>8</v>
      </c>
      <c r="AN101" s="27" t="s">
        <v>7</v>
      </c>
    </row>
    <row r="102" spans="1:4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M102" s="32" t="s">
        <v>8</v>
      </c>
      <c r="O102" s="32" t="s">
        <v>8</v>
      </c>
      <c r="U102" s="27" t="s">
        <v>8</v>
      </c>
      <c r="W102" s="27" t="s">
        <v>8</v>
      </c>
      <c r="X102" s="27" t="s">
        <v>7</v>
      </c>
      <c r="Y102" s="31"/>
      <c r="AM102" s="27" t="s">
        <v>8</v>
      </c>
      <c r="AN102" s="27" t="s">
        <v>7</v>
      </c>
    </row>
    <row r="103" spans="1:42" x14ac:dyDescent="0.25">
      <c r="A103" s="30">
        <v>5.5599173134922388</v>
      </c>
      <c r="E103"/>
      <c r="M103" s="27" t="s">
        <v>8</v>
      </c>
      <c r="N103" s="27" t="s">
        <v>7</v>
      </c>
      <c r="O103" s="27" t="s">
        <v>8</v>
      </c>
      <c r="P103" s="27" t="s">
        <v>7</v>
      </c>
      <c r="U103" s="27" t="s">
        <v>8</v>
      </c>
      <c r="V103" s="27" t="s">
        <v>7</v>
      </c>
      <c r="W103" s="27" t="s">
        <v>8</v>
      </c>
      <c r="X103" s="27" t="s">
        <v>7</v>
      </c>
      <c r="Z103" s="31"/>
      <c r="AM103" s="27" t="s">
        <v>8</v>
      </c>
      <c r="AN103" s="27" t="s">
        <v>7</v>
      </c>
    </row>
    <row r="104" spans="1:42" x14ac:dyDescent="0.25">
      <c r="A104" s="30">
        <v>5.0544702849929442</v>
      </c>
      <c r="E104"/>
      <c r="M104" s="27" t="s">
        <v>8</v>
      </c>
      <c r="N104" s="27" t="s">
        <v>7</v>
      </c>
      <c r="O104" s="27" t="s">
        <v>8</v>
      </c>
      <c r="P104" s="27" t="s">
        <v>7</v>
      </c>
      <c r="Q104" s="27" t="s">
        <v>8</v>
      </c>
      <c r="S104" s="27" t="s">
        <v>8</v>
      </c>
      <c r="U104" s="27" t="s">
        <v>8</v>
      </c>
      <c r="V104" s="27" t="s">
        <v>7</v>
      </c>
      <c r="W104" s="27" t="s">
        <v>8</v>
      </c>
      <c r="X104" s="27" t="s">
        <v>7</v>
      </c>
      <c r="AA104" s="31"/>
      <c r="AM104" s="27" t="s">
        <v>8</v>
      </c>
      <c r="AN104" s="27" t="s">
        <v>7</v>
      </c>
    </row>
    <row r="105" spans="1:42" x14ac:dyDescent="0.25">
      <c r="A105" s="30">
        <v>4.594972986357222</v>
      </c>
      <c r="E105"/>
      <c r="M105" s="27" t="s">
        <v>8</v>
      </c>
      <c r="N105" s="27" t="s">
        <v>7</v>
      </c>
      <c r="P105" s="27" t="s">
        <v>7</v>
      </c>
      <c r="Q105" s="27" t="s">
        <v>8</v>
      </c>
      <c r="R105" s="27" t="s">
        <v>7</v>
      </c>
      <c r="S105" s="27" t="s">
        <v>8</v>
      </c>
      <c r="T105" s="27" t="s">
        <v>7</v>
      </c>
      <c r="U105" s="27" t="s">
        <v>8</v>
      </c>
      <c r="V105" s="27" t="s">
        <v>7</v>
      </c>
      <c r="W105" s="27" t="s">
        <v>8</v>
      </c>
      <c r="X105" s="27" t="s">
        <v>7</v>
      </c>
      <c r="AB105" s="31"/>
      <c r="AM105" s="27" t="s">
        <v>8</v>
      </c>
      <c r="AN105" s="27" t="s">
        <v>7</v>
      </c>
    </row>
    <row r="106" spans="1:42" x14ac:dyDescent="0.25">
      <c r="A106" s="30">
        <v>4.1772481694156562</v>
      </c>
      <c r="E106"/>
      <c r="M106" s="27" t="s">
        <v>8</v>
      </c>
      <c r="P106" s="27" t="s">
        <v>7</v>
      </c>
      <c r="Q106" s="27" t="s">
        <v>8</v>
      </c>
      <c r="R106" s="27" t="s">
        <v>7</v>
      </c>
      <c r="S106" s="27" t="s">
        <v>8</v>
      </c>
      <c r="T106" s="27" t="s">
        <v>7</v>
      </c>
      <c r="U106" s="27" t="s">
        <v>8</v>
      </c>
      <c r="V106" s="27" t="s">
        <v>7</v>
      </c>
      <c r="W106" s="27" t="s">
        <v>8</v>
      </c>
      <c r="X106" s="27" t="s">
        <v>7</v>
      </c>
      <c r="AC106" s="31"/>
      <c r="AM106" s="27" t="s">
        <v>8</v>
      </c>
      <c r="AN106" s="27" t="s">
        <v>7</v>
      </c>
    </row>
    <row r="107" spans="1:42" x14ac:dyDescent="0.25">
      <c r="A107" s="30">
        <v>3.7974983358324148</v>
      </c>
      <c r="E107"/>
      <c r="M107" s="27" t="s">
        <v>8</v>
      </c>
      <c r="P107" s="27" t="s">
        <v>7</v>
      </c>
      <c r="Q107" s="27" t="s">
        <v>8</v>
      </c>
      <c r="R107" s="32" t="s">
        <v>7</v>
      </c>
      <c r="T107" s="32" t="s">
        <v>7</v>
      </c>
      <c r="V107" s="32" t="s">
        <v>7</v>
      </c>
      <c r="X107" s="27" t="s">
        <v>7</v>
      </c>
      <c r="Y107" s="27" t="s">
        <v>8</v>
      </c>
      <c r="AC107" s="32" t="s">
        <v>8</v>
      </c>
      <c r="AD107" s="31"/>
      <c r="AE107" s="32" t="s">
        <v>8</v>
      </c>
      <c r="AI107" s="27" t="s">
        <v>8</v>
      </c>
      <c r="AM107" s="27" t="s">
        <v>8</v>
      </c>
      <c r="AN107" s="27" t="s">
        <v>7</v>
      </c>
    </row>
    <row r="108" spans="1:42" x14ac:dyDescent="0.25">
      <c r="A108" s="30">
        <v>3.4522712143931042</v>
      </c>
      <c r="E108"/>
      <c r="M108" s="27" t="s">
        <v>8</v>
      </c>
      <c r="P108" s="27" t="s">
        <v>7</v>
      </c>
      <c r="Q108" s="27" t="s">
        <v>8</v>
      </c>
      <c r="X108" s="33" t="s">
        <v>7</v>
      </c>
      <c r="Y108" s="27" t="s">
        <v>8</v>
      </c>
      <c r="Z108" s="27" t="s">
        <v>7</v>
      </c>
      <c r="AA108" s="27" t="s">
        <v>8</v>
      </c>
      <c r="AC108" s="27" t="s">
        <v>8</v>
      </c>
      <c r="AD108" s="27" t="s">
        <v>7</v>
      </c>
      <c r="AE108" s="31" t="s">
        <v>8</v>
      </c>
      <c r="AF108" s="31" t="s">
        <v>7</v>
      </c>
      <c r="AI108" s="27" t="s">
        <v>8</v>
      </c>
      <c r="AJ108" s="27" t="s">
        <v>7</v>
      </c>
      <c r="AK108" s="27" t="s">
        <v>8</v>
      </c>
      <c r="AM108" s="27" t="s">
        <v>8</v>
      </c>
      <c r="AN108" s="27" t="s">
        <v>7</v>
      </c>
    </row>
    <row r="109" spans="1:42" x14ac:dyDescent="0.25">
      <c r="A109" s="30">
        <v>3.1384283767210035</v>
      </c>
      <c r="E109"/>
      <c r="M109" s="27" t="s">
        <v>8</v>
      </c>
      <c r="P109" s="27" t="s">
        <v>7</v>
      </c>
      <c r="X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C109" s="27" t="s">
        <v>8</v>
      </c>
      <c r="AD109" s="27" t="s">
        <v>7</v>
      </c>
      <c r="AE109" s="27" t="s">
        <v>8</v>
      </c>
      <c r="AF109" s="27" t="s">
        <v>7</v>
      </c>
      <c r="AG109" s="31"/>
      <c r="AI109" s="34" t="s">
        <v>8</v>
      </c>
      <c r="AJ109" s="27" t="s">
        <v>7</v>
      </c>
      <c r="AK109" s="27" t="s">
        <v>8</v>
      </c>
      <c r="AL109" s="27" t="s">
        <v>7</v>
      </c>
      <c r="AM109" s="27" t="s">
        <v>8</v>
      </c>
      <c r="AN109" s="27" t="s">
        <v>7</v>
      </c>
    </row>
    <row r="110" spans="1:42" x14ac:dyDescent="0.25">
      <c r="A110" s="30">
        <v>2.8531167061100029</v>
      </c>
      <c r="E110"/>
      <c r="M110" s="27" t="s">
        <v>8</v>
      </c>
      <c r="X110" s="27" t="s">
        <v>7</v>
      </c>
      <c r="Z110" s="27" t="s">
        <v>7</v>
      </c>
      <c r="AA110" s="27" t="s">
        <v>8</v>
      </c>
      <c r="AB110" s="27" t="s">
        <v>7</v>
      </c>
      <c r="AC110" s="27" t="s">
        <v>8</v>
      </c>
      <c r="AD110" s="27" t="s">
        <v>7</v>
      </c>
      <c r="AE110" s="27" t="s">
        <v>8</v>
      </c>
      <c r="AF110" s="27" t="s">
        <v>7</v>
      </c>
      <c r="AG110" s="27" t="s">
        <v>8</v>
      </c>
      <c r="AH110" s="31"/>
      <c r="AI110" s="27" t="s">
        <v>8</v>
      </c>
      <c r="AJ110" s="27" t="s">
        <v>7</v>
      </c>
      <c r="AK110" s="27" t="s">
        <v>8</v>
      </c>
      <c r="AL110" s="27" t="s">
        <v>7</v>
      </c>
      <c r="AM110" s="31" t="s">
        <v>8</v>
      </c>
      <c r="AN110" s="27" t="s">
        <v>7</v>
      </c>
      <c r="AO110" s="27" t="s">
        <v>8</v>
      </c>
    </row>
    <row r="111" spans="1:42" x14ac:dyDescent="0.25">
      <c r="A111" s="30">
        <v>2.5937424601000023</v>
      </c>
      <c r="C111" s="1" t="str">
        <f>ADDRESS(C121-1,1,1,1)</f>
        <v>$A$116</v>
      </c>
      <c r="D111" s="1" t="str">
        <f>ADDRESS(C121-1,D121,1,1)</f>
        <v>$AP$116</v>
      </c>
      <c r="E111"/>
      <c r="M111" s="27" t="s">
        <v>8</v>
      </c>
      <c r="Z111" s="27" t="s">
        <v>7</v>
      </c>
      <c r="AA111" s="27" t="s">
        <v>8</v>
      </c>
      <c r="AB111" s="32" t="s">
        <v>7</v>
      </c>
      <c r="AD111" s="32" t="s">
        <v>7</v>
      </c>
      <c r="AF111" s="27" t="s">
        <v>7</v>
      </c>
      <c r="AG111" s="27" t="s">
        <v>8</v>
      </c>
      <c r="AH111" s="27" t="s">
        <v>7</v>
      </c>
      <c r="AI111" s="31" t="s">
        <v>8</v>
      </c>
      <c r="AJ111" s="27" t="s">
        <v>7</v>
      </c>
      <c r="AL111" s="31" t="s">
        <v>7</v>
      </c>
      <c r="AM111" s="27" t="s">
        <v>8</v>
      </c>
      <c r="AN111" s="27" t="s">
        <v>7</v>
      </c>
      <c r="AO111" s="27" t="s">
        <v>8</v>
      </c>
      <c r="AP111" s="27" t="s">
        <v>7</v>
      </c>
    </row>
    <row r="112" spans="1:42" x14ac:dyDescent="0.25">
      <c r="A112" s="30">
        <v>2.3579476910000019</v>
      </c>
      <c r="C112" s="1" t="str">
        <f>ADDRESS(C121,1,1,1)</f>
        <v>$A$117</v>
      </c>
      <c r="D112" s="1" t="str">
        <f>ADDRESS(C121,D121-1,1,1)</f>
        <v>$AO$117</v>
      </c>
      <c r="E112" t="s">
        <v>8</v>
      </c>
      <c r="M112" s="27" t="s">
        <v>8</v>
      </c>
      <c r="Z112" s="27" t="s">
        <v>7</v>
      </c>
      <c r="AA112" s="27" t="s">
        <v>8</v>
      </c>
      <c r="AF112" s="27" t="s">
        <v>7</v>
      </c>
      <c r="AG112" s="27" t="s">
        <v>8</v>
      </c>
      <c r="AH112" s="27" t="s">
        <v>7</v>
      </c>
      <c r="AI112" s="27" t="s">
        <v>8</v>
      </c>
      <c r="AJ112" s="19"/>
      <c r="AK112" s="31"/>
      <c r="AL112" s="27" t="s">
        <v>7</v>
      </c>
      <c r="AN112" s="27" t="s">
        <v>7</v>
      </c>
      <c r="AO112" s="27" t="s">
        <v>8</v>
      </c>
      <c r="AP112" s="27" t="s">
        <v>7</v>
      </c>
    </row>
    <row r="113" spans="1:42" x14ac:dyDescent="0.25">
      <c r="A113" s="30">
        <v>2.1435888100000016</v>
      </c>
      <c r="C113" s="1" t="str">
        <f>ADDRESS(C121+1,1,1,1)</f>
        <v>$A$118</v>
      </c>
      <c r="D113" s="1" t="str">
        <f>ADDRESS(C121-1,D121+1,1,1)</f>
        <v>$AQ$116</v>
      </c>
      <c r="E113" s="1" t="s">
        <v>8</v>
      </c>
      <c r="F113" s="27" t="s">
        <v>7</v>
      </c>
      <c r="K113" s="27" t="s">
        <v>8</v>
      </c>
      <c r="M113" s="27" t="s">
        <v>8</v>
      </c>
      <c r="Z113" s="27" t="s">
        <v>7</v>
      </c>
      <c r="AA113" s="27" t="s">
        <v>8</v>
      </c>
      <c r="AF113" s="27" t="s">
        <v>7</v>
      </c>
      <c r="AH113" s="27" t="s">
        <v>7</v>
      </c>
      <c r="AI113" s="27" t="s">
        <v>8</v>
      </c>
      <c r="AJ113" s="31"/>
      <c r="AN113" s="27" t="s">
        <v>7</v>
      </c>
      <c r="AP113" s="27" t="s">
        <v>7</v>
      </c>
    </row>
    <row r="114" spans="1:42" x14ac:dyDescent="0.25">
      <c r="A114" s="30">
        <v>1.9487171000000014</v>
      </c>
      <c r="C114" s="1" t="str">
        <f>ADDRESS(C121,D121,1,1)</f>
        <v>$AP$117</v>
      </c>
      <c r="D114" s="1" t="str">
        <f>ADDRESS(C121+1,D121+1,1,1)</f>
        <v>$AQ$118</v>
      </c>
      <c r="E114" s="1" t="s">
        <v>8</v>
      </c>
      <c r="F114" s="27" t="s">
        <v>7</v>
      </c>
      <c r="K114" s="27" t="s">
        <v>8</v>
      </c>
      <c r="L114" s="27" t="s">
        <v>7</v>
      </c>
      <c r="M114" s="27" t="s">
        <v>8</v>
      </c>
      <c r="Z114" s="27" t="s">
        <v>7</v>
      </c>
      <c r="AH114" s="18" t="s">
        <v>7</v>
      </c>
      <c r="AI114" s="31" t="s">
        <v>8</v>
      </c>
      <c r="AP114" s="27" t="s">
        <v>7</v>
      </c>
    </row>
    <row r="115" spans="1:42" x14ac:dyDescent="0.25">
      <c r="A115" s="30">
        <v>1.7715610000000011</v>
      </c>
      <c r="C115" s="1" t="str">
        <f>ADDRESS(C121+1,D121,1,1)</f>
        <v>$AP$118</v>
      </c>
      <c r="E115" s="1" t="s">
        <v>8</v>
      </c>
      <c r="F115" s="27" t="s">
        <v>7</v>
      </c>
      <c r="K115" s="27" t="s">
        <v>8</v>
      </c>
      <c r="L115" s="27" t="s">
        <v>7</v>
      </c>
      <c r="M115" s="27" t="s">
        <v>8</v>
      </c>
      <c r="AH115" s="31" t="s">
        <v>7</v>
      </c>
      <c r="AP115" s="27" t="s">
        <v>7</v>
      </c>
    </row>
    <row r="116" spans="1:42" x14ac:dyDescent="0.25">
      <c r="A116" s="30">
        <v>1.6105100000000008</v>
      </c>
      <c r="C116" s="1">
        <f>C117-1</f>
        <v>116</v>
      </c>
      <c r="E116" s="1" t="s">
        <v>8</v>
      </c>
      <c r="F116" s="27" t="s">
        <v>7</v>
      </c>
      <c r="I116" s="27" t="s">
        <v>8</v>
      </c>
      <c r="K116" s="27" t="s">
        <v>8</v>
      </c>
      <c r="L116" s="27" t="s">
        <v>7</v>
      </c>
      <c r="M116" s="27" t="s">
        <v>8</v>
      </c>
      <c r="AP116" s="27" t="s">
        <v>7</v>
      </c>
    </row>
    <row r="117" spans="1:42" x14ac:dyDescent="0.25">
      <c r="A117" s="30">
        <v>1.4641000000000006</v>
      </c>
      <c r="C117" s="1">
        <f>C121</f>
        <v>117</v>
      </c>
      <c r="D117" s="1">
        <f>D121</f>
        <v>42</v>
      </c>
      <c r="E117" s="1" t="s">
        <v>8</v>
      </c>
      <c r="F117" s="27" t="s">
        <v>7</v>
      </c>
      <c r="I117" s="27" t="s">
        <v>8</v>
      </c>
      <c r="J117" s="27" t="s">
        <v>7</v>
      </c>
      <c r="K117" s="27" t="s">
        <v>8</v>
      </c>
      <c r="L117" s="27" t="s">
        <v>7</v>
      </c>
      <c r="AP117" s="27" t="s">
        <v>7</v>
      </c>
    </row>
    <row r="118" spans="1:42" x14ac:dyDescent="0.25">
      <c r="A118" s="30">
        <v>1.3310000000000004</v>
      </c>
      <c r="C118" s="1">
        <f>C117+1</f>
        <v>118</v>
      </c>
      <c r="D118" s="1">
        <f>D117+1</f>
        <v>43</v>
      </c>
      <c r="E118" s="1" t="s">
        <v>8</v>
      </c>
      <c r="F118" s="27" t="s">
        <v>7</v>
      </c>
      <c r="G118" s="27" t="s">
        <v>8</v>
      </c>
      <c r="I118" s="27" t="s">
        <v>8</v>
      </c>
      <c r="J118" s="27" t="s">
        <v>7</v>
      </c>
      <c r="K118" s="27" t="s">
        <v>8</v>
      </c>
    </row>
    <row r="119" spans="1:42" x14ac:dyDescent="0.25">
      <c r="A119" s="30">
        <v>1.2100000000000002</v>
      </c>
      <c r="E119" s="1" t="s">
        <v>8</v>
      </c>
      <c r="F119" s="27" t="s">
        <v>7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</row>
    <row r="120" spans="1:42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K120" s="27" t="s">
        <v>8</v>
      </c>
    </row>
    <row r="121" spans="1:42" x14ac:dyDescent="0.25">
      <c r="A121" s="30">
        <v>1</v>
      </c>
      <c r="C121" s="18">
        <v>117</v>
      </c>
      <c r="D121" s="19">
        <v>42</v>
      </c>
      <c r="E121" s="18" t="s">
        <v>8</v>
      </c>
      <c r="F121" s="27" t="s">
        <v>7</v>
      </c>
      <c r="G121" s="27" t="s">
        <v>8</v>
      </c>
      <c r="H121" s="32" t="s">
        <v>7</v>
      </c>
      <c r="J121" s="32" t="s">
        <v>7</v>
      </c>
    </row>
    <row r="122" spans="1:42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</row>
    <row r="123" spans="1:42" x14ac:dyDescent="0.25">
      <c r="A123" s="30">
        <v>0.82644628099173523</v>
      </c>
      <c r="C123" s="1" t="str">
        <f>"R"&amp;C121</f>
        <v>R117</v>
      </c>
      <c r="D123" s="1" t="str">
        <f>"C"&amp;D121</f>
        <v>C42</v>
      </c>
      <c r="F123" s="27" t="s">
        <v>7</v>
      </c>
    </row>
    <row r="124" spans="1:42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42" x14ac:dyDescent="0.25">
      <c r="A125" s="30">
        <v>0.68301345536507019</v>
      </c>
    </row>
    <row r="126" spans="1:42" x14ac:dyDescent="0.25">
      <c r="A126" s="30">
        <v>0.6209213230591546</v>
      </c>
      <c r="C126" s="1" t="s">
        <v>10</v>
      </c>
    </row>
    <row r="127" spans="1:42" x14ac:dyDescent="0.25">
      <c r="A127" s="30">
        <v>0.56447393005377677</v>
      </c>
      <c r="C127" s="30">
        <v>1.4641000000000006</v>
      </c>
      <c r="D127"/>
    </row>
    <row r="128" spans="1:4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01" operator="equal">
      <formula>$U$1</formula>
    </cfRule>
    <cfRule type="cellIs" dxfId="30" priority="802" operator="equal">
      <formula>$S$1</formula>
    </cfRule>
  </conditionalFormatting>
  <conditionalFormatting sqref="D136">
    <cfRule type="cellIs" dxfId="29" priority="799" operator="equal">
      <formula>$S$1</formula>
    </cfRule>
    <cfRule type="cellIs" dxfId="28" priority="800" operator="equal">
      <formula>$U$1</formula>
    </cfRule>
  </conditionalFormatting>
  <conditionalFormatting sqref="C102">
    <cfRule type="cellIs" dxfId="27" priority="797" operator="equal">
      <formula>$U$1</formula>
    </cfRule>
    <cfRule type="cellIs" dxfId="26" priority="798" operator="equal">
      <formula>$S$1</formula>
    </cfRule>
  </conditionalFormatting>
  <conditionalFormatting sqref="D102">
    <cfRule type="cellIs" dxfId="25" priority="795" operator="equal">
      <formula>$S$1</formula>
    </cfRule>
    <cfRule type="cellIs" dxfId="24" priority="796" operator="equal">
      <formula>$U$1</formula>
    </cfRule>
  </conditionalFormatting>
  <conditionalFormatting sqref="C77">
    <cfRule type="cellIs" dxfId="23" priority="793" operator="equal">
      <formula>$U$1</formula>
    </cfRule>
    <cfRule type="cellIs" dxfId="22" priority="794" operator="equal">
      <formula>$S$1</formula>
    </cfRule>
  </conditionalFormatting>
  <conditionalFormatting sqref="D77">
    <cfRule type="cellIs" dxfId="21" priority="791" operator="equal">
      <formula>$S$1</formula>
    </cfRule>
    <cfRule type="cellIs" dxfId="20" priority="792" operator="equal">
      <formula>$U$1</formula>
    </cfRule>
  </conditionalFormatting>
  <conditionalFormatting sqref="C52">
    <cfRule type="cellIs" dxfId="19" priority="789" operator="equal">
      <formula>$U$1</formula>
    </cfRule>
    <cfRule type="cellIs" dxfId="18" priority="790" operator="equal">
      <formula>$S$1</formula>
    </cfRule>
  </conditionalFormatting>
  <conditionalFormatting sqref="D52">
    <cfRule type="cellIs" dxfId="17" priority="787" operator="equal">
      <formula>$S$1</formula>
    </cfRule>
    <cfRule type="cellIs" dxfId="16" priority="788" operator="equal">
      <formula>$U$1</formula>
    </cfRule>
  </conditionalFormatting>
  <conditionalFormatting sqref="C26">
    <cfRule type="cellIs" dxfId="15" priority="785" operator="equal">
      <formula>$U$1</formula>
    </cfRule>
    <cfRule type="cellIs" dxfId="14" priority="786" operator="equal">
      <formula>$S$1</formula>
    </cfRule>
  </conditionalFormatting>
  <conditionalFormatting sqref="D26">
    <cfRule type="cellIs" dxfId="13" priority="783" operator="equal">
      <formula>$S$1</formula>
    </cfRule>
    <cfRule type="cellIs" dxfId="12" priority="78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F3" sqref="F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1.7103393581163142</v>
      </c>
      <c r="F3" s="30">
        <v>1.7958563260221301</v>
      </c>
      <c r="G3" s="30">
        <v>3.5556726879443583</v>
      </c>
      <c r="H3" s="25">
        <f>IF(G3="","",(3*(G3-F3))+E3)</f>
        <v>6.9897884438829987</v>
      </c>
      <c r="I3" s="7"/>
      <c r="J3" s="7">
        <f>(E3+G3)/2</f>
        <v>2.6330060230303363</v>
      </c>
      <c r="K3" s="7">
        <f>H3/2</f>
        <v>3.4948942219414993</v>
      </c>
      <c r="M3" s="26">
        <f>IF(OR(J3="",H3=""),"",H3/J3)</f>
        <v>2.6546800055696136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2022-01-28T01:13:18Z</dcterms:modified>
</cp:coreProperties>
</file>