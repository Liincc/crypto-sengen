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773727C-D98C-40DE-B509-1B7193E304A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D136" i="5" s="1"/>
  <c r="C56" i="4"/>
  <c r="D136" i="2"/>
  <c r="C136" i="2"/>
  <c r="C138" i="2"/>
  <c r="C2" i="1" l="1"/>
  <c r="D2" i="1"/>
  <c r="C116" i="5"/>
  <c r="C118" i="3"/>
  <c r="C122" i="4"/>
  <c r="C133" i="4" s="1"/>
  <c r="D136" i="4" s="1"/>
  <c r="C118" i="4"/>
  <c r="R1194" i="1"/>
  <c r="S1194" i="1" s="1"/>
  <c r="T1194" i="1" s="1"/>
  <c r="C136" i="5"/>
  <c r="C138" i="5" s="1"/>
  <c r="C122" i="3"/>
  <c r="C133" i="3" s="1"/>
  <c r="C136" i="3" s="1"/>
  <c r="R1193" i="1" l="1"/>
  <c r="R1192" i="1" s="1"/>
  <c r="C136" i="4"/>
  <c r="C138" i="4" s="1"/>
  <c r="D136" i="3"/>
  <c r="C138" i="3" s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<sst xmlns="http://schemas.openxmlformats.org/spreadsheetml/2006/main" count="8721" uniqueCount="34">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</sst>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5.5419999999999997E-2</c:v>
                </c:pt>
                <c:pt idx="1">
                  <c:v>5.62E-2</c:v>
                </c:pt>
                <c:pt idx="2">
                  <c:v>5.5879999999999999E-2</c:v>
                </c:pt>
                <c:pt idx="3">
                  <c:v>5.5059999999999998E-2</c:v>
                </c:pt>
                <c:pt idx="4">
                  <c:v>5.7520000000000002E-2</c:v>
                </c:pt>
                <c:pt idx="5">
                  <c:v>5.6800000000000003E-2</c:v>
                </c:pt>
                <c:pt idx="6">
                  <c:v>6.1030000000000001E-2</c:v>
                </c:pt>
                <c:pt idx="7">
                  <c:v>6.7729999999999999E-2</c:v>
                </c:pt>
                <c:pt idx="8">
                  <c:v>6.9150000000000003E-2</c:v>
                </c:pt>
                <c:pt idx="9">
                  <c:v>6.8459999999999993E-2</c:v>
                </c:pt>
                <c:pt idx="10">
                  <c:v>7.0849999999999996E-2</c:v>
                </c:pt>
                <c:pt idx="11">
                  <c:v>6.9879999999999998E-2</c:v>
                </c:pt>
                <c:pt idx="12">
                  <c:v>6.8419999999999995E-2</c:v>
                </c:pt>
                <c:pt idx="13">
                  <c:v>6.7650000000000002E-2</c:v>
                </c:pt>
                <c:pt idx="14">
                  <c:v>6.6199999999999995E-2</c:v>
                </c:pt>
                <c:pt idx="15">
                  <c:v>6.8059999999999996E-2</c:v>
                </c:pt>
                <c:pt idx="16">
                  <c:v>6.4930000000000002E-2</c:v>
                </c:pt>
                <c:pt idx="17">
                  <c:v>6.3420000000000004E-2</c:v>
                </c:pt>
                <c:pt idx="18">
                  <c:v>6.6110000000000002E-2</c:v>
                </c:pt>
                <c:pt idx="19">
                  <c:v>6.5390000000000004E-2</c:v>
                </c:pt>
                <c:pt idx="20">
                  <c:v>6.8199999999999997E-2</c:v>
                </c:pt>
                <c:pt idx="21">
                  <c:v>7.1059999999999998E-2</c:v>
                </c:pt>
                <c:pt idx="22">
                  <c:v>7.1120000000000003E-2</c:v>
                </c:pt>
                <c:pt idx="23">
                  <c:v>7.5920000000000001E-2</c:v>
                </c:pt>
                <c:pt idx="24">
                  <c:v>7.7049999999999993E-2</c:v>
                </c:pt>
                <c:pt idx="25">
                  <c:v>7.7619999999999995E-2</c:v>
                </c:pt>
                <c:pt idx="26">
                  <c:v>7.6600000000000001E-2</c:v>
                </c:pt>
                <c:pt idx="27">
                  <c:v>7.5389999999999999E-2</c:v>
                </c:pt>
                <c:pt idx="28">
                  <c:v>7.782E-2</c:v>
                </c:pt>
                <c:pt idx="29">
                  <c:v>7.6499999999999999E-2</c:v>
                </c:pt>
                <c:pt idx="30">
                  <c:v>7.7130000000000004E-2</c:v>
                </c:pt>
                <c:pt idx="31">
                  <c:v>8.1140000000000004E-2</c:v>
                </c:pt>
                <c:pt idx="32">
                  <c:v>8.1490000000000007E-2</c:v>
                </c:pt>
                <c:pt idx="33">
                  <c:v>8.1530000000000005E-2</c:v>
                </c:pt>
                <c:pt idx="34">
                  <c:v>8.0850000000000005E-2</c:v>
                </c:pt>
                <c:pt idx="35">
                  <c:v>8.2739999999999994E-2</c:v>
                </c:pt>
                <c:pt idx="36">
                  <c:v>7.9130000000000006E-2</c:v>
                </c:pt>
                <c:pt idx="37">
                  <c:v>7.8839999999999993E-2</c:v>
                </c:pt>
                <c:pt idx="38">
                  <c:v>7.7590000000000006E-2</c:v>
                </c:pt>
                <c:pt idx="39">
                  <c:v>7.9439999999999997E-2</c:v>
                </c:pt>
                <c:pt idx="40">
                  <c:v>8.0420000000000005E-2</c:v>
                </c:pt>
                <c:pt idx="41">
                  <c:v>7.9509999999999997E-2</c:v>
                </c:pt>
                <c:pt idx="42">
                  <c:v>8.5330000000000003E-2</c:v>
                </c:pt>
                <c:pt idx="43">
                  <c:v>8.7540000000000007E-2</c:v>
                </c:pt>
                <c:pt idx="44">
                  <c:v>8.7069999999999995E-2</c:v>
                </c:pt>
                <c:pt idx="45">
                  <c:v>8.4970000000000004E-2</c:v>
                </c:pt>
                <c:pt idx="46">
                  <c:v>9.1009999999999994E-2</c:v>
                </c:pt>
                <c:pt idx="47">
                  <c:v>8.8569999999999996E-2</c:v>
                </c:pt>
                <c:pt idx="48">
                  <c:v>8.7709999999999996E-2</c:v>
                </c:pt>
                <c:pt idx="49">
                  <c:v>8.8609999999999994E-2</c:v>
                </c:pt>
                <c:pt idx="50">
                  <c:v>9.2369999999999994E-2</c:v>
                </c:pt>
                <c:pt idx="51">
                  <c:v>8.9990000000000001E-2</c:v>
                </c:pt>
                <c:pt idx="52">
                  <c:v>8.7290000000000006E-2</c:v>
                </c:pt>
                <c:pt idx="53">
                  <c:v>8.4320000000000006E-2</c:v>
                </c:pt>
                <c:pt idx="54">
                  <c:v>8.6959999999999996E-2</c:v>
                </c:pt>
                <c:pt idx="55">
                  <c:v>9.3880000000000005E-2</c:v>
                </c:pt>
                <c:pt idx="56">
                  <c:v>9.7500000000000003E-2</c:v>
                </c:pt>
                <c:pt idx="57">
                  <c:v>9.6879999999999994E-2</c:v>
                </c:pt>
                <c:pt idx="58">
                  <c:v>9.6519999999999995E-2</c:v>
                </c:pt>
                <c:pt idx="59">
                  <c:v>9.6549999999999997E-2</c:v>
                </c:pt>
                <c:pt idx="60">
                  <c:v>9.5180000000000001E-2</c:v>
                </c:pt>
                <c:pt idx="61">
                  <c:v>9.3350000000000002E-2</c:v>
                </c:pt>
                <c:pt idx="62">
                  <c:v>9.2289999999999997E-2</c:v>
                </c:pt>
                <c:pt idx="63">
                  <c:v>0.10019</c:v>
                </c:pt>
                <c:pt idx="64">
                  <c:v>0.1002</c:v>
                </c:pt>
                <c:pt idx="65">
                  <c:v>0.10283</c:v>
                </c:pt>
                <c:pt idx="66">
                  <c:v>0.10181999999999999</c:v>
                </c:pt>
                <c:pt idx="67">
                  <c:v>0.10643</c:v>
                </c:pt>
                <c:pt idx="68">
                  <c:v>0.10519000000000001</c:v>
                </c:pt>
                <c:pt idx="69">
                  <c:v>0.10387</c:v>
                </c:pt>
                <c:pt idx="70">
                  <c:v>0.10038</c:v>
                </c:pt>
                <c:pt idx="71">
                  <c:v>0.11119</c:v>
                </c:pt>
                <c:pt idx="72">
                  <c:v>0.10934000000000001</c:v>
                </c:pt>
                <c:pt idx="73">
                  <c:v>0.12379999999999999</c:v>
                </c:pt>
                <c:pt idx="74">
                  <c:v>0.11700000000000001</c:v>
                </c:pt>
                <c:pt idx="75">
                  <c:v>0.11255</c:v>
                </c:pt>
                <c:pt idx="76">
                  <c:v>0.10796</c:v>
                </c:pt>
                <c:pt idx="77">
                  <c:v>0.10893</c:v>
                </c:pt>
                <c:pt idx="78">
                  <c:v>0.10662000000000001</c:v>
                </c:pt>
                <c:pt idx="79">
                  <c:v>0.11436</c:v>
                </c:pt>
                <c:pt idx="80">
                  <c:v>0.10993</c:v>
                </c:pt>
                <c:pt idx="81">
                  <c:v>0.1045</c:v>
                </c:pt>
                <c:pt idx="82">
                  <c:v>0.10252</c:v>
                </c:pt>
                <c:pt idx="83">
                  <c:v>0.10346</c:v>
                </c:pt>
                <c:pt idx="84">
                  <c:v>0.10329000000000001</c:v>
                </c:pt>
                <c:pt idx="85">
                  <c:v>0.10587000000000001</c:v>
                </c:pt>
                <c:pt idx="86">
                  <c:v>0.10748000000000001</c:v>
                </c:pt>
                <c:pt idx="87">
                  <c:v>0.10048</c:v>
                </c:pt>
                <c:pt idx="88">
                  <c:v>0.10152</c:v>
                </c:pt>
                <c:pt idx="89">
                  <c:v>0.10111000000000001</c:v>
                </c:pt>
                <c:pt idx="90">
                  <c:v>9.9599999999999994E-2</c:v>
                </c:pt>
                <c:pt idx="91">
                  <c:v>9.5269999999999994E-2</c:v>
                </c:pt>
                <c:pt idx="92">
                  <c:v>9.0639999999999998E-2</c:v>
                </c:pt>
                <c:pt idx="93">
                  <c:v>0.10112</c:v>
                </c:pt>
                <c:pt idx="94">
                  <c:v>0.10074</c:v>
                </c:pt>
                <c:pt idx="95">
                  <c:v>9.9129999999999996E-2</c:v>
                </c:pt>
                <c:pt idx="96">
                  <c:v>0.10066</c:v>
                </c:pt>
                <c:pt idx="97">
                  <c:v>9.9820000000000006E-2</c:v>
                </c:pt>
                <c:pt idx="98">
                  <c:v>9.9580000000000002E-2</c:v>
                </c:pt>
                <c:pt idx="99">
                  <c:v>0.10324</c:v>
                </c:pt>
                <c:pt idx="100">
                  <c:v>0.10055</c:v>
                </c:pt>
                <c:pt idx="101">
                  <c:v>9.8100000000000007E-2</c:v>
                </c:pt>
                <c:pt idx="102">
                  <c:v>9.8699999999999996E-2</c:v>
                </c:pt>
                <c:pt idx="103">
                  <c:v>9.8710000000000006E-2</c:v>
                </c:pt>
                <c:pt idx="104">
                  <c:v>9.8610000000000003E-2</c:v>
                </c:pt>
                <c:pt idx="105">
                  <c:v>9.7290000000000001E-2</c:v>
                </c:pt>
                <c:pt idx="106">
                  <c:v>9.7930000000000003E-2</c:v>
                </c:pt>
                <c:pt idx="107">
                  <c:v>9.5490000000000005E-2</c:v>
                </c:pt>
                <c:pt idx="108">
                  <c:v>9.7070000000000004E-2</c:v>
                </c:pt>
                <c:pt idx="109">
                  <c:v>9.7470000000000001E-2</c:v>
                </c:pt>
                <c:pt idx="110">
                  <c:v>0.10306</c:v>
                </c:pt>
                <c:pt idx="111">
                  <c:v>9.7710000000000005E-2</c:v>
                </c:pt>
                <c:pt idx="112">
                  <c:v>9.5469999999999999E-2</c:v>
                </c:pt>
                <c:pt idx="113">
                  <c:v>9.5490000000000005E-2</c:v>
                </c:pt>
                <c:pt idx="114">
                  <c:v>9.6180000000000002E-2</c:v>
                </c:pt>
                <c:pt idx="115">
                  <c:v>9.3299999999999994E-2</c:v>
                </c:pt>
                <c:pt idx="116">
                  <c:v>9.4869999999999996E-2</c:v>
                </c:pt>
                <c:pt idx="117">
                  <c:v>9.3380000000000005E-2</c:v>
                </c:pt>
                <c:pt idx="118">
                  <c:v>9.4810000000000005E-2</c:v>
                </c:pt>
                <c:pt idx="119">
                  <c:v>8.9429999999999996E-2</c:v>
                </c:pt>
                <c:pt idx="120">
                  <c:v>8.5809999999999997E-2</c:v>
                </c:pt>
                <c:pt idx="121">
                  <c:v>8.3049999999999999E-2</c:v>
                </c:pt>
                <c:pt idx="122">
                  <c:v>8.5989999999999997E-2</c:v>
                </c:pt>
                <c:pt idx="123">
                  <c:v>8.7690000000000004E-2</c:v>
                </c:pt>
                <c:pt idx="124">
                  <c:v>9.0550000000000005E-2</c:v>
                </c:pt>
                <c:pt idx="125">
                  <c:v>9.2259999999999995E-2</c:v>
                </c:pt>
                <c:pt idx="126">
                  <c:v>9.9229999999999999E-2</c:v>
                </c:pt>
                <c:pt idx="127">
                  <c:v>9.8760000000000001E-2</c:v>
                </c:pt>
                <c:pt idx="128">
                  <c:v>8.8260000000000005E-2</c:v>
                </c:pt>
                <c:pt idx="129">
                  <c:v>9.6299999999999997E-2</c:v>
                </c:pt>
                <c:pt idx="130">
                  <c:v>0.10369</c:v>
                </c:pt>
                <c:pt idx="131">
                  <c:v>0.10586</c:v>
                </c:pt>
                <c:pt idx="132">
                  <c:v>0.10545</c:v>
                </c:pt>
                <c:pt idx="133">
                  <c:v>0.11594</c:v>
                </c:pt>
                <c:pt idx="134">
                  <c:v>0.12069000000000001</c:v>
                </c:pt>
                <c:pt idx="135">
                  <c:v>0.11822000000000001</c:v>
                </c:pt>
                <c:pt idx="136">
                  <c:v>0.10462</c:v>
                </c:pt>
                <c:pt idx="137">
                  <c:v>0.11241</c:v>
                </c:pt>
                <c:pt idx="138">
                  <c:v>9.5549999999999996E-2</c:v>
                </c:pt>
                <c:pt idx="139">
                  <c:v>9.0749999999999997E-2</c:v>
                </c:pt>
                <c:pt idx="140">
                  <c:v>9.3030000000000002E-2</c:v>
                </c:pt>
                <c:pt idx="141">
                  <c:v>9.2719999999999997E-2</c:v>
                </c:pt>
                <c:pt idx="142">
                  <c:v>8.5389999999999994E-2</c:v>
                </c:pt>
                <c:pt idx="143">
                  <c:v>0.10381</c:v>
                </c:pt>
                <c:pt idx="144">
                  <c:v>0.10519000000000001</c:v>
                </c:pt>
                <c:pt idx="145">
                  <c:v>0.10145999999999999</c:v>
                </c:pt>
                <c:pt idx="146">
                  <c:v>0.10161000000000001</c:v>
                </c:pt>
                <c:pt idx="147">
                  <c:v>9.9529999999999993E-2</c:v>
                </c:pt>
                <c:pt idx="148">
                  <c:v>9.5000000000000001E-2</c:v>
                </c:pt>
                <c:pt idx="149">
                  <c:v>8.8749999999999996E-2</c:v>
                </c:pt>
                <c:pt idx="150">
                  <c:v>8.616E-2</c:v>
                </c:pt>
                <c:pt idx="151">
                  <c:v>8.8469999999999993E-2</c:v>
                </c:pt>
                <c:pt idx="152">
                  <c:v>8.8289999999999993E-2</c:v>
                </c:pt>
                <c:pt idx="153">
                  <c:v>8.8279999999999997E-2</c:v>
                </c:pt>
                <c:pt idx="154">
                  <c:v>8.3030000000000007E-2</c:v>
                </c:pt>
                <c:pt idx="155">
                  <c:v>8.7580000000000005E-2</c:v>
                </c:pt>
                <c:pt idx="156">
                  <c:v>8.4570000000000006E-2</c:v>
                </c:pt>
                <c:pt idx="157">
                  <c:v>8.9870000000000005E-2</c:v>
                </c:pt>
                <c:pt idx="158">
                  <c:v>8.8789999999999994E-2</c:v>
                </c:pt>
                <c:pt idx="159">
                  <c:v>8.7989999999999999E-2</c:v>
                </c:pt>
                <c:pt idx="160">
                  <c:v>9.0590000000000004E-2</c:v>
                </c:pt>
                <c:pt idx="161">
                  <c:v>8.8249999999999995E-2</c:v>
                </c:pt>
                <c:pt idx="162">
                  <c:v>8.4559999999999996E-2</c:v>
                </c:pt>
                <c:pt idx="163">
                  <c:v>8.5089999999999999E-2</c:v>
                </c:pt>
                <c:pt idx="164">
                  <c:v>8.9359999999999995E-2</c:v>
                </c:pt>
                <c:pt idx="165">
                  <c:v>9.2950000000000005E-2</c:v>
                </c:pt>
                <c:pt idx="166">
                  <c:v>9.264E-2</c:v>
                </c:pt>
                <c:pt idx="167">
                  <c:v>8.9510000000000006E-2</c:v>
                </c:pt>
                <c:pt idx="168">
                  <c:v>8.4150000000000003E-2</c:v>
                </c:pt>
                <c:pt idx="169">
                  <c:v>8.3409999999999998E-2</c:v>
                </c:pt>
                <c:pt idx="170">
                  <c:v>7.4639999999999998E-2</c:v>
                </c:pt>
                <c:pt idx="171">
                  <c:v>7.3950000000000002E-2</c:v>
                </c:pt>
                <c:pt idx="172">
                  <c:v>7.1919999999999998E-2</c:v>
                </c:pt>
                <c:pt idx="173">
                  <c:v>7.5270000000000004E-2</c:v>
                </c:pt>
                <c:pt idx="174">
                  <c:v>7.1959999999999996E-2</c:v>
                </c:pt>
                <c:pt idx="175">
                  <c:v>7.0129999999999998E-2</c:v>
                </c:pt>
                <c:pt idx="176">
                  <c:v>6.7369999999999999E-2</c:v>
                </c:pt>
                <c:pt idx="177">
                  <c:v>6.4030000000000004E-2</c:v>
                </c:pt>
                <c:pt idx="178">
                  <c:v>6.4630000000000007E-2</c:v>
                </c:pt>
                <c:pt idx="179">
                  <c:v>6.3200000000000006E-2</c:v>
                </c:pt>
                <c:pt idx="180">
                  <c:v>6.3960000000000003E-2</c:v>
                </c:pt>
                <c:pt idx="181">
                  <c:v>6.3250000000000001E-2</c:v>
                </c:pt>
                <c:pt idx="182">
                  <c:v>6.1850000000000002E-2</c:v>
                </c:pt>
                <c:pt idx="183">
                  <c:v>6.0699999999999997E-2</c:v>
                </c:pt>
                <c:pt idx="184">
                  <c:v>6.019E-2</c:v>
                </c:pt>
                <c:pt idx="185">
                  <c:v>5.842E-2</c:v>
                </c:pt>
                <c:pt idx="186">
                  <c:v>5.7910000000000003E-2</c:v>
                </c:pt>
                <c:pt idx="187">
                  <c:v>5.7270000000000001E-2</c:v>
                </c:pt>
                <c:pt idx="188">
                  <c:v>5.6000000000000001E-2</c:v>
                </c:pt>
                <c:pt idx="189">
                  <c:v>5.5259999999999997E-2</c:v>
                </c:pt>
                <c:pt idx="190">
                  <c:v>5.3879999999999997E-2</c:v>
                </c:pt>
                <c:pt idx="191">
                  <c:v>5.0450000000000002E-2</c:v>
                </c:pt>
                <c:pt idx="192">
                  <c:v>5.3449999999999998E-2</c:v>
                </c:pt>
                <c:pt idx="193">
                  <c:v>5.5919999999999997E-2</c:v>
                </c:pt>
                <c:pt idx="194">
                  <c:v>5.5969999999999999E-2</c:v>
                </c:pt>
                <c:pt idx="195">
                  <c:v>5.5620000000000003E-2</c:v>
                </c:pt>
                <c:pt idx="196">
                  <c:v>5.7840000000000003E-2</c:v>
                </c:pt>
                <c:pt idx="197">
                  <c:v>5.9889999999999999E-2</c:v>
                </c:pt>
                <c:pt idx="198">
                  <c:v>5.9369999999999999E-2</c:v>
                </c:pt>
                <c:pt idx="199">
                  <c:v>6.0040000000000003E-2</c:v>
                </c:pt>
                <c:pt idx="200">
                  <c:v>6.1839999999999999E-2</c:v>
                </c:pt>
                <c:pt idx="201">
                  <c:v>6.1420000000000002E-2</c:v>
                </c:pt>
                <c:pt idx="202">
                  <c:v>6.2190000000000002E-2</c:v>
                </c:pt>
                <c:pt idx="203">
                  <c:v>6.1060000000000003E-2</c:v>
                </c:pt>
                <c:pt idx="204">
                  <c:v>6.4329999999999998E-2</c:v>
                </c:pt>
                <c:pt idx="205">
                  <c:v>6.4939999999999998E-2</c:v>
                </c:pt>
                <c:pt idx="206">
                  <c:v>6.4479999999999996E-2</c:v>
                </c:pt>
                <c:pt idx="207">
                  <c:v>6.7360000000000003E-2</c:v>
                </c:pt>
                <c:pt idx="208">
                  <c:v>6.6830000000000001E-2</c:v>
                </c:pt>
                <c:pt idx="209">
                  <c:v>6.6570000000000004E-2</c:v>
                </c:pt>
                <c:pt idx="210">
                  <c:v>6.4710000000000004E-2</c:v>
                </c:pt>
                <c:pt idx="211">
                  <c:v>6.8279999999999993E-2</c:v>
                </c:pt>
                <c:pt idx="212">
                  <c:v>6.7930000000000004E-2</c:v>
                </c:pt>
                <c:pt idx="213">
                  <c:v>6.5320000000000003E-2</c:v>
                </c:pt>
                <c:pt idx="214">
                  <c:v>6.479E-2</c:v>
                </c:pt>
                <c:pt idx="215">
                  <c:v>6.2740000000000004E-2</c:v>
                </c:pt>
                <c:pt idx="216">
                  <c:v>6.139E-2</c:v>
                </c:pt>
                <c:pt idx="217">
                  <c:v>6.6110000000000002E-2</c:v>
                </c:pt>
                <c:pt idx="218">
                  <c:v>5.7970000000000001E-2</c:v>
                </c:pt>
                <c:pt idx="219">
                  <c:v>5.1029999999999999E-2</c:v>
                </c:pt>
                <c:pt idx="220">
                  <c:v>5.3510000000000002E-2</c:v>
                </c:pt>
                <c:pt idx="221">
                  <c:v>6.7680000000000004E-2</c:v>
                </c:pt>
                <c:pt idx="222">
                  <c:v>6.8269999999999997E-2</c:v>
                </c:pt>
                <c:pt idx="223">
                  <c:v>6.9620000000000001E-2</c:v>
                </c:pt>
                <c:pt idx="224">
                  <c:v>7.3899999999999993E-2</c:v>
                </c:pt>
                <c:pt idx="225">
                  <c:v>6.8949999999999997E-2</c:v>
                </c:pt>
                <c:pt idx="226">
                  <c:v>7.1739999999999998E-2</c:v>
                </c:pt>
                <c:pt idx="227">
                  <c:v>7.2029999999999997E-2</c:v>
                </c:pt>
                <c:pt idx="228">
                  <c:v>7.1529999999999996E-2</c:v>
                </c:pt>
                <c:pt idx="229">
                  <c:v>6.8040000000000003E-2</c:v>
                </c:pt>
                <c:pt idx="230">
                  <c:v>6.9190000000000002E-2</c:v>
                </c:pt>
                <c:pt idx="231">
                  <c:v>7.2569999999999996E-2</c:v>
                </c:pt>
                <c:pt idx="232">
                  <c:v>7.5359999999999996E-2</c:v>
                </c:pt>
                <c:pt idx="233">
                  <c:v>7.2419999999999998E-2</c:v>
                </c:pt>
                <c:pt idx="234">
                  <c:v>7.17E-2</c:v>
                </c:pt>
                <c:pt idx="235">
                  <c:v>7.7450000000000005E-2</c:v>
                </c:pt>
                <c:pt idx="236">
                  <c:v>7.5520000000000004E-2</c:v>
                </c:pt>
                <c:pt idx="237">
                  <c:v>7.714E-2</c:v>
                </c:pt>
                <c:pt idx="238">
                  <c:v>8.2229999999999998E-2</c:v>
                </c:pt>
                <c:pt idx="239">
                  <c:v>7.8039999999999998E-2</c:v>
                </c:pt>
                <c:pt idx="240">
                  <c:v>7.6139999999999999E-2</c:v>
                </c:pt>
                <c:pt idx="241">
                  <c:v>7.6789999999999997E-2</c:v>
                </c:pt>
                <c:pt idx="242">
                  <c:v>7.1959999999999996E-2</c:v>
                </c:pt>
                <c:pt idx="243">
                  <c:v>6.8769999999999998E-2</c:v>
                </c:pt>
                <c:pt idx="244">
                  <c:v>7.2040000000000007E-2</c:v>
                </c:pt>
                <c:pt idx="245">
                  <c:v>7.9490000000000005E-2</c:v>
                </c:pt>
                <c:pt idx="246">
                  <c:v>8.3119999999999999E-2</c:v>
                </c:pt>
                <c:pt idx="247">
                  <c:v>7.714E-2</c:v>
                </c:pt>
                <c:pt idx="248">
                  <c:v>7.6960000000000001E-2</c:v>
                </c:pt>
                <c:pt idx="249">
                  <c:v>6.2850000000000003E-2</c:v>
                </c:pt>
                <c:pt idx="250">
                  <c:v>7.5340000000000004E-2</c:v>
                </c:pt>
                <c:pt idx="251">
                  <c:v>7.7899999999999997E-2</c:v>
                </c:pt>
                <c:pt idx="252">
                  <c:v>8.9279999999999998E-2</c:v>
                </c:pt>
                <c:pt idx="253">
                  <c:v>7.8810000000000005E-2</c:v>
                </c:pt>
                <c:pt idx="254">
                  <c:v>0.11627</c:v>
                </c:pt>
                <c:pt idx="255">
                  <c:v>0.11279</c:v>
                </c:pt>
                <c:pt idx="256">
                  <c:v>0.11964</c:v>
                </c:pt>
                <c:pt idx="257">
                  <c:v>0.12059</c:v>
                </c:pt>
                <c:pt idx="258">
                  <c:v>0.12472999999999999</c:v>
                </c:pt>
                <c:pt idx="259">
                  <c:v>0.12159</c:v>
                </c:pt>
                <c:pt idx="260">
                  <c:v>0.11917999999999999</c:v>
                </c:pt>
                <c:pt idx="261">
                  <c:v>0.13893</c:v>
                </c:pt>
                <c:pt idx="262">
                  <c:v>0.12716</c:v>
                </c:pt>
                <c:pt idx="263">
                  <c:v>0.14294999999999999</c:v>
                </c:pt>
                <c:pt idx="264">
                  <c:v>0.14301</c:v>
                </c:pt>
                <c:pt idx="265">
                  <c:v>0.14763000000000001</c:v>
                </c:pt>
                <c:pt idx="266">
                  <c:v>0.15215999999999999</c:v>
                </c:pt>
                <c:pt idx="267">
                  <c:v>0.14654</c:v>
                </c:pt>
                <c:pt idx="268">
                  <c:v>0.11917</c:v>
                </c:pt>
                <c:pt idx="269">
                  <c:v>0.13159000000000001</c:v>
                </c:pt>
                <c:pt idx="270">
                  <c:v>0.12759000000000001</c:v>
                </c:pt>
                <c:pt idx="271">
                  <c:v>0.13111999999999999</c:v>
                </c:pt>
                <c:pt idx="272">
                  <c:v>0.13222999999999999</c:v>
                </c:pt>
                <c:pt idx="273">
                  <c:v>0.12123</c:v>
                </c:pt>
                <c:pt idx="274">
                  <c:v>0.12266000000000001</c:v>
                </c:pt>
                <c:pt idx="275">
                  <c:v>0.12594</c:v>
                </c:pt>
                <c:pt idx="276">
                  <c:v>0.11731999999999999</c:v>
                </c:pt>
                <c:pt idx="277">
                  <c:v>0.10176</c:v>
                </c:pt>
                <c:pt idx="278">
                  <c:v>0.10249</c:v>
                </c:pt>
                <c:pt idx="279">
                  <c:v>0.10915</c:v>
                </c:pt>
                <c:pt idx="280">
                  <c:v>0.11001</c:v>
                </c:pt>
                <c:pt idx="281">
                  <c:v>0.12273000000000001</c:v>
                </c:pt>
                <c:pt idx="282">
                  <c:v>0.13278999999999999</c:v>
                </c:pt>
                <c:pt idx="283">
                  <c:v>0.12992999999999999</c:v>
                </c:pt>
                <c:pt idx="284">
                  <c:v>0.14302000000000001</c:v>
                </c:pt>
                <c:pt idx="285">
                  <c:v>0.15534999999999999</c:v>
                </c:pt>
                <c:pt idx="286">
                  <c:v>0.16091</c:v>
                </c:pt>
                <c:pt idx="287">
                  <c:v>0.16420999999999999</c:v>
                </c:pt>
                <c:pt idx="288">
                  <c:v>0.1404</c:v>
                </c:pt>
                <c:pt idx="289">
                  <c:v>0.14621999999999999</c:v>
                </c:pt>
                <c:pt idx="290">
                  <c:v>0.12873999999999999</c:v>
                </c:pt>
                <c:pt idx="291">
                  <c:v>0.12214</c:v>
                </c:pt>
                <c:pt idx="292">
                  <c:v>0.1263</c:v>
                </c:pt>
                <c:pt idx="293">
                  <c:v>0.11584</c:v>
                </c:pt>
                <c:pt idx="294">
                  <c:v>0.12349</c:v>
                </c:pt>
                <c:pt idx="295">
                  <c:v>0.11045000000000001</c:v>
                </c:pt>
                <c:pt idx="296">
                  <c:v>0.12401</c:v>
                </c:pt>
                <c:pt idx="297">
                  <c:v>0.13655</c:v>
                </c:pt>
                <c:pt idx="298">
                  <c:v>0.12761</c:v>
                </c:pt>
                <c:pt idx="299">
                  <c:v>0.10143000000000001</c:v>
                </c:pt>
                <c:pt idx="300">
                  <c:v>9.2319999999999999E-2</c:v>
                </c:pt>
                <c:pt idx="301">
                  <c:v>8.5430000000000006E-2</c:v>
                </c:pt>
                <c:pt idx="302">
                  <c:v>9.2960000000000001E-2</c:v>
                </c:pt>
                <c:pt idx="303">
                  <c:v>6.5979999999999997E-2</c:v>
                </c:pt>
                <c:pt idx="304">
                  <c:v>6.4750000000000002E-2</c:v>
                </c:pt>
                <c:pt idx="305">
                  <c:v>6.3619999999999996E-2</c:v>
                </c:pt>
                <c:pt idx="306">
                  <c:v>6.3600000000000004E-2</c:v>
                </c:pt>
                <c:pt idx="307">
                  <c:v>6.4640000000000003E-2</c:v>
                </c:pt>
                <c:pt idx="308">
                  <c:v>5.5280000000000003E-2</c:v>
                </c:pt>
                <c:pt idx="309">
                  <c:v>5.568E-2</c:v>
                </c:pt>
                <c:pt idx="310">
                  <c:v>5.8520000000000003E-2</c:v>
                </c:pt>
                <c:pt idx="311">
                  <c:v>5.9270000000000003E-2</c:v>
                </c:pt>
                <c:pt idx="312">
                  <c:v>6.3369999999999996E-2</c:v>
                </c:pt>
                <c:pt idx="313">
                  <c:v>6.0900000000000003E-2</c:v>
                </c:pt>
                <c:pt idx="314">
                  <c:v>5.8619999999999998E-2</c:v>
                </c:pt>
                <c:pt idx="315">
                  <c:v>5.3289999999999997E-2</c:v>
                </c:pt>
                <c:pt idx="316">
                  <c:v>5.4829999999999997E-2</c:v>
                </c:pt>
                <c:pt idx="317">
                  <c:v>5.237E-2</c:v>
                </c:pt>
                <c:pt idx="318">
                  <c:v>5.0689999999999999E-2</c:v>
                </c:pt>
                <c:pt idx="319">
                  <c:v>5.1049999999999998E-2</c:v>
                </c:pt>
                <c:pt idx="320">
                  <c:v>5.2909999999999999E-2</c:v>
                </c:pt>
                <c:pt idx="321">
                  <c:v>4.9970000000000001E-2</c:v>
                </c:pt>
                <c:pt idx="322">
                  <c:v>5.151E-2</c:v>
                </c:pt>
                <c:pt idx="323">
                  <c:v>5.142E-2</c:v>
                </c:pt>
                <c:pt idx="324">
                  <c:v>5.3199999999999997E-2</c:v>
                </c:pt>
                <c:pt idx="325">
                  <c:v>5.3069999999999999E-2</c:v>
                </c:pt>
                <c:pt idx="326">
                  <c:v>5.1729999999999998E-2</c:v>
                </c:pt>
                <c:pt idx="327">
                  <c:v>5.015E-2</c:v>
                </c:pt>
                <c:pt idx="328">
                  <c:v>5.0189999999999999E-2</c:v>
                </c:pt>
                <c:pt idx="329">
                  <c:v>5.142E-2</c:v>
                </c:pt>
                <c:pt idx="330">
                  <c:v>4.8829999999999998E-2</c:v>
                </c:pt>
                <c:pt idx="331">
                  <c:v>4.6870000000000002E-2</c:v>
                </c:pt>
                <c:pt idx="332">
                  <c:v>4.7840000000000001E-2</c:v>
                </c:pt>
                <c:pt idx="333">
                  <c:v>4.5620000000000001E-2</c:v>
                </c:pt>
                <c:pt idx="334">
                  <c:v>4.6519999999999999E-2</c:v>
                </c:pt>
                <c:pt idx="335">
                  <c:v>4.5170000000000002E-2</c:v>
                </c:pt>
                <c:pt idx="336">
                  <c:v>4.5199999999999997E-2</c:v>
                </c:pt>
                <c:pt idx="337">
                  <c:v>4.8000000000000001E-2</c:v>
                </c:pt>
                <c:pt idx="338">
                  <c:v>4.5010000000000001E-2</c:v>
                </c:pt>
                <c:pt idx="339">
                  <c:v>5.425E-2</c:v>
                </c:pt>
                <c:pt idx="340">
                  <c:v>5.935E-2</c:v>
                </c:pt>
                <c:pt idx="341">
                  <c:v>5.7729999999999997E-2</c:v>
                </c:pt>
                <c:pt idx="342">
                  <c:v>6.0729999999999999E-2</c:v>
                </c:pt>
                <c:pt idx="343">
                  <c:v>5.4919999999999997E-2</c:v>
                </c:pt>
                <c:pt idx="344">
                  <c:v>5.2560000000000003E-2</c:v>
                </c:pt>
                <c:pt idx="345">
                  <c:v>5.2019999999999997E-2</c:v>
                </c:pt>
                <c:pt idx="346">
                  <c:v>5.0790000000000002E-2</c:v>
                </c:pt>
                <c:pt idx="347">
                  <c:v>5.5190000000000003E-2</c:v>
                </c:pt>
                <c:pt idx="348">
                  <c:v>5.9950000000000003E-2</c:v>
                </c:pt>
                <c:pt idx="349">
                  <c:v>5.5149999999999998E-2</c:v>
                </c:pt>
                <c:pt idx="350">
                  <c:v>5.6809999999999999E-2</c:v>
                </c:pt>
                <c:pt idx="351">
                  <c:v>4.6289999999999998E-2</c:v>
                </c:pt>
                <c:pt idx="352">
                  <c:v>4.6080000000000003E-2</c:v>
                </c:pt>
                <c:pt idx="353">
                  <c:v>4.0419999999999998E-2</c:v>
                </c:pt>
                <c:pt idx="354">
                  <c:v>3.5970000000000002E-2</c:v>
                </c:pt>
                <c:pt idx="355">
                  <c:v>3.5069999999999997E-2</c:v>
                </c:pt>
                <c:pt idx="356">
                  <c:v>3.6240000000000001E-2</c:v>
                </c:pt>
                <c:pt idx="357">
                  <c:v>3.3099999999999997E-2</c:v>
                </c:pt>
                <c:pt idx="358">
                  <c:v>3.4520000000000002E-2</c:v>
                </c:pt>
                <c:pt idx="359">
                  <c:v>3.3169999999999998E-2</c:v>
                </c:pt>
                <c:pt idx="360">
                  <c:v>3.295E-2</c:v>
                </c:pt>
                <c:pt idx="361">
                  <c:v>3.1539999999999999E-2</c:v>
                </c:pt>
                <c:pt idx="362">
                  <c:v>3.2160000000000001E-2</c:v>
                </c:pt>
                <c:pt idx="363">
                  <c:v>3.3349999999999998E-2</c:v>
                </c:pt>
                <c:pt idx="364">
                  <c:v>2.955E-2</c:v>
                </c:pt>
                <c:pt idx="365">
                  <c:v>2.8230000000000002E-2</c:v>
                </c:pt>
                <c:pt idx="366">
                  <c:v>2.9489999999999999E-2</c:v>
                </c:pt>
                <c:pt idx="367">
                  <c:v>2.9489999999999999E-2</c:v>
                </c:pt>
                <c:pt idx="368">
                  <c:v>2.9989999999999999E-2</c:v>
                </c:pt>
                <c:pt idx="369">
                  <c:v>2.9250000000000002E-2</c:v>
                </c:pt>
                <c:pt idx="370">
                  <c:v>2.8570000000000002E-2</c:v>
                </c:pt>
                <c:pt idx="371">
                  <c:v>2.7619999999999999E-2</c:v>
                </c:pt>
                <c:pt idx="372">
                  <c:v>3.0460000000000001E-2</c:v>
                </c:pt>
                <c:pt idx="373">
                  <c:v>3.0630000000000001E-2</c:v>
                </c:pt>
                <c:pt idx="374">
                  <c:v>3.1640000000000001E-2</c:v>
                </c:pt>
                <c:pt idx="375">
                  <c:v>3.0200000000000001E-2</c:v>
                </c:pt>
                <c:pt idx="376">
                  <c:v>3.0079999999999999E-2</c:v>
                </c:pt>
                <c:pt idx="377">
                  <c:v>2.972E-2</c:v>
                </c:pt>
                <c:pt idx="378">
                  <c:v>3.014E-2</c:v>
                </c:pt>
                <c:pt idx="379">
                  <c:v>3.0790000000000001E-2</c:v>
                </c:pt>
                <c:pt idx="380">
                  <c:v>2.8649999999999998E-2</c:v>
                </c:pt>
                <c:pt idx="381">
                  <c:v>2.8969999999999999E-2</c:v>
                </c:pt>
                <c:pt idx="382">
                  <c:v>3.2750000000000001E-2</c:v>
                </c:pt>
                <c:pt idx="383">
                  <c:v>3.3820000000000003E-2</c:v>
                </c:pt>
                <c:pt idx="384">
                  <c:v>3.04E-2</c:v>
                </c:pt>
                <c:pt idx="385">
                  <c:v>3.0949999999999998E-2</c:v>
                </c:pt>
                <c:pt idx="386">
                  <c:v>3.0460000000000001E-2</c:v>
                </c:pt>
                <c:pt idx="387">
                  <c:v>2.852E-2</c:v>
                </c:pt>
                <c:pt idx="388">
                  <c:v>3.0949999999999998E-2</c:v>
                </c:pt>
                <c:pt idx="389">
                  <c:v>2.9489999999999999E-2</c:v>
                </c:pt>
                <c:pt idx="390">
                  <c:v>2.7210000000000002E-2</c:v>
                </c:pt>
                <c:pt idx="391">
                  <c:v>2.6849999999999999E-2</c:v>
                </c:pt>
                <c:pt idx="392">
                  <c:v>2.6769999999999999E-2</c:v>
                </c:pt>
                <c:pt idx="393">
                  <c:v>2.6950000000000002E-2</c:v>
                </c:pt>
                <c:pt idx="394">
                  <c:v>2.767E-2</c:v>
                </c:pt>
                <c:pt idx="395">
                  <c:v>2.9590000000000002E-2</c:v>
                </c:pt>
                <c:pt idx="396">
                  <c:v>2.8889999999999999E-2</c:v>
                </c:pt>
                <c:pt idx="397">
                  <c:v>2.7799999999999998E-2</c:v>
                </c:pt>
                <c:pt idx="398">
                  <c:v>2.8539999999999999E-2</c:v>
                </c:pt>
                <c:pt idx="399">
                  <c:v>2.7689999999999999E-2</c:v>
                </c:pt>
                <c:pt idx="400">
                  <c:v>2.4799999999999999E-2</c:v>
                </c:pt>
                <c:pt idx="401">
                  <c:v>2.8850000000000001E-2</c:v>
                </c:pt>
                <c:pt idx="402">
                  <c:v>2.9260000000000001E-2</c:v>
                </c:pt>
                <c:pt idx="403">
                  <c:v>3.1220000000000001E-2</c:v>
                </c:pt>
                <c:pt idx="404">
                  <c:v>3.124E-2</c:v>
                </c:pt>
                <c:pt idx="405">
                  <c:v>3.109E-2</c:v>
                </c:pt>
                <c:pt idx="406">
                  <c:v>3.0720000000000001E-2</c:v>
                </c:pt>
                <c:pt idx="407">
                  <c:v>3.1449999999999999E-2</c:v>
                </c:pt>
                <c:pt idx="408">
                  <c:v>2.9180000000000001E-2</c:v>
                </c:pt>
                <c:pt idx="409">
                  <c:v>2.9100000000000001E-2</c:v>
                </c:pt>
                <c:pt idx="410">
                  <c:v>2.921E-2</c:v>
                </c:pt>
                <c:pt idx="411">
                  <c:v>2.8549999999999999E-2</c:v>
                </c:pt>
                <c:pt idx="412">
                  <c:v>2.7779999999999999E-2</c:v>
                </c:pt>
                <c:pt idx="413">
                  <c:v>2.811E-2</c:v>
                </c:pt>
                <c:pt idx="414">
                  <c:v>2.87E-2</c:v>
                </c:pt>
                <c:pt idx="415">
                  <c:v>2.7900000000000001E-2</c:v>
                </c:pt>
                <c:pt idx="416">
                  <c:v>3.0290000000000001E-2</c:v>
                </c:pt>
                <c:pt idx="417">
                  <c:v>3.091E-2</c:v>
                </c:pt>
                <c:pt idx="418">
                  <c:v>3.056E-2</c:v>
                </c:pt>
                <c:pt idx="419">
                  <c:v>2.947E-2</c:v>
                </c:pt>
                <c:pt idx="420">
                  <c:v>3.1660000000000001E-2</c:v>
                </c:pt>
                <c:pt idx="421">
                  <c:v>3.1179999999999999E-2</c:v>
                </c:pt>
                <c:pt idx="422">
                  <c:v>3.024E-2</c:v>
                </c:pt>
                <c:pt idx="423">
                  <c:v>3.236E-2</c:v>
                </c:pt>
                <c:pt idx="424">
                  <c:v>3.0720000000000001E-2</c:v>
                </c:pt>
                <c:pt idx="425">
                  <c:v>3.0470000000000001E-2</c:v>
                </c:pt>
                <c:pt idx="426">
                  <c:v>2.938E-2</c:v>
                </c:pt>
                <c:pt idx="427">
                  <c:v>2.9420000000000002E-2</c:v>
                </c:pt>
                <c:pt idx="428">
                  <c:v>3.304E-2</c:v>
                </c:pt>
                <c:pt idx="429">
                  <c:v>3.5229999999999997E-2</c:v>
                </c:pt>
                <c:pt idx="430">
                  <c:v>3.1739999999999997E-2</c:v>
                </c:pt>
                <c:pt idx="431">
                  <c:v>2.8750000000000001E-2</c:v>
                </c:pt>
                <c:pt idx="432">
                  <c:v>3.057E-2</c:v>
                </c:pt>
                <c:pt idx="433">
                  <c:v>2.6290000000000001E-2</c:v>
                </c:pt>
                <c:pt idx="434">
                  <c:v>2.581E-2</c:v>
                </c:pt>
                <c:pt idx="435">
                  <c:v>2.6780000000000002E-2</c:v>
                </c:pt>
                <c:pt idx="436">
                  <c:v>2.649E-2</c:v>
                </c:pt>
                <c:pt idx="437">
                  <c:v>2.5489999999999999E-2</c:v>
                </c:pt>
                <c:pt idx="438">
                  <c:v>2.5329999999999998E-2</c:v>
                </c:pt>
                <c:pt idx="439">
                  <c:v>2.513E-2</c:v>
                </c:pt>
                <c:pt idx="440">
                  <c:v>2.5399999999999999E-2</c:v>
                </c:pt>
                <c:pt idx="441">
                  <c:v>2.4899999999999999E-2</c:v>
                </c:pt>
                <c:pt idx="442">
                  <c:v>2.4979999999999999E-2</c:v>
                </c:pt>
                <c:pt idx="443">
                  <c:v>2.4830000000000001E-2</c:v>
                </c:pt>
                <c:pt idx="444">
                  <c:v>2.479E-2</c:v>
                </c:pt>
                <c:pt idx="445">
                  <c:v>2.5350000000000001E-2</c:v>
                </c:pt>
                <c:pt idx="446">
                  <c:v>2.486E-2</c:v>
                </c:pt>
                <c:pt idx="447">
                  <c:v>2.6159999999999999E-2</c:v>
                </c:pt>
                <c:pt idx="448">
                  <c:v>2.4930000000000001E-2</c:v>
                </c:pt>
                <c:pt idx="449">
                  <c:v>2.4199999999999999E-2</c:v>
                </c:pt>
                <c:pt idx="450">
                  <c:v>2.4420000000000001E-2</c:v>
                </c:pt>
                <c:pt idx="451">
                  <c:v>2.445E-2</c:v>
                </c:pt>
                <c:pt idx="452">
                  <c:v>2.5739999999999999E-2</c:v>
                </c:pt>
                <c:pt idx="453">
                  <c:v>2.5760000000000002E-2</c:v>
                </c:pt>
                <c:pt idx="454">
                  <c:v>2.5600000000000001E-2</c:v>
                </c:pt>
                <c:pt idx="455">
                  <c:v>2.6550000000000001E-2</c:v>
                </c:pt>
                <c:pt idx="456">
                  <c:v>2.6880000000000001E-2</c:v>
                </c:pt>
                <c:pt idx="457">
                  <c:v>2.7009999999999999E-2</c:v>
                </c:pt>
                <c:pt idx="458">
                  <c:v>2.6749999999999999E-2</c:v>
                </c:pt>
                <c:pt idx="459">
                  <c:v>2.699E-2</c:v>
                </c:pt>
                <c:pt idx="460">
                  <c:v>2.7060000000000001E-2</c:v>
                </c:pt>
                <c:pt idx="461">
                  <c:v>2.6689999999999998E-2</c:v>
                </c:pt>
                <c:pt idx="462">
                  <c:v>2.708E-2</c:v>
                </c:pt>
                <c:pt idx="463">
                  <c:v>2.6669999999999999E-2</c:v>
                </c:pt>
                <c:pt idx="464">
                  <c:v>2.5919999999999999E-2</c:v>
                </c:pt>
                <c:pt idx="465">
                  <c:v>2.589E-2</c:v>
                </c:pt>
                <c:pt idx="466">
                  <c:v>2.5940000000000001E-2</c:v>
                </c:pt>
                <c:pt idx="467">
                  <c:v>2.5739999999999999E-2</c:v>
                </c:pt>
                <c:pt idx="468">
                  <c:v>2.572E-2</c:v>
                </c:pt>
                <c:pt idx="469">
                  <c:v>2.6519999999999998E-2</c:v>
                </c:pt>
                <c:pt idx="470">
                  <c:v>2.6759999999999999E-2</c:v>
                </c:pt>
                <c:pt idx="471">
                  <c:v>2.6800000000000001E-2</c:v>
                </c:pt>
                <c:pt idx="472">
                  <c:v>2.7089999999999999E-2</c:v>
                </c:pt>
                <c:pt idx="473">
                  <c:v>2.656E-2</c:v>
                </c:pt>
                <c:pt idx="474">
                  <c:v>2.6440000000000002E-2</c:v>
                </c:pt>
                <c:pt idx="475">
                  <c:v>2.6270000000000002E-2</c:v>
                </c:pt>
                <c:pt idx="476">
                  <c:v>2.572E-2</c:v>
                </c:pt>
                <c:pt idx="477">
                  <c:v>2.5510000000000001E-2</c:v>
                </c:pt>
                <c:pt idx="478">
                  <c:v>2.5559999999999999E-2</c:v>
                </c:pt>
                <c:pt idx="479">
                  <c:v>2.6429999999999999E-2</c:v>
                </c:pt>
                <c:pt idx="480">
                  <c:v>2.6440000000000002E-2</c:v>
                </c:pt>
                <c:pt idx="481">
                  <c:v>2.7189999999999999E-2</c:v>
                </c:pt>
                <c:pt idx="482">
                  <c:v>2.5899999999999999E-2</c:v>
                </c:pt>
                <c:pt idx="483">
                  <c:v>2.581E-2</c:v>
                </c:pt>
                <c:pt idx="484">
                  <c:v>2.6210000000000001E-2</c:v>
                </c:pt>
                <c:pt idx="485">
                  <c:v>2.63E-2</c:v>
                </c:pt>
                <c:pt idx="486">
                  <c:v>2.6249999999999999E-2</c:v>
                </c:pt>
                <c:pt idx="487">
                  <c:v>2.6589999999999999E-2</c:v>
                </c:pt>
                <c:pt idx="488">
                  <c:v>2.7179999999999999E-2</c:v>
                </c:pt>
                <c:pt idx="489">
                  <c:v>2.7140000000000001E-2</c:v>
                </c:pt>
                <c:pt idx="490">
                  <c:v>2.6249999999999999E-2</c:v>
                </c:pt>
                <c:pt idx="491">
                  <c:v>2.486E-2</c:v>
                </c:pt>
                <c:pt idx="492">
                  <c:v>2.4989999999999998E-2</c:v>
                </c:pt>
                <c:pt idx="493">
                  <c:v>2.4899999999999999E-2</c:v>
                </c:pt>
                <c:pt idx="494">
                  <c:v>2.6939999999999999E-2</c:v>
                </c:pt>
                <c:pt idx="495">
                  <c:v>2.768E-2</c:v>
                </c:pt>
                <c:pt idx="496">
                  <c:v>2.9049999999999999E-2</c:v>
                </c:pt>
                <c:pt idx="497">
                  <c:v>2.8129999999999999E-2</c:v>
                </c:pt>
                <c:pt idx="498">
                  <c:v>2.639E-2</c:v>
                </c:pt>
                <c:pt idx="499">
                  <c:v>2.7879999999999999E-2</c:v>
                </c:pt>
                <c:pt idx="500">
                  <c:v>3.039E-2</c:v>
                </c:pt>
                <c:pt idx="501">
                  <c:v>3.065E-2</c:v>
                </c:pt>
                <c:pt idx="502">
                  <c:v>3.2719999999999999E-2</c:v>
                </c:pt>
                <c:pt idx="503">
                  <c:v>3.3500000000000002E-2</c:v>
                </c:pt>
                <c:pt idx="504">
                  <c:v>3.2989999999999998E-2</c:v>
                </c:pt>
                <c:pt idx="505">
                  <c:v>3.397E-2</c:v>
                </c:pt>
                <c:pt idx="506">
                  <c:v>3.5180000000000003E-2</c:v>
                </c:pt>
                <c:pt idx="507">
                  <c:v>3.2489999999999998E-2</c:v>
                </c:pt>
                <c:pt idx="508">
                  <c:v>3.1419999999999997E-2</c:v>
                </c:pt>
                <c:pt idx="509">
                  <c:v>2.988E-2</c:v>
                </c:pt>
                <c:pt idx="510">
                  <c:v>3.5520000000000003E-2</c:v>
                </c:pt>
                <c:pt idx="511">
                  <c:v>3.9960000000000002E-2</c:v>
                </c:pt>
                <c:pt idx="512">
                  <c:v>3.449E-2</c:v>
                </c:pt>
                <c:pt idx="513">
                  <c:v>3.4660000000000003E-2</c:v>
                </c:pt>
                <c:pt idx="514">
                  <c:v>2.9170000000000001E-2</c:v>
                </c:pt>
                <c:pt idx="515">
                  <c:v>2.6960000000000001E-2</c:v>
                </c:pt>
                <c:pt idx="516">
                  <c:v>2.4910000000000002E-2</c:v>
                </c:pt>
                <c:pt idx="517">
                  <c:v>2.392E-2</c:v>
                </c:pt>
                <c:pt idx="518">
                  <c:v>2.307E-2</c:v>
                </c:pt>
                <c:pt idx="519">
                  <c:v>2.3689999999999999E-2</c:v>
                </c:pt>
                <c:pt idx="520">
                  <c:v>2.299E-2</c:v>
                </c:pt>
                <c:pt idx="521">
                  <c:v>2.5100000000000001E-2</c:v>
                </c:pt>
                <c:pt idx="522">
                  <c:v>2.435E-2</c:v>
                </c:pt>
                <c:pt idx="523">
                  <c:v>2.512E-2</c:v>
                </c:pt>
                <c:pt idx="524">
                  <c:v>2.4250000000000001E-2</c:v>
                </c:pt>
                <c:pt idx="525">
                  <c:v>2.7459999999999998E-2</c:v>
                </c:pt>
                <c:pt idx="526">
                  <c:v>2.648E-2</c:v>
                </c:pt>
                <c:pt idx="527">
                  <c:v>2.8750000000000001E-2</c:v>
                </c:pt>
                <c:pt idx="528">
                  <c:v>3.0360000000000002E-2</c:v>
                </c:pt>
                <c:pt idx="529">
                  <c:v>2.8240000000000001E-2</c:v>
                </c:pt>
                <c:pt idx="530">
                  <c:v>2.5260000000000001E-2</c:v>
                </c:pt>
                <c:pt idx="531">
                  <c:v>2.4709999999999999E-2</c:v>
                </c:pt>
                <c:pt idx="532">
                  <c:v>2.2380000000000001E-2</c:v>
                </c:pt>
                <c:pt idx="533">
                  <c:v>2.019E-2</c:v>
                </c:pt>
                <c:pt idx="534">
                  <c:v>2.01E-2</c:v>
                </c:pt>
                <c:pt idx="535">
                  <c:v>2.146E-2</c:v>
                </c:pt>
                <c:pt idx="536">
                  <c:v>2.0449999999999999E-2</c:v>
                </c:pt>
                <c:pt idx="537">
                  <c:v>2.0459999999999999E-2</c:v>
                </c:pt>
                <c:pt idx="538">
                  <c:v>1.9879999999999998E-2</c:v>
                </c:pt>
                <c:pt idx="539">
                  <c:v>2.0219999999999998E-2</c:v>
                </c:pt>
                <c:pt idx="540">
                  <c:v>2.0310000000000002E-2</c:v>
                </c:pt>
                <c:pt idx="541">
                  <c:v>2.0389999999999998E-2</c:v>
                </c:pt>
                <c:pt idx="542">
                  <c:v>1.9869999999999999E-2</c:v>
                </c:pt>
                <c:pt idx="543">
                  <c:v>1.907E-2</c:v>
                </c:pt>
                <c:pt idx="544">
                  <c:v>2.0459999999999999E-2</c:v>
                </c:pt>
                <c:pt idx="545">
                  <c:v>1.968E-2</c:v>
                </c:pt>
                <c:pt idx="546">
                  <c:v>1.917E-2</c:v>
                </c:pt>
                <c:pt idx="547">
                  <c:v>1.915E-2</c:v>
                </c:pt>
                <c:pt idx="548">
                  <c:v>1.9120000000000002E-2</c:v>
                </c:pt>
                <c:pt idx="549">
                  <c:v>1.8720000000000001E-2</c:v>
                </c:pt>
                <c:pt idx="550">
                  <c:v>1.8519999999999998E-2</c:v>
                </c:pt>
                <c:pt idx="551">
                  <c:v>1.8769999999999998E-2</c:v>
                </c:pt>
                <c:pt idx="552">
                  <c:v>1.7940000000000001E-2</c:v>
                </c:pt>
                <c:pt idx="553">
                  <c:v>1.7919999999999998E-2</c:v>
                </c:pt>
                <c:pt idx="554">
                  <c:v>1.7940000000000001E-2</c:v>
                </c:pt>
                <c:pt idx="555">
                  <c:v>1.762E-2</c:v>
                </c:pt>
                <c:pt idx="556">
                  <c:v>1.7160000000000002E-2</c:v>
                </c:pt>
                <c:pt idx="557">
                  <c:v>1.753E-2</c:v>
                </c:pt>
                <c:pt idx="558">
                  <c:v>1.7420000000000001E-2</c:v>
                </c:pt>
                <c:pt idx="559">
                  <c:v>1.7170000000000001E-2</c:v>
                </c:pt>
                <c:pt idx="560">
                  <c:v>1.7160000000000002E-2</c:v>
                </c:pt>
                <c:pt idx="561">
                  <c:v>1.7569999999999999E-2</c:v>
                </c:pt>
                <c:pt idx="562">
                  <c:v>1.7649999999999999E-2</c:v>
                </c:pt>
                <c:pt idx="563">
                  <c:v>1.7559999999999999E-2</c:v>
                </c:pt>
                <c:pt idx="564">
                  <c:v>1.8180000000000002E-2</c:v>
                </c:pt>
                <c:pt idx="565">
                  <c:v>1.8370000000000001E-2</c:v>
                </c:pt>
                <c:pt idx="566">
                  <c:v>1.8120000000000001E-2</c:v>
                </c:pt>
                <c:pt idx="567">
                  <c:v>1.856E-2</c:v>
                </c:pt>
                <c:pt idx="568">
                  <c:v>1.7909999999999999E-2</c:v>
                </c:pt>
                <c:pt idx="569">
                  <c:v>1.72E-2</c:v>
                </c:pt>
                <c:pt idx="570">
                  <c:v>1.8020000000000001E-2</c:v>
                </c:pt>
                <c:pt idx="571">
                  <c:v>1.6879999999999999E-2</c:v>
                </c:pt>
                <c:pt idx="572">
                  <c:v>1.6820000000000002E-2</c:v>
                </c:pt>
                <c:pt idx="573">
                  <c:v>1.6619999999999999E-2</c:v>
                </c:pt>
                <c:pt idx="574">
                  <c:v>1.6580000000000001E-2</c:v>
                </c:pt>
                <c:pt idx="575">
                  <c:v>1.686E-2</c:v>
                </c:pt>
                <c:pt idx="576">
                  <c:v>1.636E-2</c:v>
                </c:pt>
                <c:pt idx="577">
                  <c:v>1.619E-2</c:v>
                </c:pt>
                <c:pt idx="578">
                  <c:v>1.5769999999999999E-2</c:v>
                </c:pt>
                <c:pt idx="579">
                  <c:v>1.5440000000000001E-2</c:v>
                </c:pt>
                <c:pt idx="580">
                  <c:v>1.585E-2</c:v>
                </c:pt>
                <c:pt idx="581">
                  <c:v>1.5900000000000001E-2</c:v>
                </c:pt>
                <c:pt idx="582">
                  <c:v>1.593E-2</c:v>
                </c:pt>
                <c:pt idx="583">
                  <c:v>1.6500000000000001E-2</c:v>
                </c:pt>
                <c:pt idx="584">
                  <c:v>1.6379999999999999E-2</c:v>
                </c:pt>
                <c:pt idx="585">
                  <c:v>1.5820000000000001E-2</c:v>
                </c:pt>
                <c:pt idx="586">
                  <c:v>1.5970000000000002E-2</c:v>
                </c:pt>
                <c:pt idx="587">
                  <c:v>1.5859999999999999E-2</c:v>
                </c:pt>
                <c:pt idx="588">
                  <c:v>1.602E-2</c:v>
                </c:pt>
                <c:pt idx="589">
                  <c:v>1.6209999999999999E-2</c:v>
                </c:pt>
                <c:pt idx="590">
                  <c:v>1.6129999999999999E-2</c:v>
                </c:pt>
                <c:pt idx="591">
                  <c:v>1.6060000000000001E-2</c:v>
                </c:pt>
                <c:pt idx="592">
                  <c:v>1.6160000000000001E-2</c:v>
                </c:pt>
                <c:pt idx="593">
                  <c:v>1.668E-2</c:v>
                </c:pt>
                <c:pt idx="594">
                  <c:v>1.644E-2</c:v>
                </c:pt>
                <c:pt idx="595">
                  <c:v>1.5730000000000001E-2</c:v>
                </c:pt>
                <c:pt idx="596">
                  <c:v>1.7600000000000001E-2</c:v>
                </c:pt>
                <c:pt idx="597">
                  <c:v>1.754E-2</c:v>
                </c:pt>
                <c:pt idx="598">
                  <c:v>1.7940000000000001E-2</c:v>
                </c:pt>
                <c:pt idx="599">
                  <c:v>1.8200000000000001E-2</c:v>
                </c:pt>
                <c:pt idx="600">
                  <c:v>1.704E-2</c:v>
                </c:pt>
                <c:pt idx="601">
                  <c:v>1.685E-2</c:v>
                </c:pt>
                <c:pt idx="602">
                  <c:v>1.687E-2</c:v>
                </c:pt>
                <c:pt idx="603">
                  <c:v>1.6910000000000001E-2</c:v>
                </c:pt>
                <c:pt idx="604">
                  <c:v>1.6369999999999999E-2</c:v>
                </c:pt>
                <c:pt idx="605">
                  <c:v>1.7069999999999998E-2</c:v>
                </c:pt>
                <c:pt idx="606">
                  <c:v>1.5820000000000001E-2</c:v>
                </c:pt>
                <c:pt idx="607">
                  <c:v>1.6379999999999999E-2</c:v>
                </c:pt>
                <c:pt idx="608">
                  <c:v>1.4999999999999999E-2</c:v>
                </c:pt>
                <c:pt idx="609">
                  <c:v>1.5140000000000001E-2</c:v>
                </c:pt>
                <c:pt idx="610">
                  <c:v>1.47E-2</c:v>
                </c:pt>
                <c:pt idx="611">
                  <c:v>1.4579999999999999E-2</c:v>
                </c:pt>
                <c:pt idx="612">
                  <c:v>1.472E-2</c:v>
                </c:pt>
                <c:pt idx="613">
                  <c:v>1.421E-2</c:v>
                </c:pt>
                <c:pt idx="614">
                  <c:v>1.4959999999999999E-2</c:v>
                </c:pt>
                <c:pt idx="615">
                  <c:v>1.4840000000000001E-2</c:v>
                </c:pt>
                <c:pt idx="616">
                  <c:v>1.421E-2</c:v>
                </c:pt>
                <c:pt idx="617">
                  <c:v>1.4999999999999999E-2</c:v>
                </c:pt>
                <c:pt idx="618">
                  <c:v>1.553E-2</c:v>
                </c:pt>
                <c:pt idx="619">
                  <c:v>1.537E-2</c:v>
                </c:pt>
                <c:pt idx="620">
                  <c:v>1.4999999999999999E-2</c:v>
                </c:pt>
                <c:pt idx="621">
                  <c:v>1.4970000000000001E-2</c:v>
                </c:pt>
                <c:pt idx="622">
                  <c:v>1.4880000000000001E-2</c:v>
                </c:pt>
                <c:pt idx="623">
                  <c:v>1.5270000000000001E-2</c:v>
                </c:pt>
                <c:pt idx="624">
                  <c:v>1.5010000000000001E-2</c:v>
                </c:pt>
                <c:pt idx="625">
                  <c:v>1.455E-2</c:v>
                </c:pt>
                <c:pt idx="626">
                  <c:v>1.3979999999999999E-2</c:v>
                </c:pt>
                <c:pt idx="627">
                  <c:v>1.426E-2</c:v>
                </c:pt>
                <c:pt idx="628">
                  <c:v>1.609E-2</c:v>
                </c:pt>
                <c:pt idx="629">
                  <c:v>1.627E-2</c:v>
                </c:pt>
                <c:pt idx="630">
                  <c:v>1.6029999999999999E-2</c:v>
                </c:pt>
                <c:pt idx="631">
                  <c:v>1.554E-2</c:v>
                </c:pt>
                <c:pt idx="632">
                  <c:v>1.5900000000000001E-2</c:v>
                </c:pt>
                <c:pt idx="633">
                  <c:v>1.6230000000000001E-2</c:v>
                </c:pt>
                <c:pt idx="634">
                  <c:v>1.5990000000000001E-2</c:v>
                </c:pt>
                <c:pt idx="635">
                  <c:v>1.635E-2</c:v>
                </c:pt>
                <c:pt idx="636">
                  <c:v>1.5810000000000001E-2</c:v>
                </c:pt>
                <c:pt idx="637">
                  <c:v>1.519E-2</c:v>
                </c:pt>
                <c:pt idx="638">
                  <c:v>1.6240000000000001E-2</c:v>
                </c:pt>
                <c:pt idx="639">
                  <c:v>1.528E-2</c:v>
                </c:pt>
                <c:pt idx="640">
                  <c:v>1.452E-2</c:v>
                </c:pt>
                <c:pt idx="641">
                  <c:v>1.426E-2</c:v>
                </c:pt>
                <c:pt idx="642">
                  <c:v>1.396E-2</c:v>
                </c:pt>
                <c:pt idx="643">
                  <c:v>1.392E-2</c:v>
                </c:pt>
                <c:pt idx="644">
                  <c:v>1.3610000000000001E-2</c:v>
                </c:pt>
                <c:pt idx="645">
                  <c:v>1.298E-2</c:v>
                </c:pt>
                <c:pt idx="646">
                  <c:v>1.2489999999999999E-2</c:v>
                </c:pt>
                <c:pt idx="647">
                  <c:v>1.24E-2</c:v>
                </c:pt>
                <c:pt idx="648">
                  <c:v>1.29E-2</c:v>
                </c:pt>
                <c:pt idx="649">
                  <c:v>1.3390000000000001E-2</c:v>
                </c:pt>
                <c:pt idx="650">
                  <c:v>1.289E-2</c:v>
                </c:pt>
                <c:pt idx="651">
                  <c:v>1.302E-2</c:v>
                </c:pt>
                <c:pt idx="652">
                  <c:v>1.2189999999999999E-2</c:v>
                </c:pt>
                <c:pt idx="653">
                  <c:v>1.2449999999999999E-2</c:v>
                </c:pt>
                <c:pt idx="654">
                  <c:v>1.257E-2</c:v>
                </c:pt>
                <c:pt idx="655">
                  <c:v>1.2659999999999999E-2</c:v>
                </c:pt>
                <c:pt idx="656">
                  <c:v>1.2500000000000001E-2</c:v>
                </c:pt>
                <c:pt idx="657">
                  <c:v>1.248E-2</c:v>
                </c:pt>
                <c:pt idx="658">
                  <c:v>1.345E-2</c:v>
                </c:pt>
                <c:pt idx="659">
                  <c:v>1.376E-2</c:v>
                </c:pt>
                <c:pt idx="660">
                  <c:v>1.3299999999999999E-2</c:v>
                </c:pt>
                <c:pt idx="661">
                  <c:v>1.375E-2</c:v>
                </c:pt>
                <c:pt idx="662">
                  <c:v>1.257E-2</c:v>
                </c:pt>
                <c:pt idx="663">
                  <c:v>1.197E-2</c:v>
                </c:pt>
                <c:pt idx="664">
                  <c:v>1.1939999999999999E-2</c:v>
                </c:pt>
                <c:pt idx="665">
                  <c:v>1.196E-2</c:v>
                </c:pt>
                <c:pt idx="666">
                  <c:v>1.158E-2</c:v>
                </c:pt>
                <c:pt idx="667">
                  <c:v>1.157E-2</c:v>
                </c:pt>
                <c:pt idx="668">
                  <c:v>1.145E-2</c:v>
                </c:pt>
                <c:pt idx="669">
                  <c:v>1.0659999999999999E-2</c:v>
                </c:pt>
                <c:pt idx="670">
                  <c:v>1.1390000000000001E-2</c:v>
                </c:pt>
                <c:pt idx="671">
                  <c:v>1.1209999999999999E-2</c:v>
                </c:pt>
                <c:pt idx="672">
                  <c:v>1.196E-2</c:v>
                </c:pt>
                <c:pt idx="673">
                  <c:v>1.1390000000000001E-2</c:v>
                </c:pt>
                <c:pt idx="674">
                  <c:v>1.1509999999999999E-2</c:v>
                </c:pt>
                <c:pt idx="675">
                  <c:v>1.137E-2</c:v>
                </c:pt>
                <c:pt idx="676">
                  <c:v>1.03E-2</c:v>
                </c:pt>
                <c:pt idx="677">
                  <c:v>1.123E-2</c:v>
                </c:pt>
                <c:pt idx="678">
                  <c:v>1.1270000000000001E-2</c:v>
                </c:pt>
                <c:pt idx="679">
                  <c:v>1.163E-2</c:v>
                </c:pt>
                <c:pt idx="680">
                  <c:v>1.022E-2</c:v>
                </c:pt>
                <c:pt idx="681">
                  <c:v>1.0019999999999999E-2</c:v>
                </c:pt>
                <c:pt idx="682">
                  <c:v>9.6100000000000005E-3</c:v>
                </c:pt>
                <c:pt idx="683">
                  <c:v>1.026E-2</c:v>
                </c:pt>
                <c:pt idx="684">
                  <c:v>9.7300000000000008E-3</c:v>
                </c:pt>
                <c:pt idx="685">
                  <c:v>1.0290000000000001E-2</c:v>
                </c:pt>
                <c:pt idx="686">
                  <c:v>8.4100000000000008E-3</c:v>
                </c:pt>
                <c:pt idx="687">
                  <c:v>1.489E-2</c:v>
                </c:pt>
                <c:pt idx="688">
                  <c:v>1.508E-2</c:v>
                </c:pt>
                <c:pt idx="689">
                  <c:v>1.504E-2</c:v>
                </c:pt>
                <c:pt idx="690">
                  <c:v>1.465E-2</c:v>
                </c:pt>
                <c:pt idx="691">
                  <c:v>1.6990000000000002E-2</c:v>
                </c:pt>
                <c:pt idx="692">
                  <c:v>1.8329999999999999E-2</c:v>
                </c:pt>
                <c:pt idx="693">
                  <c:v>1.789E-2</c:v>
                </c:pt>
                <c:pt idx="694">
                  <c:v>1.7739999999999999E-2</c:v>
                </c:pt>
                <c:pt idx="695">
                  <c:v>1.7229999999999999E-2</c:v>
                </c:pt>
                <c:pt idx="696">
                  <c:v>1.7590000000000001E-2</c:v>
                </c:pt>
                <c:pt idx="697">
                  <c:v>1.643E-2</c:v>
                </c:pt>
                <c:pt idx="698">
                  <c:v>1.6480000000000002E-2</c:v>
                </c:pt>
                <c:pt idx="699">
                  <c:v>1.7100000000000001E-2</c:v>
                </c:pt>
                <c:pt idx="700">
                  <c:v>1.7010000000000001E-2</c:v>
                </c:pt>
                <c:pt idx="701">
                  <c:v>1.636E-2</c:v>
                </c:pt>
                <c:pt idx="702">
                  <c:v>1.891E-2</c:v>
                </c:pt>
                <c:pt idx="703">
                  <c:v>1.9879999999999998E-2</c:v>
                </c:pt>
                <c:pt idx="704">
                  <c:v>2.1329999999999998E-2</c:v>
                </c:pt>
                <c:pt idx="705">
                  <c:v>2.002E-2</c:v>
                </c:pt>
                <c:pt idx="706">
                  <c:v>2.0160000000000001E-2</c:v>
                </c:pt>
                <c:pt idx="707">
                  <c:v>1.9800000000000002E-2</c:v>
                </c:pt>
                <c:pt idx="708">
                  <c:v>2.0199999999999999E-2</c:v>
                </c:pt>
                <c:pt idx="709">
                  <c:v>2.2620000000000001E-2</c:v>
                </c:pt>
                <c:pt idx="710">
                  <c:v>2.179E-2</c:v>
                </c:pt>
                <c:pt idx="711">
                  <c:v>2.223E-2</c:v>
                </c:pt>
                <c:pt idx="712">
                  <c:v>2.3640000000000001E-2</c:v>
                </c:pt>
                <c:pt idx="713">
                  <c:v>2.639E-2</c:v>
                </c:pt>
                <c:pt idx="714">
                  <c:v>2.3910000000000001E-2</c:v>
                </c:pt>
                <c:pt idx="715">
                  <c:v>2.393E-2</c:v>
                </c:pt>
                <c:pt idx="716">
                  <c:v>2.2720000000000001E-2</c:v>
                </c:pt>
                <c:pt idx="717">
                  <c:v>2.2159999999999999E-2</c:v>
                </c:pt>
                <c:pt idx="718">
                  <c:v>2.206E-2</c:v>
                </c:pt>
                <c:pt idx="719">
                  <c:v>2.179E-2</c:v>
                </c:pt>
                <c:pt idx="720">
                  <c:v>2.2040000000000001E-2</c:v>
                </c:pt>
                <c:pt idx="721">
                  <c:v>2.2710000000000001E-2</c:v>
                </c:pt>
                <c:pt idx="722">
                  <c:v>2.0760000000000001E-2</c:v>
                </c:pt>
                <c:pt idx="723">
                  <c:v>1.925E-2</c:v>
                </c:pt>
                <c:pt idx="724">
                  <c:v>1.9199999999999998E-2</c:v>
                </c:pt>
                <c:pt idx="725">
                  <c:v>1.9089999999999999E-2</c:v>
                </c:pt>
                <c:pt idx="726">
                  <c:v>1.907E-2</c:v>
                </c:pt>
                <c:pt idx="727">
                  <c:v>1.8669999999999999E-2</c:v>
                </c:pt>
                <c:pt idx="728">
                  <c:v>1.95E-2</c:v>
                </c:pt>
                <c:pt idx="729">
                  <c:v>1.866E-2</c:v>
                </c:pt>
                <c:pt idx="730">
                  <c:v>1.8599999999999998E-2</c:v>
                </c:pt>
                <c:pt idx="731">
                  <c:v>1.7129999999999999E-2</c:v>
                </c:pt>
                <c:pt idx="732">
                  <c:v>1.6840000000000001E-2</c:v>
                </c:pt>
                <c:pt idx="733">
                  <c:v>1.6129999999999999E-2</c:v>
                </c:pt>
                <c:pt idx="734">
                  <c:v>1.6389999999999998E-2</c:v>
                </c:pt>
                <c:pt idx="735">
                  <c:v>1.6279999999999999E-2</c:v>
                </c:pt>
                <c:pt idx="736">
                  <c:v>1.7430000000000001E-2</c:v>
                </c:pt>
                <c:pt idx="737">
                  <c:v>1.7319999999999999E-2</c:v>
                </c:pt>
                <c:pt idx="738">
                  <c:v>1.661E-2</c:v>
                </c:pt>
                <c:pt idx="739">
                  <c:v>1.6650000000000002E-2</c:v>
                </c:pt>
                <c:pt idx="740">
                  <c:v>1.7659999999999999E-2</c:v>
                </c:pt>
                <c:pt idx="741">
                  <c:v>1.7579999999999998E-2</c:v>
                </c:pt>
                <c:pt idx="742">
                  <c:v>1.7340000000000001E-2</c:v>
                </c:pt>
                <c:pt idx="743">
                  <c:v>1.729E-2</c:v>
                </c:pt>
                <c:pt idx="744">
                  <c:v>1.677E-2</c:v>
                </c:pt>
                <c:pt idx="745">
                  <c:v>1.464E-2</c:v>
                </c:pt>
                <c:pt idx="746">
                  <c:v>1.503E-2</c:v>
                </c:pt>
                <c:pt idx="747">
                  <c:v>1.46E-2</c:v>
                </c:pt>
                <c:pt idx="748">
                  <c:v>1.469E-2</c:v>
                </c:pt>
                <c:pt idx="749">
                  <c:v>1.3979999999999999E-2</c:v>
                </c:pt>
                <c:pt idx="750">
                  <c:v>1.4019999999999999E-2</c:v>
                </c:pt>
                <c:pt idx="751">
                  <c:v>1.434E-2</c:v>
                </c:pt>
                <c:pt idx="752">
                  <c:v>1.472E-2</c:v>
                </c:pt>
                <c:pt idx="753">
                  <c:v>1.353E-2</c:v>
                </c:pt>
                <c:pt idx="754">
                  <c:v>1.3440000000000001E-2</c:v>
                </c:pt>
                <c:pt idx="755">
                  <c:v>1.3440000000000001E-2</c:v>
                </c:pt>
                <c:pt idx="756">
                  <c:v>1.2840000000000001E-2</c:v>
                </c:pt>
                <c:pt idx="757">
                  <c:v>1.3220000000000001E-2</c:v>
                </c:pt>
                <c:pt idx="758">
                  <c:v>1.3299999999999999E-2</c:v>
                </c:pt>
                <c:pt idx="759">
                  <c:v>1.3299999999999999E-2</c:v>
                </c:pt>
                <c:pt idx="760">
                  <c:v>1.37E-2</c:v>
                </c:pt>
                <c:pt idx="761">
                  <c:v>1.3480000000000001E-2</c:v>
                </c:pt>
                <c:pt idx="762">
                  <c:v>1.323E-2</c:v>
                </c:pt>
                <c:pt idx="763">
                  <c:v>1.3350000000000001E-2</c:v>
                </c:pt>
                <c:pt idx="764">
                  <c:v>1.321E-2</c:v>
                </c:pt>
                <c:pt idx="765">
                  <c:v>1.354E-2</c:v>
                </c:pt>
                <c:pt idx="766">
                  <c:v>1.3780000000000001E-2</c:v>
                </c:pt>
                <c:pt idx="767">
                  <c:v>1.489E-2</c:v>
                </c:pt>
                <c:pt idx="768">
                  <c:v>1.3520000000000001E-2</c:v>
                </c:pt>
                <c:pt idx="769">
                  <c:v>1.336E-2</c:v>
                </c:pt>
                <c:pt idx="770">
                  <c:v>1.2970000000000001E-2</c:v>
                </c:pt>
                <c:pt idx="771">
                  <c:v>1.336E-2</c:v>
                </c:pt>
                <c:pt idx="772">
                  <c:v>1.2449999999999999E-2</c:v>
                </c:pt>
                <c:pt idx="773">
                  <c:v>1.34E-2</c:v>
                </c:pt>
                <c:pt idx="774">
                  <c:v>1.3950000000000001E-2</c:v>
                </c:pt>
                <c:pt idx="775">
                  <c:v>1.383E-2</c:v>
                </c:pt>
                <c:pt idx="776">
                  <c:v>1.4069999999999999E-2</c:v>
                </c:pt>
                <c:pt idx="777">
                  <c:v>1.3769999999999999E-2</c:v>
                </c:pt>
                <c:pt idx="778">
                  <c:v>1.4160000000000001E-2</c:v>
                </c:pt>
                <c:pt idx="779">
                  <c:v>1.4120000000000001E-2</c:v>
                </c:pt>
                <c:pt idx="780">
                  <c:v>1.438E-2</c:v>
                </c:pt>
                <c:pt idx="781">
                  <c:v>1.461E-2</c:v>
                </c:pt>
                <c:pt idx="782">
                  <c:v>1.448E-2</c:v>
                </c:pt>
                <c:pt idx="783">
                  <c:v>1.468E-2</c:v>
                </c:pt>
                <c:pt idx="784">
                  <c:v>1.4489999999999999E-2</c:v>
                </c:pt>
                <c:pt idx="785">
                  <c:v>1.426E-2</c:v>
                </c:pt>
                <c:pt idx="786">
                  <c:v>1.519E-2</c:v>
                </c:pt>
                <c:pt idx="787">
                  <c:v>1.521E-2</c:v>
                </c:pt>
                <c:pt idx="788">
                  <c:v>1.5910000000000001E-2</c:v>
                </c:pt>
                <c:pt idx="789">
                  <c:v>1.5480000000000001E-2</c:v>
                </c:pt>
                <c:pt idx="790">
                  <c:v>1.6140000000000002E-2</c:v>
                </c:pt>
                <c:pt idx="791">
                  <c:v>1.5800000000000002E-2</c:v>
                </c:pt>
                <c:pt idx="792">
                  <c:v>1.6070000000000001E-2</c:v>
                </c:pt>
                <c:pt idx="793">
                  <c:v>1.528E-2</c:v>
                </c:pt>
                <c:pt idx="794">
                  <c:v>1.418E-2</c:v>
                </c:pt>
                <c:pt idx="795">
                  <c:v>1.37E-2</c:v>
                </c:pt>
                <c:pt idx="796">
                  <c:v>1.503E-2</c:v>
                </c:pt>
                <c:pt idx="797">
                  <c:v>1.439E-2</c:v>
                </c:pt>
                <c:pt idx="798">
                  <c:v>1.5389999999999999E-2</c:v>
                </c:pt>
                <c:pt idx="799">
                  <c:v>1.6549999999999999E-2</c:v>
                </c:pt>
                <c:pt idx="800">
                  <c:v>1.695E-2</c:v>
                </c:pt>
                <c:pt idx="801">
                  <c:v>1.7149999999999999E-2</c:v>
                </c:pt>
                <c:pt idx="802">
                  <c:v>1.874E-2</c:v>
                </c:pt>
                <c:pt idx="803">
                  <c:v>1.866E-2</c:v>
                </c:pt>
                <c:pt idx="804">
                  <c:v>1.8579999999999999E-2</c:v>
                </c:pt>
                <c:pt idx="805">
                  <c:v>1.941E-2</c:v>
                </c:pt>
                <c:pt idx="806">
                  <c:v>2.0119999999999999E-2</c:v>
                </c:pt>
                <c:pt idx="807">
                  <c:v>1.968E-2</c:v>
                </c:pt>
                <c:pt idx="808">
                  <c:v>1.9089999999999999E-2</c:v>
                </c:pt>
                <c:pt idx="809">
                  <c:v>1.934E-2</c:v>
                </c:pt>
                <c:pt idx="810">
                  <c:v>1.8939999999999999E-2</c:v>
                </c:pt>
                <c:pt idx="811">
                  <c:v>1.8759999999999999E-2</c:v>
                </c:pt>
                <c:pt idx="812">
                  <c:v>1.951E-2</c:v>
                </c:pt>
                <c:pt idx="813">
                  <c:v>2.0129999999999999E-2</c:v>
                </c:pt>
                <c:pt idx="814">
                  <c:v>1.975E-2</c:v>
                </c:pt>
                <c:pt idx="815">
                  <c:v>1.9800000000000002E-2</c:v>
                </c:pt>
                <c:pt idx="816">
                  <c:v>1.9640000000000001E-2</c:v>
                </c:pt>
                <c:pt idx="817">
                  <c:v>1.9879999999999998E-2</c:v>
                </c:pt>
                <c:pt idx="818">
                  <c:v>1.9619999999999999E-2</c:v>
                </c:pt>
                <c:pt idx="819">
                  <c:v>1.9740000000000001E-2</c:v>
                </c:pt>
                <c:pt idx="820">
                  <c:v>1.9949999999999999E-2</c:v>
                </c:pt>
                <c:pt idx="821">
                  <c:v>2.1940000000000001E-2</c:v>
                </c:pt>
                <c:pt idx="822">
                  <c:v>1.9980000000000001E-2</c:v>
                </c:pt>
                <c:pt idx="823">
                  <c:v>1.9099999999999999E-2</c:v>
                </c:pt>
                <c:pt idx="824">
                  <c:v>1.6590000000000001E-2</c:v>
                </c:pt>
                <c:pt idx="825">
                  <c:v>1.7639999999999999E-2</c:v>
                </c:pt>
                <c:pt idx="826">
                  <c:v>1.516E-2</c:v>
                </c:pt>
                <c:pt idx="827">
                  <c:v>1.435E-2</c:v>
                </c:pt>
                <c:pt idx="828">
                  <c:v>1.512E-2</c:v>
                </c:pt>
                <c:pt idx="829">
                  <c:v>1.55E-2</c:v>
                </c:pt>
                <c:pt idx="830">
                  <c:v>1.55E-2</c:v>
                </c:pt>
                <c:pt idx="831">
                  <c:v>1.5480000000000001E-2</c:v>
                </c:pt>
                <c:pt idx="832">
                  <c:v>1.536E-2</c:v>
                </c:pt>
                <c:pt idx="833">
                  <c:v>1.536E-2</c:v>
                </c:pt>
                <c:pt idx="834">
                  <c:v>1.5180000000000001E-2</c:v>
                </c:pt>
                <c:pt idx="835">
                  <c:v>1.566E-2</c:v>
                </c:pt>
                <c:pt idx="836">
                  <c:v>1.6670000000000001E-2</c:v>
                </c:pt>
                <c:pt idx="837">
                  <c:v>1.6060000000000001E-2</c:v>
                </c:pt>
                <c:pt idx="838">
                  <c:v>1.566E-2</c:v>
                </c:pt>
                <c:pt idx="839">
                  <c:v>1.5820000000000001E-2</c:v>
                </c:pt>
                <c:pt idx="840">
                  <c:v>1.6230000000000001E-2</c:v>
                </c:pt>
                <c:pt idx="841">
                  <c:v>1.6899999999999998E-2</c:v>
                </c:pt>
                <c:pt idx="842">
                  <c:v>1.6920000000000001E-2</c:v>
                </c:pt>
                <c:pt idx="843">
                  <c:v>1.6219999999999998E-2</c:v>
                </c:pt>
                <c:pt idx="844">
                  <c:v>1.4500000000000001E-2</c:v>
                </c:pt>
                <c:pt idx="845">
                  <c:v>1.508E-2</c:v>
                </c:pt>
                <c:pt idx="846">
                  <c:v>1.4540000000000001E-2</c:v>
                </c:pt>
                <c:pt idx="847">
                  <c:v>1.4279999999999999E-2</c:v>
                </c:pt>
                <c:pt idx="848">
                  <c:v>1.438E-2</c:v>
                </c:pt>
                <c:pt idx="849">
                  <c:v>1.3939999999999999E-2</c:v>
                </c:pt>
                <c:pt idx="850">
                  <c:v>1.453E-2</c:v>
                </c:pt>
                <c:pt idx="851">
                  <c:v>1.3270000000000001E-2</c:v>
                </c:pt>
                <c:pt idx="852">
                  <c:v>1.357E-2</c:v>
                </c:pt>
                <c:pt idx="853">
                  <c:v>1.3610000000000001E-2</c:v>
                </c:pt>
                <c:pt idx="854">
                  <c:v>1.2749999999999999E-2</c:v>
                </c:pt>
                <c:pt idx="855">
                  <c:v>1.316E-2</c:v>
                </c:pt>
                <c:pt idx="856">
                  <c:v>1.255E-2</c:v>
                </c:pt>
                <c:pt idx="857">
                  <c:v>1.5959999999999998E-2</c:v>
                </c:pt>
                <c:pt idx="858">
                  <c:v>1.6809999999999999E-2</c:v>
                </c:pt>
                <c:pt idx="859">
                  <c:v>1.8120000000000001E-2</c:v>
                </c:pt>
                <c:pt idx="860">
                  <c:v>1.7399999999999999E-2</c:v>
                </c:pt>
                <c:pt idx="861">
                  <c:v>1.7559999999999999E-2</c:v>
                </c:pt>
                <c:pt idx="862">
                  <c:v>1.7899999999999999E-2</c:v>
                </c:pt>
                <c:pt idx="863">
                  <c:v>1.668E-2</c:v>
                </c:pt>
                <c:pt idx="864">
                  <c:v>1.5650000000000001E-2</c:v>
                </c:pt>
                <c:pt idx="865">
                  <c:v>1.5520000000000001E-2</c:v>
                </c:pt>
                <c:pt idx="866">
                  <c:v>1.5769999999999999E-2</c:v>
                </c:pt>
                <c:pt idx="867">
                  <c:v>1.5509999999999999E-2</c:v>
                </c:pt>
                <c:pt idx="868">
                  <c:v>1.4829999999999999E-2</c:v>
                </c:pt>
                <c:pt idx="869">
                  <c:v>1.4919999999999999E-2</c:v>
                </c:pt>
                <c:pt idx="870">
                  <c:v>1.5610000000000001E-2</c:v>
                </c:pt>
                <c:pt idx="871">
                  <c:v>1.5640000000000001E-2</c:v>
                </c:pt>
                <c:pt idx="872">
                  <c:v>1.576E-2</c:v>
                </c:pt>
                <c:pt idx="873">
                  <c:v>1.536E-2</c:v>
                </c:pt>
                <c:pt idx="874">
                  <c:v>1.4160000000000001E-2</c:v>
                </c:pt>
                <c:pt idx="875">
                  <c:v>1.498E-2</c:v>
                </c:pt>
                <c:pt idx="876">
                  <c:v>1.553E-2</c:v>
                </c:pt>
                <c:pt idx="877">
                  <c:v>1.5879999999999998E-2</c:v>
                </c:pt>
                <c:pt idx="878">
                  <c:v>1.5890000000000001E-2</c:v>
                </c:pt>
                <c:pt idx="879">
                  <c:v>1.55E-2</c:v>
                </c:pt>
                <c:pt idx="880">
                  <c:v>1.5480000000000001E-2</c:v>
                </c:pt>
                <c:pt idx="881">
                  <c:v>1.555E-2</c:v>
                </c:pt>
                <c:pt idx="882">
                  <c:v>1.5469999999999999E-2</c:v>
                </c:pt>
                <c:pt idx="883">
                  <c:v>1.5990000000000001E-2</c:v>
                </c:pt>
                <c:pt idx="884">
                  <c:v>1.762E-2</c:v>
                </c:pt>
                <c:pt idx="885">
                  <c:v>1.7680000000000001E-2</c:v>
                </c:pt>
                <c:pt idx="886">
                  <c:v>1.7440000000000001E-2</c:v>
                </c:pt>
                <c:pt idx="887">
                  <c:v>1.7739999999999999E-2</c:v>
                </c:pt>
                <c:pt idx="888">
                  <c:v>1.7999999999999999E-2</c:v>
                </c:pt>
                <c:pt idx="889">
                  <c:v>1.7340000000000001E-2</c:v>
                </c:pt>
                <c:pt idx="890">
                  <c:v>1.6799999999999999E-2</c:v>
                </c:pt>
                <c:pt idx="891">
                  <c:v>1.7559999999999999E-2</c:v>
                </c:pt>
                <c:pt idx="892">
                  <c:v>1.797E-2</c:v>
                </c:pt>
                <c:pt idx="893">
                  <c:v>1.7770000000000001E-2</c:v>
                </c:pt>
                <c:pt idx="894">
                  <c:v>1.6910000000000001E-2</c:v>
                </c:pt>
                <c:pt idx="895">
                  <c:v>1.6879999999999999E-2</c:v>
                </c:pt>
                <c:pt idx="896">
                  <c:v>1.753E-2</c:v>
                </c:pt>
                <c:pt idx="897">
                  <c:v>1.7780000000000001E-2</c:v>
                </c:pt>
                <c:pt idx="898">
                  <c:v>2.0500000000000001E-2</c:v>
                </c:pt>
                <c:pt idx="899">
                  <c:v>2.07E-2</c:v>
                </c:pt>
                <c:pt idx="900">
                  <c:v>2.0709999999999999E-2</c:v>
                </c:pt>
                <c:pt idx="901">
                  <c:v>2.0469999999999999E-2</c:v>
                </c:pt>
                <c:pt idx="902">
                  <c:v>1.9820000000000001E-2</c:v>
                </c:pt>
                <c:pt idx="903">
                  <c:v>2.196E-2</c:v>
                </c:pt>
                <c:pt idx="904">
                  <c:v>2.163E-2</c:v>
                </c:pt>
                <c:pt idx="905">
                  <c:v>2.1729999999999999E-2</c:v>
                </c:pt>
                <c:pt idx="906">
                  <c:v>2.29E-2</c:v>
                </c:pt>
                <c:pt idx="907">
                  <c:v>2.2290000000000001E-2</c:v>
                </c:pt>
                <c:pt idx="908">
                  <c:v>2.1829999999999999E-2</c:v>
                </c:pt>
                <c:pt idx="909">
                  <c:v>2.172E-2</c:v>
                </c:pt>
                <c:pt idx="910">
                  <c:v>2.2110000000000001E-2</c:v>
                </c:pt>
                <c:pt idx="911">
                  <c:v>2.24E-2</c:v>
                </c:pt>
                <c:pt idx="912">
                  <c:v>2.2069999999999999E-2</c:v>
                </c:pt>
                <c:pt idx="913">
                  <c:v>2.2009999999999998E-2</c:v>
                </c:pt>
                <c:pt idx="914">
                  <c:v>2.2329999999999999E-2</c:v>
                </c:pt>
                <c:pt idx="915">
                  <c:v>2.196E-2</c:v>
                </c:pt>
                <c:pt idx="916">
                  <c:v>2.3109999999999999E-2</c:v>
                </c:pt>
                <c:pt idx="917">
                  <c:v>2.2970000000000001E-2</c:v>
                </c:pt>
                <c:pt idx="918">
                  <c:v>2.3740000000000001E-2</c:v>
                </c:pt>
                <c:pt idx="919">
                  <c:v>2.4209999999999999E-2</c:v>
                </c:pt>
                <c:pt idx="920">
                  <c:v>2.6610000000000002E-2</c:v>
                </c:pt>
                <c:pt idx="921">
                  <c:v>2.9159999999999998E-2</c:v>
                </c:pt>
                <c:pt idx="922">
                  <c:v>2.8989999999999998E-2</c:v>
                </c:pt>
                <c:pt idx="923">
                  <c:v>2.8060000000000002E-2</c:v>
                </c:pt>
                <c:pt idx="924">
                  <c:v>2.5590000000000002E-2</c:v>
                </c:pt>
                <c:pt idx="925">
                  <c:v>2.2780000000000002E-2</c:v>
                </c:pt>
                <c:pt idx="926">
                  <c:v>2.095E-2</c:v>
                </c:pt>
                <c:pt idx="927">
                  <c:v>2.5219999999999999E-2</c:v>
                </c:pt>
                <c:pt idx="928">
                  <c:v>2.5159999999999998E-2</c:v>
                </c:pt>
                <c:pt idx="929">
                  <c:v>2.8379999999999999E-2</c:v>
                </c:pt>
                <c:pt idx="930">
                  <c:v>2.9420000000000002E-2</c:v>
                </c:pt>
                <c:pt idx="931">
                  <c:v>2.792E-2</c:v>
                </c:pt>
                <c:pt idx="932">
                  <c:v>3.2079999999999997E-2</c:v>
                </c:pt>
                <c:pt idx="933">
                  <c:v>3.4209999999999997E-2</c:v>
                </c:pt>
                <c:pt idx="934">
                  <c:v>3.3860000000000001E-2</c:v>
                </c:pt>
                <c:pt idx="935">
                  <c:v>3.4639999999999997E-2</c:v>
                </c:pt>
                <c:pt idx="936">
                  <c:v>3.2140000000000002E-2</c:v>
                </c:pt>
                <c:pt idx="937">
                  <c:v>3.1890000000000002E-2</c:v>
                </c:pt>
                <c:pt idx="938">
                  <c:v>3.1329999999999997E-2</c:v>
                </c:pt>
                <c:pt idx="939">
                  <c:v>3.2759999999999997E-2</c:v>
                </c:pt>
                <c:pt idx="940">
                  <c:v>3.1910000000000001E-2</c:v>
                </c:pt>
                <c:pt idx="941">
                  <c:v>3.2649999999999998E-2</c:v>
                </c:pt>
                <c:pt idx="942">
                  <c:v>3.2000000000000001E-2</c:v>
                </c:pt>
                <c:pt idx="943">
                  <c:v>3.4979999999999997E-2</c:v>
                </c:pt>
                <c:pt idx="944">
                  <c:v>3.3790000000000001E-2</c:v>
                </c:pt>
                <c:pt idx="945">
                  <c:v>3.2660000000000002E-2</c:v>
                </c:pt>
                <c:pt idx="946">
                  <c:v>3.6769999999999997E-2</c:v>
                </c:pt>
                <c:pt idx="947">
                  <c:v>3.848E-2</c:v>
                </c:pt>
                <c:pt idx="948">
                  <c:v>3.8519999999999999E-2</c:v>
                </c:pt>
                <c:pt idx="949">
                  <c:v>3.7569999999999999E-2</c:v>
                </c:pt>
                <c:pt idx="950">
                  <c:v>3.7479999999999999E-2</c:v>
                </c:pt>
                <c:pt idx="951">
                  <c:v>3.3059999999999999E-2</c:v>
                </c:pt>
                <c:pt idx="952">
                  <c:v>3.2629999999999999E-2</c:v>
                </c:pt>
                <c:pt idx="953">
                  <c:v>3.3239999999999999E-2</c:v>
                </c:pt>
                <c:pt idx="954">
                  <c:v>3.3090000000000001E-2</c:v>
                </c:pt>
                <c:pt idx="955">
                  <c:v>3.3829999999999999E-2</c:v>
                </c:pt>
                <c:pt idx="956">
                  <c:v>3.2809999999999999E-2</c:v>
                </c:pt>
                <c:pt idx="957">
                  <c:v>3.2640000000000002E-2</c:v>
                </c:pt>
                <c:pt idx="958">
                  <c:v>3.184E-2</c:v>
                </c:pt>
                <c:pt idx="959">
                  <c:v>3.2550000000000003E-2</c:v>
                </c:pt>
                <c:pt idx="960">
                  <c:v>3.3489999999999999E-2</c:v>
                </c:pt>
                <c:pt idx="961">
                  <c:v>3.108E-2</c:v>
                </c:pt>
                <c:pt idx="962">
                  <c:v>3.1539999999999999E-2</c:v>
                </c:pt>
                <c:pt idx="963">
                  <c:v>2.963E-2</c:v>
                </c:pt>
                <c:pt idx="964">
                  <c:v>3.202E-2</c:v>
                </c:pt>
                <c:pt idx="965">
                  <c:v>3.3480000000000003E-2</c:v>
                </c:pt>
                <c:pt idx="966">
                  <c:v>3.2590000000000001E-2</c:v>
                </c:pt>
                <c:pt idx="967">
                  <c:v>3.3959999999999997E-2</c:v>
                </c:pt>
                <c:pt idx="968">
                  <c:v>3.5049999999999998E-2</c:v>
                </c:pt>
                <c:pt idx="969">
                  <c:v>3.3750000000000002E-2</c:v>
                </c:pt>
                <c:pt idx="970">
                  <c:v>3.8219999999999997E-2</c:v>
                </c:pt>
                <c:pt idx="971">
                  <c:v>3.746E-2</c:v>
                </c:pt>
                <c:pt idx="972">
                  <c:v>3.3070000000000002E-2</c:v>
                </c:pt>
                <c:pt idx="973">
                  <c:v>3.1019999999999999E-2</c:v>
                </c:pt>
                <c:pt idx="974">
                  <c:v>3.3649999999999999E-2</c:v>
                </c:pt>
                <c:pt idx="975">
                  <c:v>3.4709999999999998E-2</c:v>
                </c:pt>
                <c:pt idx="976">
                  <c:v>3.4970000000000001E-2</c:v>
                </c:pt>
                <c:pt idx="977">
                  <c:v>3.0700000000000002E-2</c:v>
                </c:pt>
                <c:pt idx="978">
                  <c:v>2.76E-2</c:v>
                </c:pt>
                <c:pt idx="979">
                  <c:v>2.7609999999999999E-2</c:v>
                </c:pt>
                <c:pt idx="980">
                  <c:v>2.6960000000000001E-2</c:v>
                </c:pt>
                <c:pt idx="981">
                  <c:v>2.6550000000000001E-2</c:v>
                </c:pt>
                <c:pt idx="982">
                  <c:v>2.8299999999999999E-2</c:v>
                </c:pt>
                <c:pt idx="983">
                  <c:v>2.7820000000000001E-2</c:v>
                </c:pt>
                <c:pt idx="984">
                  <c:v>2.8250000000000001E-2</c:v>
                </c:pt>
                <c:pt idx="985">
                  <c:v>2.6440000000000002E-2</c:v>
                </c:pt>
                <c:pt idx="986">
                  <c:v>2.7E-2</c:v>
                </c:pt>
                <c:pt idx="987">
                  <c:v>2.8500000000000001E-2</c:v>
                </c:pt>
                <c:pt idx="988">
                  <c:v>3.09E-2</c:v>
                </c:pt>
                <c:pt idx="989">
                  <c:v>2.7269999999999999E-2</c:v>
                </c:pt>
                <c:pt idx="990">
                  <c:v>2.4330000000000001E-2</c:v>
                </c:pt>
                <c:pt idx="991">
                  <c:v>2.376E-2</c:v>
                </c:pt>
                <c:pt idx="992">
                  <c:v>2.479E-2</c:v>
                </c:pt>
                <c:pt idx="993">
                  <c:v>2.3599999999999999E-2</c:v>
                </c:pt>
                <c:pt idx="994">
                  <c:v>2.3189999999999999E-2</c:v>
                </c:pt>
                <c:pt idx="995">
                  <c:v>2.453E-2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0D-4CE6-B098-5B3F6DDB39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1093.0268835961986</c:v>
                </c:pt>
                <c:pt idx="1">
                  <c:v>1093.8156205215491</c:v>
                </c:pt>
                <c:pt idx="2">
                  <c:v>1102.701437150266</c:v>
                </c:pt>
                <c:pt idx="3">
                  <c:v>1090.5094359651325</c:v>
                </c:pt>
                <c:pt idx="4">
                  <c:v>1084.0411701000683</c:v>
                </c:pt>
                <c:pt idx="5">
                  <c:v>1077.7702266921999</c:v>
                </c:pt>
                <c:pt idx="6">
                  <c:v>1081.3287982942832</c:v>
                </c:pt>
                <c:pt idx="7">
                  <c:v>1099.6177209554132</c:v>
                </c:pt>
                <c:pt idx="8">
                  <c:v>1114.790515427673</c:v>
                </c:pt>
                <c:pt idx="9">
                  <c:v>1098.3380637877071</c:v>
                </c:pt>
                <c:pt idx="10">
                  <c:v>1107.0484703355883</c:v>
                </c:pt>
                <c:pt idx="11">
                  <c:v>1104.6883258923037</c:v>
                </c:pt>
                <c:pt idx="12">
                  <c:v>1098.1126426530466</c:v>
                </c:pt>
                <c:pt idx="13">
                  <c:v>1095.9453379848842</c:v>
                </c:pt>
                <c:pt idx="14">
                  <c:v>1089.7597942317395</c:v>
                </c:pt>
                <c:pt idx="15">
                  <c:v>1104.3030788944279</c:v>
                </c:pt>
                <c:pt idx="16">
                  <c:v>1091.9912776226117</c:v>
                </c:pt>
                <c:pt idx="17">
                  <c:v>1084.5294025252927</c:v>
                </c:pt>
                <c:pt idx="18">
                  <c:v>1088.3705866934495</c:v>
                </c:pt>
                <c:pt idx="19">
                  <c:v>1087.9117043001499</c:v>
                </c:pt>
                <c:pt idx="20">
                  <c:v>1093.1738085585841</c:v>
                </c:pt>
                <c:pt idx="21">
                  <c:v>1099.7749786004258</c:v>
                </c:pt>
                <c:pt idx="22">
                  <c:v>1079.7836412405063</c:v>
                </c:pt>
                <c:pt idx="23">
                  <c:v>1089.2438058705027</c:v>
                </c:pt>
                <c:pt idx="24">
                  <c:v>1104.6286310217847</c:v>
                </c:pt>
                <c:pt idx="25">
                  <c:v>1108.0745987930009</c:v>
                </c:pt>
                <c:pt idx="26">
                  <c:v>1101.3576884706354</c:v>
                </c:pt>
                <c:pt idx="27">
                  <c:v>1089.7177765670315</c:v>
                </c:pt>
                <c:pt idx="28">
                  <c:v>1096.2567733461865</c:v>
                </c:pt>
                <c:pt idx="29">
                  <c:v>1090.5056499610125</c:v>
                </c:pt>
                <c:pt idx="30">
                  <c:v>1100.4515844490784</c:v>
                </c:pt>
                <c:pt idx="31">
                  <c:v>1115.6628825925611</c:v>
                </c:pt>
                <c:pt idx="32">
                  <c:v>1124.6998094126257</c:v>
                </c:pt>
                <c:pt idx="33">
                  <c:v>1118.0886637384092</c:v>
                </c:pt>
                <c:pt idx="34">
                  <c:v>1111.3071871402738</c:v>
                </c:pt>
                <c:pt idx="35">
                  <c:v>1119.5597326886411</c:v>
                </c:pt>
                <c:pt idx="36">
                  <c:v>1108.376385347641</c:v>
                </c:pt>
                <c:pt idx="37">
                  <c:v>1110.8202306794874</c:v>
                </c:pt>
                <c:pt idx="38">
                  <c:v>1104.4831190812906</c:v>
                </c:pt>
                <c:pt idx="39">
                  <c:v>1103.9392508212904</c:v>
                </c:pt>
                <c:pt idx="40">
                  <c:v>1111.7251671028405</c:v>
                </c:pt>
                <c:pt idx="41">
                  <c:v>1111.9815825133596</c:v>
                </c:pt>
                <c:pt idx="42">
                  <c:v>1126.6671998835388</c:v>
                </c:pt>
                <c:pt idx="43">
                  <c:v>1140.8141808424552</c:v>
                </c:pt>
                <c:pt idx="44">
                  <c:v>1129.0209951850672</c:v>
                </c:pt>
                <c:pt idx="45">
                  <c:v>1116.5022642101419</c:v>
                </c:pt>
                <c:pt idx="46">
                  <c:v>1126.4787601087965</c:v>
                </c:pt>
                <c:pt idx="47">
                  <c:v>1126.9035259658547</c:v>
                </c:pt>
                <c:pt idx="48">
                  <c:v>1126.4822588677514</c:v>
                </c:pt>
                <c:pt idx="49">
                  <c:v>1137.3138264395234</c:v>
                </c:pt>
                <c:pt idx="50">
                  <c:v>1152.1772852892177</c:v>
                </c:pt>
                <c:pt idx="51">
                  <c:v>1146.7822621693269</c:v>
                </c:pt>
                <c:pt idx="52">
                  <c:v>1144.3881475094101</c:v>
                </c:pt>
                <c:pt idx="53">
                  <c:v>1105.4101637932106</c:v>
                </c:pt>
                <c:pt idx="54">
                  <c:v>1111.3088109916193</c:v>
                </c:pt>
                <c:pt idx="55">
                  <c:v>1089.7128983156131</c:v>
                </c:pt>
                <c:pt idx="56">
                  <c:v>1131.1060200641923</c:v>
                </c:pt>
                <c:pt idx="57">
                  <c:v>1107.8537030075868</c:v>
                </c:pt>
                <c:pt idx="58">
                  <c:v>1124.1351773056685</c:v>
                </c:pt>
                <c:pt idx="59">
                  <c:v>1144.1275861200559</c:v>
                </c:pt>
                <c:pt idx="60">
                  <c:v>1122.7345786770559</c:v>
                </c:pt>
                <c:pt idx="61">
                  <c:v>1070.1178026243031</c:v>
                </c:pt>
                <c:pt idx="62">
                  <c:v>1074.9718438058524</c:v>
                </c:pt>
                <c:pt idx="63">
                  <c:v>1112.4713836200451</c:v>
                </c:pt>
                <c:pt idx="64">
                  <c:v>1099.8672809525415</c:v>
                </c:pt>
                <c:pt idx="65">
                  <c:v>1103.4808613059083</c:v>
                </c:pt>
                <c:pt idx="66">
                  <c:v>1084.3695328224082</c:v>
                </c:pt>
                <c:pt idx="67">
                  <c:v>1119.8673431586715</c:v>
                </c:pt>
                <c:pt idx="68">
                  <c:v>1132.1870348205175</c:v>
                </c:pt>
                <c:pt idx="69">
                  <c:v>1099.1617433934291</c:v>
                </c:pt>
                <c:pt idx="70">
                  <c:v>1068.8548355532621</c:v>
                </c:pt>
                <c:pt idx="71">
                  <c:v>1098.3613787788433</c:v>
                </c:pt>
                <c:pt idx="72">
                  <c:v>1089.7311855080743</c:v>
                </c:pt>
                <c:pt idx="73">
                  <c:v>1114.9699120679984</c:v>
                </c:pt>
                <c:pt idx="74">
                  <c:v>1105.9018355525795</c:v>
                </c:pt>
                <c:pt idx="75">
                  <c:v>1081.4521091834035</c:v>
                </c:pt>
                <c:pt idx="76">
                  <c:v>1057.5691450266133</c:v>
                </c:pt>
                <c:pt idx="77">
                  <c:v>1055.3135283898341</c:v>
                </c:pt>
                <c:pt idx="78">
                  <c:v>1038.9665845128411</c:v>
                </c:pt>
                <c:pt idx="79">
                  <c:v>1059.2087230585691</c:v>
                </c:pt>
                <c:pt idx="80">
                  <c:v>1024.8526544873584</c:v>
                </c:pt>
                <c:pt idx="81">
                  <c:v>978.92198853686921</c:v>
                </c:pt>
                <c:pt idx="82">
                  <c:v>954.47778811220735</c:v>
                </c:pt>
                <c:pt idx="83">
                  <c:v>947.04390827652389</c:v>
                </c:pt>
                <c:pt idx="84">
                  <c:v>953.3533983815239</c:v>
                </c:pt>
                <c:pt idx="85">
                  <c:v>965.48028945662418</c:v>
                </c:pt>
                <c:pt idx="86">
                  <c:v>962.66020474146387</c:v>
                </c:pt>
                <c:pt idx="87">
                  <c:v>944.03486011265079</c:v>
                </c:pt>
                <c:pt idx="88">
                  <c:v>940.228766536634</c:v>
                </c:pt>
                <c:pt idx="89">
                  <c:v>919.58285826908809</c:v>
                </c:pt>
                <c:pt idx="90">
                  <c:v>920.94186585331261</c:v>
                </c:pt>
                <c:pt idx="91">
                  <c:v>891.35931881788019</c:v>
                </c:pt>
                <c:pt idx="92">
                  <c:v>869.19694595047611</c:v>
                </c:pt>
                <c:pt idx="93">
                  <c:v>891.0524054984669</c:v>
                </c:pt>
                <c:pt idx="94">
                  <c:v>912.34101523783625</c:v>
                </c:pt>
                <c:pt idx="95">
                  <c:v>896.43223997269251</c:v>
                </c:pt>
                <c:pt idx="96">
                  <c:v>897.32093738452113</c:v>
                </c:pt>
                <c:pt idx="97">
                  <c:v>889.90984611422948</c:v>
                </c:pt>
                <c:pt idx="98">
                  <c:v>896.34658061289531</c:v>
                </c:pt>
                <c:pt idx="99">
                  <c:v>921.4332314311664</c:v>
                </c:pt>
                <c:pt idx="100">
                  <c:v>920.39066005765324</c:v>
                </c:pt>
                <c:pt idx="101">
                  <c:v>905.62422057848391</c:v>
                </c:pt>
                <c:pt idx="102">
                  <c:v>906.31281630635624</c:v>
                </c:pt>
                <c:pt idx="103">
                  <c:v>908.14585966273717</c:v>
                </c:pt>
                <c:pt idx="104">
                  <c:v>912.2631246356998</c:v>
                </c:pt>
                <c:pt idx="105">
                  <c:v>916.02290937921134</c:v>
                </c:pt>
                <c:pt idx="106">
                  <c:v>922.20173686908322</c:v>
                </c:pt>
                <c:pt idx="107">
                  <c:v>906.44127199496882</c:v>
                </c:pt>
                <c:pt idx="108">
                  <c:v>899.68485307974822</c:v>
                </c:pt>
                <c:pt idx="109">
                  <c:v>903.34733600515438</c:v>
                </c:pt>
                <c:pt idx="110">
                  <c:v>913.30706965231684</c:v>
                </c:pt>
                <c:pt idx="111">
                  <c:v>903.77723339459305</c:v>
                </c:pt>
                <c:pt idx="112">
                  <c:v>899.83799808875563</c:v>
                </c:pt>
                <c:pt idx="113">
                  <c:v>903.17082630796358</c:v>
                </c:pt>
                <c:pt idx="114">
                  <c:v>892.46484187501289</c:v>
                </c:pt>
                <c:pt idx="115">
                  <c:v>886.92387634058571</c:v>
                </c:pt>
                <c:pt idx="116">
                  <c:v>882.91143765382162</c:v>
                </c:pt>
                <c:pt idx="117">
                  <c:v>882.15422190122717</c:v>
                </c:pt>
                <c:pt idx="118">
                  <c:v>885.25889453076582</c:v>
                </c:pt>
                <c:pt idx="119">
                  <c:v>875.08001155836018</c:v>
                </c:pt>
                <c:pt idx="120">
                  <c:v>868.18726383474871</c:v>
                </c:pt>
                <c:pt idx="121">
                  <c:v>865.68086332660027</c:v>
                </c:pt>
                <c:pt idx="122">
                  <c:v>878.12493770576043</c:v>
                </c:pt>
                <c:pt idx="123">
                  <c:v>888.98425090915305</c:v>
                </c:pt>
                <c:pt idx="124">
                  <c:v>886.55697210390031</c:v>
                </c:pt>
                <c:pt idx="125">
                  <c:v>890.25469539931089</c:v>
                </c:pt>
                <c:pt idx="126">
                  <c:v>891.07525464184823</c:v>
                </c:pt>
                <c:pt idx="127">
                  <c:v>887.89406401332121</c:v>
                </c:pt>
                <c:pt idx="128">
                  <c:v>876.64590129018302</c:v>
                </c:pt>
                <c:pt idx="129">
                  <c:v>887.62324182641112</c:v>
                </c:pt>
                <c:pt idx="130">
                  <c:v>892.20759700342796</c:v>
                </c:pt>
                <c:pt idx="131">
                  <c:v>896.69167219391625</c:v>
                </c:pt>
                <c:pt idx="132">
                  <c:v>897.99515912630579</c:v>
                </c:pt>
                <c:pt idx="133">
                  <c:v>918.27428024653307</c:v>
                </c:pt>
                <c:pt idx="134">
                  <c:v>923.33139386552921</c:v>
                </c:pt>
                <c:pt idx="135">
                  <c:v>912.07495294781313</c:v>
                </c:pt>
                <c:pt idx="136">
                  <c:v>886.14770027304678</c:v>
                </c:pt>
                <c:pt idx="137">
                  <c:v>896.9033092889714</c:v>
                </c:pt>
                <c:pt idx="138">
                  <c:v>872.82523253748582</c:v>
                </c:pt>
                <c:pt idx="139">
                  <c:v>865.54554473449491</c:v>
                </c:pt>
                <c:pt idx="140">
                  <c:v>866.48712850301013</c:v>
                </c:pt>
                <c:pt idx="141">
                  <c:v>863.00243791601417</c:v>
                </c:pt>
                <c:pt idx="142">
                  <c:v>854.16446311777577</c:v>
                </c:pt>
                <c:pt idx="143">
                  <c:v>864.31113178513397</c:v>
                </c:pt>
                <c:pt idx="144">
                  <c:v>865.36199959551118</c:v>
                </c:pt>
                <c:pt idx="145">
                  <c:v>855.57647112339839</c:v>
                </c:pt>
                <c:pt idx="146">
                  <c:v>855.15921136422367</c:v>
                </c:pt>
                <c:pt idx="147">
                  <c:v>855.6844776998106</c:v>
                </c:pt>
                <c:pt idx="148">
                  <c:v>849.55171727132813</c:v>
                </c:pt>
                <c:pt idx="149">
                  <c:v>839.10654312399163</c:v>
                </c:pt>
                <c:pt idx="150">
                  <c:v>836.0902499928419</c:v>
                </c:pt>
                <c:pt idx="151">
                  <c:v>840.14656178984171</c:v>
                </c:pt>
                <c:pt idx="152">
                  <c:v>840.60305816777372</c:v>
                </c:pt>
                <c:pt idx="153">
                  <c:v>837.74005894469178</c:v>
                </c:pt>
                <c:pt idx="154">
                  <c:v>830.23220823084466</c:v>
                </c:pt>
                <c:pt idx="155">
                  <c:v>835.27191962004235</c:v>
                </c:pt>
                <c:pt idx="156">
                  <c:v>827.69008944099448</c:v>
                </c:pt>
                <c:pt idx="157">
                  <c:v>834.52428086903717</c:v>
                </c:pt>
                <c:pt idx="158">
                  <c:v>833.11550631595355</c:v>
                </c:pt>
                <c:pt idx="159">
                  <c:v>832.69239246175084</c:v>
                </c:pt>
                <c:pt idx="160">
                  <c:v>837.82486154388471</c:v>
                </c:pt>
                <c:pt idx="161">
                  <c:v>829.20556102496198</c:v>
                </c:pt>
                <c:pt idx="162">
                  <c:v>819.64584075379332</c:v>
                </c:pt>
                <c:pt idx="163">
                  <c:v>818.7148141625961</c:v>
                </c:pt>
                <c:pt idx="164">
                  <c:v>829.87103125705596</c:v>
                </c:pt>
                <c:pt idx="165">
                  <c:v>839.76529756790774</c:v>
                </c:pt>
                <c:pt idx="166">
                  <c:v>836.57893799127567</c:v>
                </c:pt>
                <c:pt idx="167">
                  <c:v>825.22922292246756</c:v>
                </c:pt>
                <c:pt idx="168">
                  <c:v>814.95148064158445</c:v>
                </c:pt>
                <c:pt idx="169">
                  <c:v>822.41778104793093</c:v>
                </c:pt>
                <c:pt idx="170">
                  <c:v>811.03678139663361</c:v>
                </c:pt>
                <c:pt idx="171">
                  <c:v>807.06234644151857</c:v>
                </c:pt>
                <c:pt idx="172">
                  <c:v>799.91338662115641</c:v>
                </c:pt>
                <c:pt idx="173">
                  <c:v>806.39377534897267</c:v>
                </c:pt>
                <c:pt idx="174">
                  <c:v>800.18912768167331</c:v>
                </c:pt>
                <c:pt idx="175">
                  <c:v>794.2865728949115</c:v>
                </c:pt>
                <c:pt idx="176">
                  <c:v>785.60128390812577</c:v>
                </c:pt>
                <c:pt idx="177">
                  <c:v>780.274865120546</c:v>
                </c:pt>
                <c:pt idx="178">
                  <c:v>780.92518280435991</c:v>
                </c:pt>
                <c:pt idx="179">
                  <c:v>777.74637607931436</c:v>
                </c:pt>
                <c:pt idx="180">
                  <c:v>784.03614046341556</c:v>
                </c:pt>
                <c:pt idx="181">
                  <c:v>781.0645293881006</c:v>
                </c:pt>
                <c:pt idx="182">
                  <c:v>772.36899259926349</c:v>
                </c:pt>
                <c:pt idx="183">
                  <c:v>768.63053837886196</c:v>
                </c:pt>
                <c:pt idx="184">
                  <c:v>769.24364951139421</c:v>
                </c:pt>
                <c:pt idx="185">
                  <c:v>762.34095014210106</c:v>
                </c:pt>
                <c:pt idx="186">
                  <c:v>774.87702649991377</c:v>
                </c:pt>
                <c:pt idx="187">
                  <c:v>769.31178926844314</c:v>
                </c:pt>
                <c:pt idx="188">
                  <c:v>766.77756364195886</c:v>
                </c:pt>
                <c:pt idx="189">
                  <c:v>761.61692051776822</c:v>
                </c:pt>
                <c:pt idx="190">
                  <c:v>755.57998037541552</c:v>
                </c:pt>
                <c:pt idx="191">
                  <c:v>750.86264520766645</c:v>
                </c:pt>
                <c:pt idx="192">
                  <c:v>755.18461830010051</c:v>
                </c:pt>
                <c:pt idx="193">
                  <c:v>760.27541864016814</c:v>
                </c:pt>
                <c:pt idx="194">
                  <c:v>762.28431862824891</c:v>
                </c:pt>
                <c:pt idx="195">
                  <c:v>760.68764932007275</c:v>
                </c:pt>
                <c:pt idx="196">
                  <c:v>766.99132856503877</c:v>
                </c:pt>
                <c:pt idx="197">
                  <c:v>770.61919296337919</c:v>
                </c:pt>
                <c:pt idx="198">
                  <c:v>765.07555586051592</c:v>
                </c:pt>
                <c:pt idx="199">
                  <c:v>766.65514421198657</c:v>
                </c:pt>
                <c:pt idx="200">
                  <c:v>770.56060569153749</c:v>
                </c:pt>
                <c:pt idx="201">
                  <c:v>769.46408115068334</c:v>
                </c:pt>
                <c:pt idx="202">
                  <c:v>771.28543529589297</c:v>
                </c:pt>
                <c:pt idx="203">
                  <c:v>765.99630743459409</c:v>
                </c:pt>
                <c:pt idx="204">
                  <c:v>771.68157166171557</c:v>
                </c:pt>
                <c:pt idx="205">
                  <c:v>776.44433649818484</c:v>
                </c:pt>
                <c:pt idx="206">
                  <c:v>777.6000171033503</c:v>
                </c:pt>
                <c:pt idx="207">
                  <c:v>782.23043239785272</c:v>
                </c:pt>
                <c:pt idx="208">
                  <c:v>779.35495653008877</c:v>
                </c:pt>
                <c:pt idx="209">
                  <c:v>776.54639222093465</c:v>
                </c:pt>
                <c:pt idx="210">
                  <c:v>770.1167749078636</c:v>
                </c:pt>
                <c:pt idx="211">
                  <c:v>774.89009723340359</c:v>
                </c:pt>
                <c:pt idx="212">
                  <c:v>765.50197910527174</c:v>
                </c:pt>
                <c:pt idx="213">
                  <c:v>763.17219711628456</c:v>
                </c:pt>
                <c:pt idx="214">
                  <c:v>763.8654878721178</c:v>
                </c:pt>
                <c:pt idx="215">
                  <c:v>755.41366693478597</c:v>
                </c:pt>
                <c:pt idx="216">
                  <c:v>743.77305658174259</c:v>
                </c:pt>
                <c:pt idx="217">
                  <c:v>760.05371070956039</c:v>
                </c:pt>
                <c:pt idx="218">
                  <c:v>741.54886682964263</c:v>
                </c:pt>
                <c:pt idx="219">
                  <c:v>730.08157339059937</c:v>
                </c:pt>
                <c:pt idx="220">
                  <c:v>731.94945463209478</c:v>
                </c:pt>
                <c:pt idx="221">
                  <c:v>751.23480027861467</c:v>
                </c:pt>
                <c:pt idx="222">
                  <c:v>745.7695423999786</c:v>
                </c:pt>
                <c:pt idx="223">
                  <c:v>751.9732098367964</c:v>
                </c:pt>
                <c:pt idx="224">
                  <c:v>759.51600382253844</c:v>
                </c:pt>
                <c:pt idx="225">
                  <c:v>751.12375212976281</c:v>
                </c:pt>
                <c:pt idx="226">
                  <c:v>758.34033142045416</c:v>
                </c:pt>
                <c:pt idx="227">
                  <c:v>759.79781978983885</c:v>
                </c:pt>
                <c:pt idx="228">
                  <c:v>755.9022962024103</c:v>
                </c:pt>
                <c:pt idx="229">
                  <c:v>749.17839697692159</c:v>
                </c:pt>
                <c:pt idx="230">
                  <c:v>746.06920442325486</c:v>
                </c:pt>
                <c:pt idx="231">
                  <c:v>752.8215805129214</c:v>
                </c:pt>
                <c:pt idx="232">
                  <c:v>761.66030707354435</c:v>
                </c:pt>
                <c:pt idx="233">
                  <c:v>747.74097615488199</c:v>
                </c:pt>
                <c:pt idx="234">
                  <c:v>735.47895242602203</c:v>
                </c:pt>
                <c:pt idx="235">
                  <c:v>745.07066647737747</c:v>
                </c:pt>
                <c:pt idx="236">
                  <c:v>736.86531083011471</c:v>
                </c:pt>
                <c:pt idx="237">
                  <c:v>744.1585877830862</c:v>
                </c:pt>
                <c:pt idx="238">
                  <c:v>748.86174037971944</c:v>
                </c:pt>
                <c:pt idx="239">
                  <c:v>737.0617865437564</c:v>
                </c:pt>
                <c:pt idx="240">
                  <c:v>732.00533826449907</c:v>
                </c:pt>
                <c:pt idx="241">
                  <c:v>727.93276011476746</c:v>
                </c:pt>
                <c:pt idx="242">
                  <c:v>713.11598541817091</c:v>
                </c:pt>
                <c:pt idx="243">
                  <c:v>705.38225722355799</c:v>
                </c:pt>
                <c:pt idx="244">
                  <c:v>713.82277968372068</c:v>
                </c:pt>
                <c:pt idx="245">
                  <c:v>727.32757096394414</c:v>
                </c:pt>
                <c:pt idx="246">
                  <c:v>729.14547414911544</c:v>
                </c:pt>
                <c:pt idx="247">
                  <c:v>711.83131473663195</c:v>
                </c:pt>
                <c:pt idx="248">
                  <c:v>706.45342008114017</c:v>
                </c:pt>
                <c:pt idx="249">
                  <c:v>671.71458253244828</c:v>
                </c:pt>
                <c:pt idx="250">
                  <c:v>685.43155529371336</c:v>
                </c:pt>
                <c:pt idx="251">
                  <c:v>684.35864049812881</c:v>
                </c:pt>
                <c:pt idx="252">
                  <c:v>697.98170459300047</c:v>
                </c:pt>
                <c:pt idx="253">
                  <c:v>674.29867912269617</c:v>
                </c:pt>
                <c:pt idx="254">
                  <c:v>704.6206941576304</c:v>
                </c:pt>
                <c:pt idx="255">
                  <c:v>702.27609594750766</c:v>
                </c:pt>
                <c:pt idx="256">
                  <c:v>708.65185432905957</c:v>
                </c:pt>
                <c:pt idx="257">
                  <c:v>717.53575023943665</c:v>
                </c:pt>
                <c:pt idx="258">
                  <c:v>727.391703758934</c:v>
                </c:pt>
                <c:pt idx="259">
                  <c:v>722.90179030706372</c:v>
                </c:pt>
                <c:pt idx="260">
                  <c:v>703.16791118164383</c:v>
                </c:pt>
                <c:pt idx="261">
                  <c:v>736.31750933734406</c:v>
                </c:pt>
                <c:pt idx="262">
                  <c:v>710.72297183462035</c:v>
                </c:pt>
                <c:pt idx="263">
                  <c:v>725.55290702886771</c:v>
                </c:pt>
                <c:pt idx="264">
                  <c:v>715.45790156538408</c:v>
                </c:pt>
                <c:pt idx="265">
                  <c:v>734.19341493261459</c:v>
                </c:pt>
                <c:pt idx="266">
                  <c:v>761.75811795673712</c:v>
                </c:pt>
                <c:pt idx="267">
                  <c:v>738.1149503299813</c:v>
                </c:pt>
                <c:pt idx="268">
                  <c:v>695.64316101176394</c:v>
                </c:pt>
                <c:pt idx="269">
                  <c:v>715.26209686526079</c:v>
                </c:pt>
                <c:pt idx="270">
                  <c:v>716.97754472759345</c:v>
                </c:pt>
                <c:pt idx="271">
                  <c:v>720.37329512577548</c:v>
                </c:pt>
                <c:pt idx="272">
                  <c:v>717.31712874493269</c:v>
                </c:pt>
                <c:pt idx="273">
                  <c:v>697.8635371160218</c:v>
                </c:pt>
                <c:pt idx="274">
                  <c:v>698.70160123666176</c:v>
                </c:pt>
                <c:pt idx="275">
                  <c:v>699.67414134126795</c:v>
                </c:pt>
                <c:pt idx="276">
                  <c:v>685.82967514218115</c:v>
                </c:pt>
                <c:pt idx="277">
                  <c:v>657.32843366441637</c:v>
                </c:pt>
                <c:pt idx="278">
                  <c:v>661.72240022271706</c:v>
                </c:pt>
                <c:pt idx="279">
                  <c:v>693.04084817999433</c:v>
                </c:pt>
                <c:pt idx="280">
                  <c:v>652.3405058518598</c:v>
                </c:pt>
                <c:pt idx="281">
                  <c:v>681.86297222520352</c:v>
                </c:pt>
                <c:pt idx="282">
                  <c:v>698.72683878317764</c:v>
                </c:pt>
                <c:pt idx="283">
                  <c:v>674.82259251193045</c:v>
                </c:pt>
                <c:pt idx="284">
                  <c:v>704.35968168793045</c:v>
                </c:pt>
                <c:pt idx="285">
                  <c:v>694.72597751156968</c:v>
                </c:pt>
                <c:pt idx="286">
                  <c:v>731.3631651288747</c:v>
                </c:pt>
                <c:pt idx="287">
                  <c:v>717.567675006478</c:v>
                </c:pt>
                <c:pt idx="288">
                  <c:v>681.07870644551758</c:v>
                </c:pt>
                <c:pt idx="289">
                  <c:v>698.55152938847993</c:v>
                </c:pt>
                <c:pt idx="290">
                  <c:v>677.81639764640693</c:v>
                </c:pt>
                <c:pt idx="291">
                  <c:v>682.21775013458046</c:v>
                </c:pt>
                <c:pt idx="292">
                  <c:v>683.42847866866214</c:v>
                </c:pt>
                <c:pt idx="293">
                  <c:v>656.34985695856733</c:v>
                </c:pt>
                <c:pt idx="294">
                  <c:v>672.95622119390373</c:v>
                </c:pt>
                <c:pt idx="295">
                  <c:v>649.66443220268729</c:v>
                </c:pt>
                <c:pt idx="296">
                  <c:v>668.87930814326171</c:v>
                </c:pt>
                <c:pt idx="297">
                  <c:v>672.88376982977115</c:v>
                </c:pt>
                <c:pt idx="298">
                  <c:v>679.32151829212683</c:v>
                </c:pt>
                <c:pt idx="299">
                  <c:v>609.96608205735981</c:v>
                </c:pt>
                <c:pt idx="300">
                  <c:v>597.81931798851099</c:v>
                </c:pt>
                <c:pt idx="301">
                  <c:v>565.26914112253939</c:v>
                </c:pt>
                <c:pt idx="302">
                  <c:v>592.47151116766315</c:v>
                </c:pt>
                <c:pt idx="303">
                  <c:v>520.05615929902888</c:v>
                </c:pt>
                <c:pt idx="304">
                  <c:v>513.83162566586554</c:v>
                </c:pt>
                <c:pt idx="305">
                  <c:v>511.80933161188824</c:v>
                </c:pt>
                <c:pt idx="306">
                  <c:v>508.9067271223883</c:v>
                </c:pt>
                <c:pt idx="307">
                  <c:v>525.46152648241889</c:v>
                </c:pt>
                <c:pt idx="308">
                  <c:v>503.78150411233275</c:v>
                </c:pt>
                <c:pt idx="309">
                  <c:v>496.23800786876131</c:v>
                </c:pt>
                <c:pt idx="310">
                  <c:v>509.54125130968089</c:v>
                </c:pt>
                <c:pt idx="311">
                  <c:v>519.18473905585972</c:v>
                </c:pt>
                <c:pt idx="312">
                  <c:v>542.65876640968372</c:v>
                </c:pt>
                <c:pt idx="313">
                  <c:v>524.11266206835387</c:v>
                </c:pt>
                <c:pt idx="314">
                  <c:v>558.52715954835389</c:v>
                </c:pt>
                <c:pt idx="315">
                  <c:v>540.45188140213827</c:v>
                </c:pt>
                <c:pt idx="316">
                  <c:v>549.14299827076763</c:v>
                </c:pt>
                <c:pt idx="317">
                  <c:v>536.67657703424857</c:v>
                </c:pt>
                <c:pt idx="318">
                  <c:v>525.27141760873769</c:v>
                </c:pt>
                <c:pt idx="319">
                  <c:v>520.91991694571777</c:v>
                </c:pt>
                <c:pt idx="320">
                  <c:v>533.90300301382308</c:v>
                </c:pt>
                <c:pt idx="321">
                  <c:v>524.3983273202839</c:v>
                </c:pt>
                <c:pt idx="322">
                  <c:v>526.13184506726793</c:v>
                </c:pt>
                <c:pt idx="323">
                  <c:v>516.03346811646134</c:v>
                </c:pt>
                <c:pt idx="324">
                  <c:v>521.66163875301288</c:v>
                </c:pt>
                <c:pt idx="325">
                  <c:v>514.76329791893556</c:v>
                </c:pt>
                <c:pt idx="326">
                  <c:v>501.7565228550452</c:v>
                </c:pt>
                <c:pt idx="327">
                  <c:v>492.45729410599711</c:v>
                </c:pt>
                <c:pt idx="328">
                  <c:v>488.01209300797831</c:v>
                </c:pt>
                <c:pt idx="329">
                  <c:v>485.82891845411689</c:v>
                </c:pt>
                <c:pt idx="330">
                  <c:v>479.08614510345825</c:v>
                </c:pt>
                <c:pt idx="331">
                  <c:v>472.53758777973212</c:v>
                </c:pt>
                <c:pt idx="332">
                  <c:v>475.00861681319452</c:v>
                </c:pt>
                <c:pt idx="333">
                  <c:v>462.60872647334787</c:v>
                </c:pt>
                <c:pt idx="334">
                  <c:v>456.74310582382026</c:v>
                </c:pt>
                <c:pt idx="335">
                  <c:v>459.36914066166412</c:v>
                </c:pt>
                <c:pt idx="336">
                  <c:v>455.27950366070849</c:v>
                </c:pt>
                <c:pt idx="337">
                  <c:v>471.08520241523286</c:v>
                </c:pt>
                <c:pt idx="338">
                  <c:v>461.54819865852653</c:v>
                </c:pt>
                <c:pt idx="339">
                  <c:v>468.76174024018258</c:v>
                </c:pt>
                <c:pt idx="340">
                  <c:v>465.00834915768223</c:v>
                </c:pt>
                <c:pt idx="341">
                  <c:v>460.92533608835947</c:v>
                </c:pt>
                <c:pt idx="342">
                  <c:v>474.02191585793719</c:v>
                </c:pt>
                <c:pt idx="343">
                  <c:v>461.19647755012977</c:v>
                </c:pt>
                <c:pt idx="344">
                  <c:v>448.94587249862838</c:v>
                </c:pt>
                <c:pt idx="345">
                  <c:v>438.03634150892066</c:v>
                </c:pt>
                <c:pt idx="346">
                  <c:v>439.41441554883613</c:v>
                </c:pt>
                <c:pt idx="347">
                  <c:v>438.56146314089517</c:v>
                </c:pt>
                <c:pt idx="348">
                  <c:v>446.98081315118372</c:v>
                </c:pt>
                <c:pt idx="349">
                  <c:v>413.64252332380704</c:v>
                </c:pt>
                <c:pt idx="350">
                  <c:v>407.32931869945361</c:v>
                </c:pt>
                <c:pt idx="351">
                  <c:v>377.0367877081319</c:v>
                </c:pt>
                <c:pt idx="352">
                  <c:v>369.28356174760711</c:v>
                </c:pt>
                <c:pt idx="353">
                  <c:v>363.01893031201234</c:v>
                </c:pt>
                <c:pt idx="354">
                  <c:v>339.70530478061971</c:v>
                </c:pt>
                <c:pt idx="355">
                  <c:v>334.0394851459871</c:v>
                </c:pt>
                <c:pt idx="356">
                  <c:v>332.63504091901041</c:v>
                </c:pt>
                <c:pt idx="357">
                  <c:v>306.92780398715405</c:v>
                </c:pt>
                <c:pt idx="358">
                  <c:v>312.44159222660238</c:v>
                </c:pt>
                <c:pt idx="359">
                  <c:v>305.85481609698508</c:v>
                </c:pt>
                <c:pt idx="360">
                  <c:v>296.29983204926145</c:v>
                </c:pt>
                <c:pt idx="361">
                  <c:v>298.35793373676142</c:v>
                </c:pt>
                <c:pt idx="362">
                  <c:v>326.37743120849223</c:v>
                </c:pt>
                <c:pt idx="363">
                  <c:v>324.66858459315</c:v>
                </c:pt>
                <c:pt idx="364">
                  <c:v>392.60680321357557</c:v>
                </c:pt>
                <c:pt idx="365">
                  <c:v>387.12470587079883</c:v>
                </c:pt>
                <c:pt idx="366">
                  <c:v>390.4293261988953</c:v>
                </c:pt>
                <c:pt idx="367">
                  <c:v>386.48018033032014</c:v>
                </c:pt>
                <c:pt idx="368">
                  <c:v>412.89668536821654</c:v>
                </c:pt>
                <c:pt idx="369">
                  <c:v>410.5860245440989</c:v>
                </c:pt>
                <c:pt idx="370">
                  <c:v>403.48950367979893</c:v>
                </c:pt>
                <c:pt idx="371">
                  <c:v>393.23684391699891</c:v>
                </c:pt>
                <c:pt idx="372">
                  <c:v>410.46004313256043</c:v>
                </c:pt>
                <c:pt idx="373">
                  <c:v>407.3720449432663</c:v>
                </c:pt>
                <c:pt idx="374">
                  <c:v>425.95374578775824</c:v>
                </c:pt>
                <c:pt idx="375">
                  <c:v>416.65955392566872</c:v>
                </c:pt>
                <c:pt idx="376">
                  <c:v>412.07579365728685</c:v>
                </c:pt>
                <c:pt idx="377">
                  <c:v>418.51167290976798</c:v>
                </c:pt>
                <c:pt idx="378">
                  <c:v>421.23902055250215</c:v>
                </c:pt>
                <c:pt idx="379">
                  <c:v>426.95383146077552</c:v>
                </c:pt>
                <c:pt idx="380">
                  <c:v>410.51731032546763</c:v>
                </c:pt>
                <c:pt idx="381">
                  <c:v>417.85285495025482</c:v>
                </c:pt>
                <c:pt idx="382">
                  <c:v>432.31109378315585</c:v>
                </c:pt>
                <c:pt idx="383">
                  <c:v>453.47612374865139</c:v>
                </c:pt>
                <c:pt idx="384">
                  <c:v>435.10924188243064</c:v>
                </c:pt>
                <c:pt idx="385">
                  <c:v>425.1581219347832</c:v>
                </c:pt>
                <c:pt idx="386">
                  <c:v>445.20512651691223</c:v>
                </c:pt>
                <c:pt idx="387">
                  <c:v>421.40623827947348</c:v>
                </c:pt>
                <c:pt idx="388">
                  <c:v>433.65029576384853</c:v>
                </c:pt>
                <c:pt idx="389">
                  <c:v>408.08385800351465</c:v>
                </c:pt>
                <c:pt idx="390">
                  <c:v>390.5111345928272</c:v>
                </c:pt>
                <c:pt idx="391">
                  <c:v>390.66865875679929</c:v>
                </c:pt>
                <c:pt idx="392">
                  <c:v>391.7153296581472</c:v>
                </c:pt>
                <c:pt idx="393">
                  <c:v>387.10698025964723</c:v>
                </c:pt>
                <c:pt idx="394">
                  <c:v>389.32522443244312</c:v>
                </c:pt>
                <c:pt idx="395">
                  <c:v>399.17649896228261</c:v>
                </c:pt>
                <c:pt idx="396">
                  <c:v>397.36956722755946</c:v>
                </c:pt>
                <c:pt idx="397">
                  <c:v>397.24945938910616</c:v>
                </c:pt>
                <c:pt idx="398">
                  <c:v>398.90268978095014</c:v>
                </c:pt>
                <c:pt idx="399">
                  <c:v>395.71090212867745</c:v>
                </c:pt>
                <c:pt idx="400">
                  <c:v>378.77616706942331</c:v>
                </c:pt>
                <c:pt idx="401">
                  <c:v>391.43883759597111</c:v>
                </c:pt>
                <c:pt idx="402">
                  <c:v>388.68716040221699</c:v>
                </c:pt>
                <c:pt idx="403">
                  <c:v>400.77375530018952</c:v>
                </c:pt>
                <c:pt idx="404">
                  <c:v>404.93429296953428</c:v>
                </c:pt>
                <c:pt idx="405">
                  <c:v>406.92518558657775</c:v>
                </c:pt>
                <c:pt idx="406">
                  <c:v>402.28625503214164</c:v>
                </c:pt>
                <c:pt idx="407">
                  <c:v>410.53245166467173</c:v>
                </c:pt>
                <c:pt idx="408">
                  <c:v>400.243812891407</c:v>
                </c:pt>
                <c:pt idx="409">
                  <c:v>399.13413054614779</c:v>
                </c:pt>
                <c:pt idx="410">
                  <c:v>396.23468504214776</c:v>
                </c:pt>
                <c:pt idx="411">
                  <c:v>394.67825535813131</c:v>
                </c:pt>
                <c:pt idx="412">
                  <c:v>391.34359580341948</c:v>
                </c:pt>
                <c:pt idx="413">
                  <c:v>391.90965183354291</c:v>
                </c:pt>
                <c:pt idx="414">
                  <c:v>393.88250734495415</c:v>
                </c:pt>
                <c:pt idx="415">
                  <c:v>384.73897947295416</c:v>
                </c:pt>
                <c:pt idx="416">
                  <c:v>391.51311997723991</c:v>
                </c:pt>
                <c:pt idx="417">
                  <c:v>392.89919236739587</c:v>
                </c:pt>
                <c:pt idx="418">
                  <c:v>387.81523234664593</c:v>
                </c:pt>
                <c:pt idx="419">
                  <c:v>384.35586469328928</c:v>
                </c:pt>
                <c:pt idx="420">
                  <c:v>390.35836833116292</c:v>
                </c:pt>
                <c:pt idx="421">
                  <c:v>386.52709204158901</c:v>
                </c:pt>
                <c:pt idx="422">
                  <c:v>378.7674276984427</c:v>
                </c:pt>
                <c:pt idx="423">
                  <c:v>394.84312015193581</c:v>
                </c:pt>
                <c:pt idx="424">
                  <c:v>386.1348475344551</c:v>
                </c:pt>
                <c:pt idx="425">
                  <c:v>382.59372027023352</c:v>
                </c:pt>
                <c:pt idx="426">
                  <c:v>376.41616918727175</c:v>
                </c:pt>
                <c:pt idx="427">
                  <c:v>372.72534898050247</c:v>
                </c:pt>
                <c:pt idx="428">
                  <c:v>388.04566350709001</c:v>
                </c:pt>
                <c:pt idx="429">
                  <c:v>410.36748796620327</c:v>
                </c:pt>
                <c:pt idx="430">
                  <c:v>411.30220250820327</c:v>
                </c:pt>
                <c:pt idx="431">
                  <c:v>386.40538101359988</c:v>
                </c:pt>
                <c:pt idx="432">
                  <c:v>390.70016133586165</c:v>
                </c:pt>
                <c:pt idx="433">
                  <c:v>359.51233760868382</c:v>
                </c:pt>
                <c:pt idx="434">
                  <c:v>355.83278102532228</c:v>
                </c:pt>
                <c:pt idx="435">
                  <c:v>360.90588676283136</c:v>
                </c:pt>
                <c:pt idx="436">
                  <c:v>348.14173376687097</c:v>
                </c:pt>
                <c:pt idx="437">
                  <c:v>340.64792440392137</c:v>
                </c:pt>
                <c:pt idx="438">
                  <c:v>339.86899178289281</c:v>
                </c:pt>
                <c:pt idx="439">
                  <c:v>340.40838364698271</c:v>
                </c:pt>
                <c:pt idx="440">
                  <c:v>342.00767975154275</c:v>
                </c:pt>
                <c:pt idx="441">
                  <c:v>335.58305153277462</c:v>
                </c:pt>
                <c:pt idx="442">
                  <c:v>337.63559935798747</c:v>
                </c:pt>
                <c:pt idx="443">
                  <c:v>339.40245755985978</c:v>
                </c:pt>
                <c:pt idx="444">
                  <c:v>341.30316659138151</c:v>
                </c:pt>
                <c:pt idx="445">
                  <c:v>345.74054282774887</c:v>
                </c:pt>
                <c:pt idx="446">
                  <c:v>343.29903277703454</c:v>
                </c:pt>
                <c:pt idx="447">
                  <c:v>352.49579613930808</c:v>
                </c:pt>
                <c:pt idx="448">
                  <c:v>342.08921739226076</c:v>
                </c:pt>
                <c:pt idx="449">
                  <c:v>334.81336951426084</c:v>
                </c:pt>
                <c:pt idx="450">
                  <c:v>331.30189584202031</c:v>
                </c:pt>
                <c:pt idx="451">
                  <c:v>321.1148738027336</c:v>
                </c:pt>
                <c:pt idx="452">
                  <c:v>328.8757535618513</c:v>
                </c:pt>
                <c:pt idx="453">
                  <c:v>327.21779659785125</c:v>
                </c:pt>
                <c:pt idx="454">
                  <c:v>331.47510912585125</c:v>
                </c:pt>
                <c:pt idx="455">
                  <c:v>335.62439457719603</c:v>
                </c:pt>
                <c:pt idx="456">
                  <c:v>340.1190271611091</c:v>
                </c:pt>
                <c:pt idx="457">
                  <c:v>341.22114675096623</c:v>
                </c:pt>
                <c:pt idx="458">
                  <c:v>338.72416319346621</c:v>
                </c:pt>
                <c:pt idx="459">
                  <c:v>341.23216320538</c:v>
                </c:pt>
                <c:pt idx="460">
                  <c:v>340.22472431714192</c:v>
                </c:pt>
                <c:pt idx="461">
                  <c:v>338.20906878153914</c:v>
                </c:pt>
                <c:pt idx="462">
                  <c:v>338.14768901657288</c:v>
                </c:pt>
                <c:pt idx="463">
                  <c:v>337.88482656607891</c:v>
                </c:pt>
                <c:pt idx="464">
                  <c:v>338.55790415784361</c:v>
                </c:pt>
                <c:pt idx="465">
                  <c:v>354.50095671350158</c:v>
                </c:pt>
                <c:pt idx="466">
                  <c:v>354.60576269364441</c:v>
                </c:pt>
                <c:pt idx="467">
                  <c:v>353.92535248501645</c:v>
                </c:pt>
                <c:pt idx="468">
                  <c:v>354.37575140273077</c:v>
                </c:pt>
                <c:pt idx="469">
                  <c:v>358.04960267516321</c:v>
                </c:pt>
                <c:pt idx="470">
                  <c:v>358.27838946477863</c:v>
                </c:pt>
                <c:pt idx="471">
                  <c:v>357.8982608244151</c:v>
                </c:pt>
                <c:pt idx="472">
                  <c:v>360.53175915036616</c:v>
                </c:pt>
                <c:pt idx="473">
                  <c:v>357.03607359186623</c:v>
                </c:pt>
                <c:pt idx="474">
                  <c:v>353.89689563453288</c:v>
                </c:pt>
                <c:pt idx="475">
                  <c:v>363.14113434953282</c:v>
                </c:pt>
                <c:pt idx="476">
                  <c:v>354.94812638376544</c:v>
                </c:pt>
                <c:pt idx="477">
                  <c:v>350.12278308299614</c:v>
                </c:pt>
                <c:pt idx="478">
                  <c:v>346.29000305284228</c:v>
                </c:pt>
                <c:pt idx="479">
                  <c:v>352.13571356652415</c:v>
                </c:pt>
                <c:pt idx="480">
                  <c:v>351.08984407979892</c:v>
                </c:pt>
                <c:pt idx="481">
                  <c:v>354.77697209345246</c:v>
                </c:pt>
                <c:pt idx="482">
                  <c:v>353.91871543581016</c:v>
                </c:pt>
                <c:pt idx="483">
                  <c:v>344.52280307137772</c:v>
                </c:pt>
                <c:pt idx="484">
                  <c:v>346.31389353770521</c:v>
                </c:pt>
                <c:pt idx="485">
                  <c:v>345.0584919097052</c:v>
                </c:pt>
                <c:pt idx="486">
                  <c:v>336.82760430615673</c:v>
                </c:pt>
                <c:pt idx="487">
                  <c:v>349.8799278261568</c:v>
                </c:pt>
                <c:pt idx="488">
                  <c:v>352.81537384724322</c:v>
                </c:pt>
                <c:pt idx="489">
                  <c:v>364.0276524546004</c:v>
                </c:pt>
                <c:pt idx="490">
                  <c:v>353.07809243667288</c:v>
                </c:pt>
                <c:pt idx="491">
                  <c:v>338.50103617291887</c:v>
                </c:pt>
                <c:pt idx="492">
                  <c:v>347.09858669263309</c:v>
                </c:pt>
                <c:pt idx="493">
                  <c:v>347.43823369159151</c:v>
                </c:pt>
                <c:pt idx="494">
                  <c:v>359.30866304582594</c:v>
                </c:pt>
                <c:pt idx="495">
                  <c:v>361.22686684435627</c:v>
                </c:pt>
                <c:pt idx="496">
                  <c:v>369.54494550077987</c:v>
                </c:pt>
                <c:pt idx="497">
                  <c:v>366.21962965785684</c:v>
                </c:pt>
                <c:pt idx="498">
                  <c:v>353.63737301870191</c:v>
                </c:pt>
                <c:pt idx="499">
                  <c:v>384.17734577409391</c:v>
                </c:pt>
                <c:pt idx="500">
                  <c:v>398.52467889157697</c:v>
                </c:pt>
                <c:pt idx="501">
                  <c:v>405.26903090005942</c:v>
                </c:pt>
                <c:pt idx="502">
                  <c:v>408.74928307052915</c:v>
                </c:pt>
                <c:pt idx="503">
                  <c:v>409.58794008964611</c:v>
                </c:pt>
                <c:pt idx="504">
                  <c:v>404.68153067924345</c:v>
                </c:pt>
                <c:pt idx="505">
                  <c:v>414.41044770117054</c:v>
                </c:pt>
                <c:pt idx="506">
                  <c:v>427.39613723652366</c:v>
                </c:pt>
                <c:pt idx="507">
                  <c:v>398.10957399804772</c:v>
                </c:pt>
                <c:pt idx="508">
                  <c:v>371.37541053292955</c:v>
                </c:pt>
                <c:pt idx="509">
                  <c:v>349.3739134019296</c:v>
                </c:pt>
                <c:pt idx="510">
                  <c:v>377.82662360752624</c:v>
                </c:pt>
                <c:pt idx="511">
                  <c:v>418.39517646063496</c:v>
                </c:pt>
                <c:pt idx="512">
                  <c:v>451.64199885761292</c:v>
                </c:pt>
                <c:pt idx="513">
                  <c:v>459.9366645532491</c:v>
                </c:pt>
                <c:pt idx="514">
                  <c:v>428.57144222464024</c:v>
                </c:pt>
                <c:pt idx="515">
                  <c:v>411.03875747407585</c:v>
                </c:pt>
                <c:pt idx="516">
                  <c:v>406.18624891273043</c:v>
                </c:pt>
                <c:pt idx="517">
                  <c:v>400.96833048382842</c:v>
                </c:pt>
                <c:pt idx="518">
                  <c:v>395.88952712288506</c:v>
                </c:pt>
                <c:pt idx="519">
                  <c:v>397.99604158722929</c:v>
                </c:pt>
                <c:pt idx="520">
                  <c:v>391.58822485815239</c:v>
                </c:pt>
                <c:pt idx="521">
                  <c:v>399.06788257358966</c:v>
                </c:pt>
                <c:pt idx="522">
                  <c:v>395.37358011030483</c:v>
                </c:pt>
                <c:pt idx="523">
                  <c:v>396.69105899518576</c:v>
                </c:pt>
                <c:pt idx="524">
                  <c:v>383.00550993791182</c:v>
                </c:pt>
                <c:pt idx="525">
                  <c:v>401.69287181524516</c:v>
                </c:pt>
                <c:pt idx="526">
                  <c:v>391.09889066240305</c:v>
                </c:pt>
                <c:pt idx="527">
                  <c:v>406.99921669027054</c:v>
                </c:pt>
                <c:pt idx="528">
                  <c:v>432.09058729678839</c:v>
                </c:pt>
                <c:pt idx="529">
                  <c:v>417.52802590754698</c:v>
                </c:pt>
                <c:pt idx="530">
                  <c:v>396.11121177251357</c:v>
                </c:pt>
                <c:pt idx="531">
                  <c:v>386.06835855358833</c:v>
                </c:pt>
                <c:pt idx="532">
                  <c:v>377.10097910299805</c:v>
                </c:pt>
                <c:pt idx="533">
                  <c:v>363.87763379842499</c:v>
                </c:pt>
                <c:pt idx="534">
                  <c:v>358.11552808385949</c:v>
                </c:pt>
                <c:pt idx="535">
                  <c:v>361.66467254797982</c:v>
                </c:pt>
                <c:pt idx="536">
                  <c:v>354.79732445550536</c:v>
                </c:pt>
                <c:pt idx="537">
                  <c:v>353.10236346431668</c:v>
                </c:pt>
                <c:pt idx="538">
                  <c:v>349.30899341719589</c:v>
                </c:pt>
                <c:pt idx="539">
                  <c:v>350.57550349595692</c:v>
                </c:pt>
                <c:pt idx="540">
                  <c:v>350.9557117403877</c:v>
                </c:pt>
                <c:pt idx="541">
                  <c:v>352.13541063525253</c:v>
                </c:pt>
                <c:pt idx="542">
                  <c:v>349.15754738343776</c:v>
                </c:pt>
                <c:pt idx="543">
                  <c:v>341.96957532561419</c:v>
                </c:pt>
                <c:pt idx="544">
                  <c:v>346.57590727125057</c:v>
                </c:pt>
                <c:pt idx="545">
                  <c:v>338.42758631006484</c:v>
                </c:pt>
                <c:pt idx="546">
                  <c:v>332.13130038398049</c:v>
                </c:pt>
                <c:pt idx="547">
                  <c:v>328.76319494100755</c:v>
                </c:pt>
                <c:pt idx="548">
                  <c:v>336.14848516639211</c:v>
                </c:pt>
                <c:pt idx="549">
                  <c:v>331.11207402396354</c:v>
                </c:pt>
                <c:pt idx="550">
                  <c:v>324.93534163134814</c:v>
                </c:pt>
                <c:pt idx="551">
                  <c:v>329.32445198524101</c:v>
                </c:pt>
                <c:pt idx="552">
                  <c:v>322.99818950359588</c:v>
                </c:pt>
                <c:pt idx="553">
                  <c:v>322.0231607895218</c:v>
                </c:pt>
                <c:pt idx="554">
                  <c:v>321.32177028134004</c:v>
                </c:pt>
                <c:pt idx="555">
                  <c:v>317.70095516259005</c:v>
                </c:pt>
                <c:pt idx="556">
                  <c:v>314.50478127010723</c:v>
                </c:pt>
                <c:pt idx="557">
                  <c:v>315.40933320548038</c:v>
                </c:pt>
                <c:pt idx="558">
                  <c:v>312.47706906164314</c:v>
                </c:pt>
                <c:pt idx="559">
                  <c:v>309.67285219729536</c:v>
                </c:pt>
                <c:pt idx="560">
                  <c:v>309.9824693912044</c:v>
                </c:pt>
                <c:pt idx="561">
                  <c:v>309.3960538151947</c:v>
                </c:pt>
                <c:pt idx="562">
                  <c:v>310.32610530204317</c:v>
                </c:pt>
                <c:pt idx="563">
                  <c:v>306.22464755401467</c:v>
                </c:pt>
                <c:pt idx="564">
                  <c:v>307.74094042563115</c:v>
                </c:pt>
                <c:pt idx="565">
                  <c:v>308.28713635135836</c:v>
                </c:pt>
                <c:pt idx="566">
                  <c:v>310.97066426661814</c:v>
                </c:pt>
                <c:pt idx="567">
                  <c:v>313.97112266521361</c:v>
                </c:pt>
                <c:pt idx="568">
                  <c:v>309.62159204680393</c:v>
                </c:pt>
                <c:pt idx="569">
                  <c:v>301.04839630484906</c:v>
                </c:pt>
                <c:pt idx="570">
                  <c:v>308.29180429969517</c:v>
                </c:pt>
                <c:pt idx="571">
                  <c:v>298.60005214897762</c:v>
                </c:pt>
                <c:pt idx="572">
                  <c:v>294.60311763943486</c:v>
                </c:pt>
                <c:pt idx="573">
                  <c:v>292.49323758643482</c:v>
                </c:pt>
                <c:pt idx="574">
                  <c:v>294.22177057343487</c:v>
                </c:pt>
                <c:pt idx="575">
                  <c:v>296.60927926878031</c:v>
                </c:pt>
                <c:pt idx="576">
                  <c:v>292.4802702997186</c:v>
                </c:pt>
                <c:pt idx="577">
                  <c:v>293.02613880704428</c:v>
                </c:pt>
                <c:pt idx="578">
                  <c:v>290.32337842261796</c:v>
                </c:pt>
                <c:pt idx="579">
                  <c:v>288.87133461576724</c:v>
                </c:pt>
                <c:pt idx="580">
                  <c:v>288.46883271663393</c:v>
                </c:pt>
                <c:pt idx="581">
                  <c:v>288.36846659278774</c:v>
                </c:pt>
                <c:pt idx="582">
                  <c:v>286.35616562167661</c:v>
                </c:pt>
                <c:pt idx="583">
                  <c:v>289.13260157494864</c:v>
                </c:pt>
                <c:pt idx="584">
                  <c:v>289.0412755661668</c:v>
                </c:pt>
                <c:pt idx="585">
                  <c:v>285.55442389399758</c:v>
                </c:pt>
                <c:pt idx="586">
                  <c:v>286.7447628903052</c:v>
                </c:pt>
                <c:pt idx="587">
                  <c:v>284.88506344928555</c:v>
                </c:pt>
                <c:pt idx="588">
                  <c:v>285.62407188468558</c:v>
                </c:pt>
                <c:pt idx="589">
                  <c:v>285.48867605073104</c:v>
                </c:pt>
                <c:pt idx="590">
                  <c:v>284.71570211322359</c:v>
                </c:pt>
                <c:pt idx="591">
                  <c:v>284.71570211322364</c:v>
                </c:pt>
                <c:pt idx="592">
                  <c:v>278.71274672555694</c:v>
                </c:pt>
                <c:pt idx="593">
                  <c:v>280.39834505986249</c:v>
                </c:pt>
                <c:pt idx="594">
                  <c:v>277.48031026029105</c:v>
                </c:pt>
                <c:pt idx="595">
                  <c:v>275.25504646066145</c:v>
                </c:pt>
                <c:pt idx="596">
                  <c:v>279.87212288201988</c:v>
                </c:pt>
                <c:pt idx="597">
                  <c:v>275.6264804861533</c:v>
                </c:pt>
                <c:pt idx="598">
                  <c:v>280.35190203866097</c:v>
                </c:pt>
                <c:pt idx="599">
                  <c:v>286.9999389962677</c:v>
                </c:pt>
                <c:pt idx="600">
                  <c:v>272.19746740170422</c:v>
                </c:pt>
                <c:pt idx="601">
                  <c:v>269.01774883794309</c:v>
                </c:pt>
                <c:pt idx="602">
                  <c:v>273.05155152937158</c:v>
                </c:pt>
                <c:pt idx="603">
                  <c:v>271.71944054722877</c:v>
                </c:pt>
                <c:pt idx="604">
                  <c:v>265.09635536856206</c:v>
                </c:pt>
                <c:pt idx="605">
                  <c:v>267.18086608228401</c:v>
                </c:pt>
                <c:pt idx="606">
                  <c:v>255.03466441359234</c:v>
                </c:pt>
                <c:pt idx="607">
                  <c:v>263.42898256350537</c:v>
                </c:pt>
                <c:pt idx="608">
                  <c:v>253.72315721350535</c:v>
                </c:pt>
                <c:pt idx="609">
                  <c:v>256.67445698227812</c:v>
                </c:pt>
                <c:pt idx="610">
                  <c:v>252.15115476702809</c:v>
                </c:pt>
                <c:pt idx="611">
                  <c:v>252.43758804534392</c:v>
                </c:pt>
                <c:pt idx="612">
                  <c:v>250.93805754243823</c:v>
                </c:pt>
                <c:pt idx="613">
                  <c:v>244.99458114920967</c:v>
                </c:pt>
                <c:pt idx="614">
                  <c:v>251.60785549066981</c:v>
                </c:pt>
                <c:pt idx="615">
                  <c:v>257.04831491243908</c:v>
                </c:pt>
                <c:pt idx="616">
                  <c:v>254.14963728634007</c:v>
                </c:pt>
                <c:pt idx="617">
                  <c:v>257.24620286332419</c:v>
                </c:pt>
                <c:pt idx="618">
                  <c:v>258.44681556201175</c:v>
                </c:pt>
                <c:pt idx="619">
                  <c:v>254.31233631084226</c:v>
                </c:pt>
                <c:pt idx="620">
                  <c:v>252.53102153071109</c:v>
                </c:pt>
                <c:pt idx="621">
                  <c:v>254.27743853428254</c:v>
                </c:pt>
                <c:pt idx="622">
                  <c:v>253.7998340516825</c:v>
                </c:pt>
                <c:pt idx="623">
                  <c:v>255.10954960661923</c:v>
                </c:pt>
                <c:pt idx="624">
                  <c:v>250.14554960210307</c:v>
                </c:pt>
                <c:pt idx="625">
                  <c:v>249.19013073971175</c:v>
                </c:pt>
                <c:pt idx="626">
                  <c:v>247.47767746120709</c:v>
                </c:pt>
                <c:pt idx="627">
                  <c:v>244.90945252437501</c:v>
                </c:pt>
                <c:pt idx="628">
                  <c:v>247.26202199482455</c:v>
                </c:pt>
                <c:pt idx="629">
                  <c:v>252.95148863818167</c:v>
                </c:pt>
                <c:pt idx="630">
                  <c:v>251.02078857932457</c:v>
                </c:pt>
                <c:pt idx="631">
                  <c:v>245.37042901229009</c:v>
                </c:pt>
                <c:pt idx="632">
                  <c:v>252.04502490894833</c:v>
                </c:pt>
                <c:pt idx="633">
                  <c:v>259.72081766566259</c:v>
                </c:pt>
                <c:pt idx="634">
                  <c:v>252.26921645574012</c:v>
                </c:pt>
                <c:pt idx="635">
                  <c:v>253.33559034448086</c:v>
                </c:pt>
                <c:pt idx="636">
                  <c:v>248.55565144239981</c:v>
                </c:pt>
                <c:pt idx="637">
                  <c:v>248.04478022261463</c:v>
                </c:pt>
                <c:pt idx="638">
                  <c:v>258.60532159483813</c:v>
                </c:pt>
                <c:pt idx="639">
                  <c:v>250.72752786793396</c:v>
                </c:pt>
                <c:pt idx="640">
                  <c:v>244.86224784114151</c:v>
                </c:pt>
                <c:pt idx="641">
                  <c:v>241.14499838782152</c:v>
                </c:pt>
                <c:pt idx="642">
                  <c:v>237.47956362145982</c:v>
                </c:pt>
                <c:pt idx="643">
                  <c:v>234.95555867082712</c:v>
                </c:pt>
                <c:pt idx="644">
                  <c:v>235.69494149720046</c:v>
                </c:pt>
                <c:pt idx="645">
                  <c:v>231.95653961468258</c:v>
                </c:pt>
                <c:pt idx="646">
                  <c:v>229.82294529770996</c:v>
                </c:pt>
                <c:pt idx="647">
                  <c:v>230.69790465254334</c:v>
                </c:pt>
                <c:pt idx="648">
                  <c:v>235.63287557316832</c:v>
                </c:pt>
                <c:pt idx="649">
                  <c:v>238.78553256036835</c:v>
                </c:pt>
                <c:pt idx="650">
                  <c:v>236.25373611546422</c:v>
                </c:pt>
                <c:pt idx="651">
                  <c:v>236.85415127901422</c:v>
                </c:pt>
                <c:pt idx="652">
                  <c:v>229.66242455229008</c:v>
                </c:pt>
                <c:pt idx="653">
                  <c:v>232.67388745586152</c:v>
                </c:pt>
                <c:pt idx="654">
                  <c:v>235.55930077769079</c:v>
                </c:pt>
                <c:pt idx="655">
                  <c:v>230.83773395630274</c:v>
                </c:pt>
                <c:pt idx="656">
                  <c:v>232.14901962693321</c:v>
                </c:pt>
                <c:pt idx="657">
                  <c:v>233.32243457137764</c:v>
                </c:pt>
                <c:pt idx="658">
                  <c:v>236.4888677623114</c:v>
                </c:pt>
                <c:pt idx="659">
                  <c:v>237.45460155925173</c:v>
                </c:pt>
                <c:pt idx="660">
                  <c:v>231.69581633747754</c:v>
                </c:pt>
                <c:pt idx="661">
                  <c:v>238.13462834457957</c:v>
                </c:pt>
                <c:pt idx="662">
                  <c:v>227.15747575536082</c:v>
                </c:pt>
                <c:pt idx="663">
                  <c:v>221.67181040636086</c:v>
                </c:pt>
                <c:pt idx="664">
                  <c:v>221.79241697853735</c:v>
                </c:pt>
                <c:pt idx="665">
                  <c:v>222.6911176388565</c:v>
                </c:pt>
                <c:pt idx="666">
                  <c:v>223.76814148775557</c:v>
                </c:pt>
                <c:pt idx="667">
                  <c:v>219.8530833565633</c:v>
                </c:pt>
                <c:pt idx="668">
                  <c:v>219.62184783399186</c:v>
                </c:pt>
                <c:pt idx="669">
                  <c:v>217.4075791627252</c:v>
                </c:pt>
                <c:pt idx="670">
                  <c:v>222.33696725672519</c:v>
                </c:pt>
                <c:pt idx="671">
                  <c:v>217.14062734339183</c:v>
                </c:pt>
                <c:pt idx="672">
                  <c:v>220.58586591754838</c:v>
                </c:pt>
                <c:pt idx="673">
                  <c:v>215.06933996965097</c:v>
                </c:pt>
                <c:pt idx="674">
                  <c:v>215.44239775011249</c:v>
                </c:pt>
                <c:pt idx="675">
                  <c:v>212.5390581857792</c:v>
                </c:pt>
                <c:pt idx="676">
                  <c:v>205.63738487056003</c:v>
                </c:pt>
                <c:pt idx="677">
                  <c:v>211.25722645875052</c:v>
                </c:pt>
                <c:pt idx="678">
                  <c:v>209.80854297235055</c:v>
                </c:pt>
                <c:pt idx="679">
                  <c:v>212.33303215929172</c:v>
                </c:pt>
                <c:pt idx="680">
                  <c:v>206.60864900803821</c:v>
                </c:pt>
                <c:pt idx="681">
                  <c:v>200.14624463780746</c:v>
                </c:pt>
                <c:pt idx="682">
                  <c:v>197.96111014112205</c:v>
                </c:pt>
                <c:pt idx="683">
                  <c:v>194.85717156855443</c:v>
                </c:pt>
                <c:pt idx="684">
                  <c:v>196.08953332770676</c:v>
                </c:pt>
                <c:pt idx="685">
                  <c:v>203.45469379523104</c:v>
                </c:pt>
                <c:pt idx="686">
                  <c:v>168.46247872793518</c:v>
                </c:pt>
                <c:pt idx="687">
                  <c:v>197.2323216330569</c:v>
                </c:pt>
                <c:pt idx="688">
                  <c:v>195.29592568036199</c:v>
                </c:pt>
                <c:pt idx="689">
                  <c:v>193.66646835185531</c:v>
                </c:pt>
                <c:pt idx="690">
                  <c:v>186.50797643530987</c:v>
                </c:pt>
                <c:pt idx="691">
                  <c:v>195.84019361632551</c:v>
                </c:pt>
                <c:pt idx="692">
                  <c:v>198.95731465973481</c:v>
                </c:pt>
                <c:pt idx="693">
                  <c:v>195.00235211343295</c:v>
                </c:pt>
                <c:pt idx="694">
                  <c:v>199.20802690635097</c:v>
                </c:pt>
                <c:pt idx="695">
                  <c:v>194.31976001735094</c:v>
                </c:pt>
                <c:pt idx="696">
                  <c:v>194.4965217780732</c:v>
                </c:pt>
                <c:pt idx="697">
                  <c:v>189.51821563249499</c:v>
                </c:pt>
                <c:pt idx="698">
                  <c:v>191.77074427645496</c:v>
                </c:pt>
                <c:pt idx="699">
                  <c:v>197.63419099491887</c:v>
                </c:pt>
                <c:pt idx="700">
                  <c:v>192.84387824006922</c:v>
                </c:pt>
                <c:pt idx="701">
                  <c:v>188.68486089726349</c:v>
                </c:pt>
                <c:pt idx="702">
                  <c:v>201.08661795711433</c:v>
                </c:pt>
                <c:pt idx="703">
                  <c:v>207.71181249786432</c:v>
                </c:pt>
                <c:pt idx="704">
                  <c:v>211.00353200253096</c:v>
                </c:pt>
                <c:pt idx="705">
                  <c:v>204.82509201089721</c:v>
                </c:pt>
                <c:pt idx="706">
                  <c:v>203.83582474027816</c:v>
                </c:pt>
                <c:pt idx="707">
                  <c:v>202.51252790396563</c:v>
                </c:pt>
                <c:pt idx="708">
                  <c:v>200.76110041628769</c:v>
                </c:pt>
                <c:pt idx="709">
                  <c:v>207.84625660689537</c:v>
                </c:pt>
                <c:pt idx="710">
                  <c:v>195.11097260805872</c:v>
                </c:pt>
                <c:pt idx="711">
                  <c:v>186.98121025872399</c:v>
                </c:pt>
                <c:pt idx="712">
                  <c:v>188.94244693930608</c:v>
                </c:pt>
                <c:pt idx="713">
                  <c:v>198.79880011725942</c:v>
                </c:pt>
                <c:pt idx="714">
                  <c:v>186.19208736675006</c:v>
                </c:pt>
                <c:pt idx="715">
                  <c:v>188.16202853854506</c:v>
                </c:pt>
                <c:pt idx="716">
                  <c:v>181.38496948851281</c:v>
                </c:pt>
                <c:pt idx="717">
                  <c:v>175.49044013467201</c:v>
                </c:pt>
                <c:pt idx="718">
                  <c:v>169.16198270127074</c:v>
                </c:pt>
                <c:pt idx="719">
                  <c:v>168.60481939469631</c:v>
                </c:pt>
                <c:pt idx="720">
                  <c:v>163.97950098532129</c:v>
                </c:pt>
                <c:pt idx="721">
                  <c:v>171.26094266280217</c:v>
                </c:pt>
                <c:pt idx="722">
                  <c:v>155.89531301991997</c:v>
                </c:pt>
                <c:pt idx="723">
                  <c:v>143.21734708231128</c:v>
                </c:pt>
                <c:pt idx="724">
                  <c:v>138.15865487877073</c:v>
                </c:pt>
                <c:pt idx="725">
                  <c:v>139.91184198040713</c:v>
                </c:pt>
                <c:pt idx="726">
                  <c:v>141.99615707648178</c:v>
                </c:pt>
                <c:pt idx="727">
                  <c:v>135.12990563810337</c:v>
                </c:pt>
                <c:pt idx="728">
                  <c:v>140.0273283024986</c:v>
                </c:pt>
                <c:pt idx="729">
                  <c:v>131.31915482642472</c:v>
                </c:pt>
                <c:pt idx="730">
                  <c:v>142.17479162424291</c:v>
                </c:pt>
                <c:pt idx="731">
                  <c:v>130.99319062960657</c:v>
                </c:pt>
                <c:pt idx="732">
                  <c:v>127.84514816413292</c:v>
                </c:pt>
                <c:pt idx="733">
                  <c:v>121.16361139827242</c:v>
                </c:pt>
                <c:pt idx="734">
                  <c:v>121.90513672209855</c:v>
                </c:pt>
                <c:pt idx="735">
                  <c:v>118.59172283026182</c:v>
                </c:pt>
                <c:pt idx="736">
                  <c:v>122.77792455072235</c:v>
                </c:pt>
                <c:pt idx="737">
                  <c:v>120.15555475841622</c:v>
                </c:pt>
                <c:pt idx="738">
                  <c:v>114.55143635399763</c:v>
                </c:pt>
                <c:pt idx="739">
                  <c:v>111.80230801720975</c:v>
                </c:pt>
                <c:pt idx="740">
                  <c:v>116.20386283348333</c:v>
                </c:pt>
                <c:pt idx="741">
                  <c:v>116.62074876530156</c:v>
                </c:pt>
                <c:pt idx="742">
                  <c:v>115.53654025948194</c:v>
                </c:pt>
                <c:pt idx="743">
                  <c:v>106.46016408676762</c:v>
                </c:pt>
                <c:pt idx="744">
                  <c:v>104.45543259665133</c:v>
                </c:pt>
                <c:pt idx="745">
                  <c:v>91.027983755346298</c:v>
                </c:pt>
                <c:pt idx="746">
                  <c:v>96.259985138346309</c:v>
                </c:pt>
                <c:pt idx="747">
                  <c:v>89.293797033056478</c:v>
                </c:pt>
                <c:pt idx="748">
                  <c:v>97.815188830351545</c:v>
                </c:pt>
                <c:pt idx="749">
                  <c:v>88.413912943277168</c:v>
                </c:pt>
                <c:pt idx="750">
                  <c:v>86.592572455969503</c:v>
                </c:pt>
                <c:pt idx="751">
                  <c:v>94.69816396396952</c:v>
                </c:pt>
                <c:pt idx="752">
                  <c:v>99.053905961242208</c:v>
                </c:pt>
                <c:pt idx="753">
                  <c:v>79.718715865677694</c:v>
                </c:pt>
                <c:pt idx="754">
                  <c:v>86.987417181859456</c:v>
                </c:pt>
                <c:pt idx="755">
                  <c:v>81.507494965748307</c:v>
                </c:pt>
                <c:pt idx="756">
                  <c:v>63.683990453004064</c:v>
                </c:pt>
                <c:pt idx="757">
                  <c:v>73.439463620004005</c:v>
                </c:pt>
                <c:pt idx="758">
                  <c:v>77.994166599670621</c:v>
                </c:pt>
                <c:pt idx="759">
                  <c:v>79.272185944908784</c:v>
                </c:pt>
                <c:pt idx="760">
                  <c:v>89.876135868719629</c:v>
                </c:pt>
                <c:pt idx="761">
                  <c:v>84.173026856027334</c:v>
                </c:pt>
                <c:pt idx="762">
                  <c:v>84.173026856027278</c:v>
                </c:pt>
                <c:pt idx="763">
                  <c:v>82.773873098078582</c:v>
                </c:pt>
                <c:pt idx="764">
                  <c:v>91.290203162078555</c:v>
                </c:pt>
                <c:pt idx="765">
                  <c:v>94.131296653078593</c:v>
                </c:pt>
                <c:pt idx="766">
                  <c:v>91.229105223650009</c:v>
                </c:pt>
                <c:pt idx="767">
                  <c:v>105.11119069051587</c:v>
                </c:pt>
                <c:pt idx="768">
                  <c:v>88.397529460495718</c:v>
                </c:pt>
                <c:pt idx="769">
                  <c:v>75.295296043495725</c:v>
                </c:pt>
                <c:pt idx="770">
                  <c:v>71.415193436467575</c:v>
                </c:pt>
                <c:pt idx="771">
                  <c:v>74.07049645562418</c:v>
                </c:pt>
                <c:pt idx="772">
                  <c:v>63.380106352499169</c:v>
                </c:pt>
                <c:pt idx="773">
                  <c:v>70.811433347056564</c:v>
                </c:pt>
                <c:pt idx="774">
                  <c:v>75.790495587692902</c:v>
                </c:pt>
                <c:pt idx="775">
                  <c:v>76.475216630713291</c:v>
                </c:pt>
                <c:pt idx="776">
                  <c:v>87.374539509174809</c:v>
                </c:pt>
                <c:pt idx="777">
                  <c:v>84.043485401799813</c:v>
                </c:pt>
                <c:pt idx="778">
                  <c:v>83.782536358890738</c:v>
                </c:pt>
                <c:pt idx="779">
                  <c:v>82.739659586184843</c:v>
                </c:pt>
                <c:pt idx="780">
                  <c:v>84.503777800271777</c:v>
                </c:pt>
                <c:pt idx="781">
                  <c:v>86.232353937108527</c:v>
                </c:pt>
                <c:pt idx="782">
                  <c:v>83.533416733840227</c:v>
                </c:pt>
                <c:pt idx="783">
                  <c:v>88.34114694784023</c:v>
                </c:pt>
                <c:pt idx="784">
                  <c:v>83.762661470349997</c:v>
                </c:pt>
                <c:pt idx="785">
                  <c:v>81.808767456236808</c:v>
                </c:pt>
                <c:pt idx="786">
                  <c:v>87.414941374098873</c:v>
                </c:pt>
                <c:pt idx="787">
                  <c:v>89.484870151956002</c:v>
                </c:pt>
                <c:pt idx="788">
                  <c:v>92.235641783658124</c:v>
                </c:pt>
                <c:pt idx="789">
                  <c:v>88.691737714886173</c:v>
                </c:pt>
                <c:pt idx="790">
                  <c:v>90.746041308973119</c:v>
                </c:pt>
                <c:pt idx="791">
                  <c:v>89.331041236069865</c:v>
                </c:pt>
                <c:pt idx="792">
                  <c:v>91.382871397263898</c:v>
                </c:pt>
                <c:pt idx="793">
                  <c:v>84.117150802215349</c:v>
                </c:pt>
                <c:pt idx="794">
                  <c:v>77.778784056613929</c:v>
                </c:pt>
                <c:pt idx="795">
                  <c:v>74.020492252856869</c:v>
                </c:pt>
                <c:pt idx="796">
                  <c:v>79.936465616956255</c:v>
                </c:pt>
                <c:pt idx="797">
                  <c:v>74.182214680752722</c:v>
                </c:pt>
                <c:pt idx="798">
                  <c:v>74.353021225626122</c:v>
                </c:pt>
                <c:pt idx="799">
                  <c:v>75.942389419310345</c:v>
                </c:pt>
                <c:pt idx="800">
                  <c:v>78.689725434171478</c:v>
                </c:pt>
                <c:pt idx="801">
                  <c:v>76.131792951823641</c:v>
                </c:pt>
                <c:pt idx="802">
                  <c:v>80.00848673992941</c:v>
                </c:pt>
                <c:pt idx="803">
                  <c:v>78.558155876350469</c:v>
                </c:pt>
                <c:pt idx="804">
                  <c:v>77.947747608350497</c:v>
                </c:pt>
                <c:pt idx="805">
                  <c:v>81.151293247539712</c:v>
                </c:pt>
                <c:pt idx="806">
                  <c:v>82.706174206630621</c:v>
                </c:pt>
                <c:pt idx="807">
                  <c:v>77.461123365641129</c:v>
                </c:pt>
                <c:pt idx="808">
                  <c:v>72.231208082757433</c:v>
                </c:pt>
                <c:pt idx="809">
                  <c:v>70.970128245868551</c:v>
                </c:pt>
                <c:pt idx="810">
                  <c:v>71.219051472195076</c:v>
                </c:pt>
                <c:pt idx="811">
                  <c:v>70.687475401052268</c:v>
                </c:pt>
                <c:pt idx="812">
                  <c:v>73.721286439721368</c:v>
                </c:pt>
                <c:pt idx="813">
                  <c:v>74.136147131603252</c:v>
                </c:pt>
                <c:pt idx="814">
                  <c:v>74.742866248469966</c:v>
                </c:pt>
                <c:pt idx="815">
                  <c:v>73.281233649820564</c:v>
                </c:pt>
                <c:pt idx="816">
                  <c:v>67.820112692033589</c:v>
                </c:pt>
                <c:pt idx="817">
                  <c:v>67.967801568304168</c:v>
                </c:pt>
                <c:pt idx="818">
                  <c:v>67.876481540355059</c:v>
                </c:pt>
                <c:pt idx="819">
                  <c:v>68.224604760130347</c:v>
                </c:pt>
                <c:pt idx="820">
                  <c:v>68.803695323667242</c:v>
                </c:pt>
                <c:pt idx="821">
                  <c:v>87.394046671400176</c:v>
                </c:pt>
                <c:pt idx="822">
                  <c:v>74.622927791074218</c:v>
                </c:pt>
                <c:pt idx="823">
                  <c:v>89.311013207649353</c:v>
                </c:pt>
                <c:pt idx="824">
                  <c:v>73.898875738404016</c:v>
                </c:pt>
                <c:pt idx="825">
                  <c:v>79.871348863052447</c:v>
                </c:pt>
                <c:pt idx="826">
                  <c:v>66.147487396980495</c:v>
                </c:pt>
                <c:pt idx="827">
                  <c:v>62.504513078283019</c:v>
                </c:pt>
                <c:pt idx="828">
                  <c:v>62.897161723452946</c:v>
                </c:pt>
                <c:pt idx="829">
                  <c:v>65.080095386977547</c:v>
                </c:pt>
                <c:pt idx="830">
                  <c:v>65.080095386977519</c:v>
                </c:pt>
                <c:pt idx="831">
                  <c:v>61.330145166837177</c:v>
                </c:pt>
                <c:pt idx="832">
                  <c:v>60.709216572606373</c:v>
                </c:pt>
                <c:pt idx="833">
                  <c:v>55.657495488822853</c:v>
                </c:pt>
                <c:pt idx="834">
                  <c:v>47.50072638839729</c:v>
                </c:pt>
                <c:pt idx="835">
                  <c:v>47.375094760120369</c:v>
                </c:pt>
                <c:pt idx="836">
                  <c:v>53.776066788846968</c:v>
                </c:pt>
                <c:pt idx="837">
                  <c:v>47.281828654738824</c:v>
                </c:pt>
                <c:pt idx="838">
                  <c:v>45.505214106475634</c:v>
                </c:pt>
                <c:pt idx="839">
                  <c:v>50.219049574937152</c:v>
                </c:pt>
                <c:pt idx="840">
                  <c:v>56.142661136310018</c:v>
                </c:pt>
                <c:pt idx="841">
                  <c:v>60.598509627347717</c:v>
                </c:pt>
                <c:pt idx="842">
                  <c:v>62.510514498171318</c:v>
                </c:pt>
                <c:pt idx="843">
                  <c:v>54.178825653275759</c:v>
                </c:pt>
                <c:pt idx="844">
                  <c:v>43.060545213659346</c:v>
                </c:pt>
                <c:pt idx="845">
                  <c:v>53.901716304859313</c:v>
                </c:pt>
                <c:pt idx="846">
                  <c:v>44.745471801645969</c:v>
                </c:pt>
                <c:pt idx="847">
                  <c:v>40.346047975503076</c:v>
                </c:pt>
                <c:pt idx="848">
                  <c:v>37.786991757836411</c:v>
                </c:pt>
                <c:pt idx="849">
                  <c:v>31.817256630693553</c:v>
                </c:pt>
                <c:pt idx="850">
                  <c:v>37.646926549867466</c:v>
                </c:pt>
                <c:pt idx="851">
                  <c:v>31.086011065867474</c:v>
                </c:pt>
                <c:pt idx="852">
                  <c:v>30.011364202665209</c:v>
                </c:pt>
                <c:pt idx="853">
                  <c:v>28.262021897701555</c:v>
                </c:pt>
                <c:pt idx="854">
                  <c:v>22.544067393209229</c:v>
                </c:pt>
                <c:pt idx="855">
                  <c:v>23.400344228858604</c:v>
                </c:pt>
                <c:pt idx="856">
                  <c:v>17.754922550549775</c:v>
                </c:pt>
                <c:pt idx="857">
                  <c:v>31.401197523759979</c:v>
                </c:pt>
                <c:pt idx="858">
                  <c:v>43.71044718824065</c:v>
                </c:pt>
                <c:pt idx="859">
                  <c:v>51.256232693907343</c:v>
                </c:pt>
                <c:pt idx="860">
                  <c:v>47.679861341397768</c:v>
                </c:pt>
                <c:pt idx="861">
                  <c:v>43.028941502425972</c:v>
                </c:pt>
                <c:pt idx="862">
                  <c:v>34.901637094975044</c:v>
                </c:pt>
                <c:pt idx="863">
                  <c:v>30.378569675786569</c:v>
                </c:pt>
                <c:pt idx="864">
                  <c:v>28.524186709299961</c:v>
                </c:pt>
                <c:pt idx="865">
                  <c:v>23.21152145341755</c:v>
                </c:pt>
                <c:pt idx="866">
                  <c:v>29.697354780680659</c:v>
                </c:pt>
                <c:pt idx="867">
                  <c:v>20.384913053128059</c:v>
                </c:pt>
                <c:pt idx="868">
                  <c:v>8.5109276733912491</c:v>
                </c:pt>
                <c:pt idx="869">
                  <c:v>1.4849527753912937</c:v>
                </c:pt>
                <c:pt idx="870">
                  <c:v>11.57464159881556</c:v>
                </c:pt>
                <c:pt idx="871">
                  <c:v>17.784066363948057</c:v>
                </c:pt>
                <c:pt idx="872">
                  <c:v>16.146258050447976</c:v>
                </c:pt>
                <c:pt idx="873">
                  <c:v>14.758745881294134</c:v>
                </c:pt>
                <c:pt idx="874">
                  <c:v>12.49186940862746</c:v>
                </c:pt>
                <c:pt idx="875">
                  <c:v>15.363193532724228</c:v>
                </c:pt>
                <c:pt idx="876">
                  <c:v>14.898175986933182</c:v>
                </c:pt>
                <c:pt idx="877">
                  <c:v>16.507070189693177</c:v>
                </c:pt>
                <c:pt idx="878">
                  <c:v>16.989399907847048</c:v>
                </c:pt>
                <c:pt idx="879">
                  <c:v>15.539736536885867</c:v>
                </c:pt>
                <c:pt idx="880">
                  <c:v>15.590318675615594</c:v>
                </c:pt>
                <c:pt idx="881">
                  <c:v>14.69942867668702</c:v>
                </c:pt>
                <c:pt idx="882">
                  <c:v>13.898959920162429</c:v>
                </c:pt>
                <c:pt idx="883">
                  <c:v>14.443656110025589</c:v>
                </c:pt>
                <c:pt idx="884">
                  <c:v>16.482500255142469</c:v>
                </c:pt>
                <c:pt idx="885">
                  <c:v>15.082305111838114</c:v>
                </c:pt>
                <c:pt idx="886">
                  <c:v>15.384501289133182</c:v>
                </c:pt>
                <c:pt idx="887">
                  <c:v>18.448751700815539</c:v>
                </c:pt>
                <c:pt idx="888">
                  <c:v>18.580314493373695</c:v>
                </c:pt>
                <c:pt idx="889">
                  <c:v>17.498008433298232</c:v>
                </c:pt>
                <c:pt idx="890">
                  <c:v>17.404545326686716</c:v>
                </c:pt>
                <c:pt idx="891">
                  <c:v>18.297131322299624</c:v>
                </c:pt>
                <c:pt idx="892">
                  <c:v>18.871773191352268</c:v>
                </c:pt>
                <c:pt idx="893">
                  <c:v>18.616650463270069</c:v>
                </c:pt>
                <c:pt idx="894">
                  <c:v>17.333582929754535</c:v>
                </c:pt>
                <c:pt idx="895">
                  <c:v>18.650663592373583</c:v>
                </c:pt>
                <c:pt idx="896">
                  <c:v>20.332539654100856</c:v>
                </c:pt>
                <c:pt idx="897">
                  <c:v>20.332539654100856</c:v>
                </c:pt>
                <c:pt idx="898">
                  <c:v>24.786053224824542</c:v>
                </c:pt>
                <c:pt idx="899">
                  <c:v>23.939880628279077</c:v>
                </c:pt>
                <c:pt idx="900">
                  <c:v>24.474781924931246</c:v>
                </c:pt>
                <c:pt idx="901">
                  <c:v>23.356758563816488</c:v>
                </c:pt>
                <c:pt idx="902">
                  <c:v>20.245723861603604</c:v>
                </c:pt>
                <c:pt idx="903">
                  <c:v>23.287648239690554</c:v>
                </c:pt>
                <c:pt idx="904">
                  <c:v>23.404985137240555</c:v>
                </c:pt>
                <c:pt idx="905">
                  <c:v>25.686954522592668</c:v>
                </c:pt>
                <c:pt idx="906">
                  <c:v>29.824698172908096</c:v>
                </c:pt>
                <c:pt idx="907">
                  <c:v>28.345899394850946</c:v>
                </c:pt>
                <c:pt idx="908">
                  <c:v>27.114498384094183</c:v>
                </c:pt>
                <c:pt idx="909">
                  <c:v>26.164811111140711</c:v>
                </c:pt>
                <c:pt idx="910">
                  <c:v>26.912672965697674</c:v>
                </c:pt>
                <c:pt idx="911">
                  <c:v>27.120770943076046</c:v>
                </c:pt>
                <c:pt idx="912">
                  <c:v>26.802861369205079</c:v>
                </c:pt>
                <c:pt idx="913">
                  <c:v>26.481933975510643</c:v>
                </c:pt>
                <c:pt idx="914">
                  <c:v>27.567178306966959</c:v>
                </c:pt>
                <c:pt idx="915">
                  <c:v>26.06578438309279</c:v>
                </c:pt>
                <c:pt idx="916">
                  <c:v>28.478536355046064</c:v>
                </c:pt>
                <c:pt idx="917">
                  <c:v>27.173171877534074</c:v>
                </c:pt>
                <c:pt idx="918">
                  <c:v>30.586283372599645</c:v>
                </c:pt>
                <c:pt idx="919">
                  <c:v>29.81375680764112</c:v>
                </c:pt>
                <c:pt idx="920">
                  <c:v>31.476799727818058</c:v>
                </c:pt>
                <c:pt idx="921">
                  <c:v>35.978538461573152</c:v>
                </c:pt>
                <c:pt idx="922">
                  <c:v>33.540514264232733</c:v>
                </c:pt>
                <c:pt idx="923">
                  <c:v>33.899396506719746</c:v>
                </c:pt>
                <c:pt idx="924">
                  <c:v>28.310225424286518</c:v>
                </c:pt>
                <c:pt idx="925">
                  <c:v>24.110679113606096</c:v>
                </c:pt>
                <c:pt idx="926">
                  <c:v>21.873519200100475</c:v>
                </c:pt>
                <c:pt idx="927">
                  <c:v>27.909676915360471</c:v>
                </c:pt>
                <c:pt idx="928">
                  <c:v>25.421171104884291</c:v>
                </c:pt>
                <c:pt idx="929">
                  <c:v>29.280803291019126</c:v>
                </c:pt>
                <c:pt idx="930">
                  <c:v>29.577286852144127</c:v>
                </c:pt>
                <c:pt idx="931">
                  <c:v>26.942335969817286</c:v>
                </c:pt>
                <c:pt idx="932">
                  <c:v>31.110727752203079</c:v>
                </c:pt>
                <c:pt idx="933">
                  <c:v>33.054087621107982</c:v>
                </c:pt>
                <c:pt idx="934">
                  <c:v>33.294234996521354</c:v>
                </c:pt>
                <c:pt idx="935">
                  <c:v>36.200258283997975</c:v>
                </c:pt>
                <c:pt idx="936">
                  <c:v>32.417390048953415</c:v>
                </c:pt>
                <c:pt idx="937">
                  <c:v>33.683706181705404</c:v>
                </c:pt>
                <c:pt idx="938">
                  <c:v>31.44232624797208</c:v>
                </c:pt>
                <c:pt idx="939">
                  <c:v>35.104963226615332</c:v>
                </c:pt>
                <c:pt idx="940">
                  <c:v>30.645537356905709</c:v>
                </c:pt>
                <c:pt idx="941">
                  <c:v>29.51829706425081</c:v>
                </c:pt>
                <c:pt idx="942">
                  <c:v>26.822478884035711</c:v>
                </c:pt>
                <c:pt idx="943">
                  <c:v>33.77333246808962</c:v>
                </c:pt>
                <c:pt idx="944">
                  <c:v>28.926278082040987</c:v>
                </c:pt>
                <c:pt idx="945">
                  <c:v>21.442249585775084</c:v>
                </c:pt>
                <c:pt idx="946">
                  <c:v>26.683642598493464</c:v>
                </c:pt>
                <c:pt idx="947">
                  <c:v>28.977277319871849</c:v>
                </c:pt>
                <c:pt idx="948">
                  <c:v>32.137802003538525</c:v>
                </c:pt>
                <c:pt idx="949">
                  <c:v>28.805446494274012</c:v>
                </c:pt>
                <c:pt idx="950">
                  <c:v>28.890450116289632</c:v>
                </c:pt>
                <c:pt idx="951">
                  <c:v>17.244462420891253</c:v>
                </c:pt>
                <c:pt idx="952">
                  <c:v>18.423682868691284</c:v>
                </c:pt>
                <c:pt idx="953">
                  <c:v>20.156654665592708</c:v>
                </c:pt>
                <c:pt idx="954">
                  <c:v>20.446028578034593</c:v>
                </c:pt>
                <c:pt idx="955">
                  <c:v>20.158653588451251</c:v>
                </c:pt>
                <c:pt idx="956">
                  <c:v>15.647012827117949</c:v>
                </c:pt>
                <c:pt idx="957">
                  <c:v>17.294573861856406</c:v>
                </c:pt>
                <c:pt idx="958">
                  <c:v>14.169828358535614</c:v>
                </c:pt>
                <c:pt idx="959">
                  <c:v>12.990337238721672</c:v>
                </c:pt>
                <c:pt idx="960">
                  <c:v>16.517518216742943</c:v>
                </c:pt>
                <c:pt idx="961">
                  <c:v>8.0164587367429423</c:v>
                </c:pt>
                <c:pt idx="962">
                  <c:v>5.4649288867429258</c:v>
                </c:pt>
                <c:pt idx="963">
                  <c:v>-0.97583559916752038</c:v>
                </c:pt>
                <c:pt idx="964">
                  <c:v>3.2043532204643839</c:v>
                </c:pt>
                <c:pt idx="965">
                  <c:v>6.6180059574013104</c:v>
                </c:pt>
                <c:pt idx="966">
                  <c:v>5.9489928795378555</c:v>
                </c:pt>
                <c:pt idx="967">
                  <c:v>5.2146165759418643</c:v>
                </c:pt>
                <c:pt idx="968">
                  <c:v>7.0786235215218065</c:v>
                </c:pt>
                <c:pt idx="969">
                  <c:v>-2.3854725409462425</c:v>
                </c:pt>
                <c:pt idx="970">
                  <c:v>14.506894229948223</c:v>
                </c:pt>
                <c:pt idx="971">
                  <c:v>18.942890271779564</c:v>
                </c:pt>
                <c:pt idx="972">
                  <c:v>10.522735895312808</c:v>
                </c:pt>
                <c:pt idx="973">
                  <c:v>2.8049723327127936</c:v>
                </c:pt>
                <c:pt idx="974">
                  <c:v>10.352747399860336</c:v>
                </c:pt>
                <c:pt idx="975">
                  <c:v>8.5188416018108484</c:v>
                </c:pt>
                <c:pt idx="976">
                  <c:v>8.7909444603530851</c:v>
                </c:pt>
                <c:pt idx="977">
                  <c:v>1.4217436002102219</c:v>
                </c:pt>
                <c:pt idx="978">
                  <c:v>-4.9794574338266049</c:v>
                </c:pt>
                <c:pt idx="979">
                  <c:v>-1.8893842718012817</c:v>
                </c:pt>
                <c:pt idx="980">
                  <c:v>-2.9094696660497212</c:v>
                </c:pt>
                <c:pt idx="981">
                  <c:v>-5.5859503955773455</c:v>
                </c:pt>
                <c:pt idx="982">
                  <c:v>-1.4616912627322827</c:v>
                </c:pt>
                <c:pt idx="983">
                  <c:v>2.4735581934384108E-2</c:v>
                </c:pt>
                <c:pt idx="984">
                  <c:v>-2.6770581213811706</c:v>
                </c:pt>
                <c:pt idx="985">
                  <c:v>-6.6664981383811766</c:v>
                </c:pt>
                <c:pt idx="986">
                  <c:v>-2.4903322551907108</c:v>
                </c:pt>
                <c:pt idx="987">
                  <c:v>-3.6285638408803642</c:v>
                </c:pt>
                <c:pt idx="988">
                  <c:v>4.2101260484582665</c:v>
                </c:pt>
                <c:pt idx="989">
                  <c:v>-2.2299328129582237</c:v>
                </c:pt>
                <c:pt idx="990">
                  <c:v>-11.068574104230947</c:v>
                </c:pt>
                <c:pt idx="991">
                  <c:v>-8.9213102554214441</c:v>
                </c:pt>
                <c:pt idx="992">
                  <c:v>-4.8201461978368201</c:v>
                </c:pt>
                <c:pt idx="993">
                  <c:v>-4.0472470460424201</c:v>
                </c:pt>
                <c:pt idx="994">
                  <c:v>-10.461601351345649</c:v>
                </c:pt>
                <c:pt idx="995">
                  <c:v>-5.748429592991978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0D-4CE6-B098-5B3F6DDB3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939664"/>
        <c:axId val="672942160"/>
      </c:lineChart>
      <c:dateAx>
        <c:axId val="672939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942160"/>
        <c:crosses val="autoZero"/>
        <c:auto val="1"/>
        <c:lblOffset val="100"/>
        <c:baseTimeUnit val="days"/>
      </c:dateAx>
      <c:valAx>
        <c:axId val="67294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93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9C2525-1DFF-42DD-B2CB-01FB9C823499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4A7C7F-3BCB-4800-BC75-2B6102849C2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0.18</v>
      </c>
      <c r="D2" s="4">
        <f>MIN(D3:D1912)</f>
        <v>6.8399999999999997E-3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5.6189999999999997E-2</v>
      </c>
      <c r="C5">
        <v>5.6550000000000003E-2</v>
      </c>
      <c r="D5">
        <v>5.5379999999999999E-2</v>
      </c>
      <c r="E5">
        <v>5.5419999999999997E-2</v>
      </c>
      <c r="F5">
        <v>84662587.400000006</v>
      </c>
      <c r="G5">
        <v>5.5419999999999997E-2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-0.93162393162393464</v>
      </c>
      <c r="Q5">
        <f t="shared" ref="Q5" si="1">F5*P5</f>
        <v>-78873692.535043001</v>
      </c>
      <c r="R5">
        <f t="shared" ref="R5" si="2">R6+Q5</f>
        <v>109302688359.61986</v>
      </c>
      <c r="S5">
        <f t="shared" ref="S5" si="3">R5/100000</f>
        <v>1093026.8835961986</v>
      </c>
      <c r="T5">
        <f t="shared" ref="T5" si="4">S5/1000</f>
        <v>1093.0268835961986</v>
      </c>
    </row>
    <row r="6" spans="1:20" x14ac:dyDescent="0.25">
      <c r="A6" s="5">
        <v>44587</v>
      </c>
      <c r="B6">
        <v>5.5890000000000002E-2</v>
      </c>
      <c r="C6">
        <v>5.9049999999999998E-2</v>
      </c>
      <c r="D6">
        <v>5.534E-2</v>
      </c>
      <c r="E6">
        <v>5.62E-2</v>
      </c>
      <c r="F6">
        <v>1656601994.5999999</v>
      </c>
      <c r="G6">
        <v>5.62E-2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-0.53638814016172498</v>
      </c>
      <c r="Q6">
        <f t="shared" ref="Q6" si="6">F6*P6</f>
        <v>-888581662.8716979</v>
      </c>
      <c r="R6">
        <f t="shared" ref="R6" si="7">R7+Q6</f>
        <v>109381562052.15491</v>
      </c>
      <c r="S6">
        <f t="shared" ref="S6" si="8">R6/100000</f>
        <v>1093815.6205215491</v>
      </c>
      <c r="T6">
        <f t="shared" ref="T6" si="9">S6/1000</f>
        <v>1093.8156205215491</v>
      </c>
    </row>
    <row r="7" spans="1:20" x14ac:dyDescent="0.25">
      <c r="A7" s="5">
        <v>44586</v>
      </c>
      <c r="B7">
        <v>5.5039999999999999E-2</v>
      </c>
      <c r="C7">
        <v>5.6160000000000002E-2</v>
      </c>
      <c r="D7">
        <v>5.4289999999999998E-2</v>
      </c>
      <c r="E7">
        <v>5.5879999999999999E-2</v>
      </c>
      <c r="F7">
        <v>1740384902</v>
      </c>
      <c r="G7">
        <v>5.5879999999999999E-2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0.70053475935828668</v>
      </c>
      <c r="Q7">
        <f t="shared" ref="Q7" si="11">F7*P7</f>
        <v>1219200118.5133653</v>
      </c>
      <c r="R7">
        <f t="shared" ref="R7" si="12">R8+Q7</f>
        <v>110270143715.02661</v>
      </c>
      <c r="S7">
        <f t="shared" ref="S7" si="13">R7/100000</f>
        <v>1102701.437150266</v>
      </c>
      <c r="T7">
        <f t="shared" ref="T7" si="14">S7/1000</f>
        <v>1102.701437150266</v>
      </c>
    </row>
    <row r="8" spans="1:20" x14ac:dyDescent="0.25">
      <c r="A8" s="5">
        <v>44585</v>
      </c>
      <c r="B8">
        <v>5.7500000000000002E-2</v>
      </c>
      <c r="C8">
        <v>5.7549999999999997E-2</v>
      </c>
      <c r="D8">
        <v>5.101E-2</v>
      </c>
      <c r="E8">
        <v>5.5059999999999998E-2</v>
      </c>
      <c r="F8">
        <v>2711696074.1999998</v>
      </c>
      <c r="G8">
        <v>5.5059999999999998E-2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0.23853211009174305</v>
      </c>
      <c r="Q8">
        <f t="shared" ref="Q8" si="16">F8*P8</f>
        <v>646826586.5064218</v>
      </c>
      <c r="R8">
        <f t="shared" ref="R8" si="17">R9+Q8</f>
        <v>109050943596.51324</v>
      </c>
      <c r="S8">
        <f t="shared" ref="S8" si="18">R8/100000</f>
        <v>1090509.4359651324</v>
      </c>
      <c r="T8">
        <f t="shared" ref="T8" si="19">S8/1000</f>
        <v>1090.5094359651325</v>
      </c>
    </row>
    <row r="9" spans="1:20" x14ac:dyDescent="0.25">
      <c r="A9" s="5">
        <v>44584</v>
      </c>
      <c r="B9">
        <v>5.679E-2</v>
      </c>
      <c r="C9">
        <v>5.8540000000000002E-2</v>
      </c>
      <c r="D9">
        <v>5.5350000000000003E-2</v>
      </c>
      <c r="E9">
        <v>5.7520000000000002E-2</v>
      </c>
      <c r="F9">
        <v>1739505171.4000001</v>
      </c>
      <c r="G9">
        <v>5.7520000000000002E-2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0.36050156739811873</v>
      </c>
      <c r="Q9">
        <f t="shared" ref="Q9" si="21">F9*P9</f>
        <v>627094340.78683317</v>
      </c>
      <c r="R9">
        <f t="shared" ref="R9" si="22">R10+Q9</f>
        <v>108404117010.00682</v>
      </c>
      <c r="S9">
        <f t="shared" ref="S9" si="23">R9/100000</f>
        <v>1084041.1701000682</v>
      </c>
      <c r="T9">
        <f t="shared" ref="T9" si="24">S9/1000</f>
        <v>1084.0411701000683</v>
      </c>
    </row>
    <row r="10" spans="1:20" x14ac:dyDescent="0.25">
      <c r="A10" s="5">
        <v>44583</v>
      </c>
      <c r="B10">
        <v>6.1030000000000001E-2</v>
      </c>
      <c r="C10">
        <v>6.2010000000000003E-2</v>
      </c>
      <c r="D10">
        <v>5.2650000000000002E-2</v>
      </c>
      <c r="E10">
        <v>5.6800000000000003E-2</v>
      </c>
      <c r="F10">
        <v>3142285867.5</v>
      </c>
      <c r="G10">
        <v>5.6800000000000003E-2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-0.11324786324786308</v>
      </c>
      <c r="Q10">
        <f t="shared" ref="Q10" si="26">F10*P10</f>
        <v>-355857160.20833284</v>
      </c>
      <c r="R10">
        <f t="shared" ref="R10" si="27">R11+Q10</f>
        <v>107777022669.21999</v>
      </c>
      <c r="S10">
        <f t="shared" ref="S10" si="28">R10/100000</f>
        <v>1077770.2266921999</v>
      </c>
      <c r="T10">
        <f t="shared" ref="T10" si="29">S10/1000</f>
        <v>1077.7702266921999</v>
      </c>
    </row>
    <row r="11" spans="1:20" x14ac:dyDescent="0.25">
      <c r="A11" s="5">
        <v>44582</v>
      </c>
      <c r="B11">
        <v>6.7710000000000006E-2</v>
      </c>
      <c r="C11">
        <v>6.8629999999999997E-2</v>
      </c>
      <c r="D11">
        <v>5.9709999999999999E-2</v>
      </c>
      <c r="E11">
        <v>6.1030000000000001E-2</v>
      </c>
      <c r="F11">
        <v>2597725957.5999999</v>
      </c>
      <c r="G11">
        <v>6.1030000000000001E-2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-0.70403587443946136</v>
      </c>
      <c r="Q11">
        <f t="shared" ref="Q11" si="31">F11*P11</f>
        <v>-1828892266.113003</v>
      </c>
      <c r="R11">
        <f t="shared" ref="R11" si="32">R12+Q11</f>
        <v>108132879829.42831</v>
      </c>
      <c r="S11">
        <f t="shared" ref="S11" si="33">R11/100000</f>
        <v>1081328.7982942832</v>
      </c>
      <c r="T11">
        <f t="shared" ref="T11" si="34">S11/1000</f>
        <v>1081.3287982942832</v>
      </c>
    </row>
    <row r="12" spans="1:20" x14ac:dyDescent="0.25">
      <c r="A12" s="5">
        <v>44581</v>
      </c>
      <c r="B12">
        <v>6.9150000000000003E-2</v>
      </c>
      <c r="C12">
        <v>7.2059999999999999E-2</v>
      </c>
      <c r="D12">
        <v>6.744E-2</v>
      </c>
      <c r="E12">
        <v>6.7729999999999999E-2</v>
      </c>
      <c r="F12">
        <v>1735106694.5999999</v>
      </c>
      <c r="G12">
        <v>6.7729999999999999E-2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-0.87445887445887505</v>
      </c>
      <c r="Q12">
        <f t="shared" ref="Q12" si="36">F12*P12</f>
        <v>-1517279447.225975</v>
      </c>
      <c r="R12">
        <f t="shared" ref="R12" si="37">R13+Q12</f>
        <v>109961772095.54132</v>
      </c>
      <c r="S12">
        <f t="shared" ref="S12" si="38">R12/100000</f>
        <v>1099617.7209554133</v>
      </c>
      <c r="T12">
        <f t="shared" ref="T12" si="39">S12/1000</f>
        <v>1099.6177209554132</v>
      </c>
    </row>
    <row r="13" spans="1:20" x14ac:dyDescent="0.25">
      <c r="A13" s="5">
        <v>44580</v>
      </c>
      <c r="B13">
        <v>6.8459999999999993E-2</v>
      </c>
      <c r="C13">
        <v>6.9639999999999994E-2</v>
      </c>
      <c r="D13">
        <v>6.6119999999999998E-2</v>
      </c>
      <c r="E13">
        <v>6.9150000000000003E-2</v>
      </c>
      <c r="F13">
        <v>2280024794.1999998</v>
      </c>
      <c r="G13">
        <v>6.9150000000000003E-2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0.72159090909091417</v>
      </c>
      <c r="Q13">
        <f t="shared" ref="Q13" si="41">F13*P13</f>
        <v>1645245163.9966023</v>
      </c>
      <c r="R13">
        <f t="shared" ref="R13" si="42">R14+Q13</f>
        <v>111479051542.7673</v>
      </c>
      <c r="S13">
        <f t="shared" ref="S13" si="43">R13/100000</f>
        <v>1114790.515427673</v>
      </c>
      <c r="T13">
        <f t="shared" ref="T13" si="44">S13/1000</f>
        <v>1114.790515427673</v>
      </c>
    </row>
    <row r="14" spans="1:20" x14ac:dyDescent="0.25">
      <c r="A14" s="5">
        <v>44579</v>
      </c>
      <c r="B14">
        <v>7.0849999999999996E-2</v>
      </c>
      <c r="C14">
        <v>7.1379999999999999E-2</v>
      </c>
      <c r="D14">
        <v>6.7430000000000004E-2</v>
      </c>
      <c r="E14">
        <v>6.8459999999999993E-2</v>
      </c>
      <c r="F14">
        <v>1820428881.7</v>
      </c>
      <c r="G14">
        <v>6.8459999999999993E-2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-0.47848101265823267</v>
      </c>
      <c r="Q14">
        <f t="shared" ref="Q14" si="46">F14*P14</f>
        <v>-871040654.78811002</v>
      </c>
      <c r="R14">
        <f t="shared" ref="R14" si="47">R15+Q14</f>
        <v>109833806378.77071</v>
      </c>
      <c r="S14">
        <f t="shared" ref="S14" si="48">R14/100000</f>
        <v>1098338.0637877071</v>
      </c>
      <c r="T14">
        <f t="shared" ref="T14" si="49">S14/1000</f>
        <v>1098.3380637877071</v>
      </c>
    </row>
    <row r="15" spans="1:20" x14ac:dyDescent="0.25">
      <c r="A15" s="5">
        <v>44578</v>
      </c>
      <c r="B15">
        <v>6.9879999999999998E-2</v>
      </c>
      <c r="C15">
        <v>7.2440000000000004E-2</v>
      </c>
      <c r="D15">
        <v>6.8890000000000007E-2</v>
      </c>
      <c r="E15">
        <v>7.0849999999999996E-2</v>
      </c>
      <c r="F15">
        <v>2264462911.8000002</v>
      </c>
      <c r="G15">
        <v>7.0849999999999996E-2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0.10422535211267091</v>
      </c>
      <c r="Q15">
        <f t="shared" ref="Q15" si="51">F15*P15</f>
        <v>236014444.32843906</v>
      </c>
      <c r="R15">
        <f t="shared" ref="R15" si="52">R16+Q15</f>
        <v>110704847033.55882</v>
      </c>
      <c r="S15">
        <f t="shared" ref="S15" si="53">R15/100000</f>
        <v>1107048.4703355883</v>
      </c>
      <c r="T15">
        <f t="shared" ref="T15" si="54">S15/1000</f>
        <v>1107.0484703355883</v>
      </c>
    </row>
    <row r="16" spans="1:20" x14ac:dyDescent="0.25">
      <c r="A16" s="5">
        <v>44577</v>
      </c>
      <c r="B16">
        <v>6.8409999999999999E-2</v>
      </c>
      <c r="C16">
        <v>7.0389999999999994E-2</v>
      </c>
      <c r="D16">
        <v>6.8290000000000003E-2</v>
      </c>
      <c r="E16">
        <v>6.9879999999999998E-2</v>
      </c>
      <c r="F16">
        <v>1278605074.3</v>
      </c>
      <c r="G16">
        <v>6.9879999999999998E-2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0.51428571428571546</v>
      </c>
      <c r="Q16">
        <f t="shared" ref="Q16" si="56">F16*P16</f>
        <v>657568323.9257158</v>
      </c>
      <c r="R16">
        <f t="shared" ref="R16" si="57">R17+Q16</f>
        <v>110468832589.23038</v>
      </c>
      <c r="S16">
        <f t="shared" ref="S16" si="58">R16/100000</f>
        <v>1104688.3258923038</v>
      </c>
      <c r="T16">
        <f t="shared" ref="T16" si="59">S16/1000</f>
        <v>1104.6883258923037</v>
      </c>
    </row>
    <row r="17" spans="1:20" x14ac:dyDescent="0.25">
      <c r="A17" s="5">
        <v>44576</v>
      </c>
      <c r="B17">
        <v>6.7650000000000002E-2</v>
      </c>
      <c r="C17">
        <v>6.9339999999999999E-2</v>
      </c>
      <c r="D17">
        <v>6.7000000000000004E-2</v>
      </c>
      <c r="E17">
        <v>6.8419999999999995E-2</v>
      </c>
      <c r="F17">
        <v>1014298584.7</v>
      </c>
      <c r="G17">
        <v>6.8419999999999995E-2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0.21367521367520839</v>
      </c>
      <c r="Q17">
        <f t="shared" ref="Q17" si="61">F17*P17</f>
        <v>216730466.81623396</v>
      </c>
      <c r="R17">
        <f t="shared" ref="R17" si="62">R18+Q17</f>
        <v>109811264265.30466</v>
      </c>
      <c r="S17">
        <f t="shared" ref="S17" si="63">R17/100000</f>
        <v>1098112.6426530466</v>
      </c>
      <c r="T17">
        <f t="shared" ref="T17" si="64">S17/1000</f>
        <v>1098.1126426530466</v>
      </c>
    </row>
    <row r="18" spans="1:20" x14ac:dyDescent="0.25">
      <c r="A18" s="5">
        <v>44575</v>
      </c>
      <c r="B18">
        <v>6.6210000000000005E-2</v>
      </c>
      <c r="C18">
        <v>6.8500000000000005E-2</v>
      </c>
      <c r="D18">
        <v>6.5869999999999998E-2</v>
      </c>
      <c r="E18">
        <v>6.7650000000000002E-2</v>
      </c>
      <c r="F18">
        <v>1749245168.9000001</v>
      </c>
      <c r="G18">
        <v>6.7650000000000002E-2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0.35361216730037937</v>
      </c>
      <c r="Q18">
        <f t="shared" ref="Q18" si="66">F18*P18</f>
        <v>618554375.31444716</v>
      </c>
      <c r="R18">
        <f t="shared" ref="R18" si="67">R19+Q18</f>
        <v>109594533798.48842</v>
      </c>
      <c r="S18">
        <f t="shared" ref="S18" si="68">R18/100000</f>
        <v>1095945.3379848842</v>
      </c>
      <c r="T18">
        <f t="shared" ref="T18" si="69">S18/1000</f>
        <v>1095.9453379848842</v>
      </c>
    </row>
    <row r="19" spans="1:20" x14ac:dyDescent="0.25">
      <c r="A19" s="5">
        <v>44574</v>
      </c>
      <c r="B19">
        <v>6.8070000000000006E-2</v>
      </c>
      <c r="C19">
        <v>6.8559999999999996E-2</v>
      </c>
      <c r="D19">
        <v>6.5930000000000002E-2</v>
      </c>
      <c r="E19">
        <v>6.6199999999999995E-2</v>
      </c>
      <c r="F19">
        <v>1830087974.3</v>
      </c>
      <c r="G19">
        <v>6.6199999999999995E-2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-0.79467680608365543</v>
      </c>
      <c r="Q19">
        <f t="shared" ref="Q19" si="71">F19*P19</f>
        <v>-1454328466.2688308</v>
      </c>
      <c r="R19">
        <f t="shared" ref="R19" si="72">R20+Q19</f>
        <v>108975979423.17397</v>
      </c>
      <c r="S19">
        <f t="shared" ref="S19" si="73">R19/100000</f>
        <v>1089759.7942317396</v>
      </c>
      <c r="T19">
        <f t="shared" ref="T19" si="74">S19/1000</f>
        <v>1089.7597942317395</v>
      </c>
    </row>
    <row r="20" spans="1:20" x14ac:dyDescent="0.25">
      <c r="A20" s="5">
        <v>44573</v>
      </c>
      <c r="B20">
        <v>6.4930000000000002E-2</v>
      </c>
      <c r="C20">
        <v>6.8339999999999998E-2</v>
      </c>
      <c r="D20">
        <v>6.4909999999999995E-2</v>
      </c>
      <c r="E20">
        <v>6.8059999999999996E-2</v>
      </c>
      <c r="F20">
        <v>1471410395.9000001</v>
      </c>
      <c r="G20">
        <v>6.8059999999999996E-2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0.83673469387754973</v>
      </c>
      <c r="Q20">
        <f t="shared" ref="Q20" si="76">F20*P20</f>
        <v>1231180127.1816308</v>
      </c>
      <c r="R20">
        <f t="shared" ref="R20" si="77">R21+Q20</f>
        <v>110430307889.44279</v>
      </c>
      <c r="S20">
        <f t="shared" ref="S20" si="78">R20/100000</f>
        <v>1104303.078894428</v>
      </c>
      <c r="T20">
        <f t="shared" ref="T20" si="79">S20/1000</f>
        <v>1104.3030788944279</v>
      </c>
    </row>
    <row r="21" spans="1:20" x14ac:dyDescent="0.25">
      <c r="A21" s="5">
        <v>44572</v>
      </c>
      <c r="B21">
        <v>6.343E-2</v>
      </c>
      <c r="C21">
        <v>6.5659999999999996E-2</v>
      </c>
      <c r="D21">
        <v>6.2899999999999998E-2</v>
      </c>
      <c r="E21">
        <v>6.4930000000000002E-2</v>
      </c>
      <c r="F21">
        <v>1584213482.2</v>
      </c>
      <c r="G21">
        <v>6.4930000000000002E-2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0.47101449275362689</v>
      </c>
      <c r="Q21">
        <f t="shared" ref="Q21" si="81">F21*P21</f>
        <v>746187509.73188996</v>
      </c>
      <c r="R21">
        <f t="shared" ref="R21" si="82">R22+Q21</f>
        <v>109199127762.26117</v>
      </c>
      <c r="S21">
        <f t="shared" ref="S21" si="83">R21/100000</f>
        <v>1091991.2776226117</v>
      </c>
      <c r="T21">
        <f t="shared" ref="T21" si="84">S21/1000</f>
        <v>1091.9912776226117</v>
      </c>
    </row>
    <row r="22" spans="1:20" x14ac:dyDescent="0.25">
      <c r="A22" s="5">
        <v>44571</v>
      </c>
      <c r="B22">
        <v>6.6110000000000002E-2</v>
      </c>
      <c r="C22">
        <v>6.6919999999999993E-2</v>
      </c>
      <c r="D22">
        <v>6.1109999999999998E-2</v>
      </c>
      <c r="E22">
        <v>6.3420000000000004E-2</v>
      </c>
      <c r="F22">
        <v>1875401682.0999999</v>
      </c>
      <c r="G22">
        <v>6.3420000000000004E-2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-0.20481927710843092</v>
      </c>
      <c r="Q22">
        <f t="shared" ref="Q22" si="86">F22*P22</f>
        <v>-384118416.81565738</v>
      </c>
      <c r="R22">
        <f t="shared" ref="R22" si="87">R23+Q22</f>
        <v>108452940252.52928</v>
      </c>
      <c r="S22">
        <f t="shared" ref="S22" si="88">R22/100000</f>
        <v>1084529.4025252927</v>
      </c>
      <c r="T22">
        <f t="shared" ref="T22" si="89">S22/1000</f>
        <v>1084.5294025252927</v>
      </c>
    </row>
    <row r="23" spans="1:20" x14ac:dyDescent="0.25">
      <c r="A23" s="5">
        <v>44570</v>
      </c>
      <c r="B23">
        <v>6.5390000000000004E-2</v>
      </c>
      <c r="C23">
        <v>6.7239999999999994E-2</v>
      </c>
      <c r="D23">
        <v>6.4899999999999999E-2</v>
      </c>
      <c r="E23">
        <v>6.6110000000000002E-2</v>
      </c>
      <c r="F23">
        <v>1342231000.4000001</v>
      </c>
      <c r="G23">
        <v>6.6110000000000002E-2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3.4188034188038799E-2</v>
      </c>
      <c r="Q23">
        <f t="shared" ref="Q23" si="91">F23*P23</f>
        <v>45888239.329920724</v>
      </c>
      <c r="R23">
        <f t="shared" ref="R23" si="92">R24+Q23</f>
        <v>108837058669.34494</v>
      </c>
      <c r="S23">
        <f t="shared" ref="S23" si="93">R23/100000</f>
        <v>1088370.5866934494</v>
      </c>
      <c r="T23">
        <f t="shared" ref="T23" si="94">S23/1000</f>
        <v>1088.3705866934495</v>
      </c>
    </row>
    <row r="24" spans="1:20" x14ac:dyDescent="0.25">
      <c r="A24" s="5">
        <v>44569</v>
      </c>
      <c r="B24">
        <v>6.8210000000000007E-2</v>
      </c>
      <c r="C24">
        <v>6.9180000000000005E-2</v>
      </c>
      <c r="D24">
        <v>6.4019999999999994E-2</v>
      </c>
      <c r="E24">
        <v>6.5390000000000004E-2</v>
      </c>
      <c r="F24">
        <v>1122002395.5999999</v>
      </c>
      <c r="G24">
        <v>6.5390000000000004E-2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-0.46899224806201278</v>
      </c>
      <c r="Q24">
        <f t="shared" ref="Q24" si="96">F24*P24</f>
        <v>-526210425.84340775</v>
      </c>
      <c r="R24">
        <f t="shared" ref="R24" si="97">R25+Q24</f>
        <v>108791170430.01501</v>
      </c>
      <c r="S24">
        <f t="shared" ref="S24" si="98">R24/100000</f>
        <v>1087911.70430015</v>
      </c>
      <c r="T24">
        <f t="shared" ref="T24" si="99">S24/1000</f>
        <v>1087.9117043001499</v>
      </c>
    </row>
    <row r="25" spans="1:20" x14ac:dyDescent="0.25">
      <c r="A25" s="5">
        <v>44568</v>
      </c>
      <c r="B25">
        <v>7.1069999999999994E-2</v>
      </c>
      <c r="C25">
        <v>7.1190000000000003E-2</v>
      </c>
      <c r="D25">
        <v>6.6519999999999996E-2</v>
      </c>
      <c r="E25">
        <v>6.8199999999999997E-2</v>
      </c>
      <c r="F25">
        <v>2353241534</v>
      </c>
      <c r="G25">
        <v>6.8199999999999997E-2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-0.28051391862955105</v>
      </c>
      <c r="Q25">
        <f t="shared" ref="Q25" si="101">F25*P25</f>
        <v>-660117004.18415594</v>
      </c>
      <c r="R25">
        <f t="shared" ref="R25" si="102">R26+Q25</f>
        <v>109317380855.85843</v>
      </c>
      <c r="S25">
        <f t="shared" ref="S25" si="103">R25/100000</f>
        <v>1093173.8085585842</v>
      </c>
      <c r="T25">
        <f t="shared" ref="T25" si="104">S25/1000</f>
        <v>1093.1738085585841</v>
      </c>
    </row>
    <row r="26" spans="1:20" x14ac:dyDescent="0.25">
      <c r="A26" s="5">
        <v>44567</v>
      </c>
      <c r="B26">
        <v>7.1129999999999999E-2</v>
      </c>
      <c r="C26">
        <v>7.1489999999999998E-2</v>
      </c>
      <c r="D26">
        <v>6.9250000000000006E-2</v>
      </c>
      <c r="E26">
        <v>7.1059999999999998E-2</v>
      </c>
      <c r="F26">
        <v>3244970701.9000001</v>
      </c>
      <c r="G26">
        <v>7.1059999999999998E-2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0.61607142857142738</v>
      </c>
      <c r="Q26">
        <f t="shared" ref="Q26" si="106">F26*P26</f>
        <v>1999133735.9919605</v>
      </c>
      <c r="R26">
        <f t="shared" ref="R26" si="107">R27+Q26</f>
        <v>109977497860.04259</v>
      </c>
      <c r="S26">
        <f t="shared" ref="S26" si="108">R26/100000</f>
        <v>1099774.9786004259</v>
      </c>
      <c r="T26">
        <f t="shared" ref="T26" si="109">S26/1000</f>
        <v>1099.7749786004258</v>
      </c>
    </row>
    <row r="27" spans="1:20" x14ac:dyDescent="0.25">
      <c r="A27" s="5">
        <v>44566</v>
      </c>
      <c r="B27">
        <v>7.5929999999999997E-2</v>
      </c>
      <c r="C27">
        <v>7.7450000000000005E-2</v>
      </c>
      <c r="D27">
        <v>6.9099999999999995E-2</v>
      </c>
      <c r="E27">
        <v>7.1120000000000003E-2</v>
      </c>
      <c r="F27">
        <v>1832769713.7</v>
      </c>
      <c r="G27">
        <v>7.1120000000000003E-2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-0.51616766467065733</v>
      </c>
      <c r="Q27">
        <f t="shared" ref="Q27" si="111">F27*P27</f>
        <v>-946016462.99963832</v>
      </c>
      <c r="R27">
        <f t="shared" ref="R27" si="112">R28+Q27</f>
        <v>107978364124.05063</v>
      </c>
      <c r="S27">
        <f t="shared" ref="S27" si="113">R27/100000</f>
        <v>1079783.6412405062</v>
      </c>
      <c r="T27">
        <f t="shared" ref="T27" si="114">S27/1000</f>
        <v>1079.7836412405063</v>
      </c>
    </row>
    <row r="28" spans="1:20" x14ac:dyDescent="0.25">
      <c r="A28" s="5">
        <v>44565</v>
      </c>
      <c r="B28">
        <v>7.7049999999999993E-2</v>
      </c>
      <c r="C28">
        <v>7.8090000000000007E-2</v>
      </c>
      <c r="D28">
        <v>7.5749999999999998E-2</v>
      </c>
      <c r="E28">
        <v>7.5920000000000001E-2</v>
      </c>
      <c r="F28">
        <v>1800024542.7</v>
      </c>
      <c r="G28">
        <v>7.5920000000000001E-2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-0.85470085470085222</v>
      </c>
      <c r="Q28">
        <f t="shared" ref="Q28" si="116">F28*P28</f>
        <v>-1538482515.1282008</v>
      </c>
      <c r="R28">
        <f t="shared" ref="R28" si="117">R29+Q28</f>
        <v>108924380587.05026</v>
      </c>
      <c r="S28">
        <f t="shared" ref="S28" si="118">R28/100000</f>
        <v>1089243.8058705027</v>
      </c>
      <c r="T28">
        <f t="shared" ref="T28" si="119">S28/1000</f>
        <v>1089.2438058705027</v>
      </c>
    </row>
    <row r="29" spans="1:20" x14ac:dyDescent="0.25">
      <c r="A29" s="5">
        <v>44564</v>
      </c>
      <c r="B29">
        <v>7.7609999999999998E-2</v>
      </c>
      <c r="C29">
        <v>7.8240000000000004E-2</v>
      </c>
      <c r="D29">
        <v>7.6249999999999998E-2</v>
      </c>
      <c r="E29">
        <v>7.7049999999999993E-2</v>
      </c>
      <c r="F29">
        <v>1758327144.8</v>
      </c>
      <c r="G29">
        <v>7.7049999999999993E-2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-0.19597989949749459</v>
      </c>
      <c r="Q29">
        <f t="shared" ref="Q29" si="121">F29*P29</f>
        <v>-344596777.1216206</v>
      </c>
      <c r="R29">
        <f t="shared" ref="R29" si="122">R30+Q29</f>
        <v>110462863102.17847</v>
      </c>
      <c r="S29">
        <f t="shared" ref="S29" si="123">R29/100000</f>
        <v>1104628.6310217846</v>
      </c>
      <c r="T29">
        <f t="shared" ref="T29" si="124">S29/1000</f>
        <v>1104.6286310217847</v>
      </c>
    </row>
    <row r="30" spans="1:20" x14ac:dyDescent="0.25">
      <c r="A30" s="5">
        <v>44563</v>
      </c>
      <c r="B30">
        <v>7.6609999999999998E-2</v>
      </c>
      <c r="C30">
        <v>7.8340000000000007E-2</v>
      </c>
      <c r="D30">
        <v>7.5990000000000002E-2</v>
      </c>
      <c r="E30">
        <v>7.7619999999999995E-2</v>
      </c>
      <c r="F30">
        <v>1734586731.5999999</v>
      </c>
      <c r="G30">
        <v>7.7619999999999995E-2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0.38723404255318228</v>
      </c>
      <c r="Q30">
        <f t="shared" ref="Q30" si="126">F30*P30</f>
        <v>671691032.23657978</v>
      </c>
      <c r="R30">
        <f t="shared" ref="R30" si="127">R31+Q30</f>
        <v>110807459879.30009</v>
      </c>
      <c r="S30">
        <f t="shared" ref="S30" si="128">R30/100000</f>
        <v>1108074.5987930009</v>
      </c>
      <c r="T30">
        <f t="shared" ref="T30" si="129">S30/1000</f>
        <v>1108.0745987930009</v>
      </c>
    </row>
    <row r="31" spans="1:20" x14ac:dyDescent="0.25">
      <c r="A31" s="5">
        <v>44562</v>
      </c>
      <c r="B31">
        <v>7.5359999999999996E-2</v>
      </c>
      <c r="C31">
        <v>7.6829999999999996E-2</v>
      </c>
      <c r="D31">
        <v>7.5240000000000001E-2</v>
      </c>
      <c r="E31">
        <v>7.6600000000000001E-2</v>
      </c>
      <c r="F31">
        <v>1637828312.0999999</v>
      </c>
      <c r="G31">
        <v>7.6600000000000001E-2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0.71069182389937746</v>
      </c>
      <c r="Q31">
        <f t="shared" ref="Q31" si="131">F31*P31</f>
        <v>1163991190.3603878</v>
      </c>
      <c r="R31">
        <f t="shared" ref="R31" si="132">R32+Q31</f>
        <v>110135768847.06352</v>
      </c>
      <c r="S31">
        <f t="shared" ref="S31" si="133">R31/100000</f>
        <v>1101357.6884706353</v>
      </c>
      <c r="T31">
        <f t="shared" ref="T31" si="134">S31/1000</f>
        <v>1101.3576884706354</v>
      </c>
    </row>
    <row r="32" spans="1:20" x14ac:dyDescent="0.25">
      <c r="A32" s="5">
        <v>44561</v>
      </c>
      <c r="B32">
        <v>7.7810000000000004E-2</v>
      </c>
      <c r="C32">
        <v>7.9409999999999994E-2</v>
      </c>
      <c r="D32">
        <v>7.3539999999999994E-2</v>
      </c>
      <c r="E32">
        <v>7.5389999999999999E-2</v>
      </c>
      <c r="F32">
        <v>1768843829.2</v>
      </c>
      <c r="G32">
        <v>7.5389999999999999E-2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-0.36967632027257091</v>
      </c>
      <c r="Q32">
        <f t="shared" ref="Q32" si="136">F32*P32</f>
        <v>-653899677.91549993</v>
      </c>
      <c r="R32">
        <f t="shared" ref="R32" si="137">R33+Q32</f>
        <v>108971777656.70314</v>
      </c>
      <c r="S32">
        <f t="shared" ref="S32" si="138">R32/100000</f>
        <v>1089717.7765670314</v>
      </c>
      <c r="T32">
        <f t="shared" ref="T32" si="139">S32/1000</f>
        <v>1089.7177765670315</v>
      </c>
    </row>
    <row r="33" spans="1:20" x14ac:dyDescent="0.25">
      <c r="A33" s="5">
        <v>44560</v>
      </c>
      <c r="B33">
        <v>7.6480000000000006E-2</v>
      </c>
      <c r="C33">
        <v>7.8600000000000003E-2</v>
      </c>
      <c r="D33">
        <v>7.5609999999999997E-2</v>
      </c>
      <c r="E33">
        <v>7.782E-2</v>
      </c>
      <c r="F33">
        <v>1202507616.9000001</v>
      </c>
      <c r="G33">
        <v>7.782E-2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0.47826086956521657</v>
      </c>
      <c r="Q33">
        <f t="shared" ref="Q33" si="141">F33*P33</f>
        <v>575112338.51739037</v>
      </c>
      <c r="R33">
        <f t="shared" ref="R33" si="142">R34+Q33</f>
        <v>109625677334.61864</v>
      </c>
      <c r="S33">
        <f t="shared" ref="S33" si="143">R33/100000</f>
        <v>1096256.7733461864</v>
      </c>
      <c r="T33">
        <f t="shared" ref="T33" si="144">S33/1000</f>
        <v>1096.2567733461865</v>
      </c>
    </row>
    <row r="34" spans="1:20" x14ac:dyDescent="0.25">
      <c r="A34" s="5">
        <v>44559</v>
      </c>
      <c r="B34">
        <v>7.714E-2</v>
      </c>
      <c r="C34">
        <v>8.0030000000000004E-2</v>
      </c>
      <c r="D34">
        <v>7.6100000000000001E-2</v>
      </c>
      <c r="E34">
        <v>7.6499999999999999E-2</v>
      </c>
      <c r="F34">
        <v>1248802637</v>
      </c>
      <c r="G34">
        <v>7.6499999999999999E-2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-0.79643765903308028</v>
      </c>
      <c r="Q34">
        <f t="shared" ref="Q34" si="146">F34*P34</f>
        <v>-994593448.8066175</v>
      </c>
      <c r="R34">
        <f t="shared" ref="R34" si="147">R35+Q34</f>
        <v>109050564996.10124</v>
      </c>
      <c r="S34">
        <f t="shared" ref="S34" si="148">R34/100000</f>
        <v>1090505.6499610124</v>
      </c>
      <c r="T34">
        <f t="shared" ref="T34" si="149">S34/1000</f>
        <v>1090.5056499610125</v>
      </c>
    </row>
    <row r="35" spans="1:20" x14ac:dyDescent="0.25">
      <c r="A35" s="5">
        <v>44558</v>
      </c>
      <c r="B35">
        <v>8.1140000000000004E-2</v>
      </c>
      <c r="C35">
        <v>8.115E-2</v>
      </c>
      <c r="D35">
        <v>7.6819999999999999E-2</v>
      </c>
      <c r="E35">
        <v>7.7130000000000004E-2</v>
      </c>
      <c r="F35">
        <v>1775334796.8</v>
      </c>
      <c r="G35">
        <v>7.7130000000000004E-2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-0.85681293302540196</v>
      </c>
      <c r="Q35">
        <f t="shared" ref="Q35" si="151">F35*P35</f>
        <v>-1521129814.348264</v>
      </c>
      <c r="R35">
        <f t="shared" ref="R35" si="152">R36+Q35</f>
        <v>110045158444.90785</v>
      </c>
      <c r="S35">
        <f t="shared" ref="S35" si="153">R35/100000</f>
        <v>1100451.5844490784</v>
      </c>
      <c r="T35">
        <f t="shared" ref="T35" si="154">S35/1000</f>
        <v>1100.4515844490784</v>
      </c>
    </row>
    <row r="36" spans="1:20" x14ac:dyDescent="0.25">
      <c r="A36" s="5">
        <v>44557</v>
      </c>
      <c r="B36">
        <v>8.1490000000000007E-2</v>
      </c>
      <c r="C36">
        <v>8.276E-2</v>
      </c>
      <c r="D36">
        <v>8.09E-2</v>
      </c>
      <c r="E36">
        <v>8.1140000000000004E-2</v>
      </c>
      <c r="F36">
        <v>1218020571.4000001</v>
      </c>
      <c r="G36">
        <v>8.1140000000000004E-2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-0.74193548387096342</v>
      </c>
      <c r="Q36">
        <f t="shared" ref="Q36" si="156">F36*P36</f>
        <v>-903692682.00644636</v>
      </c>
      <c r="R36">
        <f t="shared" ref="R36" si="157">R37+Q36</f>
        <v>111566288259.25612</v>
      </c>
      <c r="S36">
        <f t="shared" ref="S36" si="158">R36/100000</f>
        <v>1115662.8825925612</v>
      </c>
      <c r="T36">
        <f t="shared" ref="T36" si="159">S36/1000</f>
        <v>1115.6628825925611</v>
      </c>
    </row>
    <row r="37" spans="1:20" x14ac:dyDescent="0.25">
      <c r="A37" s="5">
        <v>44556</v>
      </c>
      <c r="B37">
        <v>8.1530000000000005E-2</v>
      </c>
      <c r="C37">
        <v>8.1909999999999997E-2</v>
      </c>
      <c r="D37">
        <v>7.9689999999999997E-2</v>
      </c>
      <c r="E37">
        <v>8.1490000000000007E-2</v>
      </c>
      <c r="F37">
        <v>1063532130.2</v>
      </c>
      <c r="G37">
        <v>8.1490000000000007E-2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0.6216216216216307</v>
      </c>
      <c r="Q37">
        <f t="shared" ref="Q37" si="161">F37*P37</f>
        <v>661114567.42163134</v>
      </c>
      <c r="R37">
        <f t="shared" ref="R37" si="162">R38+Q37</f>
        <v>112469980941.26256</v>
      </c>
      <c r="S37">
        <f t="shared" ref="S37" si="163">R37/100000</f>
        <v>1124699.8094126256</v>
      </c>
      <c r="T37">
        <f t="shared" ref="T37" si="164">S37/1000</f>
        <v>1124.6998094126257</v>
      </c>
    </row>
    <row r="38" spans="1:20" x14ac:dyDescent="0.25">
      <c r="A38" s="5">
        <v>44555</v>
      </c>
      <c r="B38">
        <v>8.0869999999999997E-2</v>
      </c>
      <c r="C38">
        <v>8.2199999999999995E-2</v>
      </c>
      <c r="D38">
        <v>8.0130000000000007E-2</v>
      </c>
      <c r="E38">
        <v>8.1530000000000005E-2</v>
      </c>
      <c r="F38">
        <v>1922966651.8</v>
      </c>
      <c r="G38">
        <v>8.1530000000000005E-2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0.35265700483092388</v>
      </c>
      <c r="Q38">
        <f t="shared" ref="Q38" si="166">F38*P38</f>
        <v>678147659.81353807</v>
      </c>
      <c r="R38">
        <f t="shared" ref="R38" si="167">R39+Q38</f>
        <v>111808866373.84093</v>
      </c>
      <c r="S38">
        <f t="shared" ref="S38" si="168">R38/100000</f>
        <v>1118088.6637384093</v>
      </c>
      <c r="T38">
        <f t="shared" ref="T38" si="169">S38/1000</f>
        <v>1118.0886637384092</v>
      </c>
    </row>
    <row r="39" spans="1:20" x14ac:dyDescent="0.25">
      <c r="A39" s="5">
        <v>44554</v>
      </c>
      <c r="B39">
        <v>8.2739999999999994E-2</v>
      </c>
      <c r="C39">
        <v>8.3220000000000002E-2</v>
      </c>
      <c r="D39">
        <v>8.0280000000000004E-2</v>
      </c>
      <c r="E39">
        <v>8.0850000000000005E-2</v>
      </c>
      <c r="F39">
        <v>1347915772.9000001</v>
      </c>
      <c r="G39">
        <v>8.0850000000000005E-2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-0.61224489795918269</v>
      </c>
      <c r="Q39">
        <f t="shared" ref="Q39" si="171">F39*P39</f>
        <v>-825254554.83673346</v>
      </c>
      <c r="R39">
        <f t="shared" ref="R39" si="172">R40+Q39</f>
        <v>111130718714.02739</v>
      </c>
      <c r="S39">
        <f t="shared" ref="S39" si="173">R39/100000</f>
        <v>1111307.1871402739</v>
      </c>
      <c r="T39">
        <f t="shared" ref="T39" si="174">S39/1000</f>
        <v>1111.3071871402738</v>
      </c>
    </row>
    <row r="40" spans="1:20" x14ac:dyDescent="0.25">
      <c r="A40" s="5">
        <v>44553</v>
      </c>
      <c r="B40">
        <v>7.9119999999999996E-2</v>
      </c>
      <c r="C40">
        <v>8.2739999999999994E-2</v>
      </c>
      <c r="D40">
        <v>7.8020000000000006E-2</v>
      </c>
      <c r="E40">
        <v>8.2739999999999994E-2</v>
      </c>
      <c r="F40">
        <v>1118334734.0999999</v>
      </c>
      <c r="G40">
        <v>8.2739999999999994E-2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1</v>
      </c>
      <c r="Q40">
        <f t="shared" ref="Q40" si="176">F40*P40</f>
        <v>1118334734.0999999</v>
      </c>
      <c r="R40">
        <f t="shared" ref="R40" si="177">R41+Q40</f>
        <v>111955973268.86412</v>
      </c>
      <c r="S40">
        <f t="shared" ref="S40" si="178">R40/100000</f>
        <v>1119559.7326886412</v>
      </c>
      <c r="T40">
        <f t="shared" ref="T40" si="179">S40/1000</f>
        <v>1119.5597326886411</v>
      </c>
    </row>
    <row r="41" spans="1:20" x14ac:dyDescent="0.25">
      <c r="A41" s="5">
        <v>44552</v>
      </c>
      <c r="B41">
        <v>7.8839999999999993E-2</v>
      </c>
      <c r="C41">
        <v>8.0329999999999999E-2</v>
      </c>
      <c r="D41">
        <v>7.8380000000000005E-2</v>
      </c>
      <c r="E41">
        <v>7.9130000000000006E-2</v>
      </c>
      <c r="F41">
        <v>1058999643.8</v>
      </c>
      <c r="G41">
        <v>7.9130000000000006E-2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-0.23076923076922748</v>
      </c>
      <c r="Q41">
        <f t="shared" ref="Q41" si="181">F41*P41</f>
        <v>-244384533.18461189</v>
      </c>
      <c r="R41">
        <f t="shared" ref="R41" si="182">R42+Q41</f>
        <v>110837638534.76411</v>
      </c>
      <c r="S41">
        <f t="shared" ref="S41" si="183">R41/100000</f>
        <v>1108376.3853476411</v>
      </c>
      <c r="T41">
        <f t="shared" ref="T41" si="184">S41/1000</f>
        <v>1108.376385347641</v>
      </c>
    </row>
    <row r="42" spans="1:20" x14ac:dyDescent="0.25">
      <c r="A42" s="5">
        <v>44551</v>
      </c>
      <c r="B42">
        <v>7.7579999999999996E-2</v>
      </c>
      <c r="C42">
        <v>7.936E-2</v>
      </c>
      <c r="D42">
        <v>7.6920000000000002E-2</v>
      </c>
      <c r="E42">
        <v>7.8839999999999993E-2</v>
      </c>
      <c r="F42">
        <v>1104468021.4000001</v>
      </c>
      <c r="G42">
        <v>7.8839999999999993E-2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0.57377049180327289</v>
      </c>
      <c r="Q42">
        <f t="shared" ref="Q42" si="186">F42*P42</f>
        <v>633711159.81966579</v>
      </c>
      <c r="R42">
        <f t="shared" ref="R42" si="187">R43+Q42</f>
        <v>111082023067.94873</v>
      </c>
      <c r="S42">
        <f t="shared" ref="S42" si="188">R42/100000</f>
        <v>1110820.2306794873</v>
      </c>
      <c r="T42">
        <f t="shared" ref="T42" si="189">S42/1000</f>
        <v>1110.8202306794874</v>
      </c>
    </row>
    <row r="43" spans="1:20" x14ac:dyDescent="0.25">
      <c r="A43" s="5">
        <v>44550</v>
      </c>
      <c r="B43">
        <v>7.9430000000000001E-2</v>
      </c>
      <c r="C43">
        <v>8.0100000000000005E-2</v>
      </c>
      <c r="D43">
        <v>7.4880000000000002E-2</v>
      </c>
      <c r="E43">
        <v>7.7590000000000006E-2</v>
      </c>
      <c r="F43">
        <v>1419496158.5999999</v>
      </c>
      <c r="G43">
        <v>7.7590000000000006E-2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3.8314176245211808E-2</v>
      </c>
      <c r="Q43">
        <f t="shared" ref="Q43" si="191">F43*P43</f>
        <v>54386826.000001527</v>
      </c>
      <c r="R43">
        <f t="shared" ref="R43" si="192">R44+Q43</f>
        <v>110448311908.12906</v>
      </c>
      <c r="S43">
        <f t="shared" ref="S43" si="193">R43/100000</f>
        <v>1104483.1190812907</v>
      </c>
      <c r="T43">
        <f t="shared" ref="T43" si="194">S43/1000</f>
        <v>1104.4831190812906</v>
      </c>
    </row>
    <row r="44" spans="1:20" x14ac:dyDescent="0.25">
      <c r="A44" s="5">
        <v>44549</v>
      </c>
      <c r="B44">
        <v>8.0420000000000005E-2</v>
      </c>
      <c r="C44">
        <v>8.1780000000000005E-2</v>
      </c>
      <c r="D44">
        <v>7.9380000000000006E-2</v>
      </c>
      <c r="E44">
        <v>7.9439999999999997E-2</v>
      </c>
      <c r="F44">
        <v>819570134.89999998</v>
      </c>
      <c r="G44">
        <v>7.9439999999999997E-2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-0.95000000000000784</v>
      </c>
      <c r="Q44">
        <f t="shared" ref="Q44" si="196">F44*P44</f>
        <v>-778591628.15500641</v>
      </c>
      <c r="R44">
        <f t="shared" ref="R44" si="197">R45+Q44</f>
        <v>110393925082.12906</v>
      </c>
      <c r="S44">
        <f t="shared" ref="S44" si="198">R44/100000</f>
        <v>1103939.2508212905</v>
      </c>
      <c r="T44">
        <f t="shared" ref="T44" si="199">S44/1000</f>
        <v>1103.9392508212904</v>
      </c>
    </row>
    <row r="45" spans="1:20" x14ac:dyDescent="0.25">
      <c r="A45" s="5">
        <v>44548</v>
      </c>
      <c r="B45">
        <v>7.9509999999999997E-2</v>
      </c>
      <c r="C45">
        <v>8.2299999999999998E-2</v>
      </c>
      <c r="D45">
        <v>7.8640000000000002E-2</v>
      </c>
      <c r="E45">
        <v>8.0420000000000005E-2</v>
      </c>
      <c r="F45">
        <v>938480402.5</v>
      </c>
      <c r="G45">
        <v>8.0420000000000005E-2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-2.7322404371581715E-2</v>
      </c>
      <c r="Q45">
        <f t="shared" ref="Q45" si="201">F45*P45</f>
        <v>-25641541.051909767</v>
      </c>
      <c r="R45">
        <f t="shared" ref="R45" si="202">R46+Q45</f>
        <v>111172516710.28406</v>
      </c>
      <c r="S45">
        <f t="shared" ref="S45" si="203">R45/100000</f>
        <v>1111725.1671028405</v>
      </c>
      <c r="T45">
        <f t="shared" ref="T45" si="204">S45/1000</f>
        <v>1111.7251671028405</v>
      </c>
    </row>
    <row r="46" spans="1:20" x14ac:dyDescent="0.25">
      <c r="A46" s="5">
        <v>44547</v>
      </c>
      <c r="B46">
        <v>8.5330000000000003E-2</v>
      </c>
      <c r="C46">
        <v>8.5989999999999997E-2</v>
      </c>
      <c r="D46">
        <v>7.8390000000000001E-2</v>
      </c>
      <c r="E46">
        <v>7.9509999999999997E-2</v>
      </c>
      <c r="F46">
        <v>2082289030.0999999</v>
      </c>
      <c r="G46">
        <v>7.9509999999999997E-2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-0.7052631578947377</v>
      </c>
      <c r="Q46">
        <f t="shared" ref="Q46" si="206">F46*P46</f>
        <v>-1468561737.0178964</v>
      </c>
      <c r="R46">
        <f t="shared" ref="R46" si="207">R47+Q46</f>
        <v>111198158251.33597</v>
      </c>
      <c r="S46">
        <f t="shared" ref="S46" si="208">R46/100000</f>
        <v>1111981.5825133596</v>
      </c>
      <c r="T46">
        <f t="shared" ref="T46" si="209">S46/1000</f>
        <v>1111.9815825133596</v>
      </c>
    </row>
    <row r="47" spans="1:20" x14ac:dyDescent="0.25">
      <c r="A47" s="5">
        <v>44546</v>
      </c>
      <c r="B47">
        <v>8.7540000000000007E-2</v>
      </c>
      <c r="C47">
        <v>8.8090000000000002E-2</v>
      </c>
      <c r="D47">
        <v>8.5209999999999994E-2</v>
      </c>
      <c r="E47">
        <v>8.5330000000000003E-2</v>
      </c>
      <c r="F47">
        <v>1543307013.7</v>
      </c>
      <c r="G47">
        <v>8.5330000000000003E-2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-0.91666666666666063</v>
      </c>
      <c r="Q47">
        <f t="shared" ref="Q47" si="211">F47*P47</f>
        <v>-1414698095.8916574</v>
      </c>
      <c r="R47">
        <f t="shared" ref="R47" si="212">R48+Q47</f>
        <v>112666719988.35387</v>
      </c>
      <c r="S47">
        <f t="shared" ref="S47" si="213">R47/100000</f>
        <v>1126667.1998835388</v>
      </c>
      <c r="T47">
        <f t="shared" ref="T47" si="214">S47/1000</f>
        <v>1126.6671998835388</v>
      </c>
    </row>
    <row r="48" spans="1:20" x14ac:dyDescent="0.25">
      <c r="A48" s="5">
        <v>44545</v>
      </c>
      <c r="B48">
        <v>8.7059999999999998E-2</v>
      </c>
      <c r="C48">
        <v>8.8870000000000005E-2</v>
      </c>
      <c r="D48">
        <v>8.2839999999999997E-2</v>
      </c>
      <c r="E48">
        <v>8.7540000000000007E-2</v>
      </c>
      <c r="F48">
        <v>2110175356.5</v>
      </c>
      <c r="G48">
        <v>8.7540000000000007E-2</v>
      </c>
      <c r="L48" t="s">
        <v>7</v>
      </c>
      <c r="M48" t="s">
        <v>8</v>
      </c>
      <c r="N48" t="s">
        <v>7</v>
      </c>
      <c r="P48">
        <f t="shared" ref="P48" si="215">IF(C48=D48,0,((E48-D48)-(C48-E48))/(C48-D48))</f>
        <v>0.55887230514096309</v>
      </c>
      <c r="Q48">
        <f t="shared" ref="Q48" si="216">F48*P48</f>
        <v>1179318565.7388086</v>
      </c>
      <c r="R48">
        <f t="shared" ref="R48" si="217">R49+Q48</f>
        <v>114081418084.24553</v>
      </c>
      <c r="S48">
        <f t="shared" ref="S48" si="218">R48/100000</f>
        <v>1140814.1808424552</v>
      </c>
      <c r="T48">
        <f t="shared" ref="T48" si="219">S48/1000</f>
        <v>1140.8141808424552</v>
      </c>
    </row>
    <row r="49" spans="1:20" x14ac:dyDescent="0.25">
      <c r="A49" s="5">
        <v>44544</v>
      </c>
      <c r="B49">
        <v>8.4970000000000004E-2</v>
      </c>
      <c r="C49">
        <v>8.7720000000000006E-2</v>
      </c>
      <c r="D49">
        <v>8.3699999999999997E-2</v>
      </c>
      <c r="E49">
        <v>8.7069999999999995E-2</v>
      </c>
      <c r="F49">
        <v>1850194798.5</v>
      </c>
      <c r="G49">
        <v>8.7069999999999995E-2</v>
      </c>
      <c r="L49" t="s">
        <v>7</v>
      </c>
      <c r="M49" t="s">
        <v>8</v>
      </c>
      <c r="N49" t="s">
        <v>7</v>
      </c>
      <c r="P49">
        <f t="shared" ref="P49" si="220">IF(C49=D49,0,((E49-D49)-(C49-E49))/(C49-D49))</f>
        <v>0.67661691542288049</v>
      </c>
      <c r="Q49">
        <f t="shared" ref="Q49" si="221">F49*P49</f>
        <v>1251873097.492528</v>
      </c>
      <c r="R49">
        <f t="shared" ref="R49" si="222">R50+Q49</f>
        <v>112902099518.50671</v>
      </c>
      <c r="S49">
        <f t="shared" ref="S49" si="223">R49/100000</f>
        <v>1129020.9951850672</v>
      </c>
      <c r="T49">
        <f t="shared" ref="T49" si="224">S49/1000</f>
        <v>1129.0209951850672</v>
      </c>
    </row>
    <row r="50" spans="1:20" x14ac:dyDescent="0.25">
      <c r="A50" s="5">
        <v>44543</v>
      </c>
      <c r="B50">
        <v>9.1020000000000004E-2</v>
      </c>
      <c r="C50">
        <v>9.1509999999999994E-2</v>
      </c>
      <c r="D50">
        <v>8.3839999999999998E-2</v>
      </c>
      <c r="E50">
        <v>8.4970000000000004E-2</v>
      </c>
      <c r="F50">
        <v>1414412634.8</v>
      </c>
      <c r="G50">
        <v>8.4970000000000004E-2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-0.7053455019556697</v>
      </c>
      <c r="Q50">
        <f t="shared" ref="Q50" si="226">F50*P50</f>
        <v>-997649589.86544728</v>
      </c>
      <c r="R50">
        <f t="shared" ref="R50" si="227">R51+Q50</f>
        <v>111650226421.01419</v>
      </c>
      <c r="S50">
        <f t="shared" ref="S50" si="228">R50/100000</f>
        <v>1116502.264210142</v>
      </c>
      <c r="T50">
        <f t="shared" ref="T50" si="229">S50/1000</f>
        <v>1116.5022642101419</v>
      </c>
    </row>
    <row r="51" spans="1:20" x14ac:dyDescent="0.25">
      <c r="A51" s="5">
        <v>44542</v>
      </c>
      <c r="B51">
        <v>9.1600000000000001E-2</v>
      </c>
      <c r="C51">
        <v>9.2350000000000002E-2</v>
      </c>
      <c r="D51">
        <v>8.9779999999999999E-2</v>
      </c>
      <c r="E51">
        <v>9.1009999999999994E-2</v>
      </c>
      <c r="F51">
        <v>992407502.39999998</v>
      </c>
      <c r="G51">
        <v>9.1009999999999994E-2</v>
      </c>
      <c r="L51" t="s">
        <v>7</v>
      </c>
      <c r="M51" t="s">
        <v>8</v>
      </c>
      <c r="N51" t="s">
        <v>7</v>
      </c>
      <c r="P51">
        <f t="shared" ref="P51" si="230">IF(C51=D51,0,((E51-D51)-(C51-E51))/(C51-D51))</f>
        <v>-4.2801556420238425E-2</v>
      </c>
      <c r="Q51">
        <f t="shared" ref="Q51" si="231">F51*P51</f>
        <v>-42476585.705841497</v>
      </c>
      <c r="R51">
        <f t="shared" ref="R51" si="232">R52+Q51</f>
        <v>112647876010.87964</v>
      </c>
      <c r="S51">
        <f t="shared" ref="S51" si="233">R51/100000</f>
        <v>1126478.7601087964</v>
      </c>
      <c r="T51">
        <f t="shared" ref="T51" si="234">S51/1000</f>
        <v>1126.4787601087965</v>
      </c>
    </row>
    <row r="52" spans="1:20" x14ac:dyDescent="0.25">
      <c r="A52" s="5">
        <v>44541</v>
      </c>
      <c r="B52">
        <v>8.7720000000000006E-2</v>
      </c>
      <c r="C52">
        <v>8.8830000000000006E-2</v>
      </c>
      <c r="D52">
        <v>8.6510000000000004E-2</v>
      </c>
      <c r="E52">
        <v>8.8569999999999996E-2</v>
      </c>
      <c r="F52">
        <v>54296648.200000003</v>
      </c>
      <c r="G52">
        <v>8.8569999999999996E-2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0.77586206896550869</v>
      </c>
      <c r="Q52">
        <f t="shared" ref="Q52" si="236">F52*P52</f>
        <v>42126709.810344368</v>
      </c>
      <c r="R52">
        <f t="shared" ref="R52" si="237">R53+Q52</f>
        <v>112690352596.58548</v>
      </c>
      <c r="S52">
        <f t="shared" ref="S52" si="238">R52/100000</f>
        <v>1126903.5259658548</v>
      </c>
      <c r="T52">
        <f t="shared" ref="T52" si="239">S52/1000</f>
        <v>1126.9035259658547</v>
      </c>
    </row>
    <row r="53" spans="1:20" x14ac:dyDescent="0.25">
      <c r="A53" s="5">
        <v>44540</v>
      </c>
      <c r="B53">
        <v>8.8599999999999998E-2</v>
      </c>
      <c r="C53">
        <v>9.3359999999999999E-2</v>
      </c>
      <c r="D53">
        <v>8.7389999999999995E-2</v>
      </c>
      <c r="E53">
        <v>8.7709999999999996E-2</v>
      </c>
      <c r="F53">
        <v>1213216855.5999999</v>
      </c>
      <c r="G53">
        <v>8.7709999999999996E-2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-0.89279731993299805</v>
      </c>
      <c r="Q53">
        <f t="shared" ref="Q53" si="241">F53*P53</f>
        <v>-1083156757.1772189</v>
      </c>
      <c r="R53">
        <f t="shared" ref="R53" si="242">R54+Q53</f>
        <v>112648225886.77513</v>
      </c>
      <c r="S53">
        <f t="shared" ref="S53" si="243">R53/100000</f>
        <v>1126482.2588677513</v>
      </c>
      <c r="T53">
        <f t="shared" ref="T53" si="244">S53/1000</f>
        <v>1126.4822588677514</v>
      </c>
    </row>
    <row r="54" spans="1:20" x14ac:dyDescent="0.25">
      <c r="A54" s="5">
        <v>44539</v>
      </c>
      <c r="B54">
        <v>9.2380000000000004E-2</v>
      </c>
      <c r="C54">
        <v>9.3369999999999995E-2</v>
      </c>
      <c r="D54">
        <v>8.8529999999999998E-2</v>
      </c>
      <c r="E54">
        <v>8.8609999999999994E-2</v>
      </c>
      <c r="F54">
        <v>1537161128.9000001</v>
      </c>
      <c r="G54">
        <v>8.8609999999999994E-2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-0.96694214876033191</v>
      </c>
      <c r="Q54">
        <f t="shared" ref="Q54" si="246">F54*P54</f>
        <v>-1486345884.9694235</v>
      </c>
      <c r="R54">
        <f t="shared" ref="R54" si="247">R55+Q54</f>
        <v>113731382643.95235</v>
      </c>
      <c r="S54">
        <f t="shared" ref="S54" si="248">R54/100000</f>
        <v>1137313.8264395234</v>
      </c>
      <c r="T54">
        <f t="shared" ref="T54" si="249">S54/1000</f>
        <v>1137.3138264395234</v>
      </c>
    </row>
    <row r="55" spans="1:20" x14ac:dyDescent="0.25">
      <c r="A55" s="5">
        <v>44538</v>
      </c>
      <c r="B55">
        <v>8.9959999999999998E-2</v>
      </c>
      <c r="C55">
        <v>9.3810000000000004E-2</v>
      </c>
      <c r="D55">
        <v>8.9590000000000003E-2</v>
      </c>
      <c r="E55">
        <v>9.2369999999999994E-2</v>
      </c>
      <c r="F55">
        <v>1699029669.0999999</v>
      </c>
      <c r="G55">
        <v>9.2369999999999994E-2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0.31753554502369186</v>
      </c>
      <c r="Q55">
        <f t="shared" ref="Q55" si="251">F55*P55</f>
        <v>539502311.98909128</v>
      </c>
      <c r="R55">
        <f t="shared" ref="R55" si="252">R56+Q55</f>
        <v>115217728528.92177</v>
      </c>
      <c r="S55">
        <f t="shared" ref="S55" si="253">R55/100000</f>
        <v>1152177.2852892177</v>
      </c>
      <c r="T55">
        <f t="shared" ref="T55" si="254">S55/1000</f>
        <v>1152.1772852892177</v>
      </c>
    </row>
    <row r="56" spans="1:20" x14ac:dyDescent="0.25">
      <c r="A56" s="5">
        <v>44537</v>
      </c>
      <c r="B56">
        <v>8.7290000000000006E-2</v>
      </c>
      <c r="C56">
        <v>9.2660000000000006E-2</v>
      </c>
      <c r="D56">
        <v>8.6650000000000005E-2</v>
      </c>
      <c r="E56">
        <v>8.9990000000000001E-2</v>
      </c>
      <c r="F56">
        <v>2147556583</v>
      </c>
      <c r="G56">
        <v>8.9990000000000001E-2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0.11148086522462394</v>
      </c>
      <c r="Q56">
        <f t="shared" ref="Q56" si="256">F56*P56</f>
        <v>239411465.99167693</v>
      </c>
      <c r="R56">
        <f t="shared" ref="R56" si="257">R57+Q56</f>
        <v>114678226216.93268</v>
      </c>
      <c r="S56">
        <f t="shared" ref="S56" si="258">R56/100000</f>
        <v>1146782.2621693269</v>
      </c>
      <c r="T56">
        <f t="shared" ref="T56" si="259">S56/1000</f>
        <v>1146.7822621693269</v>
      </c>
    </row>
    <row r="57" spans="1:20" x14ac:dyDescent="0.25">
      <c r="A57" s="5">
        <v>44536</v>
      </c>
      <c r="B57">
        <v>8.4330000000000002E-2</v>
      </c>
      <c r="C57">
        <v>8.7620000000000003E-2</v>
      </c>
      <c r="D57">
        <v>7.8890000000000002E-2</v>
      </c>
      <c r="E57">
        <v>8.7290000000000006E-2</v>
      </c>
      <c r="F57">
        <v>4216577420.5999999</v>
      </c>
      <c r="G57">
        <v>8.7290000000000006E-2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0.92439862542955398</v>
      </c>
      <c r="Q57">
        <f t="shared" ref="Q57" si="261">F57*P57</f>
        <v>3897798371.6199341</v>
      </c>
      <c r="R57">
        <f t="shared" ref="R57" si="262">R58+Q57</f>
        <v>114438814750.94099</v>
      </c>
      <c r="S57">
        <f t="shared" ref="S57" si="263">R57/100000</f>
        <v>1144388.14750941</v>
      </c>
      <c r="T57">
        <f t="shared" ref="T57" si="264">S57/1000</f>
        <v>1144.3881475094101</v>
      </c>
    </row>
    <row r="58" spans="1:20" x14ac:dyDescent="0.25">
      <c r="A58" s="5">
        <v>44535</v>
      </c>
      <c r="B58">
        <v>8.6900000000000005E-2</v>
      </c>
      <c r="C58">
        <v>8.7790000000000007E-2</v>
      </c>
      <c r="D58">
        <v>8.2040000000000002E-2</v>
      </c>
      <c r="E58">
        <v>8.4320000000000006E-2</v>
      </c>
      <c r="F58">
        <v>2850186671.5</v>
      </c>
      <c r="G58">
        <v>8.4320000000000006E-2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-0.20695652173912965</v>
      </c>
      <c r="Q58">
        <f t="shared" ref="Q58" si="266">F58*P58</f>
        <v>-589864719.84086728</v>
      </c>
      <c r="R58">
        <f t="shared" ref="R58" si="267">R59+Q58</f>
        <v>110541016379.32106</v>
      </c>
      <c r="S58">
        <f t="shared" ref="S58" si="268">R58/100000</f>
        <v>1105410.1637932106</v>
      </c>
      <c r="T58">
        <f t="shared" ref="T58" si="269">S58/1000</f>
        <v>1105.4101637932106</v>
      </c>
    </row>
    <row r="59" spans="1:20" x14ac:dyDescent="0.25">
      <c r="A59" s="5">
        <v>44534</v>
      </c>
      <c r="B59">
        <v>9.3859999999999999E-2</v>
      </c>
      <c r="C59">
        <v>9.3979999999999994E-2</v>
      </c>
      <c r="D59">
        <v>7.3050000000000004E-2</v>
      </c>
      <c r="E59">
        <v>8.6959999999999996E-2</v>
      </c>
      <c r="F59">
        <v>6560267812.8999996</v>
      </c>
      <c r="G59">
        <v>8.6959999999999996E-2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0.32919254658385078</v>
      </c>
      <c r="Q59">
        <f t="shared" ref="Q59" si="271">F59*P59</f>
        <v>2159591267.6006198</v>
      </c>
      <c r="R59">
        <f t="shared" ref="R59" si="272">R60+Q59</f>
        <v>111130881099.16193</v>
      </c>
      <c r="S59">
        <f t="shared" ref="S59" si="273">R59/100000</f>
        <v>1111308.8109916192</v>
      </c>
      <c r="T59">
        <f t="shared" ref="T59" si="274">S59/1000</f>
        <v>1111.3088109916193</v>
      </c>
    </row>
    <row r="60" spans="1:20" x14ac:dyDescent="0.25">
      <c r="A60" s="5">
        <v>44533</v>
      </c>
      <c r="B60">
        <v>9.7489999999999993E-2</v>
      </c>
      <c r="C60">
        <v>0.10195</v>
      </c>
      <c r="D60">
        <v>9.325E-2</v>
      </c>
      <c r="E60">
        <v>9.3880000000000005E-2</v>
      </c>
      <c r="F60">
        <v>4840324720.6000004</v>
      </c>
      <c r="G60">
        <v>9.3880000000000005E-2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-0.85517241379310216</v>
      </c>
      <c r="Q60">
        <f t="shared" ref="Q60" si="276">F60*P60</f>
        <v>-4139312174.8579249</v>
      </c>
      <c r="R60">
        <f t="shared" ref="R60" si="277">R61+Q60</f>
        <v>108971289831.56131</v>
      </c>
      <c r="S60">
        <f t="shared" ref="S60" si="278">R60/100000</f>
        <v>1089712.8983156132</v>
      </c>
      <c r="T60">
        <f t="shared" ref="T60" si="279">S60/1000</f>
        <v>1089.7128983156131</v>
      </c>
    </row>
    <row r="61" spans="1:20" x14ac:dyDescent="0.25">
      <c r="A61" s="5">
        <v>44532</v>
      </c>
      <c r="B61">
        <v>9.6860000000000002E-2</v>
      </c>
      <c r="C61">
        <v>9.8229999999999998E-2</v>
      </c>
      <c r="D61">
        <v>9.4960000000000003E-2</v>
      </c>
      <c r="E61">
        <v>9.7500000000000003E-2</v>
      </c>
      <c r="F61">
        <v>4200832971</v>
      </c>
      <c r="G61">
        <v>9.7500000000000003E-2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0.55351681957186816</v>
      </c>
      <c r="Q61">
        <f t="shared" ref="Q61" si="281">F61*P61</f>
        <v>2325231705.660562</v>
      </c>
      <c r="R61">
        <f t="shared" ref="R61" si="282">R62+Q61</f>
        <v>113110602006.41924</v>
      </c>
      <c r="S61">
        <f t="shared" ref="S61" si="283">R61/100000</f>
        <v>1131106.0200641924</v>
      </c>
      <c r="T61">
        <f t="shared" ref="T61" si="284">S61/1000</f>
        <v>1131.1060200641923</v>
      </c>
    </row>
    <row r="62" spans="1:20" x14ac:dyDescent="0.25">
      <c r="A62" s="5">
        <v>44531</v>
      </c>
      <c r="B62">
        <v>9.6530000000000005E-2</v>
      </c>
      <c r="C62">
        <v>0.10063999999999999</v>
      </c>
      <c r="D62">
        <v>9.5759999999999998E-2</v>
      </c>
      <c r="E62">
        <v>9.6879999999999994E-2</v>
      </c>
      <c r="F62">
        <v>3009605855.0999999</v>
      </c>
      <c r="G62">
        <v>9.6879999999999994E-2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-0.54098360655737832</v>
      </c>
      <c r="Q62">
        <f t="shared" ref="Q62" si="286">F62*P62</f>
        <v>-1628147429.8082006</v>
      </c>
      <c r="R62">
        <f t="shared" ref="R62" si="287">R63+Q62</f>
        <v>110785370300.75867</v>
      </c>
      <c r="S62">
        <f t="shared" ref="S62" si="288">R62/100000</f>
        <v>1107853.7030075868</v>
      </c>
      <c r="T62">
        <f t="shared" ref="T62" si="289">S62/1000</f>
        <v>1107.8537030075868</v>
      </c>
    </row>
    <row r="63" spans="1:20" x14ac:dyDescent="0.25">
      <c r="A63" s="5">
        <v>44530</v>
      </c>
      <c r="B63">
        <v>9.6549999999999997E-2</v>
      </c>
      <c r="C63">
        <v>9.9890000000000007E-2</v>
      </c>
      <c r="D63">
        <v>9.493E-2</v>
      </c>
      <c r="E63">
        <v>9.6519999999999995E-2</v>
      </c>
      <c r="F63">
        <v>5570918411.1999998</v>
      </c>
      <c r="G63">
        <v>9.6519999999999995E-2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-0.35887096774193861</v>
      </c>
      <c r="Q63">
        <f t="shared" ref="Q63" si="291">F63*P63</f>
        <v>-1999240881.4387269</v>
      </c>
      <c r="R63">
        <f t="shared" ref="R63" si="292">R64+Q63</f>
        <v>112413517730.56686</v>
      </c>
      <c r="S63">
        <f t="shared" ref="S63" si="293">R63/100000</f>
        <v>1124135.1773056686</v>
      </c>
      <c r="T63">
        <f t="shared" ref="T63" si="294">S63/1000</f>
        <v>1124.1351773056685</v>
      </c>
    </row>
    <row r="64" spans="1:20" x14ac:dyDescent="0.25">
      <c r="A64" s="5">
        <v>44529</v>
      </c>
      <c r="B64">
        <v>9.5180000000000001E-2</v>
      </c>
      <c r="C64">
        <v>9.7180000000000002E-2</v>
      </c>
      <c r="D64">
        <v>9.4299999999999995E-2</v>
      </c>
      <c r="E64">
        <v>9.6549999999999997E-2</v>
      </c>
      <c r="F64">
        <v>3803201323.1999998</v>
      </c>
      <c r="G64">
        <v>9.6549999999999997E-2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0.56249999999999734</v>
      </c>
      <c r="Q64">
        <f t="shared" ref="Q64" si="296">F64*P64</f>
        <v>2139300744.2999897</v>
      </c>
      <c r="R64">
        <f t="shared" ref="R64" si="297">R65+Q64</f>
        <v>114412758612.00558</v>
      </c>
      <c r="S64">
        <f t="shared" ref="S64" si="298">R64/100000</f>
        <v>1144127.5861200558</v>
      </c>
      <c r="T64">
        <f t="shared" ref="T64" si="299">S64/1000</f>
        <v>1144.1275861200559</v>
      </c>
    </row>
    <row r="65" spans="1:20" x14ac:dyDescent="0.25">
      <c r="A65" s="5">
        <v>44528</v>
      </c>
      <c r="B65">
        <v>9.3350000000000002E-2</v>
      </c>
      <c r="C65">
        <v>9.5320000000000002E-2</v>
      </c>
      <c r="D65">
        <v>8.9370000000000005E-2</v>
      </c>
      <c r="E65">
        <v>9.5180000000000001E-2</v>
      </c>
      <c r="F65">
        <v>5521513536.3999996</v>
      </c>
      <c r="G65">
        <v>9.5180000000000001E-2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0.95294117647058785</v>
      </c>
      <c r="Q65">
        <f t="shared" ref="Q65" si="301">F65*P65</f>
        <v>5261677605.2752914</v>
      </c>
      <c r="R65">
        <f t="shared" ref="R65" si="302">R66+Q65</f>
        <v>112273457867.7056</v>
      </c>
      <c r="S65">
        <f t="shared" ref="S65" si="303">R65/100000</f>
        <v>1122734.5786770559</v>
      </c>
      <c r="T65">
        <f t="shared" ref="T65" si="304">S65/1000</f>
        <v>1122.7345786770559</v>
      </c>
    </row>
    <row r="66" spans="1:20" x14ac:dyDescent="0.25">
      <c r="A66" s="5">
        <v>44527</v>
      </c>
      <c r="B66">
        <v>9.2249999999999999E-2</v>
      </c>
      <c r="C66">
        <v>9.5369999999999996E-2</v>
      </c>
      <c r="D66">
        <v>9.1819999999999999E-2</v>
      </c>
      <c r="E66">
        <v>9.3350000000000002E-2</v>
      </c>
      <c r="F66">
        <v>3516703305</v>
      </c>
      <c r="G66">
        <v>9.3350000000000002E-2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-0.13802816901408191</v>
      </c>
      <c r="Q66">
        <f t="shared" ref="Q66" si="306">F66*P66</f>
        <v>-485404118.15492046</v>
      </c>
      <c r="R66">
        <f t="shared" ref="R66" si="307">R67+Q66</f>
        <v>107011780262.43031</v>
      </c>
      <c r="S66">
        <f t="shared" ref="S66" si="308">R66/100000</f>
        <v>1070117.8026243031</v>
      </c>
      <c r="T66">
        <f t="shared" ref="T66" si="309">S66/1000</f>
        <v>1070.1178026243031</v>
      </c>
    </row>
    <row r="67" spans="1:20" x14ac:dyDescent="0.25">
      <c r="A67" s="5">
        <v>44526</v>
      </c>
      <c r="B67">
        <v>0.10019</v>
      </c>
      <c r="C67">
        <v>0.10133</v>
      </c>
      <c r="D67">
        <v>9.0230000000000005E-2</v>
      </c>
      <c r="E67">
        <v>9.2289999999999997E-2</v>
      </c>
      <c r="F67">
        <v>5963393867.3000002</v>
      </c>
      <c r="G67">
        <v>9.2289999999999997E-2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-0.62882882882883018</v>
      </c>
      <c r="Q67">
        <f t="shared" ref="Q67" si="311">F67*P67</f>
        <v>-3749953981.4192872</v>
      </c>
      <c r="R67">
        <f t="shared" ref="R67" si="312">R68+Q67</f>
        <v>107497184380.58524</v>
      </c>
      <c r="S67">
        <f t="shared" ref="S67" si="313">R67/100000</f>
        <v>1074971.8438058523</v>
      </c>
      <c r="T67">
        <f t="shared" ref="T67" si="314">S67/1000</f>
        <v>1074.9718438058524</v>
      </c>
    </row>
    <row r="68" spans="1:20" x14ac:dyDescent="0.25">
      <c r="A68" s="5">
        <v>44525</v>
      </c>
      <c r="B68">
        <v>9.7850000000000006E-2</v>
      </c>
      <c r="C68">
        <v>0.10115</v>
      </c>
      <c r="D68">
        <v>9.7159999999999996E-2</v>
      </c>
      <c r="E68">
        <v>0.10019</v>
      </c>
      <c r="F68">
        <v>2429486456.1999998</v>
      </c>
      <c r="G68">
        <v>0.10019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0.51879699248120259</v>
      </c>
      <c r="Q68">
        <f t="shared" ref="Q68" si="316">F68*P68</f>
        <v>1260410266.7503748</v>
      </c>
      <c r="R68">
        <f t="shared" ref="R68" si="317">R69+Q68</f>
        <v>111247138362.00452</v>
      </c>
      <c r="S68">
        <f t="shared" ref="S68" si="318">R68/100000</f>
        <v>1112471.3836200451</v>
      </c>
      <c r="T68">
        <f t="shared" ref="T68" si="319">S68/1000</f>
        <v>1112.4713836200451</v>
      </c>
    </row>
    <row r="69" spans="1:20" x14ac:dyDescent="0.25">
      <c r="A69" s="5">
        <v>44524</v>
      </c>
      <c r="B69">
        <v>0.10283</v>
      </c>
      <c r="C69">
        <v>0.1037</v>
      </c>
      <c r="D69">
        <v>9.912E-2</v>
      </c>
      <c r="E69">
        <v>0.1002</v>
      </c>
      <c r="F69">
        <v>683892480.10000002</v>
      </c>
      <c r="G69">
        <v>0.1002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-0.52838427947598365</v>
      </c>
      <c r="Q69">
        <f t="shared" ref="Q69" si="321">F69*P69</f>
        <v>-361358035.33668202</v>
      </c>
      <c r="R69">
        <f t="shared" ref="R69" si="322">R70+Q69</f>
        <v>109986728095.25414</v>
      </c>
      <c r="S69">
        <f t="shared" ref="S69" si="323">R69/100000</f>
        <v>1099867.2809525414</v>
      </c>
      <c r="T69">
        <f t="shared" ref="T69" si="324">S69/1000</f>
        <v>1099.8672809525415</v>
      </c>
    </row>
    <row r="70" spans="1:20" x14ac:dyDescent="0.25">
      <c r="A70" s="5">
        <v>44523</v>
      </c>
      <c r="B70">
        <v>0.10181999999999999</v>
      </c>
      <c r="C70">
        <v>0.10344</v>
      </c>
      <c r="D70">
        <v>0.10100000000000001</v>
      </c>
      <c r="E70">
        <v>0.10283</v>
      </c>
      <c r="F70">
        <v>3822265696.6999998</v>
      </c>
      <c r="G70">
        <v>0.10283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0.5</v>
      </c>
      <c r="Q70">
        <f t="shared" ref="Q70" si="326">F70*P70</f>
        <v>1911132848.3499999</v>
      </c>
      <c r="R70">
        <f t="shared" ref="R70" si="327">R71+Q70</f>
        <v>110348086130.59082</v>
      </c>
      <c r="S70">
        <f t="shared" ref="S70" si="328">R70/100000</f>
        <v>1103480.8613059083</v>
      </c>
      <c r="T70">
        <f t="shared" ref="T70" si="329">S70/1000</f>
        <v>1103.4808613059083</v>
      </c>
    </row>
    <row r="71" spans="1:20" x14ac:dyDescent="0.25">
      <c r="A71" s="5">
        <v>44522</v>
      </c>
      <c r="B71">
        <v>0.1065</v>
      </c>
      <c r="C71">
        <v>0.10706</v>
      </c>
      <c r="D71">
        <v>0.10117</v>
      </c>
      <c r="E71">
        <v>0.10181999999999999</v>
      </c>
      <c r="F71">
        <v>4555165640.1000004</v>
      </c>
      <c r="G71">
        <v>0.10181999999999999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-0.77928692699490765</v>
      </c>
      <c r="Q71">
        <f t="shared" ref="Q71" si="331">F71*P71</f>
        <v>-3549781033.6263208</v>
      </c>
      <c r="R71">
        <f t="shared" ref="R71" si="332">R72+Q71</f>
        <v>108436953282.24081</v>
      </c>
      <c r="S71">
        <f t="shared" ref="S71" si="333">R71/100000</f>
        <v>1084369.5328224082</v>
      </c>
      <c r="T71">
        <f t="shared" ref="T71" si="334">S71/1000</f>
        <v>1084.3695328224082</v>
      </c>
    </row>
    <row r="72" spans="1:20" x14ac:dyDescent="0.25">
      <c r="A72" s="5">
        <v>44521</v>
      </c>
      <c r="B72">
        <v>0.10518</v>
      </c>
      <c r="C72">
        <v>0.11017</v>
      </c>
      <c r="D72">
        <v>0.10445</v>
      </c>
      <c r="E72">
        <v>0.10643</v>
      </c>
      <c r="F72">
        <v>4003899790.0999999</v>
      </c>
      <c r="G72">
        <v>0.10643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-0.30769230769230954</v>
      </c>
      <c r="Q72">
        <f t="shared" ref="Q72" si="336">F72*P72</f>
        <v>-1231969166.1846228</v>
      </c>
      <c r="R72">
        <f t="shared" ref="R72" si="337">R73+Q72</f>
        <v>111986734315.86714</v>
      </c>
      <c r="S72">
        <f t="shared" ref="S72" si="338">R72/100000</f>
        <v>1119867.3431586714</v>
      </c>
      <c r="T72">
        <f t="shared" ref="T72" si="339">S72/1000</f>
        <v>1119.8673431586715</v>
      </c>
    </row>
    <row r="73" spans="1:20" x14ac:dyDescent="0.25">
      <c r="A73" s="5">
        <v>44520</v>
      </c>
      <c r="B73">
        <v>0.10387</v>
      </c>
      <c r="C73">
        <v>0.1057</v>
      </c>
      <c r="D73">
        <v>0.1014</v>
      </c>
      <c r="E73">
        <v>0.10519000000000001</v>
      </c>
      <c r="F73">
        <v>4329535156.6000004</v>
      </c>
      <c r="G73">
        <v>0.10519000000000001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0.76279069767442009</v>
      </c>
      <c r="Q73">
        <f t="shared" ref="Q73" si="341">F73*P73</f>
        <v>3302529142.7088437</v>
      </c>
      <c r="R73">
        <f t="shared" ref="R73" si="342">R74+Q73</f>
        <v>113218703482.05176</v>
      </c>
      <c r="S73">
        <f t="shared" ref="S73" si="343">R73/100000</f>
        <v>1132187.0348205175</v>
      </c>
      <c r="T73">
        <f t="shared" ref="T73" si="344">S73/1000</f>
        <v>1132.1870348205175</v>
      </c>
    </row>
    <row r="74" spans="1:20" x14ac:dyDescent="0.25">
      <c r="A74" s="5">
        <v>44519</v>
      </c>
      <c r="B74">
        <v>0.10038999999999999</v>
      </c>
      <c r="C74">
        <v>0.10566</v>
      </c>
      <c r="D74">
        <v>9.7869999999999999E-2</v>
      </c>
      <c r="E74">
        <v>0.10387</v>
      </c>
      <c r="F74">
        <v>5607857769</v>
      </c>
      <c r="G74">
        <v>0.10387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0.54043645699614928</v>
      </c>
      <c r="Q74">
        <f t="shared" ref="Q74" si="346">F74*P74</f>
        <v>3030690784.0166903</v>
      </c>
      <c r="R74">
        <f t="shared" ref="R74" si="347">R75+Q74</f>
        <v>109916174339.34291</v>
      </c>
      <c r="S74">
        <f t="shared" ref="S74" si="348">R74/100000</f>
        <v>1099161.7433934291</v>
      </c>
      <c r="T74">
        <f t="shared" ref="T74" si="349">S74/1000</f>
        <v>1099.1617433934291</v>
      </c>
    </row>
    <row r="75" spans="1:20" x14ac:dyDescent="0.25">
      <c r="A75" s="5">
        <v>44518</v>
      </c>
      <c r="B75">
        <v>0.11117</v>
      </c>
      <c r="C75">
        <v>0.11260000000000001</v>
      </c>
      <c r="D75">
        <v>9.937E-2</v>
      </c>
      <c r="E75">
        <v>0.10038</v>
      </c>
      <c r="F75">
        <v>3482351176.4000001</v>
      </c>
      <c r="G75">
        <v>0.10038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-0.84731670445956209</v>
      </c>
      <c r="Q75">
        <f t="shared" ref="Q75" si="351">F75*P75</f>
        <v>-2950654322.5581274</v>
      </c>
      <c r="R75">
        <f t="shared" ref="R75" si="352">R76+Q75</f>
        <v>106885483555.32622</v>
      </c>
      <c r="S75">
        <f t="shared" ref="S75" si="353">R75/100000</f>
        <v>1068854.8355532621</v>
      </c>
      <c r="T75">
        <f t="shared" ref="T75" si="354">S75/1000</f>
        <v>1068.8548355532621</v>
      </c>
    </row>
    <row r="76" spans="1:20" x14ac:dyDescent="0.25">
      <c r="A76" s="5">
        <v>44517</v>
      </c>
      <c r="B76">
        <v>0.10934000000000001</v>
      </c>
      <c r="C76">
        <v>0.11369</v>
      </c>
      <c r="D76">
        <v>0.10693</v>
      </c>
      <c r="E76">
        <v>0.11119</v>
      </c>
      <c r="F76">
        <v>3314778779</v>
      </c>
      <c r="G76">
        <v>0.11119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0.26035502958579837</v>
      </c>
      <c r="Q76">
        <f t="shared" ref="Q76" si="356">F76*P76</f>
        <v>863019327.07692158</v>
      </c>
      <c r="R76">
        <f t="shared" ref="R76" si="357">R77+Q76</f>
        <v>109836137877.88434</v>
      </c>
      <c r="S76">
        <f t="shared" ref="S76" si="358">R76/100000</f>
        <v>1098361.3787788434</v>
      </c>
      <c r="T76">
        <f t="shared" ref="T76" si="359">S76/1000</f>
        <v>1098.3613787788433</v>
      </c>
    </row>
    <row r="77" spans="1:20" x14ac:dyDescent="0.25">
      <c r="A77" s="5">
        <v>44516</v>
      </c>
      <c r="B77">
        <v>0.12379999999999999</v>
      </c>
      <c r="C77">
        <v>0.12381</v>
      </c>
      <c r="D77">
        <v>0.10531</v>
      </c>
      <c r="E77">
        <v>0.10934000000000001</v>
      </c>
      <c r="F77">
        <v>4472379706.5</v>
      </c>
      <c r="G77">
        <v>0.10934000000000001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-0.56432432432432378</v>
      </c>
      <c r="Q77">
        <f t="shared" ref="Q77" si="361">F77*P77</f>
        <v>-2523872655.9924302</v>
      </c>
      <c r="R77">
        <f t="shared" ref="R77" si="362">R78+Q77</f>
        <v>108973118550.80742</v>
      </c>
      <c r="S77">
        <f t="shared" ref="S77" si="363">R77/100000</f>
        <v>1089731.1855080742</v>
      </c>
      <c r="T77">
        <f t="shared" ref="T77" si="364">S77/1000</f>
        <v>1089.7311855080743</v>
      </c>
    </row>
    <row r="78" spans="1:20" x14ac:dyDescent="0.25">
      <c r="A78" s="5">
        <v>44515</v>
      </c>
      <c r="B78">
        <v>0.11699</v>
      </c>
      <c r="C78">
        <v>0.12933</v>
      </c>
      <c r="D78">
        <v>0.11573</v>
      </c>
      <c r="E78">
        <v>0.12379999999999999</v>
      </c>
      <c r="F78">
        <v>4855348055.5</v>
      </c>
      <c r="G78">
        <v>0.12379999999999999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0.18676470588235194</v>
      </c>
      <c r="Q78">
        <f t="shared" ref="Q78" si="366">F78*P78</f>
        <v>906807651.54190695</v>
      </c>
      <c r="R78">
        <f t="shared" ref="R78" si="367">R79+Q78</f>
        <v>111496991206.79985</v>
      </c>
      <c r="S78">
        <f t="shared" ref="S78" si="368">R78/100000</f>
        <v>1114969.9120679984</v>
      </c>
      <c r="T78">
        <f t="shared" ref="T78" si="369">S78/1000</f>
        <v>1114.9699120679984</v>
      </c>
    </row>
    <row r="79" spans="1:20" x14ac:dyDescent="0.25">
      <c r="A79" s="5">
        <v>44514</v>
      </c>
      <c r="B79">
        <v>0.11254</v>
      </c>
      <c r="C79">
        <v>0.11737</v>
      </c>
      <c r="D79">
        <v>0.11056000000000001</v>
      </c>
      <c r="E79">
        <v>0.11700000000000001</v>
      </c>
      <c r="F79">
        <v>2743041788.6999998</v>
      </c>
      <c r="G79">
        <v>0.11700000000000001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0.89133627019089701</v>
      </c>
      <c r="Q79">
        <f t="shared" ref="Q79" si="371">F79*P79</f>
        <v>2444972636.9176245</v>
      </c>
      <c r="R79">
        <f t="shared" ref="R79" si="372">R80+Q79</f>
        <v>110590183555.25795</v>
      </c>
      <c r="S79">
        <f t="shared" ref="S79" si="373">R79/100000</f>
        <v>1105901.8355525795</v>
      </c>
      <c r="T79">
        <f t="shared" ref="T79" si="374">S79/1000</f>
        <v>1105.9018355525795</v>
      </c>
    </row>
    <row r="80" spans="1:20" x14ac:dyDescent="0.25">
      <c r="A80" s="5">
        <v>44513</v>
      </c>
      <c r="B80">
        <v>0.10796</v>
      </c>
      <c r="C80">
        <v>0.11408</v>
      </c>
      <c r="D80">
        <v>0.1075</v>
      </c>
      <c r="E80">
        <v>0.11255</v>
      </c>
      <c r="F80">
        <v>4464485913.3999996</v>
      </c>
      <c r="G80">
        <v>0.11255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0.5349544072948319</v>
      </c>
      <c r="Q80">
        <f t="shared" ref="Q80" si="376">F80*P80</f>
        <v>2388296415.6790228</v>
      </c>
      <c r="R80">
        <f t="shared" ref="R80" si="377">R81+Q80</f>
        <v>108145210918.34033</v>
      </c>
      <c r="S80">
        <f t="shared" ref="S80" si="378">R80/100000</f>
        <v>1081452.1091834034</v>
      </c>
      <c r="T80">
        <f t="shared" ref="T80" si="379">S80/1000</f>
        <v>1081.4521091834035</v>
      </c>
    </row>
    <row r="81" spans="1:20" x14ac:dyDescent="0.25">
      <c r="A81" s="5">
        <v>44512</v>
      </c>
      <c r="B81">
        <v>0.10892</v>
      </c>
      <c r="C81">
        <v>0.11086</v>
      </c>
      <c r="D81">
        <v>0.1047</v>
      </c>
      <c r="E81">
        <v>0.10796</v>
      </c>
      <c r="F81">
        <v>3859610689.5999999</v>
      </c>
      <c r="G81">
        <v>0.10796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5.8441558441558322E-2</v>
      </c>
      <c r="Q81">
        <f t="shared" ref="Q81" si="381">F81*P81</f>
        <v>225561663.67792162</v>
      </c>
      <c r="R81">
        <f t="shared" ref="R81" si="382">R82+Q81</f>
        <v>105756914502.66132</v>
      </c>
      <c r="S81">
        <f t="shared" ref="S81" si="383">R81/100000</f>
        <v>1057569.1450266133</v>
      </c>
      <c r="T81">
        <f t="shared" ref="T81" si="384">S81/1000</f>
        <v>1057.5691450266133</v>
      </c>
    </row>
    <row r="82" spans="1:20" x14ac:dyDescent="0.25">
      <c r="A82" s="5">
        <v>44511</v>
      </c>
      <c r="B82">
        <v>0.10662000000000001</v>
      </c>
      <c r="C82">
        <v>0.11047</v>
      </c>
      <c r="D82">
        <v>0.10483000000000001</v>
      </c>
      <c r="E82">
        <v>0.10893</v>
      </c>
      <c r="F82">
        <v>3601436072.9000001</v>
      </c>
      <c r="G82">
        <v>0.10893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0.45390070921985753</v>
      </c>
      <c r="Q82">
        <f t="shared" ref="Q82" si="386">F82*P82</f>
        <v>1634694387.6992886</v>
      </c>
      <c r="R82">
        <f t="shared" ref="R82" si="387">R83+Q82</f>
        <v>105531352838.9834</v>
      </c>
      <c r="S82">
        <f t="shared" ref="S82" si="388">R82/100000</f>
        <v>1055313.5283898341</v>
      </c>
      <c r="T82">
        <f t="shared" ref="T82" si="389">S82/1000</f>
        <v>1055.3135283898341</v>
      </c>
    </row>
    <row r="83" spans="1:20" x14ac:dyDescent="0.25">
      <c r="A83" s="5">
        <v>44510</v>
      </c>
      <c r="B83">
        <v>0.11436</v>
      </c>
      <c r="C83">
        <v>0.11751</v>
      </c>
      <c r="D83">
        <v>0.10279000000000001</v>
      </c>
      <c r="E83">
        <v>0.10662000000000001</v>
      </c>
      <c r="F83">
        <v>4220457215.1999998</v>
      </c>
      <c r="G83">
        <v>0.10662000000000001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-0.47961956521739119</v>
      </c>
      <c r="Q83">
        <f t="shared" ref="Q83" si="391">F83*P83</f>
        <v>-2024213854.5728254</v>
      </c>
      <c r="R83">
        <f t="shared" ref="R83" si="392">R84+Q83</f>
        <v>103896658451.2841</v>
      </c>
      <c r="S83">
        <f t="shared" ref="S83" si="393">R83/100000</f>
        <v>1038966.5845128411</v>
      </c>
      <c r="T83">
        <f t="shared" ref="T83" si="394">S83/1000</f>
        <v>1038.9665845128411</v>
      </c>
    </row>
    <row r="84" spans="1:20" x14ac:dyDescent="0.25">
      <c r="A84" s="5">
        <v>44509</v>
      </c>
      <c r="B84">
        <v>0.10994</v>
      </c>
      <c r="C84">
        <v>0.11545999999999999</v>
      </c>
      <c r="D84">
        <v>0.10843999999999999</v>
      </c>
      <c r="E84">
        <v>0.11436</v>
      </c>
      <c r="F84">
        <v>5003726169.5</v>
      </c>
      <c r="G84">
        <v>0.11436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0.68660968660968946</v>
      </c>
      <c r="Q84">
        <f t="shared" ref="Q84" si="396">F84*P84</f>
        <v>3435606857.1210971</v>
      </c>
      <c r="R84">
        <f t="shared" ref="R84" si="397">R85+Q84</f>
        <v>105920872305.85693</v>
      </c>
      <c r="S84">
        <f t="shared" ref="S84" si="398">R84/100000</f>
        <v>1059208.7230585692</v>
      </c>
      <c r="T84">
        <f t="shared" ref="T84" si="399">S84/1000</f>
        <v>1059.2087230585691</v>
      </c>
    </row>
    <row r="85" spans="1:20" x14ac:dyDescent="0.25">
      <c r="A85" s="5">
        <v>44508</v>
      </c>
      <c r="B85">
        <v>0.1045</v>
      </c>
      <c r="C85">
        <v>0.11</v>
      </c>
      <c r="D85">
        <v>0.10444000000000001</v>
      </c>
      <c r="E85">
        <v>0.10993</v>
      </c>
      <c r="F85">
        <v>4711706691.6000004</v>
      </c>
      <c r="G85">
        <v>0.10993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0.9748201438848918</v>
      </c>
      <c r="Q85">
        <f t="shared" ref="Q85" si="401">F85*P85</f>
        <v>4593066595.0489197</v>
      </c>
      <c r="R85">
        <f t="shared" ref="R85" si="402">R86+Q85</f>
        <v>102485265448.73584</v>
      </c>
      <c r="S85">
        <f t="shared" ref="S85" si="403">R85/100000</f>
        <v>1024852.6544873584</v>
      </c>
      <c r="T85">
        <f t="shared" ref="T85" si="404">S85/1000</f>
        <v>1024.8526544873584</v>
      </c>
    </row>
    <row r="86" spans="1:20" x14ac:dyDescent="0.25">
      <c r="A86" s="5">
        <v>44507</v>
      </c>
      <c r="B86">
        <v>0.10252</v>
      </c>
      <c r="C86">
        <v>0.10487</v>
      </c>
      <c r="D86">
        <v>0.10197000000000001</v>
      </c>
      <c r="E86">
        <v>0.1045</v>
      </c>
      <c r="F86">
        <v>3281860242.1999998</v>
      </c>
      <c r="G86">
        <v>0.1045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0.74482758620689016</v>
      </c>
      <c r="Q86">
        <f t="shared" ref="Q86" si="406">F86*P86</f>
        <v>2444420042.4661856</v>
      </c>
      <c r="R86">
        <f t="shared" ref="R86" si="407">R87+Q86</f>
        <v>97892198853.68692</v>
      </c>
      <c r="S86">
        <f t="shared" ref="S86" si="408">R86/100000</f>
        <v>978921.98853686918</v>
      </c>
      <c r="T86">
        <f t="shared" ref="T86" si="409">S86/1000</f>
        <v>978.92198853686921</v>
      </c>
    </row>
    <row r="87" spans="1:20" x14ac:dyDescent="0.25">
      <c r="A87" s="5">
        <v>44506</v>
      </c>
      <c r="B87">
        <v>0.10346</v>
      </c>
      <c r="C87">
        <v>0.10425</v>
      </c>
      <c r="D87">
        <v>9.9449999999999997E-2</v>
      </c>
      <c r="E87">
        <v>0.10252</v>
      </c>
      <c r="F87">
        <v>2662882329.1999998</v>
      </c>
      <c r="G87">
        <v>0.10252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0.27916666666666839</v>
      </c>
      <c r="Q87">
        <f t="shared" ref="Q87" si="411">F87*P87</f>
        <v>743387983.56833792</v>
      </c>
      <c r="R87">
        <f t="shared" ref="R87" si="412">R88+Q87</f>
        <v>95447778811.220734</v>
      </c>
      <c r="S87">
        <f t="shared" ref="S87" si="413">R87/100000</f>
        <v>954477.78811220732</v>
      </c>
      <c r="T87">
        <f t="shared" ref="T87" si="414">S87/1000</f>
        <v>954.47778811220735</v>
      </c>
    </row>
    <row r="88" spans="1:20" x14ac:dyDescent="0.25">
      <c r="A88" s="5">
        <v>44505</v>
      </c>
      <c r="B88">
        <v>0.10329000000000001</v>
      </c>
      <c r="C88">
        <v>0.10612000000000001</v>
      </c>
      <c r="D88">
        <v>0.10213</v>
      </c>
      <c r="E88">
        <v>0.10346</v>
      </c>
      <c r="F88">
        <v>1892847031.5</v>
      </c>
      <c r="G88">
        <v>0.10346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-0.33333333333333565</v>
      </c>
      <c r="Q88">
        <f t="shared" ref="Q88" si="416">F88*P88</f>
        <v>-630949010.50000441</v>
      </c>
      <c r="R88">
        <f t="shared" ref="R88" si="417">R89+Q88</f>
        <v>94704390827.65239</v>
      </c>
      <c r="S88">
        <f t="shared" ref="S88" si="418">R88/100000</f>
        <v>947043.90827652393</v>
      </c>
      <c r="T88">
        <f t="shared" ref="T88" si="419">S88/1000</f>
        <v>947.04390827652389</v>
      </c>
    </row>
    <row r="89" spans="1:20" x14ac:dyDescent="0.25">
      <c r="A89" s="5">
        <v>44504</v>
      </c>
      <c r="B89">
        <v>0.10588</v>
      </c>
      <c r="C89">
        <v>0.10717</v>
      </c>
      <c r="D89">
        <v>0.10159</v>
      </c>
      <c r="E89">
        <v>0.10329000000000001</v>
      </c>
      <c r="F89">
        <v>3104039091.6999998</v>
      </c>
      <c r="G89">
        <v>0.10329000000000001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-0.39068100358422703</v>
      </c>
      <c r="Q89">
        <f t="shared" ref="Q89" si="421">F89*P89</f>
        <v>-1212689107.5100284</v>
      </c>
      <c r="R89">
        <f t="shared" ref="R89" si="422">R90+Q89</f>
        <v>95335339838.15239</v>
      </c>
      <c r="S89">
        <f t="shared" ref="S89" si="423">R89/100000</f>
        <v>953353.3983815239</v>
      </c>
      <c r="T89">
        <f t="shared" ref="T89" si="424">S89/1000</f>
        <v>953.3533983815239</v>
      </c>
    </row>
    <row r="90" spans="1:20" x14ac:dyDescent="0.25">
      <c r="A90" s="5">
        <v>44503</v>
      </c>
      <c r="B90">
        <v>0.10747</v>
      </c>
      <c r="C90">
        <v>0.10925</v>
      </c>
      <c r="D90">
        <v>0.10201</v>
      </c>
      <c r="E90">
        <v>0.10587000000000001</v>
      </c>
      <c r="F90">
        <v>4253627778.6999998</v>
      </c>
      <c r="G90">
        <v>0.10587000000000001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6.6298342541437627E-2</v>
      </c>
      <c r="Q90">
        <f t="shared" ref="Q90" si="426">F90*P90</f>
        <v>282008471.51602703</v>
      </c>
      <c r="R90">
        <f t="shared" ref="R90" si="427">R91+Q90</f>
        <v>96548028945.662415</v>
      </c>
      <c r="S90">
        <f t="shared" ref="S90" si="428">R90/100000</f>
        <v>965480.28945662419</v>
      </c>
      <c r="T90">
        <f t="shared" ref="T90" si="429">S90/1000</f>
        <v>965.48028945662418</v>
      </c>
    </row>
    <row r="91" spans="1:20" x14ac:dyDescent="0.25">
      <c r="A91" s="5">
        <v>44502</v>
      </c>
      <c r="B91">
        <v>0.10047</v>
      </c>
      <c r="C91">
        <v>0.1105</v>
      </c>
      <c r="D91">
        <v>9.98E-2</v>
      </c>
      <c r="E91">
        <v>0.10748000000000001</v>
      </c>
      <c r="F91">
        <v>4276634925.5</v>
      </c>
      <c r="G91">
        <v>0.10748000000000001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0.43551401869158979</v>
      </c>
      <c r="Q91">
        <f t="shared" ref="Q91" si="431">F91*P91</f>
        <v>1862534462.8813126</v>
      </c>
      <c r="R91">
        <f t="shared" ref="R91" si="432">R92+Q91</f>
        <v>96266020474.146393</v>
      </c>
      <c r="S91">
        <f t="shared" ref="S91" si="433">R91/100000</f>
        <v>962660.20474146388</v>
      </c>
      <c r="T91">
        <f t="shared" ref="T91" si="434">S91/1000</f>
        <v>962.66020474146387</v>
      </c>
    </row>
    <row r="92" spans="1:20" x14ac:dyDescent="0.25">
      <c r="A92" s="5">
        <v>44501</v>
      </c>
      <c r="B92">
        <v>0.10152</v>
      </c>
      <c r="C92">
        <v>0.10205</v>
      </c>
      <c r="D92">
        <v>9.7900000000000001E-2</v>
      </c>
      <c r="E92">
        <v>0.10048</v>
      </c>
      <c r="F92">
        <v>1563889934.7</v>
      </c>
      <c r="G92">
        <v>0.10048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0.24337349397590283</v>
      </c>
      <c r="Q92">
        <f t="shared" ref="Q92" si="436">F92*P92</f>
        <v>380609357.60168552</v>
      </c>
      <c r="R92">
        <f t="shared" ref="R92" si="437">R93+Q92</f>
        <v>94403486011.265076</v>
      </c>
      <c r="S92">
        <f t="shared" ref="S92" si="438">R92/100000</f>
        <v>944034.86011265079</v>
      </c>
      <c r="T92">
        <f t="shared" ref="T92" si="439">S92/1000</f>
        <v>944.03486011265079</v>
      </c>
    </row>
    <row r="93" spans="1:20" x14ac:dyDescent="0.25">
      <c r="A93" s="5">
        <v>44500</v>
      </c>
      <c r="B93">
        <v>0.10111000000000001</v>
      </c>
      <c r="C93">
        <v>0.1024</v>
      </c>
      <c r="D93">
        <v>9.7489999999999993E-2</v>
      </c>
      <c r="E93">
        <v>0.10152</v>
      </c>
      <c r="F93">
        <v>3218139987.0999999</v>
      </c>
      <c r="G93">
        <v>0.10152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0.64154786150712684</v>
      </c>
      <c r="Q93">
        <f t="shared" ref="Q93" si="441">F93*P93</f>
        <v>2064590826.7545776</v>
      </c>
      <c r="R93">
        <f t="shared" ref="R93" si="442">R94+Q93</f>
        <v>94022876653.663391</v>
      </c>
      <c r="S93">
        <f t="shared" ref="S93" si="443">R93/100000</f>
        <v>940228.76653663395</v>
      </c>
      <c r="T93">
        <f t="shared" ref="T93" si="444">S93/1000</f>
        <v>940.228766536634</v>
      </c>
    </row>
    <row r="94" spans="1:20" x14ac:dyDescent="0.25">
      <c r="A94" s="5">
        <v>44499</v>
      </c>
      <c r="B94">
        <v>9.9599999999999994E-2</v>
      </c>
      <c r="C94">
        <v>0.10465000000000001</v>
      </c>
      <c r="D94">
        <v>9.7790000000000002E-2</v>
      </c>
      <c r="E94">
        <v>0.10111000000000001</v>
      </c>
      <c r="F94">
        <v>4237632739.9000001</v>
      </c>
      <c r="G94">
        <v>0.10111000000000001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-3.206997084548073E-2</v>
      </c>
      <c r="Q94">
        <f t="shared" ref="Q94" si="446">F94*P94</f>
        <v>-135900758.42244762</v>
      </c>
      <c r="R94">
        <f t="shared" ref="R94" si="447">R95+Q94</f>
        <v>91958285826.908813</v>
      </c>
      <c r="S94">
        <f t="shared" ref="S94" si="448">R94/100000</f>
        <v>919582.85826908809</v>
      </c>
      <c r="T94">
        <f t="shared" ref="T94" si="449">S94/1000</f>
        <v>919.58285826908809</v>
      </c>
    </row>
    <row r="95" spans="1:20" x14ac:dyDescent="0.25">
      <c r="A95" s="5">
        <v>44498</v>
      </c>
      <c r="B95">
        <v>9.5280000000000004E-2</v>
      </c>
      <c r="C95">
        <v>9.9610000000000004E-2</v>
      </c>
      <c r="D95">
        <v>9.4640000000000002E-2</v>
      </c>
      <c r="E95">
        <v>9.9599999999999994E-2</v>
      </c>
      <c r="F95">
        <v>2970207247.8000002</v>
      </c>
      <c r="G95">
        <v>9.9599999999999994E-2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0.99597585513078069</v>
      </c>
      <c r="Q95">
        <f t="shared" ref="Q95" si="451">F95*P95</f>
        <v>2958254703.5432477</v>
      </c>
      <c r="R95">
        <f t="shared" ref="R95" si="452">R96+Q95</f>
        <v>92094186585.331268</v>
      </c>
      <c r="S95">
        <f t="shared" ref="S95" si="453">R95/100000</f>
        <v>920941.86585331266</v>
      </c>
      <c r="T95">
        <f t="shared" ref="T95" si="454">S95/1000</f>
        <v>920.94186585331261</v>
      </c>
    </row>
    <row r="96" spans="1:20" x14ac:dyDescent="0.25">
      <c r="A96" s="5">
        <v>44497</v>
      </c>
      <c r="B96">
        <v>9.0639999999999998E-2</v>
      </c>
      <c r="C96">
        <v>9.6229999999999996E-2</v>
      </c>
      <c r="D96">
        <v>9.0590000000000004E-2</v>
      </c>
      <c r="E96">
        <v>9.5269999999999994E-2</v>
      </c>
      <c r="F96">
        <v>3360101692.8000002</v>
      </c>
      <c r="G96">
        <v>9.5269999999999994E-2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0.659574468085105</v>
      </c>
      <c r="Q96">
        <f t="shared" ref="Q96" si="456">F96*P96</f>
        <v>2216237286.7404208</v>
      </c>
      <c r="R96">
        <f t="shared" ref="R96" si="457">R97+Q96</f>
        <v>89135931881.788025</v>
      </c>
      <c r="S96">
        <f t="shared" ref="S96" si="458">R96/100000</f>
        <v>891359.31881788024</v>
      </c>
      <c r="T96">
        <f t="shared" ref="T96" si="459">S96/1000</f>
        <v>891.35931881788019</v>
      </c>
    </row>
    <row r="97" spans="1:20" x14ac:dyDescent="0.25">
      <c r="A97" s="5">
        <v>44496</v>
      </c>
      <c r="B97">
        <v>0.10113</v>
      </c>
      <c r="C97">
        <v>0.10267</v>
      </c>
      <c r="D97">
        <v>8.8459999999999997E-2</v>
      </c>
      <c r="E97">
        <v>9.0639999999999998E-2</v>
      </c>
      <c r="F97">
        <v>3152955128.6999998</v>
      </c>
      <c r="G97">
        <v>9.0639999999999998E-2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-0.69317382125263882</v>
      </c>
      <c r="Q97">
        <f t="shared" ref="Q97" si="461">F97*P97</f>
        <v>-2185545954.7990847</v>
      </c>
      <c r="R97">
        <f t="shared" ref="R97" si="462">R98+Q97</f>
        <v>86919694595.047607</v>
      </c>
      <c r="S97">
        <f t="shared" ref="S97" si="463">R97/100000</f>
        <v>869196.9459504761</v>
      </c>
      <c r="T97">
        <f t="shared" ref="T97" si="464">S97/1000</f>
        <v>869.19694595047611</v>
      </c>
    </row>
    <row r="98" spans="1:20" x14ac:dyDescent="0.25">
      <c r="A98" s="5">
        <v>44495</v>
      </c>
      <c r="B98">
        <v>0.10074</v>
      </c>
      <c r="C98">
        <v>0.10576000000000001</v>
      </c>
      <c r="D98">
        <v>0.10013</v>
      </c>
      <c r="E98">
        <v>0.10112</v>
      </c>
      <c r="F98">
        <v>3283695146.0999999</v>
      </c>
      <c r="G98">
        <v>0.10112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-0.64831261101243232</v>
      </c>
      <c r="Q98">
        <f t="shared" ref="Q98" si="466">F98*P98</f>
        <v>-2128860973.9369414</v>
      </c>
      <c r="R98">
        <f t="shared" ref="R98" si="467">R99+Q98</f>
        <v>89105240549.846695</v>
      </c>
      <c r="S98">
        <f t="shared" ref="S98" si="468">R98/100000</f>
        <v>891052.40549846692</v>
      </c>
      <c r="T98">
        <f t="shared" ref="T98" si="469">S98/1000</f>
        <v>891.0524054984669</v>
      </c>
    </row>
    <row r="99" spans="1:20" x14ac:dyDescent="0.25">
      <c r="A99" s="5">
        <v>44494</v>
      </c>
      <c r="B99">
        <v>9.9129999999999996E-2</v>
      </c>
      <c r="C99">
        <v>0.1014</v>
      </c>
      <c r="D99">
        <v>9.869E-2</v>
      </c>
      <c r="E99">
        <v>0.10074</v>
      </c>
      <c r="F99">
        <v>3101638918.5999999</v>
      </c>
      <c r="G99">
        <v>0.10074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0.51291512915128645</v>
      </c>
      <c r="Q99">
        <f t="shared" ref="Q99" si="471">F99*P99</f>
        <v>1590877526.5143754</v>
      </c>
      <c r="R99">
        <f t="shared" ref="R99" si="472">R100+Q99</f>
        <v>91234101523.78363</v>
      </c>
      <c r="S99">
        <f t="shared" ref="S99" si="473">R99/100000</f>
        <v>912341.01523783628</v>
      </c>
      <c r="T99">
        <f t="shared" ref="T99" si="474">S99/1000</f>
        <v>912.34101523783625</v>
      </c>
    </row>
    <row r="100" spans="1:20" x14ac:dyDescent="0.25">
      <c r="A100" s="5">
        <v>44493</v>
      </c>
      <c r="B100">
        <v>0.10066</v>
      </c>
      <c r="C100">
        <v>0.1014</v>
      </c>
      <c r="D100">
        <v>9.7199999999999995E-2</v>
      </c>
      <c r="E100">
        <v>9.9129999999999996E-2</v>
      </c>
      <c r="F100">
        <v>1097802685.2</v>
      </c>
      <c r="G100">
        <v>9.9129999999999996E-2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-8.0952380952382427E-2</v>
      </c>
      <c r="Q100">
        <f t="shared" ref="Q100" si="476">F100*P100</f>
        <v>-88869741.182858765</v>
      </c>
      <c r="R100">
        <f t="shared" ref="R100" si="477">R101+Q100</f>
        <v>89643223997.269257</v>
      </c>
      <c r="S100">
        <f t="shared" ref="S100" si="478">R100/100000</f>
        <v>896432.23997269257</v>
      </c>
      <c r="T100">
        <f t="shared" ref="T100" si="479">S100/1000</f>
        <v>896.43223997269251</v>
      </c>
    </row>
    <row r="101" spans="1:20" x14ac:dyDescent="0.25">
      <c r="A101" s="5">
        <v>44492</v>
      </c>
      <c r="B101">
        <v>9.9820000000000006E-2</v>
      </c>
      <c r="C101">
        <v>0.10119</v>
      </c>
      <c r="D101">
        <v>9.8790000000000003E-2</v>
      </c>
      <c r="E101">
        <v>0.10066</v>
      </c>
      <c r="F101">
        <v>1327359630.5</v>
      </c>
      <c r="G101">
        <v>0.10066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0.55833333333333102</v>
      </c>
      <c r="Q101">
        <f t="shared" ref="Q101" si="481">F101*P101</f>
        <v>741109127.0291636</v>
      </c>
      <c r="R101">
        <f t="shared" ref="R101" si="482">R102+Q101</f>
        <v>89732093738.452118</v>
      </c>
      <c r="S101">
        <f t="shared" ref="S101" si="483">R101/100000</f>
        <v>897320.93738452112</v>
      </c>
      <c r="T101">
        <f t="shared" ref="T101" si="484">S101/1000</f>
        <v>897.32093738452113</v>
      </c>
    </row>
    <row r="102" spans="1:20" x14ac:dyDescent="0.25">
      <c r="A102" s="5">
        <v>44491</v>
      </c>
      <c r="B102">
        <v>9.9589999999999998E-2</v>
      </c>
      <c r="C102">
        <v>0.10235</v>
      </c>
      <c r="D102">
        <v>9.8519999999999996E-2</v>
      </c>
      <c r="E102">
        <v>9.9820000000000006E-2</v>
      </c>
      <c r="F102">
        <v>2004283994.3</v>
      </c>
      <c r="G102">
        <v>9.9820000000000006E-2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-0.32114882506526921</v>
      </c>
      <c r="Q102">
        <f t="shared" ref="Q102" si="486">F102*P102</f>
        <v>-643673449.86656976</v>
      </c>
      <c r="R102">
        <f t="shared" ref="R102" si="487">R103+Q102</f>
        <v>88990984611.422958</v>
      </c>
      <c r="S102">
        <f t="shared" ref="S102" si="488">R102/100000</f>
        <v>889909.84611422953</v>
      </c>
      <c r="T102">
        <f t="shared" ref="T102" si="489">S102/1000</f>
        <v>889.90984611422948</v>
      </c>
    </row>
    <row r="103" spans="1:20" x14ac:dyDescent="0.25">
      <c r="A103" s="5">
        <v>44490</v>
      </c>
      <c r="B103">
        <v>0.10322000000000001</v>
      </c>
      <c r="C103">
        <v>0.10588</v>
      </c>
      <c r="D103">
        <v>9.9460000000000007E-2</v>
      </c>
      <c r="E103">
        <v>9.9580000000000002E-2</v>
      </c>
      <c r="F103">
        <v>2606088968.5</v>
      </c>
      <c r="G103">
        <v>9.9580000000000002E-2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-0.96261682242990809</v>
      </c>
      <c r="Q103">
        <f t="shared" ref="Q103" si="491">F103*P103</f>
        <v>-2508665081.827107</v>
      </c>
      <c r="R103">
        <f t="shared" ref="R103" si="492">R104+Q103</f>
        <v>89634658061.289536</v>
      </c>
      <c r="S103">
        <f t="shared" ref="S103" si="493">R103/100000</f>
        <v>896346.58061289531</v>
      </c>
      <c r="T103">
        <f t="shared" ref="T103" si="494">S103/1000</f>
        <v>896.34658061289531</v>
      </c>
    </row>
    <row r="104" spans="1:20" x14ac:dyDescent="0.25">
      <c r="A104" s="5">
        <v>44489</v>
      </c>
      <c r="B104">
        <v>0.10055</v>
      </c>
      <c r="C104">
        <v>0.10616</v>
      </c>
      <c r="D104">
        <v>0.10008</v>
      </c>
      <c r="E104">
        <v>0.10324</v>
      </c>
      <c r="F104">
        <v>2641180812.9000001</v>
      </c>
      <c r="G104">
        <v>0.10324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3.9473684210524697E-2</v>
      </c>
      <c r="Q104">
        <f t="shared" ref="Q104" si="496">F104*P104</f>
        <v>104257137.35131152</v>
      </c>
      <c r="R104">
        <f t="shared" ref="R104" si="497">R105+Q104</f>
        <v>92143323143.116638</v>
      </c>
      <c r="S104">
        <f t="shared" ref="S104" si="498">R104/100000</f>
        <v>921433.23143116641</v>
      </c>
      <c r="T104">
        <f t="shared" ref="T104" si="499">S104/1000</f>
        <v>921.4332314311664</v>
      </c>
    </row>
    <row r="105" spans="1:20" x14ac:dyDescent="0.25">
      <c r="A105" s="5">
        <v>44488</v>
      </c>
      <c r="B105">
        <v>9.8089999999999997E-2</v>
      </c>
      <c r="C105">
        <v>0.10094</v>
      </c>
      <c r="D105">
        <v>9.7809999999999994E-2</v>
      </c>
      <c r="E105">
        <v>0.10055</v>
      </c>
      <c r="F105">
        <v>1966764066.8</v>
      </c>
      <c r="G105">
        <v>0.10055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0.75079872204472808</v>
      </c>
      <c r="Q105">
        <f t="shared" ref="Q105" si="501">F105*P105</f>
        <v>1476643947.9169321</v>
      </c>
      <c r="R105">
        <f t="shared" ref="R105" si="502">R106+Q105</f>
        <v>92039066005.76532</v>
      </c>
      <c r="S105">
        <f t="shared" ref="S105" si="503">R105/100000</f>
        <v>920390.66005765321</v>
      </c>
      <c r="T105">
        <f t="shared" ref="T105" si="504">S105/1000</f>
        <v>920.39066005765324</v>
      </c>
    </row>
    <row r="106" spans="1:20" x14ac:dyDescent="0.25">
      <c r="A106" s="5">
        <v>44487</v>
      </c>
      <c r="B106">
        <v>9.8710000000000006E-2</v>
      </c>
      <c r="C106">
        <v>9.9379999999999996E-2</v>
      </c>
      <c r="D106">
        <v>9.6949999999999995E-2</v>
      </c>
      <c r="E106">
        <v>9.8100000000000007E-2</v>
      </c>
      <c r="F106">
        <v>1287144322.0999999</v>
      </c>
      <c r="G106">
        <v>9.8100000000000007E-2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-5.3497942386821921E-2</v>
      </c>
      <c r="Q106">
        <f t="shared" ref="Q106" si="506">F106*P106</f>
        <v>-68859572.78723076</v>
      </c>
      <c r="R106">
        <f t="shared" ref="R106" si="507">R107+Q106</f>
        <v>90562422057.848389</v>
      </c>
      <c r="S106">
        <f t="shared" ref="S106" si="508">R106/100000</f>
        <v>905624.22057848389</v>
      </c>
      <c r="T106">
        <f t="shared" ref="T106" si="509">S106/1000</f>
        <v>905.62422057848391</v>
      </c>
    </row>
    <row r="107" spans="1:20" x14ac:dyDescent="0.25">
      <c r="A107" s="5">
        <v>44486</v>
      </c>
      <c r="B107">
        <v>9.8699999999999996E-2</v>
      </c>
      <c r="C107">
        <v>0.10211000000000001</v>
      </c>
      <c r="D107">
        <v>9.6229999999999996E-2</v>
      </c>
      <c r="E107">
        <v>9.8699999999999996E-2</v>
      </c>
      <c r="F107">
        <v>1146627120.8</v>
      </c>
      <c r="G107">
        <v>9.8699999999999996E-2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-0.15986394557823277</v>
      </c>
      <c r="Q107">
        <f t="shared" ref="Q107" si="511">F107*P107</f>
        <v>-183304335.63809693</v>
      </c>
      <c r="R107">
        <f t="shared" ref="R107" si="512">R108+Q107</f>
        <v>90631281630.63562</v>
      </c>
      <c r="S107">
        <f t="shared" ref="S107" si="513">R107/100000</f>
        <v>906312.81630635622</v>
      </c>
      <c r="T107">
        <f t="shared" ref="T107" si="514">S107/1000</f>
        <v>906.31281630635624</v>
      </c>
    </row>
    <row r="108" spans="1:20" x14ac:dyDescent="0.25">
      <c r="A108" s="5">
        <v>44485</v>
      </c>
      <c r="B108">
        <v>9.8619999999999999E-2</v>
      </c>
      <c r="C108">
        <v>0.10098</v>
      </c>
      <c r="D108">
        <v>9.8030000000000006E-2</v>
      </c>
      <c r="E108">
        <v>9.8710000000000006E-2</v>
      </c>
      <c r="F108">
        <v>763895073.60000002</v>
      </c>
      <c r="G108">
        <v>9.8710000000000006E-2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-0.53898305084745668</v>
      </c>
      <c r="Q108">
        <f t="shared" ref="Q108" si="516">F108*P108</f>
        <v>-411726497.29627049</v>
      </c>
      <c r="R108">
        <f t="shared" ref="R108" si="517">R109+Q108</f>
        <v>90814585966.273712</v>
      </c>
      <c r="S108">
        <f t="shared" ref="S108" si="518">R108/100000</f>
        <v>908145.85966273712</v>
      </c>
      <c r="T108">
        <f t="shared" ref="T108" si="519">S108/1000</f>
        <v>908.14585966273717</v>
      </c>
    </row>
    <row r="109" spans="1:20" x14ac:dyDescent="0.25">
      <c r="A109" s="5">
        <v>44484</v>
      </c>
      <c r="B109">
        <v>9.7309999999999994E-2</v>
      </c>
      <c r="C109">
        <v>0.10406</v>
      </c>
      <c r="D109">
        <v>9.5030000000000003E-2</v>
      </c>
      <c r="E109">
        <v>9.8610000000000003E-2</v>
      </c>
      <c r="F109">
        <v>1815553809.3</v>
      </c>
      <c r="G109">
        <v>9.8610000000000003E-2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-0.20708748615725331</v>
      </c>
      <c r="Q109">
        <f t="shared" ref="Q109" si="521">F109*P109</f>
        <v>-375978474.35116225</v>
      </c>
      <c r="R109">
        <f t="shared" ref="R109" si="522">R110+Q109</f>
        <v>91226312463.569977</v>
      </c>
      <c r="S109">
        <f t="shared" ref="S109" si="523">R109/100000</f>
        <v>912263.12463569979</v>
      </c>
      <c r="T109">
        <f t="shared" ref="T109" si="524">S109/1000</f>
        <v>912.2631246356998</v>
      </c>
    </row>
    <row r="110" spans="1:20" x14ac:dyDescent="0.25">
      <c r="A110" s="5">
        <v>44483</v>
      </c>
      <c r="B110">
        <v>9.7939999999999999E-2</v>
      </c>
      <c r="C110">
        <v>9.955E-2</v>
      </c>
      <c r="D110">
        <v>9.6430000000000002E-2</v>
      </c>
      <c r="E110">
        <v>9.7290000000000001E-2</v>
      </c>
      <c r="F110">
        <v>1376995840.5999999</v>
      </c>
      <c r="G110">
        <v>9.7290000000000001E-2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-0.44871794871794857</v>
      </c>
      <c r="Q110">
        <f t="shared" ref="Q110" si="526">F110*P110</f>
        <v>-617882748.98717928</v>
      </c>
      <c r="R110">
        <f t="shared" ref="R110" si="527">R111+Q110</f>
        <v>91602290937.921143</v>
      </c>
      <c r="S110">
        <f t="shared" ref="S110" si="528">R110/100000</f>
        <v>916022.90937921137</v>
      </c>
      <c r="T110">
        <f t="shared" ref="T110" si="529">S110/1000</f>
        <v>916.02290937921134</v>
      </c>
    </row>
    <row r="111" spans="1:20" x14ac:dyDescent="0.25">
      <c r="A111" s="5">
        <v>44482</v>
      </c>
      <c r="B111">
        <v>9.5490000000000005E-2</v>
      </c>
      <c r="C111">
        <v>9.801E-2</v>
      </c>
      <c r="D111">
        <v>9.3380000000000005E-2</v>
      </c>
      <c r="E111">
        <v>9.7930000000000003E-2</v>
      </c>
      <c r="F111">
        <v>1632459784.5</v>
      </c>
      <c r="G111">
        <v>9.7930000000000003E-2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0.96544276457883504</v>
      </c>
      <c r="Q111">
        <f t="shared" ref="Q111" si="531">F111*P111</f>
        <v>1576046487.4114492</v>
      </c>
      <c r="R111">
        <f t="shared" ref="R111" si="532">R112+Q111</f>
        <v>92220173686.908325</v>
      </c>
      <c r="S111">
        <f t="shared" ref="S111" si="533">R111/100000</f>
        <v>922201.73686908325</v>
      </c>
      <c r="T111">
        <f t="shared" ref="T111" si="534">S111/1000</f>
        <v>922.20173686908322</v>
      </c>
    </row>
    <row r="112" spans="1:20" x14ac:dyDescent="0.25">
      <c r="A112" s="5">
        <v>44481</v>
      </c>
      <c r="B112">
        <v>9.7070000000000004E-2</v>
      </c>
      <c r="C112">
        <v>9.7089999999999996E-2</v>
      </c>
      <c r="D112">
        <v>9.1420000000000001E-2</v>
      </c>
      <c r="E112">
        <v>9.5490000000000005E-2</v>
      </c>
      <c r="F112">
        <v>1550967419</v>
      </c>
      <c r="G112">
        <v>9.5490000000000005E-2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0.43562610229277182</v>
      </c>
      <c r="Q112">
        <f t="shared" ref="Q112" si="536">F112*P112</f>
        <v>675641891.52205026</v>
      </c>
      <c r="R112">
        <f t="shared" ref="R112" si="537">R113+Q112</f>
        <v>90644127199.496872</v>
      </c>
      <c r="S112">
        <f t="shared" ref="S112" si="538">R112/100000</f>
        <v>906441.27199496876</v>
      </c>
      <c r="T112">
        <f t="shared" ref="T112" si="539">S112/1000</f>
        <v>906.44127199496882</v>
      </c>
    </row>
    <row r="113" spans="1:20" x14ac:dyDescent="0.25">
      <c r="A113" s="5">
        <v>44480</v>
      </c>
      <c r="B113">
        <v>9.7449999999999995E-2</v>
      </c>
      <c r="C113">
        <v>0.10094</v>
      </c>
      <c r="D113">
        <v>9.5180000000000001E-2</v>
      </c>
      <c r="E113">
        <v>9.7070000000000004E-2</v>
      </c>
      <c r="F113">
        <v>1065449578.3</v>
      </c>
      <c r="G113">
        <v>9.7070000000000004E-2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-0.34374999999999917</v>
      </c>
      <c r="Q113">
        <f t="shared" ref="Q113" si="541">F113*P113</f>
        <v>-366248292.54062408</v>
      </c>
      <c r="R113">
        <f t="shared" ref="R113" si="542">R114+Q113</f>
        <v>89968485307.974823</v>
      </c>
      <c r="S113">
        <f t="shared" ref="S113" si="543">R113/100000</f>
        <v>899684.85307974822</v>
      </c>
      <c r="T113">
        <f t="shared" ref="T113" si="544">S113/1000</f>
        <v>899.68485307974822</v>
      </c>
    </row>
    <row r="114" spans="1:20" x14ac:dyDescent="0.25">
      <c r="A114" s="5">
        <v>44479</v>
      </c>
      <c r="B114">
        <v>0.10306999999999999</v>
      </c>
      <c r="C114">
        <v>0.10312</v>
      </c>
      <c r="D114">
        <v>9.715E-2</v>
      </c>
      <c r="E114">
        <v>9.7470000000000001E-2</v>
      </c>
      <c r="F114">
        <v>1115564913.2</v>
      </c>
      <c r="G114">
        <v>9.7470000000000001E-2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-0.89279731993299805</v>
      </c>
      <c r="Q114">
        <f t="shared" ref="Q114" si="546">F114*P114</f>
        <v>-995973364.71624768</v>
      </c>
      <c r="R114">
        <f t="shared" ref="R114" si="547">R115+Q114</f>
        <v>90334733600.515442</v>
      </c>
      <c r="S114">
        <f t="shared" ref="S114" si="548">R114/100000</f>
        <v>903347.33600515442</v>
      </c>
      <c r="T114">
        <f t="shared" ref="T114" si="549">S114/1000</f>
        <v>903.34733600515438</v>
      </c>
    </row>
    <row r="115" spans="1:20" x14ac:dyDescent="0.25">
      <c r="A115" s="5">
        <v>44478</v>
      </c>
      <c r="B115">
        <v>9.7720000000000001E-2</v>
      </c>
      <c r="C115">
        <v>0.10555</v>
      </c>
      <c r="D115">
        <v>9.7040000000000001E-2</v>
      </c>
      <c r="E115">
        <v>0.10306</v>
      </c>
      <c r="F115">
        <v>2297419449.0999999</v>
      </c>
      <c r="G115">
        <v>0.10306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0.41480611045828319</v>
      </c>
      <c r="Q115">
        <f t="shared" ref="Q115" si="551">F115*P115</f>
        <v>952983625.77238274</v>
      </c>
      <c r="R115">
        <f t="shared" ref="R115" si="552">R116+Q115</f>
        <v>91330706965.231689</v>
      </c>
      <c r="S115">
        <f t="shared" ref="S115" si="553">R115/100000</f>
        <v>913307.06965231686</v>
      </c>
      <c r="T115">
        <f t="shared" ref="T115" si="554">S115/1000</f>
        <v>913.30706965231684</v>
      </c>
    </row>
    <row r="116" spans="1:20" x14ac:dyDescent="0.25">
      <c r="A116" s="5">
        <v>44477</v>
      </c>
      <c r="B116">
        <v>9.5460000000000003E-2</v>
      </c>
      <c r="C116">
        <v>9.9400000000000002E-2</v>
      </c>
      <c r="D116">
        <v>9.5219999999999999E-2</v>
      </c>
      <c r="E116">
        <v>9.7710000000000005E-2</v>
      </c>
      <c r="F116">
        <v>2058250447.3</v>
      </c>
      <c r="G116">
        <v>9.7710000000000005E-2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0.19138755980861447</v>
      </c>
      <c r="Q116">
        <f t="shared" ref="Q116" si="556">F116*P116</f>
        <v>393923530.58373624</v>
      </c>
      <c r="R116">
        <f t="shared" ref="R116" si="557">R117+Q116</f>
        <v>90377723339.459305</v>
      </c>
      <c r="S116">
        <f t="shared" ref="S116" si="558">R116/100000</f>
        <v>903777.233394593</v>
      </c>
      <c r="T116">
        <f t="shared" ref="T116" si="559">S116/1000</f>
        <v>903.77723339459305</v>
      </c>
    </row>
    <row r="117" spans="1:20" x14ac:dyDescent="0.25">
      <c r="A117" s="5">
        <v>44476</v>
      </c>
      <c r="B117">
        <v>9.5490000000000005E-2</v>
      </c>
      <c r="C117">
        <v>9.8379999999999995E-2</v>
      </c>
      <c r="D117">
        <v>9.3329999999999996E-2</v>
      </c>
      <c r="E117">
        <v>9.5469999999999999E-2</v>
      </c>
      <c r="F117">
        <v>2185815910</v>
      </c>
      <c r="G117">
        <v>9.5469999999999999E-2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-0.15247524752475111</v>
      </c>
      <c r="Q117">
        <f t="shared" ref="Q117" si="561">F117*P117</f>
        <v>-333282821.92078912</v>
      </c>
      <c r="R117">
        <f t="shared" ref="R117" si="562">R118+Q117</f>
        <v>89983799808.875565</v>
      </c>
      <c r="S117">
        <f t="shared" ref="S117" si="563">R117/100000</f>
        <v>899837.99808875564</v>
      </c>
      <c r="T117">
        <f t="shared" ref="T117" si="564">S117/1000</f>
        <v>899.83799808875563</v>
      </c>
    </row>
    <row r="118" spans="1:20" x14ac:dyDescent="0.25">
      <c r="A118" s="5">
        <v>44475</v>
      </c>
      <c r="B118">
        <v>9.6189999999999998E-2</v>
      </c>
      <c r="C118">
        <v>9.7140000000000004E-2</v>
      </c>
      <c r="D118">
        <v>9.1050000000000006E-2</v>
      </c>
      <c r="E118">
        <v>9.5490000000000005E-2</v>
      </c>
      <c r="F118">
        <v>2336897677.3000002</v>
      </c>
      <c r="G118">
        <v>9.5490000000000005E-2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0.45812807881773426</v>
      </c>
      <c r="Q118">
        <f t="shared" ref="Q118" si="566">F118*P118</f>
        <v>1070598443.2950746</v>
      </c>
      <c r="R118">
        <f t="shared" ref="R118" si="567">R119+Q118</f>
        <v>90317082630.796356</v>
      </c>
      <c r="S118">
        <f t="shared" ref="S118" si="568">R118/100000</f>
        <v>903170.82630796358</v>
      </c>
      <c r="T118">
        <f t="shared" ref="T118" si="569">S118/1000</f>
        <v>903.17082630796358</v>
      </c>
    </row>
    <row r="119" spans="1:20" x14ac:dyDescent="0.25">
      <c r="A119" s="5">
        <v>44474</v>
      </c>
      <c r="B119">
        <v>9.35E-2</v>
      </c>
      <c r="C119">
        <v>9.8500000000000004E-2</v>
      </c>
      <c r="D119">
        <v>9.2880000000000004E-2</v>
      </c>
      <c r="E119">
        <v>9.6180000000000002E-2</v>
      </c>
      <c r="F119">
        <v>3177574112.5999999</v>
      </c>
      <c r="G119">
        <v>9.6180000000000002E-2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0.17437722419928733</v>
      </c>
      <c r="Q119">
        <f t="shared" ref="Q119" si="571">F119*P119</f>
        <v>554096553.4427017</v>
      </c>
      <c r="R119">
        <f t="shared" ref="R119" si="572">R120+Q119</f>
        <v>89246484187.501282</v>
      </c>
      <c r="S119">
        <f t="shared" ref="S119" si="573">R119/100000</f>
        <v>892464.84187501285</v>
      </c>
      <c r="T119">
        <f t="shared" ref="T119" si="574">S119/1000</f>
        <v>892.46484187501289</v>
      </c>
    </row>
    <row r="120" spans="1:20" x14ac:dyDescent="0.25">
      <c r="A120" s="5">
        <v>44473</v>
      </c>
      <c r="B120">
        <v>9.4950000000000007E-2</v>
      </c>
      <c r="C120">
        <v>9.5180000000000001E-2</v>
      </c>
      <c r="D120">
        <v>8.9840000000000003E-2</v>
      </c>
      <c r="E120">
        <v>9.3299999999999994E-2</v>
      </c>
      <c r="F120">
        <v>1356102695.4000001</v>
      </c>
      <c r="G120">
        <v>9.3299999999999994E-2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0.29588014981273125</v>
      </c>
      <c r="Q120">
        <f t="shared" ref="Q120" si="576">F120*P120</f>
        <v>401243868.67640066</v>
      </c>
      <c r="R120">
        <f t="shared" ref="R120" si="577">R121+Q120</f>
        <v>88692387634.058578</v>
      </c>
      <c r="S120">
        <f t="shared" ref="S120" si="578">R120/100000</f>
        <v>886923.87634058576</v>
      </c>
      <c r="T120">
        <f t="shared" ref="T120" si="579">S120/1000</f>
        <v>886.92387634058571</v>
      </c>
    </row>
    <row r="121" spans="1:20" x14ac:dyDescent="0.25">
      <c r="A121" s="5">
        <v>44472</v>
      </c>
      <c r="B121">
        <v>9.3390000000000001E-2</v>
      </c>
      <c r="C121">
        <v>9.6670000000000006E-2</v>
      </c>
      <c r="D121">
        <v>9.2600000000000002E-2</v>
      </c>
      <c r="E121">
        <v>9.4869999999999996E-2</v>
      </c>
      <c r="F121">
        <v>655716619.79999995</v>
      </c>
      <c r="G121">
        <v>9.4869999999999996E-2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0.11547911547911151</v>
      </c>
      <c r="Q121">
        <f t="shared" ref="Q121" si="581">F121*P121</f>
        <v>75721575.259456843</v>
      </c>
      <c r="R121">
        <f t="shared" ref="R121" si="582">R122+Q121</f>
        <v>88291143765.382172</v>
      </c>
      <c r="S121">
        <f t="shared" ref="S121" si="583">R121/100000</f>
        <v>882911.43765382166</v>
      </c>
      <c r="T121">
        <f t="shared" ref="T121" si="584">S121/1000</f>
        <v>882.91143765382162</v>
      </c>
    </row>
    <row r="122" spans="1:20" x14ac:dyDescent="0.25">
      <c r="A122" s="5">
        <v>44471</v>
      </c>
      <c r="B122">
        <v>9.4839999999999994E-2</v>
      </c>
      <c r="C122">
        <v>9.5869999999999997E-2</v>
      </c>
      <c r="D122">
        <v>9.2380000000000004E-2</v>
      </c>
      <c r="E122">
        <v>9.3380000000000005E-2</v>
      </c>
      <c r="F122">
        <v>727201844.10000002</v>
      </c>
      <c r="G122">
        <v>9.3380000000000005E-2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-0.42693409742120181</v>
      </c>
      <c r="Q122">
        <f t="shared" ref="Q122" si="586">F122*P122</f>
        <v>-310467262.95386702</v>
      </c>
      <c r="R122">
        <f t="shared" ref="R122" si="587">R123+Q122</f>
        <v>88215422190.122711</v>
      </c>
      <c r="S122">
        <f t="shared" ref="S122" si="588">R122/100000</f>
        <v>882154.22190122714</v>
      </c>
      <c r="T122">
        <f t="shared" ref="T122" si="589">S122/1000</f>
        <v>882.15422190122717</v>
      </c>
    </row>
    <row r="123" spans="1:20" x14ac:dyDescent="0.25">
      <c r="A123" s="5">
        <v>44470</v>
      </c>
      <c r="B123">
        <v>8.9410000000000003E-2</v>
      </c>
      <c r="C123">
        <v>9.4839999999999994E-2</v>
      </c>
      <c r="D123">
        <v>8.8480000000000003E-2</v>
      </c>
      <c r="E123">
        <v>9.4810000000000005E-2</v>
      </c>
      <c r="F123">
        <v>1027582471.5</v>
      </c>
      <c r="G123">
        <v>9.4810000000000005E-2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0.99056603773585272</v>
      </c>
      <c r="Q123">
        <f t="shared" ref="Q123" si="591">F123*P123</f>
        <v>1017888297.2405698</v>
      </c>
      <c r="R123">
        <f t="shared" ref="R123" si="592">R124+Q123</f>
        <v>88525889453.076584</v>
      </c>
      <c r="S123">
        <f t="shared" ref="S123" si="593">R123/100000</f>
        <v>885258.89453076583</v>
      </c>
      <c r="T123">
        <f t="shared" ref="T123" si="594">S123/1000</f>
        <v>885.25889453076582</v>
      </c>
    </row>
    <row r="124" spans="1:20" x14ac:dyDescent="0.25">
      <c r="A124" s="5">
        <v>44469</v>
      </c>
      <c r="B124">
        <v>8.5809999999999997E-2</v>
      </c>
      <c r="C124">
        <v>8.9660000000000004E-2</v>
      </c>
      <c r="D124">
        <v>8.5489999999999997E-2</v>
      </c>
      <c r="E124">
        <v>8.9429999999999996E-2</v>
      </c>
      <c r="F124">
        <v>774737412.60000002</v>
      </c>
      <c r="G124">
        <v>8.9429999999999996E-2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0.88968824940047597</v>
      </c>
      <c r="Q124">
        <f t="shared" ref="Q124" si="596">F124*P124</f>
        <v>689274772.36114824</v>
      </c>
      <c r="R124">
        <f t="shared" ref="R124" si="597">R125+Q124</f>
        <v>87508001155.836014</v>
      </c>
      <c r="S124">
        <f t="shared" ref="S124" si="598">R124/100000</f>
        <v>875080.01155836019</v>
      </c>
      <c r="T124">
        <f t="shared" ref="T124" si="599">S124/1000</f>
        <v>875.08001155836018</v>
      </c>
    </row>
    <row r="125" spans="1:20" x14ac:dyDescent="0.25">
      <c r="A125" s="5">
        <v>44468</v>
      </c>
      <c r="B125">
        <v>8.3070000000000005E-2</v>
      </c>
      <c r="C125">
        <v>8.7970000000000007E-2</v>
      </c>
      <c r="D125">
        <v>8.2580000000000001E-2</v>
      </c>
      <c r="E125">
        <v>8.5809999999999997E-2</v>
      </c>
      <c r="F125">
        <v>1262569975.5999999</v>
      </c>
      <c r="G125">
        <v>8.5809999999999997E-2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0.19851576994433887</v>
      </c>
      <c r="Q125">
        <f t="shared" ref="Q125" si="601">F125*P125</f>
        <v>250640050.81483912</v>
      </c>
      <c r="R125">
        <f t="shared" ref="R125" si="602">R126+Q125</f>
        <v>86818726383.474869</v>
      </c>
      <c r="S125">
        <f t="shared" ref="S125" si="603">R125/100000</f>
        <v>868187.26383474865</v>
      </c>
      <c r="T125">
        <f t="shared" ref="T125" si="604">S125/1000</f>
        <v>868.18726383474871</v>
      </c>
    </row>
    <row r="126" spans="1:20" x14ac:dyDescent="0.25">
      <c r="A126" s="5">
        <v>44467</v>
      </c>
      <c r="B126">
        <v>8.5989999999999997E-2</v>
      </c>
      <c r="C126">
        <v>8.72E-2</v>
      </c>
      <c r="D126">
        <v>8.2890000000000005E-2</v>
      </c>
      <c r="E126">
        <v>8.3049999999999999E-2</v>
      </c>
      <c r="F126">
        <v>1344209538.2</v>
      </c>
      <c r="G126">
        <v>8.3049999999999999E-2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-0.92575406032482888</v>
      </c>
      <c r="Q126">
        <f t="shared" ref="Q126" si="606">F126*P126</f>
        <v>-1244407437.9160132</v>
      </c>
      <c r="R126">
        <f t="shared" ref="R126" si="607">R127+Q126</f>
        <v>86568086332.660034</v>
      </c>
      <c r="S126">
        <f t="shared" ref="S126" si="608">R126/100000</f>
        <v>865680.86332660029</v>
      </c>
      <c r="T126">
        <f t="shared" ref="T126" si="609">S126/1000</f>
        <v>865.68086332660027</v>
      </c>
    </row>
    <row r="127" spans="1:20" x14ac:dyDescent="0.25">
      <c r="A127" s="5">
        <v>44466</v>
      </c>
      <c r="B127">
        <v>8.7679999999999994E-2</v>
      </c>
      <c r="C127">
        <v>9.0579999999999994E-2</v>
      </c>
      <c r="D127">
        <v>8.584E-2</v>
      </c>
      <c r="E127">
        <v>8.5989999999999997E-2</v>
      </c>
      <c r="F127">
        <v>1159305058.2</v>
      </c>
      <c r="G127">
        <v>8.5989999999999997E-2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-0.93670886075949467</v>
      </c>
      <c r="Q127">
        <f t="shared" ref="Q127" si="611">F127*P127</f>
        <v>-1085931320.3392417</v>
      </c>
      <c r="R127">
        <f t="shared" ref="R127" si="612">R128+Q127</f>
        <v>87812493770.57605</v>
      </c>
      <c r="S127">
        <f t="shared" ref="S127" si="613">R127/100000</f>
        <v>878124.93770576047</v>
      </c>
      <c r="T127">
        <f t="shared" ref="T127" si="614">S127/1000</f>
        <v>878.12493770576043</v>
      </c>
    </row>
    <row r="128" spans="1:20" x14ac:dyDescent="0.25">
      <c r="A128" s="5">
        <v>44465</v>
      </c>
      <c r="B128">
        <v>9.0550000000000005E-2</v>
      </c>
      <c r="C128">
        <v>9.0829999999999994E-2</v>
      </c>
      <c r="D128">
        <v>8.3229999999999998E-2</v>
      </c>
      <c r="E128">
        <v>8.7690000000000004E-2</v>
      </c>
      <c r="F128">
        <v>1397524160.5999999</v>
      </c>
      <c r="G128">
        <v>8.7690000000000004E-2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0.17368421052631794</v>
      </c>
      <c r="Q128">
        <f t="shared" ref="Q128" si="616">F128*P128</f>
        <v>242727880.52526614</v>
      </c>
      <c r="R128">
        <f t="shared" ref="R128" si="617">R129+Q128</f>
        <v>88898425090.915298</v>
      </c>
      <c r="S128">
        <f t="shared" ref="S128" si="618">R128/100000</f>
        <v>888984.25090915302</v>
      </c>
      <c r="T128">
        <f t="shared" ref="T128" si="619">S128/1000</f>
        <v>888.98425090915305</v>
      </c>
    </row>
    <row r="129" spans="1:20" x14ac:dyDescent="0.25">
      <c r="A129" s="5">
        <v>44464</v>
      </c>
      <c r="B129">
        <v>9.2249999999999999E-2</v>
      </c>
      <c r="C129">
        <v>9.3729999999999994E-2</v>
      </c>
      <c r="D129">
        <v>8.9249999999999996E-2</v>
      </c>
      <c r="E129">
        <v>9.0550000000000005E-2</v>
      </c>
      <c r="F129">
        <v>881159593.79999995</v>
      </c>
      <c r="G129">
        <v>9.0550000000000005E-2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-0.41964285714285265</v>
      </c>
      <c r="Q129">
        <f t="shared" ref="Q129" si="621">F129*P129</f>
        <v>-369772329.54106748</v>
      </c>
      <c r="R129">
        <f t="shared" ref="R129" si="622">R130+Q129</f>
        <v>88655697210.39003</v>
      </c>
      <c r="S129">
        <f t="shared" ref="S129" si="623">R129/100000</f>
        <v>886556.97210390028</v>
      </c>
      <c r="T129">
        <f t="shared" ref="T129" si="624">S129/1000</f>
        <v>886.55697210390031</v>
      </c>
    </row>
    <row r="130" spans="1:20" x14ac:dyDescent="0.25">
      <c r="A130" s="5">
        <v>44463</v>
      </c>
      <c r="B130">
        <v>9.9220000000000003E-2</v>
      </c>
      <c r="C130">
        <v>9.9400000000000002E-2</v>
      </c>
      <c r="D130">
        <v>8.5999999999999993E-2</v>
      </c>
      <c r="E130">
        <v>9.2259999999999995E-2</v>
      </c>
      <c r="F130">
        <v>1249487937.5</v>
      </c>
      <c r="G130">
        <v>9.2259999999999995E-2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-6.5671641791045163E-2</v>
      </c>
      <c r="Q130">
        <f t="shared" ref="Q130" si="626">F130*P130</f>
        <v>-82055924.253731832</v>
      </c>
      <c r="R130">
        <f t="shared" ref="R130" si="627">R131+Q130</f>
        <v>89025469539.931091</v>
      </c>
      <c r="S130">
        <f t="shared" ref="S130" si="628">R130/100000</f>
        <v>890254.69539931091</v>
      </c>
      <c r="T130">
        <f t="shared" ref="T130" si="629">S130/1000</f>
        <v>890.25469539931089</v>
      </c>
    </row>
    <row r="131" spans="1:20" x14ac:dyDescent="0.25">
      <c r="A131" s="5">
        <v>44462</v>
      </c>
      <c r="B131">
        <v>9.8760000000000001E-2</v>
      </c>
      <c r="C131">
        <v>0.10069</v>
      </c>
      <c r="D131">
        <v>9.6079999999999999E-2</v>
      </c>
      <c r="E131">
        <v>9.9229999999999999E-2</v>
      </c>
      <c r="F131">
        <v>867768567.89999998</v>
      </c>
      <c r="G131">
        <v>9.9229999999999999E-2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0.36659436008676705</v>
      </c>
      <c r="Q131">
        <f t="shared" ref="Q131" si="631">F131*P131</f>
        <v>318119062.85271072</v>
      </c>
      <c r="R131">
        <f t="shared" ref="R131" si="632">R132+Q131</f>
        <v>89107525464.18483</v>
      </c>
      <c r="S131">
        <f t="shared" ref="S131" si="633">R131/100000</f>
        <v>891075.25464184827</v>
      </c>
      <c r="T131">
        <f t="shared" ref="T131" si="634">S131/1000</f>
        <v>891.07525464184823</v>
      </c>
    </row>
    <row r="132" spans="1:20" x14ac:dyDescent="0.25">
      <c r="A132" s="5">
        <v>44461</v>
      </c>
      <c r="B132">
        <v>8.8239999999999999E-2</v>
      </c>
      <c r="C132">
        <v>9.8799999999999999E-2</v>
      </c>
      <c r="D132">
        <v>8.6639999999999995E-2</v>
      </c>
      <c r="E132">
        <v>9.8760000000000001E-2</v>
      </c>
      <c r="F132">
        <v>1132265386.7</v>
      </c>
      <c r="G132">
        <v>9.8760000000000001E-2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0.9934210526315792</v>
      </c>
      <c r="Q132">
        <f t="shared" ref="Q132" si="636">F132*P132</f>
        <v>1124816272.3138161</v>
      </c>
      <c r="R132">
        <f t="shared" ref="R132" si="637">R133+Q132</f>
        <v>88789406401.332123</v>
      </c>
      <c r="S132">
        <f t="shared" ref="S132" si="638">R132/100000</f>
        <v>887894.06401332119</v>
      </c>
      <c r="T132">
        <f t="shared" ref="T132" si="639">S132/1000</f>
        <v>887.89406401332121</v>
      </c>
    </row>
    <row r="133" spans="1:20" x14ac:dyDescent="0.25">
      <c r="A133" s="5">
        <v>44460</v>
      </c>
      <c r="B133">
        <v>9.1410000000000005E-2</v>
      </c>
      <c r="C133">
        <v>9.5659999999999995E-2</v>
      </c>
      <c r="D133">
        <v>8.6540000000000006E-2</v>
      </c>
      <c r="E133">
        <v>8.8260000000000005E-2</v>
      </c>
      <c r="F133">
        <v>1762558903</v>
      </c>
      <c r="G133">
        <v>8.8260000000000005E-2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-0.62280701754385936</v>
      </c>
      <c r="Q133">
        <f t="shared" ref="Q133" si="641">F133*P133</f>
        <v>-1097734053.6228065</v>
      </c>
      <c r="R133">
        <f t="shared" ref="R133" si="642">R134+Q133</f>
        <v>87664590129.018311</v>
      </c>
      <c r="S133">
        <f t="shared" ref="S133" si="643">R133/100000</f>
        <v>876645.90129018307</v>
      </c>
      <c r="T133">
        <f t="shared" ref="T133" si="644">S133/1000</f>
        <v>876.64590129018302</v>
      </c>
    </row>
    <row r="134" spans="1:20" x14ac:dyDescent="0.25">
      <c r="A134" s="5">
        <v>44459</v>
      </c>
      <c r="B134">
        <v>0.10369</v>
      </c>
      <c r="C134">
        <v>0.10375</v>
      </c>
      <c r="D134">
        <v>9.3039999999999998E-2</v>
      </c>
      <c r="E134">
        <v>9.6299999999999997E-2</v>
      </c>
      <c r="F134">
        <v>1171800571.5</v>
      </c>
      <c r="G134">
        <v>9.6299999999999997E-2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-0.39122315592903834</v>
      </c>
      <c r="Q134">
        <f t="shared" ref="Q134" si="646">F134*P134</f>
        <v>-458435517.70168072</v>
      </c>
      <c r="R134">
        <f t="shared" ref="R134" si="647">R135+Q134</f>
        <v>88762324182.641113</v>
      </c>
      <c r="S134">
        <f t="shared" ref="S134" si="648">R134/100000</f>
        <v>887623.2418264111</v>
      </c>
      <c r="T134">
        <f t="shared" ref="T134" si="649">S134/1000</f>
        <v>887.62324182641112</v>
      </c>
    </row>
    <row r="135" spans="1:20" x14ac:dyDescent="0.25">
      <c r="A135" s="5">
        <v>44458</v>
      </c>
      <c r="B135">
        <v>0.10587000000000001</v>
      </c>
      <c r="C135">
        <v>0.10753</v>
      </c>
      <c r="D135">
        <v>0.10237</v>
      </c>
      <c r="E135">
        <v>0.10369</v>
      </c>
      <c r="F135">
        <v>918167777.10000002</v>
      </c>
      <c r="G135">
        <v>0.10369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-0.48837209302325496</v>
      </c>
      <c r="Q135">
        <f t="shared" ref="Q135" si="651">F135*P135</f>
        <v>-448407519.04883641</v>
      </c>
      <c r="R135">
        <f t="shared" ref="R135" si="652">R136+Q135</f>
        <v>89220759700.342789</v>
      </c>
      <c r="S135">
        <f t="shared" ref="S135" si="653">R135/100000</f>
        <v>892207.59700342792</v>
      </c>
      <c r="T135">
        <f t="shared" ref="T135" si="654">S135/1000</f>
        <v>892.20759700342796</v>
      </c>
    </row>
    <row r="136" spans="1:20" x14ac:dyDescent="0.25">
      <c r="A136" s="5">
        <v>44457</v>
      </c>
      <c r="B136">
        <v>0.10543</v>
      </c>
      <c r="C136">
        <v>0.1091</v>
      </c>
      <c r="D136">
        <v>0.10340000000000001</v>
      </c>
      <c r="E136">
        <v>0.10586</v>
      </c>
      <c r="F136">
        <v>952548142.89999998</v>
      </c>
      <c r="G136">
        <v>0.10586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-0.13684210526316093</v>
      </c>
      <c r="Q136">
        <f t="shared" ref="Q136" si="656">F136*P136</f>
        <v>-130348693.23895025</v>
      </c>
      <c r="R136">
        <f t="shared" ref="R136" si="657">R137+Q136</f>
        <v>89669167219.391632</v>
      </c>
      <c r="S136">
        <f t="shared" ref="S136" si="658">R136/100000</f>
        <v>896691.67219391628</v>
      </c>
      <c r="T136">
        <f t="shared" ref="T136" si="659">S136/1000</f>
        <v>896.69167219391625</v>
      </c>
    </row>
    <row r="137" spans="1:20" x14ac:dyDescent="0.25">
      <c r="A137" s="5">
        <v>44456</v>
      </c>
      <c r="B137">
        <v>0.11594</v>
      </c>
      <c r="C137">
        <v>0.12045</v>
      </c>
      <c r="D137">
        <v>0.10337</v>
      </c>
      <c r="E137">
        <v>0.10545</v>
      </c>
      <c r="F137">
        <v>2680862141.9000001</v>
      </c>
      <c r="G137">
        <v>0.10545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-0.75644028103044514</v>
      </c>
      <c r="Q137">
        <f t="shared" ref="Q137" si="661">F137*P137</f>
        <v>-2027912112.0227172</v>
      </c>
      <c r="R137">
        <f t="shared" ref="R137" si="662">R138+Q137</f>
        <v>89799515912.630585</v>
      </c>
      <c r="S137">
        <f t="shared" ref="S137" si="663">R137/100000</f>
        <v>897995.15912630584</v>
      </c>
      <c r="T137">
        <f t="shared" ref="T137" si="664">S137/1000</f>
        <v>897.99515912630579</v>
      </c>
    </row>
    <row r="138" spans="1:20" x14ac:dyDescent="0.25">
      <c r="A138" s="5">
        <v>44455</v>
      </c>
      <c r="B138">
        <v>0.12069000000000001</v>
      </c>
      <c r="C138">
        <v>0.12242</v>
      </c>
      <c r="D138">
        <v>0.11206000000000001</v>
      </c>
      <c r="E138">
        <v>0.11594</v>
      </c>
      <c r="F138">
        <v>2015065272.8</v>
      </c>
      <c r="G138">
        <v>0.11594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-0.25096525096525157</v>
      </c>
      <c r="Q138">
        <f t="shared" ref="Q138" si="666">F138*P138</f>
        <v>-505711361.89961511</v>
      </c>
      <c r="R138">
        <f t="shared" ref="R138" si="667">R139+Q138</f>
        <v>91827428024.653305</v>
      </c>
      <c r="S138">
        <f t="shared" ref="S138" si="668">R138/100000</f>
        <v>918274.2802465331</v>
      </c>
      <c r="T138">
        <f t="shared" ref="T138" si="669">S138/1000</f>
        <v>918.27428024653307</v>
      </c>
    </row>
    <row r="139" spans="1:20" x14ac:dyDescent="0.25">
      <c r="A139" s="5">
        <v>44454</v>
      </c>
      <c r="B139">
        <v>0.11823</v>
      </c>
      <c r="C139">
        <v>0.123</v>
      </c>
      <c r="D139">
        <v>0.11328000000000001</v>
      </c>
      <c r="E139">
        <v>0.12069000000000001</v>
      </c>
      <c r="F139">
        <v>2145345210.2</v>
      </c>
      <c r="G139">
        <v>0.12069000000000001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0.52469135802469247</v>
      </c>
      <c r="Q139">
        <f t="shared" ref="Q139" si="671">F139*P139</f>
        <v>1125644091.7716074</v>
      </c>
      <c r="R139">
        <f t="shared" ref="R139" si="672">R140+Q139</f>
        <v>92333139386.552917</v>
      </c>
      <c r="S139">
        <f t="shared" ref="S139" si="673">R139/100000</f>
        <v>923331.39386552921</v>
      </c>
      <c r="T139">
        <f t="shared" ref="T139" si="674">S139/1000</f>
        <v>923.33139386552921</v>
      </c>
    </row>
    <row r="140" spans="1:20" x14ac:dyDescent="0.25">
      <c r="A140" s="5">
        <v>44453</v>
      </c>
      <c r="B140">
        <v>0.10462</v>
      </c>
      <c r="C140">
        <v>0.12033000000000001</v>
      </c>
      <c r="D140">
        <v>0.10406</v>
      </c>
      <c r="E140">
        <v>0.11822000000000001</v>
      </c>
      <c r="F140">
        <v>3500717020.9000001</v>
      </c>
      <c r="G140">
        <v>0.11822000000000001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0.74062692071296865</v>
      </c>
      <c r="Q140">
        <f t="shared" ref="Q140" si="676">F140*P140</f>
        <v>2592725267.476644</v>
      </c>
      <c r="R140">
        <f t="shared" ref="R140" si="677">R141+Q140</f>
        <v>91207495294.781311</v>
      </c>
      <c r="S140">
        <f t="shared" ref="S140" si="678">R140/100000</f>
        <v>912074.95294781309</v>
      </c>
      <c r="T140">
        <f t="shared" ref="T140" si="679">S140/1000</f>
        <v>912.07495294781313</v>
      </c>
    </row>
    <row r="141" spans="1:20" x14ac:dyDescent="0.25">
      <c r="A141" s="5">
        <v>44452</v>
      </c>
      <c r="B141">
        <v>0.11241</v>
      </c>
      <c r="C141">
        <v>0.11706</v>
      </c>
      <c r="D141">
        <v>9.8460000000000006E-2</v>
      </c>
      <c r="E141">
        <v>0.10462</v>
      </c>
      <c r="F141">
        <v>3185578466.5</v>
      </c>
      <c r="G141">
        <v>0.10462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-0.33763440860215038</v>
      </c>
      <c r="Q141">
        <f t="shared" ref="Q141" si="681">F141*P141</f>
        <v>-1075560901.5924726</v>
      </c>
      <c r="R141">
        <f t="shared" ref="R141" si="682">R142+Q141</f>
        <v>88614770027.304672</v>
      </c>
      <c r="S141">
        <f t="shared" ref="S141" si="683">R141/100000</f>
        <v>886147.70027304674</v>
      </c>
      <c r="T141">
        <f t="shared" ref="T141" si="684">S141/1000</f>
        <v>886.14770027304678</v>
      </c>
    </row>
    <row r="142" spans="1:20" x14ac:dyDescent="0.25">
      <c r="A142" s="5">
        <v>44451</v>
      </c>
      <c r="B142">
        <v>9.5549999999999996E-2</v>
      </c>
      <c r="C142">
        <v>0.11842</v>
      </c>
      <c r="D142">
        <v>9.3729999999999994E-2</v>
      </c>
      <c r="E142">
        <v>0.11241</v>
      </c>
      <c r="F142">
        <v>4692089305.3999996</v>
      </c>
      <c r="G142">
        <v>0.11241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0.51316322397731873</v>
      </c>
      <c r="Q142">
        <f t="shared" ref="Q142" si="686">F142*P142</f>
        <v>2407807675.148562</v>
      </c>
      <c r="R142">
        <f t="shared" ref="R142" si="687">R143+Q142</f>
        <v>89690330928.897141</v>
      </c>
      <c r="S142">
        <f t="shared" ref="S142" si="688">R142/100000</f>
        <v>896903.30928897136</v>
      </c>
      <c r="T142">
        <f t="shared" ref="T142" si="689">S142/1000</f>
        <v>896.9033092889714</v>
      </c>
    </row>
    <row r="143" spans="1:20" x14ac:dyDescent="0.25">
      <c r="A143" s="5">
        <v>44450</v>
      </c>
      <c r="B143">
        <v>9.0759999999999993E-2</v>
      </c>
      <c r="C143">
        <v>9.7000000000000003E-2</v>
      </c>
      <c r="D143">
        <v>9.0410000000000004E-2</v>
      </c>
      <c r="E143">
        <v>9.5549999999999996E-2</v>
      </c>
      <c r="F143">
        <v>1300085165.9000001</v>
      </c>
      <c r="G143">
        <v>9.5549999999999996E-2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0.55993930197268371</v>
      </c>
      <c r="Q143">
        <f t="shared" ref="Q143" si="691">F143*P143</f>
        <v>727968780.29908681</v>
      </c>
      <c r="R143">
        <f t="shared" ref="R143" si="692">R144+Q143</f>
        <v>87282523253.748581</v>
      </c>
      <c r="S143">
        <f t="shared" ref="S143" si="693">R143/100000</f>
        <v>872825.23253748578</v>
      </c>
      <c r="T143">
        <f t="shared" ref="T143" si="694">S143/1000</f>
        <v>872.82523253748582</v>
      </c>
    </row>
    <row r="144" spans="1:20" x14ac:dyDescent="0.25">
      <c r="A144" s="5">
        <v>44449</v>
      </c>
      <c r="B144">
        <v>9.3030000000000002E-2</v>
      </c>
      <c r="C144">
        <v>9.5810000000000006E-2</v>
      </c>
      <c r="D144">
        <v>8.6260000000000003E-2</v>
      </c>
      <c r="E144">
        <v>9.0749999999999997E-2</v>
      </c>
      <c r="F144">
        <v>1577565787.5999999</v>
      </c>
      <c r="G144">
        <v>9.0749999999999997E-2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-5.9685863874347093E-2</v>
      </c>
      <c r="Q144">
        <f t="shared" ref="Q144" si="696">F144*P144</f>
        <v>-94158376.851520747</v>
      </c>
      <c r="R144">
        <f t="shared" ref="R144" si="697">R145+Q144</f>
        <v>86554554473.449493</v>
      </c>
      <c r="S144">
        <f t="shared" ref="S144" si="698">R144/100000</f>
        <v>865545.54473449488</v>
      </c>
      <c r="T144">
        <f t="shared" ref="T144" si="699">S144/1000</f>
        <v>865.54554473449491</v>
      </c>
    </row>
    <row r="145" spans="1:20" x14ac:dyDescent="0.25">
      <c r="A145" s="5">
        <v>44448</v>
      </c>
      <c r="B145">
        <v>9.2719999999999997E-2</v>
      </c>
      <c r="C145">
        <v>9.4799999999999995E-2</v>
      </c>
      <c r="D145">
        <v>9.0020000000000003E-2</v>
      </c>
      <c r="E145">
        <v>9.3030000000000002E-2</v>
      </c>
      <c r="F145">
        <v>1343292016.5999999</v>
      </c>
      <c r="G145">
        <v>9.3030000000000002E-2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0.25941422594142405</v>
      </c>
      <c r="Q145">
        <f t="shared" ref="Q145" si="701">F145*P145</f>
        <v>348469058.69958353</v>
      </c>
      <c r="R145">
        <f t="shared" ref="R145" si="702">R146+Q145</f>
        <v>86648712850.30101</v>
      </c>
      <c r="S145">
        <f t="shared" ref="S145" si="703">R145/100000</f>
        <v>866487.12850301014</v>
      </c>
      <c r="T145">
        <f t="shared" ref="T145" si="704">S145/1000</f>
        <v>866.48712850301013</v>
      </c>
    </row>
    <row r="146" spans="1:20" x14ac:dyDescent="0.25">
      <c r="A146" s="5">
        <v>44447</v>
      </c>
      <c r="B146">
        <v>8.5400000000000004E-2</v>
      </c>
      <c r="C146">
        <v>9.69E-2</v>
      </c>
      <c r="D146">
        <v>8.3400000000000002E-2</v>
      </c>
      <c r="E146">
        <v>9.2719999999999997E-2</v>
      </c>
      <c r="F146">
        <v>2321257972.3000002</v>
      </c>
      <c r="G146">
        <v>9.2719999999999997E-2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0.38074074074074021</v>
      </c>
      <c r="Q146">
        <f t="shared" ref="Q146" si="706">F146*P146</f>
        <v>883797479.82385075</v>
      </c>
      <c r="R146">
        <f t="shared" ref="R146" si="707">R147+Q146</f>
        <v>86300243791.601425</v>
      </c>
      <c r="S146">
        <f t="shared" ref="S146" si="708">R146/100000</f>
        <v>863002.43791601423</v>
      </c>
      <c r="T146">
        <f t="shared" ref="T146" si="709">S146/1000</f>
        <v>863.00243791601417</v>
      </c>
    </row>
    <row r="147" spans="1:20" x14ac:dyDescent="0.25">
      <c r="A147" s="5">
        <v>44446</v>
      </c>
      <c r="B147">
        <v>0.1038</v>
      </c>
      <c r="C147">
        <v>0.10589</v>
      </c>
      <c r="D147">
        <v>7.7160000000000006E-2</v>
      </c>
      <c r="E147">
        <v>8.5389999999999994E-2</v>
      </c>
      <c r="F147">
        <v>2375825516</v>
      </c>
      <c r="G147">
        <v>8.5389999999999994E-2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-0.42707970762269476</v>
      </c>
      <c r="Q147">
        <f t="shared" ref="Q147" si="711">F147*P147</f>
        <v>-1014666866.7358179</v>
      </c>
      <c r="R147">
        <f t="shared" ref="R147" si="712">R148+Q147</f>
        <v>85416446311.777573</v>
      </c>
      <c r="S147">
        <f t="shared" ref="S147" si="713">R147/100000</f>
        <v>854164.46311777574</v>
      </c>
      <c r="T147">
        <f t="shared" ref="T147" si="714">S147/1000</f>
        <v>854.16446311777577</v>
      </c>
    </row>
    <row r="148" spans="1:20" x14ac:dyDescent="0.25">
      <c r="A148" s="5">
        <v>44445</v>
      </c>
      <c r="B148">
        <v>0.1052</v>
      </c>
      <c r="C148">
        <v>0.10727</v>
      </c>
      <c r="D148">
        <v>0.10095999999999999</v>
      </c>
      <c r="E148">
        <v>0.10381</v>
      </c>
      <c r="F148">
        <v>1087045226.8</v>
      </c>
      <c r="G148">
        <v>0.10381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-9.6671949286846026E-2</v>
      </c>
      <c r="Q148">
        <f t="shared" ref="Q148" si="716">F148*P148</f>
        <v>-105086781.03771763</v>
      </c>
      <c r="R148">
        <f t="shared" ref="R148" si="717">R149+Q148</f>
        <v>86431113178.513397</v>
      </c>
      <c r="S148">
        <f t="shared" ref="S148" si="718">R148/100000</f>
        <v>864311.13178513397</v>
      </c>
      <c r="T148">
        <f t="shared" ref="T148" si="719">S148/1000</f>
        <v>864.31113178513397</v>
      </c>
    </row>
    <row r="149" spans="1:20" x14ac:dyDescent="0.25">
      <c r="A149" s="5">
        <v>44444</v>
      </c>
      <c r="B149">
        <v>0.10145999999999999</v>
      </c>
      <c r="C149">
        <v>0.10521999999999999</v>
      </c>
      <c r="D149">
        <v>0.10095999999999999</v>
      </c>
      <c r="E149">
        <v>0.10519000000000001</v>
      </c>
      <c r="F149">
        <v>992532173.60000002</v>
      </c>
      <c r="G149">
        <v>0.10519000000000001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0.98591549295775194</v>
      </c>
      <c r="Q149">
        <f t="shared" ref="Q149" si="721">F149*P149</f>
        <v>978552847.21127307</v>
      </c>
      <c r="R149">
        <f t="shared" ref="R149" si="722">R150+Q149</f>
        <v>86536199959.551117</v>
      </c>
      <c r="S149">
        <f t="shared" ref="S149" si="723">R149/100000</f>
        <v>865361.99959551112</v>
      </c>
      <c r="T149">
        <f t="shared" ref="T149" si="724">S149/1000</f>
        <v>865.36199959551118</v>
      </c>
    </row>
    <row r="150" spans="1:20" x14ac:dyDescent="0.25">
      <c r="A150" s="5">
        <v>44443</v>
      </c>
      <c r="B150">
        <v>0.10162</v>
      </c>
      <c r="C150">
        <v>0.10342</v>
      </c>
      <c r="D150">
        <v>9.9299999999999999E-2</v>
      </c>
      <c r="E150">
        <v>0.10145999999999999</v>
      </c>
      <c r="F150">
        <v>859555103.89999998</v>
      </c>
      <c r="G150">
        <v>0.10145999999999999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4.8543689320386385E-2</v>
      </c>
      <c r="Q150">
        <f t="shared" ref="Q150" si="726">F150*P150</f>
        <v>41725975.917474039</v>
      </c>
      <c r="R150">
        <f t="shared" ref="R150" si="727">R151+Q150</f>
        <v>85557647112.339844</v>
      </c>
      <c r="S150">
        <f t="shared" ref="S150" si="728">R150/100000</f>
        <v>855576.4711233984</v>
      </c>
      <c r="T150">
        <f t="shared" ref="T150" si="729">S150/1000</f>
        <v>855.57647112339839</v>
      </c>
    </row>
    <row r="151" spans="1:20" x14ac:dyDescent="0.25">
      <c r="A151" s="5">
        <v>44442</v>
      </c>
      <c r="B151">
        <v>9.9529999999999993E-2</v>
      </c>
      <c r="C151">
        <v>0.10593</v>
      </c>
      <c r="D151">
        <v>9.7549999999999998E-2</v>
      </c>
      <c r="E151">
        <v>0.10161000000000001</v>
      </c>
      <c r="F151">
        <v>1692973804.7</v>
      </c>
      <c r="G151">
        <v>0.10161000000000001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-3.102625298329147E-2</v>
      </c>
      <c r="Q151">
        <f t="shared" ref="Q151" si="731">F151*P151</f>
        <v>-52526633.558707684</v>
      </c>
      <c r="R151">
        <f t="shared" ref="R151" si="732">R152+Q151</f>
        <v>85515921136.422363</v>
      </c>
      <c r="S151">
        <f t="shared" ref="S151" si="733">R151/100000</f>
        <v>855159.21136422362</v>
      </c>
      <c r="T151">
        <f t="shared" ref="T151" si="734">S151/1000</f>
        <v>855.15921136422367</v>
      </c>
    </row>
    <row r="152" spans="1:20" x14ac:dyDescent="0.25">
      <c r="A152" s="5">
        <v>44441</v>
      </c>
      <c r="B152">
        <v>9.5009999999999997E-2</v>
      </c>
      <c r="C152">
        <v>0.10205</v>
      </c>
      <c r="D152">
        <v>9.4339999999999993E-2</v>
      </c>
      <c r="E152">
        <v>9.9529999999999993E-2</v>
      </c>
      <c r="F152">
        <v>1770920708</v>
      </c>
      <c r="G152">
        <v>9.9529999999999993E-2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0.34630350194552384</v>
      </c>
      <c r="Q152">
        <f t="shared" ref="Q152" si="736">F152*P152</f>
        <v>613276042.84824646</v>
      </c>
      <c r="R152">
        <f t="shared" ref="R152" si="737">R153+Q152</f>
        <v>85568447769.981064</v>
      </c>
      <c r="S152">
        <f t="shared" ref="S152" si="738">R152/100000</f>
        <v>855684.47769981064</v>
      </c>
      <c r="T152">
        <f t="shared" ref="T152" si="739">S152/1000</f>
        <v>855.6844776998106</v>
      </c>
    </row>
    <row r="153" spans="1:20" x14ac:dyDescent="0.25">
      <c r="A153" s="5">
        <v>44440</v>
      </c>
      <c r="B153">
        <v>8.8760000000000006E-2</v>
      </c>
      <c r="C153">
        <v>9.529E-2</v>
      </c>
      <c r="D153">
        <v>8.7239999999999998E-2</v>
      </c>
      <c r="E153">
        <v>9.5000000000000001E-2</v>
      </c>
      <c r="F153">
        <v>1125617829.8</v>
      </c>
      <c r="G153">
        <v>9.5000000000000001E-2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0.92795031055900656</v>
      </c>
      <c r="Q153">
        <f t="shared" ref="Q153" si="741">F153*P153</f>
        <v>1044517414.733665</v>
      </c>
      <c r="R153">
        <f t="shared" ref="R153" si="742">R154+Q153</f>
        <v>84955171727.132813</v>
      </c>
      <c r="S153">
        <f t="shared" ref="S153" si="743">R153/100000</f>
        <v>849551.71727132809</v>
      </c>
      <c r="T153">
        <f t="shared" ref="T153" si="744">S153/1000</f>
        <v>849.55171727132813</v>
      </c>
    </row>
    <row r="154" spans="1:20" x14ac:dyDescent="0.25">
      <c r="A154" s="5">
        <v>44439</v>
      </c>
      <c r="B154">
        <v>8.616E-2</v>
      </c>
      <c r="C154">
        <v>9.0819999999999998E-2</v>
      </c>
      <c r="D154">
        <v>8.5080000000000003E-2</v>
      </c>
      <c r="E154">
        <v>8.8749999999999996E-2</v>
      </c>
      <c r="F154">
        <v>1082095160.8</v>
      </c>
      <c r="G154">
        <v>8.8749999999999996E-2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0.27874564459930168</v>
      </c>
      <c r="Q154">
        <f t="shared" ref="Q154" si="746">F154*P154</f>
        <v>301629313.114981</v>
      </c>
      <c r="R154">
        <f t="shared" ref="R154" si="747">R155+Q154</f>
        <v>83910654312.399155</v>
      </c>
      <c r="S154">
        <f t="shared" ref="S154" si="748">R154/100000</f>
        <v>839106.54312399158</v>
      </c>
      <c r="T154">
        <f t="shared" ref="T154" si="749">S154/1000</f>
        <v>839.10654312399163</v>
      </c>
    </row>
    <row r="155" spans="1:20" x14ac:dyDescent="0.25">
      <c r="A155" s="5">
        <v>44438</v>
      </c>
      <c r="B155">
        <v>8.8459999999999997E-2</v>
      </c>
      <c r="C155">
        <v>8.8940000000000005E-2</v>
      </c>
      <c r="D155">
        <v>8.5610000000000006E-2</v>
      </c>
      <c r="E155">
        <v>8.616E-2</v>
      </c>
      <c r="F155">
        <v>605718308.70000005</v>
      </c>
      <c r="G155">
        <v>8.616E-2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-0.66966966966967267</v>
      </c>
      <c r="Q155">
        <f t="shared" ref="Q155" si="751">F155*P155</f>
        <v>-405631179.70000184</v>
      </c>
      <c r="R155">
        <f t="shared" ref="R155" si="752">R156+Q155</f>
        <v>83609024999.28418</v>
      </c>
      <c r="S155">
        <f t="shared" ref="S155" si="753">R155/100000</f>
        <v>836090.24999284185</v>
      </c>
      <c r="T155">
        <f t="shared" ref="T155" si="754">S155/1000</f>
        <v>836.0902499928419</v>
      </c>
    </row>
    <row r="156" spans="1:20" x14ac:dyDescent="0.25">
      <c r="A156" s="5">
        <v>44437</v>
      </c>
      <c r="B156">
        <v>8.8279999999999997E-2</v>
      </c>
      <c r="C156">
        <v>9.0509999999999993E-2</v>
      </c>
      <c r="D156">
        <v>8.6690000000000003E-2</v>
      </c>
      <c r="E156">
        <v>8.8469999999999993E-2</v>
      </c>
      <c r="F156">
        <v>670698524.5</v>
      </c>
      <c r="G156">
        <v>8.8469999999999993E-2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-6.8062827225133737E-2</v>
      </c>
      <c r="Q156">
        <f t="shared" ref="Q156" si="756">F156*P156</f>
        <v>-45649637.793195628</v>
      </c>
      <c r="R156">
        <f t="shared" ref="R156" si="757">R157+Q156</f>
        <v>84014656178.984177</v>
      </c>
      <c r="S156">
        <f t="shared" ref="S156" si="758">R156/100000</f>
        <v>840146.56178984174</v>
      </c>
      <c r="T156">
        <f t="shared" ref="T156" si="759">S156/1000</f>
        <v>840.14656178984171</v>
      </c>
    </row>
    <row r="157" spans="1:20" x14ac:dyDescent="0.25">
      <c r="A157" s="5">
        <v>44436</v>
      </c>
      <c r="B157">
        <v>8.8249999999999995E-2</v>
      </c>
      <c r="C157">
        <v>8.8789999999999994E-2</v>
      </c>
      <c r="D157">
        <v>8.6349999999999996E-2</v>
      </c>
      <c r="E157">
        <v>8.8289999999999993E-2</v>
      </c>
      <c r="F157">
        <v>485119312.80000001</v>
      </c>
      <c r="G157">
        <v>8.8289999999999993E-2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0.59016393442622872</v>
      </c>
      <c r="Q157">
        <f t="shared" ref="Q157" si="761">F157*P157</f>
        <v>286299922.30819637</v>
      </c>
      <c r="R157">
        <f t="shared" ref="R157" si="762">R158+Q157</f>
        <v>84060305816.777374</v>
      </c>
      <c r="S157">
        <f t="shared" ref="S157" si="763">R157/100000</f>
        <v>840603.05816777376</v>
      </c>
      <c r="T157">
        <f t="shared" ref="T157" si="764">S157/1000</f>
        <v>840.60305816777372</v>
      </c>
    </row>
    <row r="158" spans="1:20" x14ac:dyDescent="0.25">
      <c r="A158" s="5">
        <v>44435</v>
      </c>
      <c r="B158">
        <v>8.3030000000000007E-2</v>
      </c>
      <c r="C158">
        <v>8.8300000000000003E-2</v>
      </c>
      <c r="D158">
        <v>8.1500000000000003E-2</v>
      </c>
      <c r="E158">
        <v>8.8279999999999997E-2</v>
      </c>
      <c r="F158">
        <v>755227586.60000002</v>
      </c>
      <c r="G158">
        <v>8.8279999999999997E-2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0.99411764705882177</v>
      </c>
      <c r="Q158">
        <f t="shared" ref="Q158" si="766">F158*P158</f>
        <v>750785071.38470459</v>
      </c>
      <c r="R158">
        <f t="shared" ref="R158" si="767">R159+Q158</f>
        <v>83774005894.469177</v>
      </c>
      <c r="S158">
        <f t="shared" ref="S158" si="768">R158/100000</f>
        <v>837740.05894469179</v>
      </c>
      <c r="T158">
        <f t="shared" ref="T158" si="769">S158/1000</f>
        <v>837.74005894469178</v>
      </c>
    </row>
    <row r="159" spans="1:20" x14ac:dyDescent="0.25">
      <c r="A159" s="5">
        <v>44434</v>
      </c>
      <c r="B159">
        <v>8.7569999999999995E-2</v>
      </c>
      <c r="C159">
        <v>8.8389999999999996E-2</v>
      </c>
      <c r="D159">
        <v>8.1909999999999997E-2</v>
      </c>
      <c r="E159">
        <v>8.3030000000000007E-2</v>
      </c>
      <c r="F159">
        <v>770220042.5</v>
      </c>
      <c r="G159">
        <v>8.3030000000000007E-2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-0.6543209876543179</v>
      </c>
      <c r="Q159">
        <f t="shared" ref="Q159" si="771">F159*P159</f>
        <v>-503971138.91975069</v>
      </c>
      <c r="R159">
        <f t="shared" ref="R159" si="772">R160+Q159</f>
        <v>83023220823.084473</v>
      </c>
      <c r="S159">
        <f t="shared" ref="S159" si="773">R159/100000</f>
        <v>830232.2082308447</v>
      </c>
      <c r="T159">
        <f t="shared" ref="T159" si="774">S159/1000</f>
        <v>830.23220823084466</v>
      </c>
    </row>
    <row r="160" spans="1:20" x14ac:dyDescent="0.25">
      <c r="A160" s="5">
        <v>44433</v>
      </c>
      <c r="B160">
        <v>8.4570000000000006E-2</v>
      </c>
      <c r="C160">
        <v>8.7720000000000006E-2</v>
      </c>
      <c r="D160">
        <v>8.2909999999999998E-2</v>
      </c>
      <c r="E160">
        <v>8.7580000000000005E-2</v>
      </c>
      <c r="F160">
        <v>805046427.39999998</v>
      </c>
      <c r="G160">
        <v>8.7580000000000005E-2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0.94178794178794134</v>
      </c>
      <c r="Q160">
        <f t="shared" ref="Q160" si="776">F160*P160</f>
        <v>758183017.90478134</v>
      </c>
      <c r="R160">
        <f t="shared" ref="R160" si="777">R161+Q160</f>
        <v>83527191962.004227</v>
      </c>
      <c r="S160">
        <f t="shared" ref="S160" si="778">R160/100000</f>
        <v>835271.91962004232</v>
      </c>
      <c r="T160">
        <f t="shared" ref="T160" si="779">S160/1000</f>
        <v>835.27191962004235</v>
      </c>
    </row>
    <row r="161" spans="1:20" x14ac:dyDescent="0.25">
      <c r="A161" s="5">
        <v>44432</v>
      </c>
      <c r="B161">
        <v>8.9840000000000003E-2</v>
      </c>
      <c r="C161">
        <v>9.0999999999999998E-2</v>
      </c>
      <c r="D161">
        <v>8.3750000000000005E-2</v>
      </c>
      <c r="E161">
        <v>8.4570000000000006E-2</v>
      </c>
      <c r="F161">
        <v>883206557.10000002</v>
      </c>
      <c r="G161">
        <v>8.4570000000000006E-2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-0.77379310344827523</v>
      </c>
      <c r="Q161">
        <f t="shared" ref="Q161" si="781">F161*P161</f>
        <v>-683419142.80427527</v>
      </c>
      <c r="R161">
        <f t="shared" ref="R161" si="782">R162+Q161</f>
        <v>82769008944.099442</v>
      </c>
      <c r="S161">
        <f t="shared" ref="S161" si="783">R161/100000</f>
        <v>827690.08944099443</v>
      </c>
      <c r="T161">
        <f t="shared" ref="T161" si="784">S161/1000</f>
        <v>827.69008944099448</v>
      </c>
    </row>
    <row r="162" spans="1:20" x14ac:dyDescent="0.25">
      <c r="A162" s="5">
        <v>44431</v>
      </c>
      <c r="B162">
        <v>8.7959999999999997E-2</v>
      </c>
      <c r="C162">
        <v>9.1499999999999998E-2</v>
      </c>
      <c r="D162">
        <v>8.7669999999999998E-2</v>
      </c>
      <c r="E162">
        <v>8.9870000000000005E-2</v>
      </c>
      <c r="F162">
        <v>946597638.29999995</v>
      </c>
      <c r="G162">
        <v>8.9870000000000005E-2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0.14882506527415534</v>
      </c>
      <c r="Q162">
        <f t="shared" ref="Q162" si="786">F162*P162</f>
        <v>140877455.30835879</v>
      </c>
      <c r="R162">
        <f t="shared" ref="R162" si="787">R163+Q162</f>
        <v>83452428086.903717</v>
      </c>
      <c r="S162">
        <f t="shared" ref="S162" si="788">R162/100000</f>
        <v>834524.28086903715</v>
      </c>
      <c r="T162">
        <f t="shared" ref="T162" si="789">S162/1000</f>
        <v>834.52428086903717</v>
      </c>
    </row>
    <row r="163" spans="1:20" x14ac:dyDescent="0.25">
      <c r="A163" s="5">
        <v>44430</v>
      </c>
      <c r="B163">
        <v>8.7980000000000003E-2</v>
      </c>
      <c r="C163">
        <v>8.9289999999999994E-2</v>
      </c>
      <c r="D163">
        <v>8.7760000000000005E-2</v>
      </c>
      <c r="E163">
        <v>8.8789999999999994E-2</v>
      </c>
      <c r="F163">
        <v>122144188.09999999</v>
      </c>
      <c r="G163">
        <v>8.8789999999999994E-2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0.34640522875816493</v>
      </c>
      <c r="Q163">
        <f t="shared" ref="Q163" si="791">F163*P163</f>
        <v>42311385.420260824</v>
      </c>
      <c r="R163">
        <f t="shared" ref="R163" si="792">R164+Q163</f>
        <v>83311550631.595352</v>
      </c>
      <c r="S163">
        <f t="shared" ref="S163" si="793">R163/100000</f>
        <v>833115.50631595356</v>
      </c>
      <c r="T163">
        <f t="shared" ref="T163" si="794">S163/1000</f>
        <v>833.11550631595355</v>
      </c>
    </row>
    <row r="164" spans="1:20" x14ac:dyDescent="0.25">
      <c r="A164" s="5">
        <v>44429</v>
      </c>
      <c r="B164">
        <v>9.0590000000000004E-2</v>
      </c>
      <c r="C164">
        <v>9.0649999999999994E-2</v>
      </c>
      <c r="D164">
        <v>8.7660000000000002E-2</v>
      </c>
      <c r="E164">
        <v>8.7989999999999999E-2</v>
      </c>
      <c r="F164">
        <v>658630152.60000002</v>
      </c>
      <c r="G164">
        <v>8.7989999999999999E-2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-0.77926421404682422</v>
      </c>
      <c r="Q164">
        <f t="shared" ref="Q164" si="796">F164*P164</f>
        <v>-513246908.21337891</v>
      </c>
      <c r="R164">
        <f t="shared" ref="R164" si="797">R165+Q164</f>
        <v>83269239246.175095</v>
      </c>
      <c r="S164">
        <f t="shared" ref="S164" si="798">R164/100000</f>
        <v>832692.39246175089</v>
      </c>
      <c r="T164">
        <f t="shared" ref="T164" si="799">S164/1000</f>
        <v>832.69239246175084</v>
      </c>
    </row>
    <row r="165" spans="1:20" x14ac:dyDescent="0.25">
      <c r="A165" s="5">
        <v>44428</v>
      </c>
      <c r="B165">
        <v>8.8260000000000005E-2</v>
      </c>
      <c r="C165">
        <v>9.0700000000000003E-2</v>
      </c>
      <c r="D165">
        <v>8.6430000000000007E-2</v>
      </c>
      <c r="E165">
        <v>9.0590000000000004E-2</v>
      </c>
      <c r="F165">
        <v>908750943.60000002</v>
      </c>
      <c r="G165">
        <v>9.0590000000000004E-2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0.94847775175644067</v>
      </c>
      <c r="Q165">
        <f t="shared" ref="Q165" si="801">F165*P165</f>
        <v>861930051.892272</v>
      </c>
      <c r="R165">
        <f t="shared" ref="R165" si="802">R166+Q165</f>
        <v>83782486154.388474</v>
      </c>
      <c r="S165">
        <f t="shared" ref="S165" si="803">R165/100000</f>
        <v>837824.86154388473</v>
      </c>
      <c r="T165">
        <f t="shared" ref="T165" si="804">S165/1000</f>
        <v>837.82486154388471</v>
      </c>
    </row>
    <row r="166" spans="1:20" x14ac:dyDescent="0.25">
      <c r="A166" s="5">
        <v>44427</v>
      </c>
      <c r="B166">
        <v>8.4580000000000002E-2</v>
      </c>
      <c r="C166">
        <v>8.8330000000000006E-2</v>
      </c>
      <c r="D166">
        <v>8.1689999999999999E-2</v>
      </c>
      <c r="E166">
        <v>8.8249999999999995E-2</v>
      </c>
      <c r="F166">
        <v>979576274.70000005</v>
      </c>
      <c r="G166">
        <v>8.8249999999999995E-2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0.97590361445782814</v>
      </c>
      <c r="Q166">
        <f t="shared" ref="Q166" si="806">F166*P166</f>
        <v>955972027.11686444</v>
      </c>
      <c r="R166">
        <f t="shared" ref="R166" si="807">R167+Q166</f>
        <v>82920556102.496201</v>
      </c>
      <c r="S166">
        <f t="shared" ref="S166" si="808">R166/100000</f>
        <v>829205.56102496199</v>
      </c>
      <c r="T166">
        <f t="shared" ref="T166" si="809">S166/1000</f>
        <v>829.20556102496198</v>
      </c>
    </row>
    <row r="167" spans="1:20" x14ac:dyDescent="0.25">
      <c r="A167" s="5">
        <v>44426</v>
      </c>
      <c r="B167">
        <v>8.5110000000000005E-2</v>
      </c>
      <c r="C167">
        <v>8.7499999999999994E-2</v>
      </c>
      <c r="D167">
        <v>8.1110000000000002E-2</v>
      </c>
      <c r="E167">
        <v>8.4559999999999996E-2</v>
      </c>
      <c r="F167">
        <v>1166521552.5</v>
      </c>
      <c r="G167">
        <v>8.4559999999999996E-2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7.9812206572769509E-2</v>
      </c>
      <c r="Q167">
        <f t="shared" ref="Q167" si="811">F167*P167</f>
        <v>93102659.119717792</v>
      </c>
      <c r="R167">
        <f t="shared" ref="R167" si="812">R168+Q167</f>
        <v>81964584075.379333</v>
      </c>
      <c r="S167">
        <f t="shared" ref="S167" si="813">R167/100000</f>
        <v>819645.84075379337</v>
      </c>
      <c r="T167">
        <f t="shared" ref="T167" si="814">S167/1000</f>
        <v>819.64584075379332</v>
      </c>
    </row>
    <row r="168" spans="1:20" x14ac:dyDescent="0.25">
      <c r="A168" s="5">
        <v>44425</v>
      </c>
      <c r="B168">
        <v>8.9340000000000003E-2</v>
      </c>
      <c r="C168">
        <v>9.2189999999999994E-2</v>
      </c>
      <c r="D168">
        <v>8.4709999999999994E-2</v>
      </c>
      <c r="E168">
        <v>8.5089999999999999E-2</v>
      </c>
      <c r="F168">
        <v>1241793212.3</v>
      </c>
      <c r="G168">
        <v>8.5089999999999999E-2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-0.89839572192513228</v>
      </c>
      <c r="Q168">
        <f t="shared" ref="Q168" si="816">F168*P168</f>
        <v>-1115621709.4459875</v>
      </c>
      <c r="R168">
        <f t="shared" ref="R168" si="817">R169+Q168</f>
        <v>81871481416.259613</v>
      </c>
      <c r="S168">
        <f t="shared" ref="S168" si="818">R168/100000</f>
        <v>818714.81416259613</v>
      </c>
      <c r="T168">
        <f t="shared" ref="T168" si="819">S168/1000</f>
        <v>818.7148141625961</v>
      </c>
    </row>
    <row r="169" spans="1:20" x14ac:dyDescent="0.25">
      <c r="A169" s="5">
        <v>44424</v>
      </c>
      <c r="B169">
        <v>9.2939999999999995E-2</v>
      </c>
      <c r="C169">
        <v>9.665E-2</v>
      </c>
      <c r="D169">
        <v>8.8150000000000006E-2</v>
      </c>
      <c r="E169">
        <v>8.9359999999999995E-2</v>
      </c>
      <c r="F169">
        <v>1383244467.8</v>
      </c>
      <c r="G169">
        <v>8.9359999999999995E-2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-0.71529411764706119</v>
      </c>
      <c r="Q169">
        <f t="shared" ref="Q169" si="821">F169*P169</f>
        <v>-989426631.08517969</v>
      </c>
      <c r="R169">
        <f t="shared" ref="R169" si="822">R170+Q169</f>
        <v>82987103125.705597</v>
      </c>
      <c r="S169">
        <f t="shared" ref="S169" si="823">R169/100000</f>
        <v>829871.03125705593</v>
      </c>
      <c r="T169">
        <f t="shared" ref="T169" si="824">S169/1000</f>
        <v>829.87103125705596</v>
      </c>
    </row>
    <row r="170" spans="1:20" x14ac:dyDescent="0.25">
      <c r="A170" s="5">
        <v>44423</v>
      </c>
      <c r="B170">
        <v>9.2619999999999994E-2</v>
      </c>
      <c r="C170">
        <v>9.5089999999999994E-2</v>
      </c>
      <c r="D170">
        <v>8.9219999999999994E-2</v>
      </c>
      <c r="E170">
        <v>9.2950000000000005E-2</v>
      </c>
      <c r="F170">
        <v>1176347843.7</v>
      </c>
      <c r="G170">
        <v>9.2950000000000005E-2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0.27086882453151989</v>
      </c>
      <c r="Q170">
        <f t="shared" ref="Q170" si="826">F170*P170</f>
        <v>318635957.66320711</v>
      </c>
      <c r="R170">
        <f t="shared" ref="R170" si="827">R171+Q170</f>
        <v>83976529756.790771</v>
      </c>
      <c r="S170">
        <f t="shared" ref="S170" si="828">R170/100000</f>
        <v>839765.29756790772</v>
      </c>
      <c r="T170">
        <f t="shared" ref="T170" si="829">S170/1000</f>
        <v>839.76529756790774</v>
      </c>
    </row>
    <row r="171" spans="1:20" x14ac:dyDescent="0.25">
      <c r="A171" s="5">
        <v>44422</v>
      </c>
      <c r="B171">
        <v>8.9499999999999996E-2</v>
      </c>
      <c r="C171">
        <v>9.3270000000000006E-2</v>
      </c>
      <c r="D171">
        <v>8.6699999999999999E-2</v>
      </c>
      <c r="E171">
        <v>9.264E-2</v>
      </c>
      <c r="F171">
        <v>1404286779.7</v>
      </c>
      <c r="G171">
        <v>9.264E-2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0.80821917808219024</v>
      </c>
      <c r="Q171">
        <f t="shared" ref="Q171" si="831">F171*P171</f>
        <v>1134971506.8808198</v>
      </c>
      <c r="R171">
        <f t="shared" ref="R171" si="832">R172+Q171</f>
        <v>83657893799.127563</v>
      </c>
      <c r="S171">
        <f t="shared" ref="S171" si="833">R171/100000</f>
        <v>836578.93799127568</v>
      </c>
      <c r="T171">
        <f t="shared" ref="T171" si="834">S171/1000</f>
        <v>836.57893799127567</v>
      </c>
    </row>
    <row r="172" spans="1:20" x14ac:dyDescent="0.25">
      <c r="A172" s="5">
        <v>44421</v>
      </c>
      <c r="B172">
        <v>8.4169999999999995E-2</v>
      </c>
      <c r="C172">
        <v>8.9560000000000001E-2</v>
      </c>
      <c r="D172">
        <v>8.3489999999999995E-2</v>
      </c>
      <c r="E172">
        <v>8.9510000000000006E-2</v>
      </c>
      <c r="F172">
        <v>1044989876.8</v>
      </c>
      <c r="G172">
        <v>8.9510000000000006E-2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0.98352553542010068</v>
      </c>
      <c r="Q172">
        <f t="shared" ref="Q172" si="836">F172*P172</f>
        <v>1027774228.088305</v>
      </c>
      <c r="R172">
        <f t="shared" ref="R172" si="837">R173+Q172</f>
        <v>82522922292.24675</v>
      </c>
      <c r="S172">
        <f t="shared" ref="S172" si="838">R172/100000</f>
        <v>825229.22292246751</v>
      </c>
      <c r="T172">
        <f t="shared" ref="T172" si="839">S172/1000</f>
        <v>825.22922292246756</v>
      </c>
    </row>
    <row r="173" spans="1:20" x14ac:dyDescent="0.25">
      <c r="A173" s="5">
        <v>44420</v>
      </c>
      <c r="B173">
        <v>8.3400000000000002E-2</v>
      </c>
      <c r="C173">
        <v>9.1450000000000004E-2</v>
      </c>
      <c r="D173">
        <v>8.054E-2</v>
      </c>
      <c r="E173">
        <v>8.4150000000000003E-2</v>
      </c>
      <c r="F173">
        <v>2207515919.5999999</v>
      </c>
      <c r="G173">
        <v>8.4150000000000003E-2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-0.3382218148487624</v>
      </c>
      <c r="Q173">
        <f t="shared" ref="Q173" si="841">F173*P173</f>
        <v>-746630040.63464665</v>
      </c>
      <c r="R173">
        <f t="shared" ref="R173" si="842">R174+Q173</f>
        <v>81495148064.158447</v>
      </c>
      <c r="S173">
        <f t="shared" ref="S173" si="843">R173/100000</f>
        <v>814951.48064158449</v>
      </c>
      <c r="T173">
        <f t="shared" ref="T173" si="844">S173/1000</f>
        <v>814.95148064158445</v>
      </c>
    </row>
    <row r="174" spans="1:20" x14ac:dyDescent="0.25">
      <c r="A174" s="5">
        <v>44419</v>
      </c>
      <c r="B174">
        <v>7.4620000000000006E-2</v>
      </c>
      <c r="C174">
        <v>8.6349999999999996E-2</v>
      </c>
      <c r="D174">
        <v>7.4139999999999998E-2</v>
      </c>
      <c r="E174">
        <v>8.3409999999999998E-2</v>
      </c>
      <c r="F174">
        <v>2195292349.8000002</v>
      </c>
      <c r="G174">
        <v>8.3409999999999998E-2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0.51842751842751866</v>
      </c>
      <c r="Q174">
        <f t="shared" ref="Q174" si="846">F174*P174</f>
        <v>1138099965.1297305</v>
      </c>
      <c r="R174">
        <f t="shared" ref="R174" si="847">R175+Q174</f>
        <v>82241778104.793091</v>
      </c>
      <c r="S174">
        <f t="shared" ref="S174" si="848">R174/100000</f>
        <v>822417.78104793094</v>
      </c>
      <c r="T174">
        <f t="shared" ref="T174" si="849">S174/1000</f>
        <v>822.41778104793093</v>
      </c>
    </row>
    <row r="175" spans="1:20" x14ac:dyDescent="0.25">
      <c r="A175" s="5">
        <v>44418</v>
      </c>
      <c r="B175">
        <v>7.3929999999999996E-2</v>
      </c>
      <c r="C175">
        <v>7.5600000000000001E-2</v>
      </c>
      <c r="D175">
        <v>7.2209999999999996E-2</v>
      </c>
      <c r="E175">
        <v>7.4639999999999998E-2</v>
      </c>
      <c r="F175">
        <v>916553367.20000005</v>
      </c>
      <c r="G175">
        <v>7.4639999999999998E-2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0.43362831858407003</v>
      </c>
      <c r="Q175">
        <f t="shared" ref="Q175" si="851">F175*P175</f>
        <v>397443495.51150376</v>
      </c>
      <c r="R175">
        <f t="shared" ref="R175" si="852">R176+Q175</f>
        <v>81103678139.663361</v>
      </c>
      <c r="S175">
        <f t="shared" ref="S175" si="853">R175/100000</f>
        <v>811036.7813966336</v>
      </c>
      <c r="T175">
        <f t="shared" ref="T175" si="854">S175/1000</f>
        <v>811.03678139663361</v>
      </c>
    </row>
    <row r="176" spans="1:20" x14ac:dyDescent="0.25">
      <c r="A176" s="5">
        <v>44417</v>
      </c>
      <c r="B176">
        <v>7.1929999999999994E-2</v>
      </c>
      <c r="C176">
        <v>7.4770000000000003E-2</v>
      </c>
      <c r="D176">
        <v>6.9690000000000002E-2</v>
      </c>
      <c r="E176">
        <v>7.3950000000000002E-2</v>
      </c>
      <c r="F176">
        <v>1055718485.1</v>
      </c>
      <c r="G176">
        <v>7.3950000000000002E-2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0.67716535433070824</v>
      </c>
      <c r="Q176">
        <f t="shared" ref="Q176" si="856">F176*P176</f>
        <v>714895982.03622007</v>
      </c>
      <c r="R176">
        <f t="shared" ref="R176" si="857">R177+Q176</f>
        <v>80706234644.151855</v>
      </c>
      <c r="S176">
        <f t="shared" ref="S176" si="858">R176/100000</f>
        <v>807062.34644151852</v>
      </c>
      <c r="T176">
        <f t="shared" ref="T176" si="859">S176/1000</f>
        <v>807.06234644151857</v>
      </c>
    </row>
    <row r="177" spans="1:20" x14ac:dyDescent="0.25">
      <c r="A177" s="5">
        <v>44416</v>
      </c>
      <c r="B177">
        <v>7.5270000000000004E-2</v>
      </c>
      <c r="C177">
        <v>7.6100000000000001E-2</v>
      </c>
      <c r="D177">
        <v>7.0709999999999995E-2</v>
      </c>
      <c r="E177">
        <v>7.1919999999999998E-2</v>
      </c>
      <c r="F177">
        <v>1176070546.9000001</v>
      </c>
      <c r="G177">
        <v>7.1919999999999998E-2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-0.55102040816326481</v>
      </c>
      <c r="Q177">
        <f t="shared" ref="Q177" si="861">F177*P177</f>
        <v>-648038872.78163207</v>
      </c>
      <c r="R177">
        <f t="shared" ref="R177" si="862">R178+Q177</f>
        <v>79991338662.115631</v>
      </c>
      <c r="S177">
        <f t="shared" ref="S177" si="863">R177/100000</f>
        <v>799913.38662115636</v>
      </c>
      <c r="T177">
        <f t="shared" ref="T177" si="864">S177/1000</f>
        <v>799.91338662115641</v>
      </c>
    </row>
    <row r="178" spans="1:20" x14ac:dyDescent="0.25">
      <c r="A178" s="5">
        <v>44415</v>
      </c>
      <c r="B178">
        <v>7.1959999999999996E-2</v>
      </c>
      <c r="C178">
        <v>7.6450000000000004E-2</v>
      </c>
      <c r="D178">
        <v>7.1840000000000001E-2</v>
      </c>
      <c r="E178">
        <v>7.5270000000000004E-2</v>
      </c>
      <c r="F178">
        <v>1271263366.5</v>
      </c>
      <c r="G178">
        <v>7.5270000000000004E-2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0.48806941431670292</v>
      </c>
      <c r="Q178">
        <f t="shared" ref="Q178" si="866">F178*P178</f>
        <v>620464766.72993505</v>
      </c>
      <c r="R178">
        <f t="shared" ref="R178" si="867">R179+Q178</f>
        <v>80639377534.897263</v>
      </c>
      <c r="S178">
        <f t="shared" ref="S178" si="868">R178/100000</f>
        <v>806393.77534897265</v>
      </c>
      <c r="T178">
        <f t="shared" ref="T178" si="869">S178/1000</f>
        <v>806.39377534897267</v>
      </c>
    </row>
    <row r="179" spans="1:20" x14ac:dyDescent="0.25">
      <c r="A179" s="5">
        <v>44414</v>
      </c>
      <c r="B179">
        <v>7.0150000000000004E-2</v>
      </c>
      <c r="C179">
        <v>7.2480000000000003E-2</v>
      </c>
      <c r="D179">
        <v>6.9750000000000006E-2</v>
      </c>
      <c r="E179">
        <v>7.1959999999999996E-2</v>
      </c>
      <c r="F179">
        <v>953489619.39999998</v>
      </c>
      <c r="G179">
        <v>7.1959999999999996E-2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0.61904761904761374</v>
      </c>
      <c r="Q179">
        <f t="shared" ref="Q179" si="871">F179*P179</f>
        <v>590255478.67618537</v>
      </c>
      <c r="R179">
        <f t="shared" ref="R179" si="872">R180+Q179</f>
        <v>80018912768.167328</v>
      </c>
      <c r="S179">
        <f t="shared" ref="S179" si="873">R179/100000</f>
        <v>800189.12768167327</v>
      </c>
      <c r="T179">
        <f t="shared" ref="T179" si="874">S179/1000</f>
        <v>800.18912768167331</v>
      </c>
    </row>
    <row r="180" spans="1:20" x14ac:dyDescent="0.25">
      <c r="A180" s="5">
        <v>44413</v>
      </c>
      <c r="B180">
        <v>6.7369999999999999E-2</v>
      </c>
      <c r="C180">
        <v>7.0879999999999999E-2</v>
      </c>
      <c r="D180">
        <v>6.6680000000000003E-2</v>
      </c>
      <c r="E180">
        <v>7.0129999999999998E-2</v>
      </c>
      <c r="F180">
        <v>1351044953.5</v>
      </c>
      <c r="G180">
        <v>7.0129999999999998E-2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0.64285714285714213</v>
      </c>
      <c r="Q180">
        <f t="shared" ref="Q180" si="876">F180*P180</f>
        <v>868528898.67857039</v>
      </c>
      <c r="R180">
        <f t="shared" ref="R180" si="877">R181+Q180</f>
        <v>79428657289.49115</v>
      </c>
      <c r="S180">
        <f t="shared" ref="S180" si="878">R180/100000</f>
        <v>794286.57289491151</v>
      </c>
      <c r="T180">
        <f t="shared" ref="T180" si="879">S180/1000</f>
        <v>794.2865728949115</v>
      </c>
    </row>
    <row r="181" spans="1:20" x14ac:dyDescent="0.25">
      <c r="A181" s="5">
        <v>44412</v>
      </c>
      <c r="B181">
        <v>6.4030000000000004E-2</v>
      </c>
      <c r="C181">
        <v>6.7960000000000007E-2</v>
      </c>
      <c r="D181">
        <v>6.3509999999999997E-2</v>
      </c>
      <c r="E181">
        <v>6.7369999999999999E-2</v>
      </c>
      <c r="F181">
        <v>724849039.89999998</v>
      </c>
      <c r="G181">
        <v>6.7369999999999999E-2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0.73483146067415461</v>
      </c>
      <c r="Q181">
        <f t="shared" ref="Q181" si="881">F181*P181</f>
        <v>532641878.75797558</v>
      </c>
      <c r="R181">
        <f t="shared" ref="R181" si="882">R182+Q181</f>
        <v>78560128390.812576</v>
      </c>
      <c r="S181">
        <f t="shared" ref="S181" si="883">R181/100000</f>
        <v>785601.28390812571</v>
      </c>
      <c r="T181">
        <f t="shared" ref="T181" si="884">S181/1000</f>
        <v>785.60128390812577</v>
      </c>
    </row>
    <row r="182" spans="1:20" x14ac:dyDescent="0.25">
      <c r="A182" s="5">
        <v>44411</v>
      </c>
      <c r="B182">
        <v>6.4630000000000007E-2</v>
      </c>
      <c r="C182">
        <v>6.5439999999999998E-2</v>
      </c>
      <c r="D182">
        <v>6.2859999999999999E-2</v>
      </c>
      <c r="E182">
        <v>6.4030000000000004E-2</v>
      </c>
      <c r="F182">
        <v>699091510.10000002</v>
      </c>
      <c r="G182">
        <v>6.4030000000000004E-2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-9.302325581394974E-2</v>
      </c>
      <c r="Q182">
        <f t="shared" ref="Q182" si="886">F182*P182</f>
        <v>-65031768.381392732</v>
      </c>
      <c r="R182">
        <f t="shared" ref="R182" si="887">R183+Q182</f>
        <v>78027486512.054596</v>
      </c>
      <c r="S182">
        <f t="shared" ref="S182" si="888">R182/100000</f>
        <v>780274.86512054596</v>
      </c>
      <c r="T182">
        <f t="shared" ref="T182" si="889">S182/1000</f>
        <v>780.274865120546</v>
      </c>
    </row>
    <row r="183" spans="1:20" x14ac:dyDescent="0.25">
      <c r="A183" s="5">
        <v>44410</v>
      </c>
      <c r="B183">
        <v>6.3219999999999998E-2</v>
      </c>
      <c r="C183">
        <v>6.5670000000000006E-2</v>
      </c>
      <c r="D183">
        <v>6.2149999999999997E-2</v>
      </c>
      <c r="E183">
        <v>6.4630000000000007E-2</v>
      </c>
      <c r="F183">
        <v>777041643.89999998</v>
      </c>
      <c r="G183">
        <v>6.4630000000000007E-2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0.40909090909091106</v>
      </c>
      <c r="Q183">
        <f t="shared" ref="Q183" si="891">F183*P183</f>
        <v>317880672.504547</v>
      </c>
      <c r="R183">
        <f t="shared" ref="R183" si="892">R184+Q183</f>
        <v>78092518280.435989</v>
      </c>
      <c r="S183">
        <f t="shared" ref="S183" si="893">R183/100000</f>
        <v>780925.18280435994</v>
      </c>
      <c r="T183">
        <f t="shared" ref="T183" si="894">S183/1000</f>
        <v>780.92518280435991</v>
      </c>
    </row>
    <row r="184" spans="1:20" x14ac:dyDescent="0.25">
      <c r="A184" s="5">
        <v>44409</v>
      </c>
      <c r="B184">
        <v>6.3960000000000003E-2</v>
      </c>
      <c r="C184">
        <v>6.6799999999999998E-2</v>
      </c>
      <c r="D184">
        <v>6.2350000000000003E-2</v>
      </c>
      <c r="E184">
        <v>6.3200000000000006E-2</v>
      </c>
      <c r="F184">
        <v>1017798236.7</v>
      </c>
      <c r="G184">
        <v>6.3200000000000006E-2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-0.61797752808988571</v>
      </c>
      <c r="Q184">
        <f t="shared" ref="Q184" si="896">F184*P184</f>
        <v>-628976438.41011047</v>
      </c>
      <c r="R184">
        <f t="shared" ref="R184" si="897">R185+Q184</f>
        <v>77774637607.931442</v>
      </c>
      <c r="S184">
        <f t="shared" ref="S184" si="898">R184/100000</f>
        <v>777746.37607931439</v>
      </c>
      <c r="T184">
        <f t="shared" ref="T184" si="899">S184/1000</f>
        <v>777.74637607931436</v>
      </c>
    </row>
    <row r="185" spans="1:20" x14ac:dyDescent="0.25">
      <c r="A185" s="5">
        <v>44408</v>
      </c>
      <c r="B185">
        <v>6.3250000000000001E-2</v>
      </c>
      <c r="C185">
        <v>6.4680000000000001E-2</v>
      </c>
      <c r="D185">
        <v>6.2330000000000003E-2</v>
      </c>
      <c r="E185">
        <v>6.3960000000000003E-2</v>
      </c>
      <c r="F185">
        <v>767394068.89999998</v>
      </c>
      <c r="G185">
        <v>6.3960000000000003E-2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0.38723404255319227</v>
      </c>
      <c r="Q185">
        <f t="shared" ref="Q185" si="901">F185*P185</f>
        <v>297161107.53148997</v>
      </c>
      <c r="R185">
        <f t="shared" ref="R185" si="902">R186+Q185</f>
        <v>78403614046.341553</v>
      </c>
      <c r="S185">
        <f t="shared" ref="S185" si="903">R185/100000</f>
        <v>784036.14046341553</v>
      </c>
      <c r="T185">
        <f t="shared" ref="T185" si="904">S185/1000</f>
        <v>784.03614046341556</v>
      </c>
    </row>
    <row r="186" spans="1:20" x14ac:dyDescent="0.25">
      <c r="A186" s="5">
        <v>44407</v>
      </c>
      <c r="B186">
        <v>6.1850000000000002E-2</v>
      </c>
      <c r="C186">
        <v>6.3299999999999995E-2</v>
      </c>
      <c r="D186">
        <v>5.9740000000000001E-2</v>
      </c>
      <c r="E186">
        <v>6.3250000000000001E-2</v>
      </c>
      <c r="F186">
        <v>894685288.10000002</v>
      </c>
      <c r="G186">
        <v>6.3250000000000001E-2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0.9719101123595536</v>
      </c>
      <c r="Q186">
        <f t="shared" ref="Q186" si="906">F186*P186</f>
        <v>869553678.88371062</v>
      </c>
      <c r="R186">
        <f t="shared" ref="R186" si="907">R187+Q186</f>
        <v>78106452938.810059</v>
      </c>
      <c r="S186">
        <f t="shared" ref="S186" si="908">R186/100000</f>
        <v>781064.52938810061</v>
      </c>
      <c r="T186">
        <f t="shared" ref="T186" si="909">S186/1000</f>
        <v>781.0645293881006</v>
      </c>
    </row>
    <row r="187" spans="1:20" x14ac:dyDescent="0.25">
      <c r="A187" s="5">
        <v>44406</v>
      </c>
      <c r="B187">
        <v>6.0699999999999997E-2</v>
      </c>
      <c r="C187">
        <v>6.2370000000000002E-2</v>
      </c>
      <c r="D187">
        <v>5.9630000000000002E-2</v>
      </c>
      <c r="E187">
        <v>6.1850000000000002E-2</v>
      </c>
      <c r="F187">
        <v>602550856.70000005</v>
      </c>
      <c r="G187">
        <v>6.1850000000000002E-2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0.62043795620437969</v>
      </c>
      <c r="Q187">
        <f t="shared" ref="Q187" si="911">F187*P187</f>
        <v>373845422.04014611</v>
      </c>
      <c r="R187">
        <f t="shared" ref="R187" si="912">R188+Q187</f>
        <v>77236899259.926346</v>
      </c>
      <c r="S187">
        <f t="shared" ref="S187" si="913">R187/100000</f>
        <v>772368.99259926344</v>
      </c>
      <c r="T187">
        <f t="shared" ref="T187" si="914">S187/1000</f>
        <v>772.36899259926349</v>
      </c>
    </row>
    <row r="188" spans="1:20" x14ac:dyDescent="0.25">
      <c r="A188" s="5">
        <v>44405</v>
      </c>
      <c r="B188">
        <v>6.0179999999999997E-2</v>
      </c>
      <c r="C188">
        <v>6.1940000000000002E-2</v>
      </c>
      <c r="D188">
        <v>5.9610000000000003E-2</v>
      </c>
      <c r="E188">
        <v>6.0699999999999997E-2</v>
      </c>
      <c r="F188">
        <v>952365959.20000005</v>
      </c>
      <c r="G188">
        <v>6.0699999999999997E-2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-6.437768240343833E-2</v>
      </c>
      <c r="Q188">
        <f t="shared" ref="Q188" si="916">F188*P188</f>
        <v>-61311113.253223509</v>
      </c>
      <c r="R188">
        <f t="shared" ref="R188" si="917">R189+Q188</f>
        <v>76863053837.8862</v>
      </c>
      <c r="S188">
        <f t="shared" ref="S188" si="918">R188/100000</f>
        <v>768630.53837886197</v>
      </c>
      <c r="T188">
        <f t="shared" ref="T188" si="919">S188/1000</f>
        <v>768.63053837886196</v>
      </c>
    </row>
    <row r="189" spans="1:20" x14ac:dyDescent="0.25">
      <c r="A189" s="5">
        <v>44404</v>
      </c>
      <c r="B189">
        <v>5.8409999999999997E-2</v>
      </c>
      <c r="C189">
        <v>6.0850000000000001E-2</v>
      </c>
      <c r="D189">
        <v>5.6860000000000001E-2</v>
      </c>
      <c r="E189">
        <v>6.019E-2</v>
      </c>
      <c r="F189">
        <v>1031526984.4</v>
      </c>
      <c r="G189">
        <v>6.019E-2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0.66917293233082664</v>
      </c>
      <c r="Q189">
        <f t="shared" ref="Q189" si="921">F189*P189</f>
        <v>690269936.92932284</v>
      </c>
      <c r="R189">
        <f t="shared" ref="R189" si="922">R190+Q189</f>
        <v>76924364951.13942</v>
      </c>
      <c r="S189">
        <f t="shared" ref="S189" si="923">R189/100000</f>
        <v>769243.64951139421</v>
      </c>
      <c r="T189">
        <f t="shared" ref="T189" si="924">S189/1000</f>
        <v>769.24364951139421</v>
      </c>
    </row>
    <row r="190" spans="1:20" x14ac:dyDescent="0.25">
      <c r="A190" s="5">
        <v>44403</v>
      </c>
      <c r="B190">
        <v>5.7889999999999997E-2</v>
      </c>
      <c r="C190">
        <v>6.3409999999999994E-2</v>
      </c>
      <c r="D190">
        <v>5.7639999999999997E-2</v>
      </c>
      <c r="E190">
        <v>5.842E-2</v>
      </c>
      <c r="F190">
        <v>1718127329.8</v>
      </c>
      <c r="G190">
        <v>5.842E-2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-0.72963604852686192</v>
      </c>
      <c r="Q190">
        <f t="shared" ref="Q190" si="926">F190*P190</f>
        <v>-1253607635.7812805</v>
      </c>
      <c r="R190">
        <f t="shared" ref="R190" si="927">R191+Q190</f>
        <v>76234095014.210098</v>
      </c>
      <c r="S190">
        <f t="shared" ref="S190" si="928">R190/100000</f>
        <v>762340.95014210104</v>
      </c>
      <c r="T190">
        <f t="shared" ref="T190" si="929">S190/1000</f>
        <v>762.34095014210106</v>
      </c>
    </row>
    <row r="191" spans="1:20" x14ac:dyDescent="0.25">
      <c r="A191" s="5">
        <v>44402</v>
      </c>
      <c r="B191">
        <v>5.7270000000000001E-2</v>
      </c>
      <c r="C191">
        <v>5.8130000000000001E-2</v>
      </c>
      <c r="D191">
        <v>5.5750000000000001E-2</v>
      </c>
      <c r="E191">
        <v>5.7910000000000003E-2</v>
      </c>
      <c r="F191">
        <v>682745598.5</v>
      </c>
      <c r="G191">
        <v>5.7910000000000003E-2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0.81512605042016983</v>
      </c>
      <c r="Q191">
        <f t="shared" ref="Q191" si="931">F191*P191</f>
        <v>556523723.14706004</v>
      </c>
      <c r="R191">
        <f t="shared" ref="R191" si="932">R192+Q191</f>
        <v>77487702649.991379</v>
      </c>
      <c r="S191">
        <f t="shared" ref="S191" si="933">R191/100000</f>
        <v>774877.02649991377</v>
      </c>
      <c r="T191">
        <f t="shared" ref="T191:T197" si="934">S191/1000</f>
        <v>774.87702649991377</v>
      </c>
    </row>
    <row r="192" spans="1:20" x14ac:dyDescent="0.25">
      <c r="A192" s="5">
        <v>44401</v>
      </c>
      <c r="B192">
        <v>5.602E-2</v>
      </c>
      <c r="C192">
        <v>5.7959999999999998E-2</v>
      </c>
      <c r="D192">
        <v>5.5750000000000001E-2</v>
      </c>
      <c r="E192">
        <v>5.7270000000000001E-2</v>
      </c>
      <c r="F192">
        <v>674775739.10000002</v>
      </c>
      <c r="G192">
        <v>5.7270000000000001E-2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0.37556561085973106</v>
      </c>
      <c r="Q192">
        <f t="shared" ref="Q192" si="936">F192*P192</f>
        <v>253422562.64841801</v>
      </c>
      <c r="R192">
        <f t="shared" ref="R192" si="937">R193+Q192</f>
        <v>76931178926.844315</v>
      </c>
      <c r="S192">
        <f t="shared" ref="S192" si="938">R192/100000</f>
        <v>769311.78926844313</v>
      </c>
      <c r="T192">
        <f t="shared" si="934"/>
        <v>769.31178926844314</v>
      </c>
    </row>
    <row r="193" spans="1:20" x14ac:dyDescent="0.25">
      <c r="A193" s="5">
        <v>44400</v>
      </c>
      <c r="B193">
        <v>5.5259999999999997E-2</v>
      </c>
      <c r="C193">
        <v>5.6270000000000001E-2</v>
      </c>
      <c r="D193">
        <v>5.3699999999999998E-2</v>
      </c>
      <c r="E193">
        <v>5.6000000000000001E-2</v>
      </c>
      <c r="F193">
        <v>653342503.89999998</v>
      </c>
      <c r="G193">
        <v>5.6000000000000001E-2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0.78988326848249102</v>
      </c>
      <c r="Q193">
        <f t="shared" ref="Q193" si="940">F193*P193</f>
        <v>516064312.41906661</v>
      </c>
      <c r="R193">
        <f t="shared" ref="R193" si="941">R194+Q193</f>
        <v>76677756364.195892</v>
      </c>
      <c r="S193">
        <f t="shared" ref="S193" si="942">R193/100000</f>
        <v>766777.56364195887</v>
      </c>
      <c r="T193">
        <f t="shared" si="934"/>
        <v>766.77756364195886</v>
      </c>
    </row>
    <row r="194" spans="1:20" x14ac:dyDescent="0.25">
      <c r="A194" s="5">
        <v>44399</v>
      </c>
      <c r="B194">
        <v>5.389E-2</v>
      </c>
      <c r="C194">
        <v>5.5359999999999999E-2</v>
      </c>
      <c r="D194">
        <v>5.2949999999999997E-2</v>
      </c>
      <c r="E194">
        <v>5.5259999999999997E-2</v>
      </c>
      <c r="F194">
        <v>658326956.70000005</v>
      </c>
      <c r="G194">
        <v>5.5259999999999997E-2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0.91701244813277782</v>
      </c>
      <c r="Q194">
        <f t="shared" ref="Q194" si="944">F194*P194</f>
        <v>603694014.23526824</v>
      </c>
      <c r="R194">
        <f t="shared" ref="R194" si="945">R195+Q194</f>
        <v>76161692051.776825</v>
      </c>
      <c r="S194">
        <f t="shared" ref="S194" si="946">R194/100000</f>
        <v>761616.92051776825</v>
      </c>
      <c r="T194">
        <f t="shared" si="934"/>
        <v>761.61692051776822</v>
      </c>
    </row>
    <row r="195" spans="1:20" x14ac:dyDescent="0.25">
      <c r="A195" s="5">
        <v>44398</v>
      </c>
      <c r="B195">
        <v>5.0459999999999998E-2</v>
      </c>
      <c r="C195">
        <v>5.5219999999999998E-2</v>
      </c>
      <c r="D195">
        <v>4.972E-2</v>
      </c>
      <c r="E195">
        <v>5.3879999999999997E-2</v>
      </c>
      <c r="F195">
        <v>920047639.10000002</v>
      </c>
      <c r="G195">
        <v>5.3879999999999997E-2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0.51272727272727225</v>
      </c>
      <c r="Q195">
        <f t="shared" ref="Q195" si="948">F195*P195</f>
        <v>471733516.77490866</v>
      </c>
      <c r="R195">
        <f t="shared" ref="R195" si="949">R196+Q195</f>
        <v>75557998037.54155</v>
      </c>
      <c r="S195">
        <f t="shared" ref="S195" si="950">R195/100000</f>
        <v>755579.98037541553</v>
      </c>
      <c r="T195">
        <f t="shared" si="934"/>
        <v>755.57998037541552</v>
      </c>
    </row>
    <row r="196" spans="1:20" x14ac:dyDescent="0.25">
      <c r="A196" s="5">
        <v>44397</v>
      </c>
      <c r="B196">
        <v>5.3449999999999998E-2</v>
      </c>
      <c r="C196">
        <v>5.4269999999999999E-2</v>
      </c>
      <c r="D196">
        <v>4.9110000000000001E-2</v>
      </c>
      <c r="E196">
        <v>5.0450000000000002E-2</v>
      </c>
      <c r="F196">
        <v>899249240.20000005</v>
      </c>
      <c r="G196">
        <v>5.0450000000000002E-2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-0.4806201550387591</v>
      </c>
      <c r="Q196">
        <f t="shared" ref="Q196" si="952">F196*P196</f>
        <v>-432197309.24341035</v>
      </c>
      <c r="R196">
        <f t="shared" ref="R196" si="953">R197+Q196</f>
        <v>75086264520.766647</v>
      </c>
      <c r="S196">
        <f t="shared" ref="S196" si="954">R196/100000</f>
        <v>750862.64520766644</v>
      </c>
      <c r="T196">
        <f t="shared" si="934"/>
        <v>750.86264520766645</v>
      </c>
    </row>
    <row r="197" spans="1:20" x14ac:dyDescent="0.25">
      <c r="A197" s="5">
        <v>44396</v>
      </c>
      <c r="B197">
        <v>5.5919999999999997E-2</v>
      </c>
      <c r="C197">
        <v>5.6279999999999997E-2</v>
      </c>
      <c r="D197">
        <v>5.3319999999999999E-2</v>
      </c>
      <c r="E197">
        <v>5.3449999999999998E-2</v>
      </c>
      <c r="F197">
        <v>558102555.79999995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-0.91216216216216328</v>
      </c>
      <c r="Q197">
        <f t="shared" ref="Q197" si="956">F197*P197</f>
        <v>-509080034.00675732</v>
      </c>
      <c r="R197">
        <f t="shared" ref="R197" si="957">R198+Q197</f>
        <v>75518461830.010056</v>
      </c>
      <c r="S197">
        <f t="shared" ref="S197" si="958">R197/100000</f>
        <v>755184.61830010056</v>
      </c>
      <c r="T197">
        <f t="shared" si="934"/>
        <v>755.18461830010051</v>
      </c>
    </row>
    <row r="198" spans="1:20" x14ac:dyDescent="0.25">
      <c r="A198" s="5">
        <v>44395</v>
      </c>
      <c r="B198">
        <v>5.5969999999999999E-2</v>
      </c>
      <c r="C198">
        <v>5.7489999999999999E-2</v>
      </c>
      <c r="D198">
        <v>5.5259999999999997E-2</v>
      </c>
      <c r="E198">
        <v>5.5919999999999997E-2</v>
      </c>
      <c r="F198">
        <v>492290876.19999999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-0.40807174887892372</v>
      </c>
      <c r="Q198">
        <f t="shared" ref="Q198:Q261" si="960">F198*P198</f>
        <v>-200889998.80807173</v>
      </c>
      <c r="R198">
        <f t="shared" ref="R198:R261" si="961">R199+Q198</f>
        <v>76027541864.016815</v>
      </c>
      <c r="S198">
        <f t="shared" ref="S198:S261" si="962">R198/100000</f>
        <v>760275.41864016815</v>
      </c>
      <c r="T198">
        <f t="shared" ref="T198:T261" si="963">S198/1000</f>
        <v>760.27541864016814</v>
      </c>
    </row>
    <row r="199" spans="1:20" x14ac:dyDescent="0.25">
      <c r="A199" s="5">
        <v>44394</v>
      </c>
      <c r="B199">
        <v>5.5629999999999999E-2</v>
      </c>
      <c r="C199">
        <v>5.6680000000000001E-2</v>
      </c>
      <c r="D199">
        <v>5.475E-2</v>
      </c>
      <c r="E199">
        <v>5.5969999999999999E-2</v>
      </c>
      <c r="F199">
        <v>604229757.79999995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0.26424870466321049</v>
      </c>
      <c r="Q199">
        <f t="shared" si="960"/>
        <v>159666930.81761539</v>
      </c>
      <c r="R199">
        <f t="shared" si="961"/>
        <v>76228431862.82489</v>
      </c>
      <c r="S199">
        <f t="shared" si="962"/>
        <v>762284.31862824888</v>
      </c>
      <c r="T199">
        <f t="shared" si="963"/>
        <v>762.28431862824891</v>
      </c>
    </row>
    <row r="200" spans="1:20" x14ac:dyDescent="0.25">
      <c r="A200" s="5">
        <v>44393</v>
      </c>
      <c r="B200">
        <v>5.7840000000000003E-2</v>
      </c>
      <c r="C200">
        <v>5.8799999999999998E-2</v>
      </c>
      <c r="D200">
        <v>5.5570000000000001E-2</v>
      </c>
      <c r="E200">
        <v>5.5620000000000003E-2</v>
      </c>
      <c r="F200">
        <v>650507474.79999995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-0.96904024767801766</v>
      </c>
      <c r="Q200">
        <f t="shared" si="960"/>
        <v>-630367924.49659383</v>
      </c>
      <c r="R200">
        <f t="shared" si="961"/>
        <v>76068764932.007278</v>
      </c>
      <c r="S200">
        <f t="shared" si="962"/>
        <v>760687.64932007273</v>
      </c>
      <c r="T200">
        <f t="shared" si="963"/>
        <v>760.68764932007275</v>
      </c>
    </row>
    <row r="201" spans="1:20" x14ac:dyDescent="0.25">
      <c r="A201" s="5">
        <v>44392</v>
      </c>
      <c r="B201">
        <v>5.9880000000000003E-2</v>
      </c>
      <c r="C201">
        <v>6.0740000000000002E-2</v>
      </c>
      <c r="D201">
        <v>5.7009999999999998E-2</v>
      </c>
      <c r="E201">
        <v>5.7840000000000003E-2</v>
      </c>
      <c r="F201">
        <v>653716628.29999995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-0.55495978552278635</v>
      </c>
      <c r="Q201">
        <f t="shared" si="960"/>
        <v>-362786439.83404702</v>
      </c>
      <c r="R201">
        <f t="shared" si="961"/>
        <v>76699132856.503876</v>
      </c>
      <c r="S201">
        <f t="shared" si="962"/>
        <v>766991.32856503874</v>
      </c>
      <c r="T201">
        <f t="shared" si="963"/>
        <v>766.99132856503877</v>
      </c>
    </row>
    <row r="202" spans="1:20" x14ac:dyDescent="0.25">
      <c r="A202" s="5">
        <v>44391</v>
      </c>
      <c r="B202">
        <v>5.9380000000000002E-2</v>
      </c>
      <c r="C202">
        <v>6.0299999999999999E-2</v>
      </c>
      <c r="D202">
        <v>5.679E-2</v>
      </c>
      <c r="E202">
        <v>5.9889999999999999E-2</v>
      </c>
      <c r="F202">
        <v>723351904.5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0.76638176638176592</v>
      </c>
      <c r="Q202">
        <f t="shared" si="960"/>
        <v>554363710.2863245</v>
      </c>
      <c r="R202">
        <f t="shared" si="961"/>
        <v>77061919296.337921</v>
      </c>
      <c r="S202">
        <f t="shared" si="962"/>
        <v>770619.1929633792</v>
      </c>
      <c r="T202">
        <f t="shared" si="963"/>
        <v>770.61919296337919</v>
      </c>
    </row>
    <row r="203" spans="1:20" x14ac:dyDescent="0.25">
      <c r="A203" s="5">
        <v>44390</v>
      </c>
      <c r="B203">
        <v>6.0040000000000003E-2</v>
      </c>
      <c r="C203">
        <v>6.0690000000000001E-2</v>
      </c>
      <c r="D203">
        <v>5.8650000000000001E-2</v>
      </c>
      <c r="E203">
        <v>5.9369999999999999E-2</v>
      </c>
      <c r="F203">
        <v>537060039.5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-0.29411764705882515</v>
      </c>
      <c r="Q203">
        <f t="shared" si="960"/>
        <v>-157958835.14705968</v>
      </c>
      <c r="R203">
        <f t="shared" si="961"/>
        <v>76507555586.05159</v>
      </c>
      <c r="S203">
        <f t="shared" si="962"/>
        <v>765075.55586051592</v>
      </c>
      <c r="T203">
        <f t="shared" si="963"/>
        <v>765.07555586051592</v>
      </c>
    </row>
    <row r="204" spans="1:20" x14ac:dyDescent="0.25">
      <c r="A204" s="5">
        <v>44389</v>
      </c>
      <c r="B204">
        <v>6.1850000000000002E-2</v>
      </c>
      <c r="C204">
        <v>6.2859999999999999E-2</v>
      </c>
      <c r="D204">
        <v>5.9520000000000003E-2</v>
      </c>
      <c r="E204">
        <v>6.0040000000000003E-2</v>
      </c>
      <c r="F204">
        <v>567140927.89999998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-0.68862275449101784</v>
      </c>
      <c r="Q204">
        <f t="shared" si="960"/>
        <v>-390546147.95508975</v>
      </c>
      <c r="R204">
        <f t="shared" si="961"/>
        <v>76665514421.198654</v>
      </c>
      <c r="S204">
        <f t="shared" si="962"/>
        <v>766655.14421198657</v>
      </c>
      <c r="T204">
        <f t="shared" si="963"/>
        <v>766.65514421198657</v>
      </c>
    </row>
    <row r="205" spans="1:20" x14ac:dyDescent="0.25">
      <c r="A205" s="5">
        <v>44388</v>
      </c>
      <c r="B205">
        <v>6.1420000000000002E-2</v>
      </c>
      <c r="C205">
        <v>6.2539999999999998E-2</v>
      </c>
      <c r="D205">
        <v>6.062E-2</v>
      </c>
      <c r="E205">
        <v>6.1839999999999999E-2</v>
      </c>
      <c r="F205">
        <v>404870599.69999999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0.27083333333333343</v>
      </c>
      <c r="Q205">
        <f t="shared" si="960"/>
        <v>109652454.0854167</v>
      </c>
      <c r="R205">
        <f t="shared" si="961"/>
        <v>77056060569.153748</v>
      </c>
      <c r="S205">
        <f t="shared" si="962"/>
        <v>770560.60569153749</v>
      </c>
      <c r="T205">
        <f t="shared" si="963"/>
        <v>770.56060569153749</v>
      </c>
    </row>
    <row r="206" spans="1:20" x14ac:dyDescent="0.25">
      <c r="A206" s="5">
        <v>44387</v>
      </c>
      <c r="B206">
        <v>6.2199999999999998E-2</v>
      </c>
      <c r="C206">
        <v>6.3049999999999995E-2</v>
      </c>
      <c r="D206">
        <v>6.0569999999999999E-2</v>
      </c>
      <c r="E206">
        <v>6.1420000000000002E-2</v>
      </c>
      <c r="F206">
        <v>579097215.39999998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-0.31451612903225412</v>
      </c>
      <c r="Q206">
        <f t="shared" si="960"/>
        <v>-182135414.52096546</v>
      </c>
      <c r="R206">
        <f t="shared" si="961"/>
        <v>76946408115.068329</v>
      </c>
      <c r="S206">
        <f t="shared" si="962"/>
        <v>769464.08115068334</v>
      </c>
      <c r="T206">
        <f t="shared" si="963"/>
        <v>769.46408115068334</v>
      </c>
    </row>
    <row r="207" spans="1:20" x14ac:dyDescent="0.25">
      <c r="A207" s="5">
        <v>44386</v>
      </c>
      <c r="B207">
        <v>6.1069999999999999E-2</v>
      </c>
      <c r="C207">
        <v>6.2590000000000007E-2</v>
      </c>
      <c r="D207">
        <v>5.9110000000000003E-2</v>
      </c>
      <c r="E207">
        <v>6.2190000000000002E-2</v>
      </c>
      <c r="F207">
        <v>686797199.89999998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0.77011494252873325</v>
      </c>
      <c r="Q207">
        <f t="shared" si="960"/>
        <v>528912786.12988341</v>
      </c>
      <c r="R207">
        <f t="shared" si="961"/>
        <v>77128543529.589294</v>
      </c>
      <c r="S207">
        <f t="shared" si="962"/>
        <v>771285.435295893</v>
      </c>
      <c r="T207">
        <f t="shared" si="963"/>
        <v>771.28543529589297</v>
      </c>
    </row>
    <row r="208" spans="1:20" x14ac:dyDescent="0.25">
      <c r="A208" s="5">
        <v>44385</v>
      </c>
      <c r="B208">
        <v>6.4329999999999998E-2</v>
      </c>
      <c r="C208">
        <v>6.447E-2</v>
      </c>
      <c r="D208">
        <v>6.019E-2</v>
      </c>
      <c r="E208">
        <v>6.1060000000000003E-2</v>
      </c>
      <c r="F208">
        <v>957989405.20000005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-0.59345794392523232</v>
      </c>
      <c r="Q208">
        <f t="shared" si="960"/>
        <v>-568526422.71214831</v>
      </c>
      <c r="R208">
        <f t="shared" si="961"/>
        <v>76599630743.459412</v>
      </c>
      <c r="S208">
        <f t="shared" si="962"/>
        <v>765996.30743459414</v>
      </c>
      <c r="T208">
        <f t="shared" si="963"/>
        <v>765.99630743459409</v>
      </c>
    </row>
    <row r="209" spans="1:20" x14ac:dyDescent="0.25">
      <c r="A209" s="5">
        <v>44384</v>
      </c>
      <c r="B209">
        <v>6.4939999999999998E-2</v>
      </c>
      <c r="C209">
        <v>6.5979999999999997E-2</v>
      </c>
      <c r="D209">
        <v>6.4189999999999997E-2</v>
      </c>
      <c r="E209">
        <v>6.4329999999999998E-2</v>
      </c>
      <c r="F209">
        <v>564592652.79999995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-0.84357541899441202</v>
      </c>
      <c r="Q209">
        <f t="shared" si="960"/>
        <v>-476276483.64692652</v>
      </c>
      <c r="R209">
        <f t="shared" si="961"/>
        <v>77168157166.171555</v>
      </c>
      <c r="S209">
        <f t="shared" si="962"/>
        <v>771681.57166171551</v>
      </c>
      <c r="T209">
        <f t="shared" si="963"/>
        <v>771.68157166171557</v>
      </c>
    </row>
    <row r="210" spans="1:20" x14ac:dyDescent="0.25">
      <c r="A210" s="5">
        <v>44383</v>
      </c>
      <c r="B210">
        <v>6.4500000000000002E-2</v>
      </c>
      <c r="C210">
        <v>6.6430000000000003E-2</v>
      </c>
      <c r="D210">
        <v>6.3890000000000002E-2</v>
      </c>
      <c r="E210">
        <v>6.4939999999999998E-2</v>
      </c>
      <c r="F210">
        <v>667142894.79999995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-0.17322834645669674</v>
      </c>
      <c r="Q210">
        <f t="shared" si="960"/>
        <v>-115568060.51653798</v>
      </c>
      <c r="R210">
        <f t="shared" si="961"/>
        <v>77644433649.818481</v>
      </c>
      <c r="S210">
        <f t="shared" si="962"/>
        <v>776444.33649818483</v>
      </c>
      <c r="T210">
        <f t="shared" si="963"/>
        <v>776.44433649818484</v>
      </c>
    </row>
    <row r="211" spans="1:20" x14ac:dyDescent="0.25">
      <c r="A211" s="5">
        <v>44382</v>
      </c>
      <c r="B211">
        <v>6.7339999999999997E-2</v>
      </c>
      <c r="C211">
        <v>6.7519999999999997E-2</v>
      </c>
      <c r="D211">
        <v>6.3579999999999998E-2</v>
      </c>
      <c r="E211">
        <v>6.4479999999999996E-2</v>
      </c>
      <c r="F211">
        <v>852515713.10000002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-0.54314720812182826</v>
      </c>
      <c r="Q211">
        <f t="shared" si="960"/>
        <v>-463041529.45025456</v>
      </c>
      <c r="R211">
        <f t="shared" si="961"/>
        <v>77760001710.335022</v>
      </c>
      <c r="S211">
        <f t="shared" si="962"/>
        <v>777600.01710335026</v>
      </c>
      <c r="T211">
        <f t="shared" si="963"/>
        <v>777.6000171033503</v>
      </c>
    </row>
    <row r="212" spans="1:20" x14ac:dyDescent="0.25">
      <c r="A212" s="5">
        <v>44381</v>
      </c>
      <c r="B212">
        <v>6.6820000000000004E-2</v>
      </c>
      <c r="C212">
        <v>6.8320000000000006E-2</v>
      </c>
      <c r="D212">
        <v>6.5100000000000005E-2</v>
      </c>
      <c r="E212">
        <v>6.7360000000000003E-2</v>
      </c>
      <c r="F212">
        <v>712233253.39999998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0.4037267080745327</v>
      </c>
      <c r="Q212">
        <f t="shared" si="960"/>
        <v>287547586.77639645</v>
      </c>
      <c r="R212">
        <f t="shared" si="961"/>
        <v>78223043239.785278</v>
      </c>
      <c r="S212">
        <f t="shared" si="962"/>
        <v>782230.43239785277</v>
      </c>
      <c r="T212">
        <f t="shared" si="963"/>
        <v>782.23043239785272</v>
      </c>
    </row>
    <row r="213" spans="1:20" x14ac:dyDescent="0.25">
      <c r="A213" s="5">
        <v>44380</v>
      </c>
      <c r="B213">
        <v>6.6570000000000004E-2</v>
      </c>
      <c r="C213">
        <v>6.7449999999999996E-2</v>
      </c>
      <c r="D213">
        <v>6.5180000000000002E-2</v>
      </c>
      <c r="E213">
        <v>6.6830000000000001E-2</v>
      </c>
      <c r="F213">
        <v>618974852.60000002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0.45374449339207301</v>
      </c>
      <c r="Q213">
        <f t="shared" si="960"/>
        <v>280856430.91542006</v>
      </c>
      <c r="R213">
        <f t="shared" si="961"/>
        <v>77935495653.008881</v>
      </c>
      <c r="S213">
        <f t="shared" si="962"/>
        <v>779354.95653008879</v>
      </c>
      <c r="T213">
        <f t="shared" si="963"/>
        <v>779.35495653008877</v>
      </c>
    </row>
    <row r="214" spans="1:20" x14ac:dyDescent="0.25">
      <c r="A214" s="5">
        <v>44379</v>
      </c>
      <c r="B214">
        <v>6.4710000000000004E-2</v>
      </c>
      <c r="C214">
        <v>6.6629999999999995E-2</v>
      </c>
      <c r="D214">
        <v>6.3250000000000001E-2</v>
      </c>
      <c r="E214">
        <v>6.6570000000000004E-2</v>
      </c>
      <c r="F214">
        <v>666629034.29999995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0.96449704142012382</v>
      </c>
      <c r="Q214">
        <f t="shared" si="960"/>
        <v>642961731.30710423</v>
      </c>
      <c r="R214">
        <f t="shared" si="961"/>
        <v>77654639222.09346</v>
      </c>
      <c r="S214">
        <f t="shared" si="962"/>
        <v>776546.39222093462</v>
      </c>
      <c r="T214">
        <f t="shared" si="963"/>
        <v>776.54639222093465</v>
      </c>
    </row>
    <row r="215" spans="1:20" x14ac:dyDescent="0.25">
      <c r="A215" s="5">
        <v>44378</v>
      </c>
      <c r="B215">
        <v>6.8279999999999993E-2</v>
      </c>
      <c r="C215">
        <v>6.8320000000000006E-2</v>
      </c>
      <c r="D215">
        <v>6.3689999999999997E-2</v>
      </c>
      <c r="E215">
        <v>6.4710000000000004E-2</v>
      </c>
      <c r="F215">
        <v>853300477.5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-0.55939524838012744</v>
      </c>
      <c r="Q215">
        <f t="shared" si="960"/>
        <v>-477332232.55399382</v>
      </c>
      <c r="R215">
        <f t="shared" si="961"/>
        <v>77011677490.786362</v>
      </c>
      <c r="S215">
        <f t="shared" si="962"/>
        <v>770116.77490786358</v>
      </c>
      <c r="T215">
        <f t="shared" si="963"/>
        <v>770.1167749078636</v>
      </c>
    </row>
    <row r="216" spans="1:20" x14ac:dyDescent="0.25">
      <c r="A216" s="5">
        <v>44377</v>
      </c>
      <c r="B216">
        <v>6.7960000000000007E-2</v>
      </c>
      <c r="C216">
        <v>6.8750000000000006E-2</v>
      </c>
      <c r="D216">
        <v>6.3820000000000002E-2</v>
      </c>
      <c r="E216">
        <v>6.8279999999999993E-2</v>
      </c>
      <c r="F216">
        <v>1159985523.0999999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0.80933062880324069</v>
      </c>
      <c r="Q216">
        <f t="shared" si="960"/>
        <v>938811812.81317902</v>
      </c>
      <c r="R216">
        <f t="shared" si="961"/>
        <v>77489009723.340363</v>
      </c>
      <c r="S216">
        <f t="shared" si="962"/>
        <v>774890.09723340359</v>
      </c>
      <c r="T216">
        <f t="shared" si="963"/>
        <v>774.89009723340359</v>
      </c>
    </row>
    <row r="217" spans="1:20" x14ac:dyDescent="0.25">
      <c r="A217" s="5">
        <v>44376</v>
      </c>
      <c r="B217">
        <v>6.5320000000000003E-2</v>
      </c>
      <c r="C217">
        <v>6.9830000000000003E-2</v>
      </c>
      <c r="D217">
        <v>6.5119999999999997E-2</v>
      </c>
      <c r="E217">
        <v>6.7930000000000004E-2</v>
      </c>
      <c r="F217">
        <v>1205854194.3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0.19320594479830294</v>
      </c>
      <c r="Q217">
        <f t="shared" si="960"/>
        <v>232978198.89872786</v>
      </c>
      <c r="R217">
        <f t="shared" si="961"/>
        <v>76550197910.527176</v>
      </c>
      <c r="S217">
        <f t="shared" si="962"/>
        <v>765501.97910527175</v>
      </c>
      <c r="T217">
        <f t="shared" si="963"/>
        <v>765.50197910527174</v>
      </c>
    </row>
    <row r="218" spans="1:20" x14ac:dyDescent="0.25">
      <c r="A218" s="5">
        <v>44375</v>
      </c>
      <c r="B218">
        <v>6.479E-2</v>
      </c>
      <c r="C218">
        <v>6.6619999999999999E-2</v>
      </c>
      <c r="D218">
        <v>6.4219999999999999E-2</v>
      </c>
      <c r="E218">
        <v>6.5320000000000003E-2</v>
      </c>
      <c r="F218">
        <v>831948907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-8.3333333333329956E-2</v>
      </c>
      <c r="Q218">
        <f t="shared" si="960"/>
        <v>-69329075.583330527</v>
      </c>
      <c r="R218">
        <f t="shared" si="961"/>
        <v>76317219711.628448</v>
      </c>
      <c r="S218">
        <f t="shared" si="962"/>
        <v>763172.19711628451</v>
      </c>
      <c r="T218">
        <f t="shared" si="963"/>
        <v>763.17219711628456</v>
      </c>
    </row>
    <row r="219" spans="1:20" x14ac:dyDescent="0.25">
      <c r="A219" s="5">
        <v>44374</v>
      </c>
      <c r="B219">
        <v>6.2740000000000004E-2</v>
      </c>
      <c r="C219">
        <v>6.4949999999999994E-2</v>
      </c>
      <c r="D219">
        <v>6.0999999999999999E-2</v>
      </c>
      <c r="E219">
        <v>6.479E-2</v>
      </c>
      <c r="F219">
        <v>919688504.20000005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0.91898734177215513</v>
      </c>
      <c r="Q219">
        <f t="shared" si="960"/>
        <v>845182093.73316753</v>
      </c>
      <c r="R219">
        <f t="shared" si="961"/>
        <v>76386548787.211777</v>
      </c>
      <c r="S219">
        <f t="shared" si="962"/>
        <v>763865.48787211778</v>
      </c>
      <c r="T219">
        <f t="shared" si="963"/>
        <v>763.8654878721178</v>
      </c>
    </row>
    <row r="220" spans="1:20" x14ac:dyDescent="0.25">
      <c r="A220" s="5">
        <v>44373</v>
      </c>
      <c r="B220">
        <v>6.1379999999999997E-2</v>
      </c>
      <c r="C220">
        <v>6.3009999999999997E-2</v>
      </c>
      <c r="D220">
        <v>5.8869999999999999E-2</v>
      </c>
      <c r="E220">
        <v>6.2740000000000004E-2</v>
      </c>
      <c r="F220">
        <v>1338670190.5999999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0.86956521739130788</v>
      </c>
      <c r="Q220">
        <f t="shared" si="960"/>
        <v>1164061035.3043525</v>
      </c>
      <c r="R220">
        <f t="shared" si="961"/>
        <v>75541366693.478607</v>
      </c>
      <c r="S220">
        <f t="shared" si="962"/>
        <v>755413.66693478602</v>
      </c>
      <c r="T220">
        <f t="shared" si="963"/>
        <v>755.41366693478597</v>
      </c>
    </row>
    <row r="221" spans="1:20" x14ac:dyDescent="0.25">
      <c r="A221" s="5">
        <v>44372</v>
      </c>
      <c r="B221">
        <v>6.6119999999999998E-2</v>
      </c>
      <c r="C221">
        <v>6.8830000000000002E-2</v>
      </c>
      <c r="D221">
        <v>6.0100000000000001E-2</v>
      </c>
      <c r="E221">
        <v>6.139E-2</v>
      </c>
      <c r="F221">
        <v>2311058707.9000001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-0.7044673539518902</v>
      </c>
      <c r="Q221">
        <f t="shared" si="960"/>
        <v>-1628065412.7817874</v>
      </c>
      <c r="R221">
        <f t="shared" si="961"/>
        <v>74377305658.174255</v>
      </c>
      <c r="S221">
        <f t="shared" si="962"/>
        <v>743773.0565817426</v>
      </c>
      <c r="T221">
        <f t="shared" si="963"/>
        <v>743.77305658174259</v>
      </c>
    </row>
    <row r="222" spans="1:20" x14ac:dyDescent="0.25">
      <c r="A222" s="5">
        <v>44371</v>
      </c>
      <c r="B222">
        <v>5.799E-2</v>
      </c>
      <c r="C222">
        <v>6.8000000000000005E-2</v>
      </c>
      <c r="D222">
        <v>5.7779999999999998E-2</v>
      </c>
      <c r="E222">
        <v>6.6110000000000002E-2</v>
      </c>
      <c r="F222">
        <v>2936638267.9000001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0.63013698630136961</v>
      </c>
      <c r="Q222">
        <f t="shared" si="960"/>
        <v>1850484387.99178</v>
      </c>
      <c r="R222">
        <f t="shared" si="961"/>
        <v>76005371070.956039</v>
      </c>
      <c r="S222">
        <f t="shared" si="962"/>
        <v>760053.71070956043</v>
      </c>
      <c r="T222">
        <f t="shared" si="963"/>
        <v>760.05371070956039</v>
      </c>
    </row>
    <row r="223" spans="1:20" x14ac:dyDescent="0.25">
      <c r="A223" s="5">
        <v>44370</v>
      </c>
      <c r="B223">
        <v>5.1020000000000003E-2</v>
      </c>
      <c r="C223">
        <v>5.9979999999999999E-2</v>
      </c>
      <c r="D223">
        <v>4.9340000000000002E-2</v>
      </c>
      <c r="E223">
        <v>5.7970000000000001E-2</v>
      </c>
      <c r="F223">
        <v>1843081604.0999999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0.62218045112781983</v>
      </c>
      <c r="Q223">
        <f t="shared" si="960"/>
        <v>1146729343.9043238</v>
      </c>
      <c r="R223">
        <f t="shared" si="961"/>
        <v>74154886682.964264</v>
      </c>
      <c r="S223">
        <f t="shared" si="962"/>
        <v>741548.86682964268</v>
      </c>
      <c r="T223">
        <f t="shared" si="963"/>
        <v>741.54886682964263</v>
      </c>
    </row>
    <row r="224" spans="1:20" x14ac:dyDescent="0.25">
      <c r="A224" s="5">
        <v>44369</v>
      </c>
      <c r="B224">
        <v>5.3499999999999999E-2</v>
      </c>
      <c r="C224">
        <v>5.638E-2</v>
      </c>
      <c r="D224">
        <v>4.6370000000000001E-2</v>
      </c>
      <c r="E224">
        <v>5.1029999999999999E-2</v>
      </c>
      <c r="F224">
        <v>2709781337.3000002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-6.8931068931069261E-2</v>
      </c>
      <c r="Q224">
        <f t="shared" si="960"/>
        <v>-186788124.14955136</v>
      </c>
      <c r="R224">
        <f t="shared" si="961"/>
        <v>73008157339.059937</v>
      </c>
      <c r="S224">
        <f t="shared" si="962"/>
        <v>730081.57339059934</v>
      </c>
      <c r="T224">
        <f t="shared" si="963"/>
        <v>730.08157339059937</v>
      </c>
    </row>
    <row r="225" spans="1:20" x14ac:dyDescent="0.25">
      <c r="A225" s="5">
        <v>44368</v>
      </c>
      <c r="B225">
        <v>6.7680000000000004E-2</v>
      </c>
      <c r="C225">
        <v>6.8019999999999997E-2</v>
      </c>
      <c r="D225">
        <v>5.3319999999999999E-2</v>
      </c>
      <c r="E225">
        <v>5.3510000000000002E-2</v>
      </c>
      <c r="F225">
        <v>1979710761.2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-0.97414965986394519</v>
      </c>
      <c r="Q225">
        <f t="shared" si="960"/>
        <v>-1928534564.6519721</v>
      </c>
      <c r="R225">
        <f t="shared" si="961"/>
        <v>73194945463.209488</v>
      </c>
      <c r="S225">
        <f t="shared" si="962"/>
        <v>731949.45463209483</v>
      </c>
      <c r="T225">
        <f t="shared" si="963"/>
        <v>731.94945463209478</v>
      </c>
    </row>
    <row r="226" spans="1:20" x14ac:dyDescent="0.25">
      <c r="A226" s="5">
        <v>44367</v>
      </c>
      <c r="B226">
        <v>6.8279999999999993E-2</v>
      </c>
      <c r="C226">
        <v>6.8669999999999995E-2</v>
      </c>
      <c r="D226">
        <v>6.3229999999999995E-2</v>
      </c>
      <c r="E226">
        <v>6.7680000000000004E-2</v>
      </c>
      <c r="F226">
        <v>859277539.29999995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0.63602941176470928</v>
      </c>
      <c r="Q226">
        <f t="shared" si="960"/>
        <v>546525787.86360586</v>
      </c>
      <c r="R226">
        <f t="shared" si="961"/>
        <v>75123480027.861465</v>
      </c>
      <c r="S226">
        <f t="shared" si="962"/>
        <v>751234.80027861462</v>
      </c>
      <c r="T226">
        <f t="shared" si="963"/>
        <v>751.23480027861467</v>
      </c>
    </row>
    <row r="227" spans="1:20" x14ac:dyDescent="0.25">
      <c r="A227" s="5">
        <v>44366</v>
      </c>
      <c r="B227">
        <v>6.9620000000000001E-2</v>
      </c>
      <c r="C227">
        <v>7.0199999999999999E-2</v>
      </c>
      <c r="D227">
        <v>6.8169999999999994E-2</v>
      </c>
      <c r="E227">
        <v>6.8269999999999997E-2</v>
      </c>
      <c r="F227">
        <v>688166387.79999995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-0.90147783251231262</v>
      </c>
      <c r="Q227">
        <f t="shared" si="960"/>
        <v>-620366743.68177152</v>
      </c>
      <c r="R227">
        <f t="shared" si="961"/>
        <v>74576954239.997864</v>
      </c>
      <c r="S227">
        <f t="shared" si="962"/>
        <v>745769.54239997861</v>
      </c>
      <c r="T227">
        <f t="shared" si="963"/>
        <v>745.7695423999786</v>
      </c>
    </row>
    <row r="228" spans="1:20" x14ac:dyDescent="0.25">
      <c r="A228" s="5">
        <v>44365</v>
      </c>
      <c r="B228">
        <v>7.3910000000000003E-2</v>
      </c>
      <c r="C228">
        <v>7.4779999999999999E-2</v>
      </c>
      <c r="D228">
        <v>6.8150000000000002E-2</v>
      </c>
      <c r="E228">
        <v>6.9620000000000001E-2</v>
      </c>
      <c r="F228">
        <v>1355249976.3</v>
      </c>
      <c r="G228">
        <v>0</v>
      </c>
      <c r="L228" t="s">
        <v>8</v>
      </c>
      <c r="M228" t="s">
        <v>7</v>
      </c>
      <c r="N228" t="s">
        <v>8</v>
      </c>
      <c r="P228">
        <f t="shared" si="959"/>
        <v>-0.5565610859728507</v>
      </c>
      <c r="Q228">
        <f t="shared" si="960"/>
        <v>-754279398.57420814</v>
      </c>
      <c r="R228">
        <f t="shared" si="961"/>
        <v>75197320983.679642</v>
      </c>
      <c r="S228">
        <f t="shared" si="962"/>
        <v>751973.20983679639</v>
      </c>
      <c r="T228">
        <f t="shared" si="963"/>
        <v>751.9732098367964</v>
      </c>
    </row>
    <row r="229" spans="1:20" x14ac:dyDescent="0.25">
      <c r="A229" s="5">
        <v>44364</v>
      </c>
      <c r="B229">
        <v>6.8970000000000004E-2</v>
      </c>
      <c r="C229">
        <v>7.3969999999999994E-2</v>
      </c>
      <c r="D229">
        <v>6.8709999999999993E-2</v>
      </c>
      <c r="E229">
        <v>7.3899999999999993E-2</v>
      </c>
      <c r="F229">
        <v>862172732.5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0.97338403041825072</v>
      </c>
      <c r="Q229">
        <f t="shared" si="960"/>
        <v>839225169.27756631</v>
      </c>
      <c r="R229">
        <f t="shared" si="961"/>
        <v>75951600382.253845</v>
      </c>
      <c r="S229">
        <f t="shared" si="962"/>
        <v>759516.00382253842</v>
      </c>
      <c r="T229">
        <f t="shared" si="963"/>
        <v>759.51600382253844</v>
      </c>
    </row>
    <row r="230" spans="1:20" x14ac:dyDescent="0.25">
      <c r="A230" s="5">
        <v>44363</v>
      </c>
      <c r="B230">
        <v>7.1739999999999998E-2</v>
      </c>
      <c r="C230">
        <v>7.2760000000000005E-2</v>
      </c>
      <c r="D230">
        <v>6.8479999999999999E-2</v>
      </c>
      <c r="E230">
        <v>6.8949999999999997E-2</v>
      </c>
      <c r="F230">
        <v>924759262.39999998</v>
      </c>
      <c r="G230">
        <v>0</v>
      </c>
      <c r="L230" t="s">
        <v>8</v>
      </c>
      <c r="M230" t="s">
        <v>7</v>
      </c>
      <c r="N230" t="s">
        <v>8</v>
      </c>
      <c r="P230">
        <f t="shared" si="959"/>
        <v>-0.78037383177570208</v>
      </c>
      <c r="Q230">
        <f t="shared" si="960"/>
        <v>-721657929.06915987</v>
      </c>
      <c r="R230">
        <f t="shared" si="961"/>
        <v>75112375212.976273</v>
      </c>
      <c r="S230">
        <f t="shared" si="962"/>
        <v>751123.75212976278</v>
      </c>
      <c r="T230">
        <f t="shared" si="963"/>
        <v>751.12375212976281</v>
      </c>
    </row>
    <row r="231" spans="1:20" x14ac:dyDescent="0.25">
      <c r="A231" s="5">
        <v>44362</v>
      </c>
      <c r="B231">
        <v>7.2029999999999997E-2</v>
      </c>
      <c r="C231">
        <v>7.3139999999999997E-2</v>
      </c>
      <c r="D231">
        <v>7.0800000000000002E-2</v>
      </c>
      <c r="E231">
        <v>7.1739999999999998E-2</v>
      </c>
      <c r="F231">
        <v>741417996.60000002</v>
      </c>
      <c r="G231">
        <v>0</v>
      </c>
      <c r="L231" t="s">
        <v>8</v>
      </c>
      <c r="M231" t="s">
        <v>7</v>
      </c>
      <c r="N231" t="s">
        <v>8</v>
      </c>
      <c r="P231">
        <f t="shared" si="959"/>
        <v>-0.19658119658119791</v>
      </c>
      <c r="Q231">
        <f t="shared" si="960"/>
        <v>-145748836.93846253</v>
      </c>
      <c r="R231">
        <f t="shared" si="961"/>
        <v>75834033142.045425</v>
      </c>
      <c r="S231">
        <f t="shared" si="962"/>
        <v>758340.3314204542</v>
      </c>
      <c r="T231">
        <f t="shared" si="963"/>
        <v>758.34033142045416</v>
      </c>
    </row>
    <row r="232" spans="1:20" x14ac:dyDescent="0.25">
      <c r="A232" s="5">
        <v>44361</v>
      </c>
      <c r="B232">
        <v>7.1540000000000006E-2</v>
      </c>
      <c r="C232">
        <v>7.2779999999999997E-2</v>
      </c>
      <c r="D232">
        <v>6.9980000000000001E-2</v>
      </c>
      <c r="E232">
        <v>7.2029999999999997E-2</v>
      </c>
      <c r="F232">
        <v>839035849.60000002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0.46428571428571325</v>
      </c>
      <c r="Q232">
        <f t="shared" si="960"/>
        <v>389552358.74285626</v>
      </c>
      <c r="R232">
        <f t="shared" si="961"/>
        <v>75979781978.983887</v>
      </c>
      <c r="S232">
        <f t="shared" si="962"/>
        <v>759797.81978983886</v>
      </c>
      <c r="T232">
        <f t="shared" si="963"/>
        <v>759.79781978983885</v>
      </c>
    </row>
    <row r="233" spans="1:20" x14ac:dyDescent="0.25">
      <c r="A233" s="5">
        <v>44360</v>
      </c>
      <c r="B233">
        <v>6.8070000000000006E-2</v>
      </c>
      <c r="C233">
        <v>7.1889999999999996E-2</v>
      </c>
      <c r="D233">
        <v>6.6570000000000004E-2</v>
      </c>
      <c r="E233">
        <v>7.1529999999999996E-2</v>
      </c>
      <c r="F233">
        <v>777633562.60000002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0.86466165413533846</v>
      </c>
      <c r="Q233">
        <f t="shared" si="960"/>
        <v>672389922.54887235</v>
      </c>
      <c r="R233">
        <f t="shared" si="961"/>
        <v>75590229620.241028</v>
      </c>
      <c r="S233">
        <f t="shared" si="962"/>
        <v>755902.29620241025</v>
      </c>
      <c r="T233">
        <f t="shared" si="963"/>
        <v>755.9022962024103</v>
      </c>
    </row>
    <row r="234" spans="1:20" x14ac:dyDescent="0.25">
      <c r="A234" s="5">
        <v>44359</v>
      </c>
      <c r="B234">
        <v>6.9180000000000005E-2</v>
      </c>
      <c r="C234">
        <v>6.9199999999999998E-2</v>
      </c>
      <c r="D234">
        <v>6.5720000000000001E-2</v>
      </c>
      <c r="E234">
        <v>6.8040000000000003E-2</v>
      </c>
      <c r="F234">
        <v>932757766.10000002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0.33333333333333598</v>
      </c>
      <c r="Q234">
        <f t="shared" si="960"/>
        <v>310919255.36666912</v>
      </c>
      <c r="R234">
        <f t="shared" si="961"/>
        <v>74917839697.692154</v>
      </c>
      <c r="S234">
        <f t="shared" si="962"/>
        <v>749178.39697692159</v>
      </c>
      <c r="T234">
        <f t="shared" si="963"/>
        <v>749.17839697692159</v>
      </c>
    </row>
    <row r="235" spans="1:20" x14ac:dyDescent="0.25">
      <c r="A235" s="5">
        <v>44358</v>
      </c>
      <c r="B235">
        <v>7.2580000000000006E-2</v>
      </c>
      <c r="C235">
        <v>7.3349999999999999E-2</v>
      </c>
      <c r="D235">
        <v>6.8459999999999993E-2</v>
      </c>
      <c r="E235">
        <v>6.9190000000000002E-2</v>
      </c>
      <c r="F235">
        <v>962656532.89999998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-0.7014314928425327</v>
      </c>
      <c r="Q235">
        <f t="shared" si="960"/>
        <v>-675237608.96666372</v>
      </c>
      <c r="R235">
        <f t="shared" si="961"/>
        <v>74606920442.325485</v>
      </c>
      <c r="S235">
        <f t="shared" si="962"/>
        <v>746069.20442325482</v>
      </c>
      <c r="T235">
        <f t="shared" si="963"/>
        <v>746.06920442325486</v>
      </c>
    </row>
    <row r="236" spans="1:20" x14ac:dyDescent="0.25">
      <c r="A236" s="5">
        <v>44357</v>
      </c>
      <c r="B236">
        <v>7.5370000000000006E-2</v>
      </c>
      <c r="C236">
        <v>7.7119999999999994E-2</v>
      </c>
      <c r="D236">
        <v>7.1340000000000001E-2</v>
      </c>
      <c r="E236">
        <v>7.2569999999999996E-2</v>
      </c>
      <c r="F236">
        <v>1538790347</v>
      </c>
      <c r="G236">
        <v>0</v>
      </c>
      <c r="L236" t="s">
        <v>8</v>
      </c>
      <c r="M236" t="s">
        <v>7</v>
      </c>
      <c r="N236" t="s">
        <v>8</v>
      </c>
      <c r="P236">
        <f t="shared" si="959"/>
        <v>-0.57439446366782132</v>
      </c>
      <c r="Q236">
        <f t="shared" si="960"/>
        <v>-883872656.06228566</v>
      </c>
      <c r="R236">
        <f t="shared" si="961"/>
        <v>75282158051.292145</v>
      </c>
      <c r="S236">
        <f t="shared" si="962"/>
        <v>752821.58051292144</v>
      </c>
      <c r="T236">
        <f t="shared" si="963"/>
        <v>752.8215805129214</v>
      </c>
    </row>
    <row r="237" spans="1:20" x14ac:dyDescent="0.25">
      <c r="A237" s="5">
        <v>44356</v>
      </c>
      <c r="B237">
        <v>7.2429999999999994E-2</v>
      </c>
      <c r="C237">
        <v>7.5389999999999999E-2</v>
      </c>
      <c r="D237">
        <v>7.0000000000000007E-2</v>
      </c>
      <c r="E237">
        <v>7.5359999999999996E-2</v>
      </c>
      <c r="F237">
        <v>1407602132.3</v>
      </c>
      <c r="G237">
        <v>0</v>
      </c>
      <c r="L237" t="s">
        <v>8</v>
      </c>
      <c r="M237" t="s">
        <v>7</v>
      </c>
      <c r="N237" t="s">
        <v>8</v>
      </c>
      <c r="P237">
        <f t="shared" si="959"/>
        <v>0.98886827458255944</v>
      </c>
      <c r="Q237">
        <f t="shared" si="960"/>
        <v>1391933091.8662324</v>
      </c>
      <c r="R237">
        <f t="shared" si="961"/>
        <v>76166030707.354431</v>
      </c>
      <c r="S237">
        <f t="shared" si="962"/>
        <v>761660.30707354436</v>
      </c>
      <c r="T237">
        <f t="shared" si="963"/>
        <v>761.66030707354435</v>
      </c>
    </row>
    <row r="238" spans="1:20" x14ac:dyDescent="0.25">
      <c r="A238" s="5">
        <v>44355</v>
      </c>
      <c r="B238">
        <v>7.1709999999999996E-2</v>
      </c>
      <c r="C238">
        <v>7.324E-2</v>
      </c>
      <c r="D238">
        <v>6.7239999999999994E-2</v>
      </c>
      <c r="E238">
        <v>7.2419999999999998E-2</v>
      </c>
      <c r="F238">
        <v>1687434458.0999999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0.72666666666666646</v>
      </c>
      <c r="Q238">
        <f t="shared" si="960"/>
        <v>1226202372.8859997</v>
      </c>
      <c r="R238">
        <f t="shared" si="961"/>
        <v>74774097615.488205</v>
      </c>
      <c r="S238">
        <f t="shared" si="962"/>
        <v>747740.976154882</v>
      </c>
      <c r="T238">
        <f t="shared" si="963"/>
        <v>747.74097615488199</v>
      </c>
    </row>
    <row r="239" spans="1:20" x14ac:dyDescent="0.25">
      <c r="A239" s="5">
        <v>44354</v>
      </c>
      <c r="B239">
        <v>7.7450000000000005E-2</v>
      </c>
      <c r="C239">
        <v>7.8600000000000003E-2</v>
      </c>
      <c r="D239">
        <v>7.1059999999999998E-2</v>
      </c>
      <c r="E239">
        <v>7.17E-2</v>
      </c>
      <c r="F239">
        <v>1155295909.7</v>
      </c>
      <c r="G239">
        <v>0</v>
      </c>
      <c r="L239" t="s">
        <v>7</v>
      </c>
      <c r="M239" t="s">
        <v>8</v>
      </c>
      <c r="N239" t="s">
        <v>8</v>
      </c>
      <c r="P239">
        <f t="shared" si="959"/>
        <v>-0.83023872679045063</v>
      </c>
      <c r="Q239">
        <f t="shared" si="960"/>
        <v>-959171405.13554347</v>
      </c>
      <c r="R239">
        <f t="shared" si="961"/>
        <v>73547895242.602203</v>
      </c>
      <c r="S239">
        <f t="shared" si="962"/>
        <v>735478.95242602204</v>
      </c>
      <c r="T239">
        <f t="shared" si="963"/>
        <v>735.47895242602203</v>
      </c>
    </row>
    <row r="240" spans="1:20" x14ac:dyDescent="0.25">
      <c r="A240" s="5">
        <v>44353</v>
      </c>
      <c r="B240">
        <v>7.5499999999999998E-2</v>
      </c>
      <c r="C240">
        <v>7.7479999999999993E-2</v>
      </c>
      <c r="D240">
        <v>7.5310000000000002E-2</v>
      </c>
      <c r="E240">
        <v>7.7450000000000005E-2</v>
      </c>
      <c r="F240">
        <v>843868329.60000002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0.9723502304147571</v>
      </c>
      <c r="Q240">
        <f t="shared" si="960"/>
        <v>820535564.72627616</v>
      </c>
      <c r="R240">
        <f t="shared" si="961"/>
        <v>74507066647.737747</v>
      </c>
      <c r="S240">
        <f t="shared" si="962"/>
        <v>745070.66647737753</v>
      </c>
      <c r="T240">
        <f t="shared" si="963"/>
        <v>745.07066647737747</v>
      </c>
    </row>
    <row r="241" spans="1:20" x14ac:dyDescent="0.25">
      <c r="A241" s="5">
        <v>44352</v>
      </c>
      <c r="B241">
        <v>7.7130000000000004E-2</v>
      </c>
      <c r="C241">
        <v>7.9759999999999998E-2</v>
      </c>
      <c r="D241">
        <v>7.4160000000000004E-2</v>
      </c>
      <c r="E241">
        <v>7.5520000000000004E-2</v>
      </c>
      <c r="F241">
        <v>1418137185.3</v>
      </c>
      <c r="G241">
        <v>0</v>
      </c>
      <c r="L241" t="s">
        <v>7</v>
      </c>
      <c r="M241" t="s">
        <v>8</v>
      </c>
      <c r="N241" t="s">
        <v>8</v>
      </c>
      <c r="P241">
        <f t="shared" si="959"/>
        <v>-0.51428571428571368</v>
      </c>
      <c r="Q241">
        <f t="shared" si="960"/>
        <v>-729327695.29714203</v>
      </c>
      <c r="R241">
        <f t="shared" si="961"/>
        <v>73686531083.011475</v>
      </c>
      <c r="S241">
        <f t="shared" si="962"/>
        <v>736865.31083011476</v>
      </c>
      <c r="T241">
        <f t="shared" si="963"/>
        <v>736.86531083011471</v>
      </c>
    </row>
    <row r="242" spans="1:20" x14ac:dyDescent="0.25">
      <c r="A242" s="5">
        <v>44351</v>
      </c>
      <c r="B242">
        <v>8.2239999999999994E-2</v>
      </c>
      <c r="C242">
        <v>8.2900000000000001E-2</v>
      </c>
      <c r="D242">
        <v>7.374E-2</v>
      </c>
      <c r="E242">
        <v>7.714E-2</v>
      </c>
      <c r="F242">
        <v>1825460923.0999999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-0.25764192139737996</v>
      </c>
      <c r="Q242">
        <f t="shared" si="960"/>
        <v>-470315259.66331881</v>
      </c>
      <c r="R242">
        <f t="shared" si="961"/>
        <v>74415858778.308624</v>
      </c>
      <c r="S242">
        <f t="shared" si="962"/>
        <v>744158.58778308623</v>
      </c>
      <c r="T242">
        <f t="shared" si="963"/>
        <v>744.1585877830862</v>
      </c>
    </row>
    <row r="243" spans="1:20" x14ac:dyDescent="0.25">
      <c r="A243" s="5">
        <v>44350</v>
      </c>
      <c r="B243">
        <v>7.8030000000000002E-2</v>
      </c>
      <c r="C243">
        <v>8.2479999999999998E-2</v>
      </c>
      <c r="D243">
        <v>7.7079999999999996E-2</v>
      </c>
      <c r="E243">
        <v>8.2229999999999998E-2</v>
      </c>
      <c r="F243">
        <v>1300403075.8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0.90740740740740733</v>
      </c>
      <c r="Q243">
        <f t="shared" si="960"/>
        <v>1179995383.5962961</v>
      </c>
      <c r="R243">
        <f t="shared" si="961"/>
        <v>74886174037.971939</v>
      </c>
      <c r="S243">
        <f t="shared" si="962"/>
        <v>748861.74037971941</v>
      </c>
      <c r="T243">
        <f t="shared" si="963"/>
        <v>748.86174037971944</v>
      </c>
    </row>
    <row r="244" spans="1:20" x14ac:dyDescent="0.25">
      <c r="A244" s="5">
        <v>44349</v>
      </c>
      <c r="B244">
        <v>7.6149999999999995E-2</v>
      </c>
      <c r="C244">
        <v>7.9579999999999998E-2</v>
      </c>
      <c r="D244">
        <v>7.4529999999999999E-2</v>
      </c>
      <c r="E244">
        <v>7.8039999999999998E-2</v>
      </c>
      <c r="F244">
        <v>1296196132.5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0.39009900990099011</v>
      </c>
      <c r="Q244">
        <f t="shared" si="960"/>
        <v>505644827.92574257</v>
      </c>
      <c r="R244">
        <f t="shared" si="961"/>
        <v>73706178654.375641</v>
      </c>
      <c r="S244">
        <f t="shared" si="962"/>
        <v>737061.78654375637</v>
      </c>
      <c r="T244">
        <f t="shared" si="963"/>
        <v>737.0617865437564</v>
      </c>
    </row>
    <row r="245" spans="1:20" x14ac:dyDescent="0.25">
      <c r="A245" s="5">
        <v>44348</v>
      </c>
      <c r="B245">
        <v>7.6789999999999997E-2</v>
      </c>
      <c r="C245">
        <v>7.7479999999999993E-2</v>
      </c>
      <c r="D245">
        <v>7.3529999999999998E-2</v>
      </c>
      <c r="E245">
        <v>7.6139999999999999E-2</v>
      </c>
      <c r="F245">
        <v>1266668007.2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0.32151898734177436</v>
      </c>
      <c r="Q245">
        <f t="shared" si="960"/>
        <v>407257814.97316736</v>
      </c>
      <c r="R245">
        <f t="shared" si="961"/>
        <v>73200533826.449905</v>
      </c>
      <c r="S245">
        <f t="shared" si="962"/>
        <v>732005.33826449909</v>
      </c>
      <c r="T245">
        <f t="shared" si="963"/>
        <v>732.00533826449907</v>
      </c>
    </row>
    <row r="246" spans="1:20" x14ac:dyDescent="0.25">
      <c r="A246" s="5">
        <v>44347</v>
      </c>
      <c r="B246">
        <v>7.1959999999999996E-2</v>
      </c>
      <c r="C246">
        <v>7.6910000000000006E-2</v>
      </c>
      <c r="D246">
        <v>6.9769999999999999E-2</v>
      </c>
      <c r="E246">
        <v>7.6789999999999997E-2</v>
      </c>
      <c r="F246">
        <v>1533214077.3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0.96638655462184631</v>
      </c>
      <c r="Q246">
        <f t="shared" si="960"/>
        <v>1481677469.6596601</v>
      </c>
      <c r="R246">
        <f t="shared" si="961"/>
        <v>72793276011.476746</v>
      </c>
      <c r="S246">
        <f t="shared" si="962"/>
        <v>727932.76011476747</v>
      </c>
      <c r="T246">
        <f t="shared" si="963"/>
        <v>727.93276011476746</v>
      </c>
    </row>
    <row r="247" spans="1:20" x14ac:dyDescent="0.25">
      <c r="A247" s="5">
        <v>44346</v>
      </c>
      <c r="B247">
        <v>6.8760000000000002E-2</v>
      </c>
      <c r="C247">
        <v>7.3279999999999998E-2</v>
      </c>
      <c r="D247">
        <v>6.6460000000000005E-2</v>
      </c>
      <c r="E247">
        <v>7.1959999999999996E-2</v>
      </c>
      <c r="F247">
        <v>1261818810.7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0.61290322580645074</v>
      </c>
      <c r="Q247">
        <f t="shared" si="960"/>
        <v>773372819.46128929</v>
      </c>
      <c r="R247">
        <f t="shared" si="961"/>
        <v>71311598541.817093</v>
      </c>
      <c r="S247">
        <f t="shared" si="962"/>
        <v>713115.98541817092</v>
      </c>
      <c r="T247">
        <f t="shared" si="963"/>
        <v>713.11598541817091</v>
      </c>
    </row>
    <row r="248" spans="1:20" x14ac:dyDescent="0.25">
      <c r="A248" s="5">
        <v>44345</v>
      </c>
      <c r="B248">
        <v>7.2059999999999999E-2</v>
      </c>
      <c r="C248">
        <v>7.4459999999999998E-2</v>
      </c>
      <c r="D248">
        <v>6.7080000000000001E-2</v>
      </c>
      <c r="E248">
        <v>6.8769999999999998E-2</v>
      </c>
      <c r="F248">
        <v>1557276393.9000001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-0.54200542005420116</v>
      </c>
      <c r="Q248">
        <f t="shared" si="960"/>
        <v>-844052246.01626122</v>
      </c>
      <c r="R248">
        <f t="shared" si="961"/>
        <v>70538225722.355804</v>
      </c>
      <c r="S248">
        <f t="shared" si="962"/>
        <v>705382.25722355803</v>
      </c>
      <c r="T248">
        <f t="shared" si="963"/>
        <v>705.38225722355799</v>
      </c>
    </row>
    <row r="249" spans="1:20" x14ac:dyDescent="0.25">
      <c r="A249" s="5">
        <v>44344</v>
      </c>
      <c r="B249">
        <v>7.9490000000000005E-2</v>
      </c>
      <c r="C249">
        <v>8.0060000000000006E-2</v>
      </c>
      <c r="D249">
        <v>7.0220000000000005E-2</v>
      </c>
      <c r="E249">
        <v>7.2040000000000007E-2</v>
      </c>
      <c r="F249">
        <v>2143341067.7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-0.63008130081300773</v>
      </c>
      <c r="Q249">
        <f t="shared" si="960"/>
        <v>-1350479128.022357</v>
      </c>
      <c r="R249">
        <f t="shared" si="961"/>
        <v>71382277968.37207</v>
      </c>
      <c r="S249">
        <f t="shared" si="962"/>
        <v>713822.77968372067</v>
      </c>
      <c r="T249">
        <f t="shared" si="963"/>
        <v>713.82277968372068</v>
      </c>
    </row>
    <row r="250" spans="1:20" x14ac:dyDescent="0.25">
      <c r="A250" s="5">
        <v>44343</v>
      </c>
      <c r="B250">
        <v>8.3119999999999999E-2</v>
      </c>
      <c r="C250">
        <v>8.3199999999999996E-2</v>
      </c>
      <c r="D250">
        <v>7.6539999999999997E-2</v>
      </c>
      <c r="E250">
        <v>7.9490000000000005E-2</v>
      </c>
      <c r="F250">
        <v>1593057264.9000001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-0.11411411411411156</v>
      </c>
      <c r="Q250">
        <f t="shared" si="960"/>
        <v>-181790318.51711306</v>
      </c>
      <c r="R250">
        <f t="shared" si="961"/>
        <v>72732757096.394424</v>
      </c>
      <c r="S250">
        <f t="shared" si="962"/>
        <v>727327.57096394419</v>
      </c>
      <c r="T250">
        <f t="shared" si="963"/>
        <v>727.32757096394414</v>
      </c>
    </row>
    <row r="251" spans="1:20" x14ac:dyDescent="0.25">
      <c r="A251" s="5">
        <v>44342</v>
      </c>
      <c r="B251">
        <v>7.7130000000000004E-2</v>
      </c>
      <c r="C251">
        <v>8.4400000000000003E-2</v>
      </c>
      <c r="D251">
        <v>7.5880000000000003E-2</v>
      </c>
      <c r="E251">
        <v>8.3119999999999999E-2</v>
      </c>
      <c r="F251">
        <v>2475111379.0999999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0.6995305164319241</v>
      </c>
      <c r="Q251">
        <f t="shared" si="960"/>
        <v>1731415941.2483549</v>
      </c>
      <c r="R251">
        <f t="shared" si="961"/>
        <v>72914547414.911545</v>
      </c>
      <c r="S251">
        <f t="shared" si="962"/>
        <v>729145.4741491155</v>
      </c>
      <c r="T251">
        <f t="shared" si="963"/>
        <v>729.14547414911544</v>
      </c>
    </row>
    <row r="252" spans="1:20" x14ac:dyDescent="0.25">
      <c r="A252" s="5">
        <v>44341</v>
      </c>
      <c r="B252">
        <v>7.6980000000000007E-2</v>
      </c>
      <c r="C252">
        <v>8.1070000000000003E-2</v>
      </c>
      <c r="D252">
        <v>7.1389999999999995E-2</v>
      </c>
      <c r="E252">
        <v>7.714E-2</v>
      </c>
      <c r="F252">
        <v>2860330783.8000002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0.1880165289256199</v>
      </c>
      <c r="Q252">
        <f t="shared" si="960"/>
        <v>537789465.54917383</v>
      </c>
      <c r="R252">
        <f t="shared" si="961"/>
        <v>71183131473.663193</v>
      </c>
      <c r="S252">
        <f t="shared" si="962"/>
        <v>711831.31473663193</v>
      </c>
      <c r="T252">
        <f t="shared" si="963"/>
        <v>711.83131473663195</v>
      </c>
    </row>
    <row r="253" spans="1:20" x14ac:dyDescent="0.25">
      <c r="A253" s="5">
        <v>44340</v>
      </c>
      <c r="B253">
        <v>6.2820000000000001E-2</v>
      </c>
      <c r="C253">
        <v>7.6969999999999997E-2</v>
      </c>
      <c r="D253">
        <v>6.1780000000000002E-2</v>
      </c>
      <c r="E253">
        <v>7.6960000000000001E-2</v>
      </c>
      <c r="F253">
        <v>3478463693.9000001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0.99868334430546468</v>
      </c>
      <c r="Q253">
        <f t="shared" si="960"/>
        <v>3473883754.8691921</v>
      </c>
      <c r="R253">
        <f t="shared" si="961"/>
        <v>70645342008.114014</v>
      </c>
      <c r="S253">
        <f t="shared" si="962"/>
        <v>706453.42008114012</v>
      </c>
      <c r="T253">
        <f t="shared" si="963"/>
        <v>706.45342008114017</v>
      </c>
    </row>
    <row r="254" spans="1:20" x14ac:dyDescent="0.25">
      <c r="A254" s="5">
        <v>44339</v>
      </c>
      <c r="B254">
        <v>7.535E-2</v>
      </c>
      <c r="C254">
        <v>7.7060000000000003E-2</v>
      </c>
      <c r="D254">
        <v>5.5629999999999999E-2</v>
      </c>
      <c r="E254">
        <v>6.2850000000000003E-2</v>
      </c>
      <c r="F254">
        <v>4205360890.9000001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-0.32617825478301421</v>
      </c>
      <c r="Q254">
        <f t="shared" si="960"/>
        <v>-1371697276.1265039</v>
      </c>
      <c r="R254">
        <f t="shared" si="961"/>
        <v>67171458253.244827</v>
      </c>
      <c r="S254">
        <f t="shared" si="962"/>
        <v>671714.58253244823</v>
      </c>
      <c r="T254">
        <f t="shared" si="963"/>
        <v>671.71458253244828</v>
      </c>
    </row>
    <row r="255" spans="1:20" x14ac:dyDescent="0.25">
      <c r="A255" s="5">
        <v>44338</v>
      </c>
      <c r="B255">
        <v>7.7890000000000001E-2</v>
      </c>
      <c r="C255">
        <v>7.9509999999999997E-2</v>
      </c>
      <c r="D255">
        <v>7.0800000000000002E-2</v>
      </c>
      <c r="E255">
        <v>7.5340000000000004E-2</v>
      </c>
      <c r="F255">
        <v>2525699424.1999998</v>
      </c>
      <c r="G255">
        <v>0</v>
      </c>
      <c r="L255" t="s">
        <v>8</v>
      </c>
      <c r="M255" t="s">
        <v>7</v>
      </c>
      <c r="N255" t="s">
        <v>8</v>
      </c>
      <c r="P255">
        <f t="shared" si="959"/>
        <v>4.2479908151551019E-2</v>
      </c>
      <c r="Q255">
        <f t="shared" si="960"/>
        <v>107291479.55844128</v>
      </c>
      <c r="R255">
        <f t="shared" si="961"/>
        <v>68543155529.37133</v>
      </c>
      <c r="S255">
        <f t="shared" si="962"/>
        <v>685431.55529371335</v>
      </c>
      <c r="T255">
        <f t="shared" si="963"/>
        <v>685.43155529371336</v>
      </c>
    </row>
    <row r="256" spans="1:20" x14ac:dyDescent="0.25">
      <c r="A256" s="5">
        <v>44337</v>
      </c>
      <c r="B256">
        <v>8.924E-2</v>
      </c>
      <c r="C256">
        <v>9.3200000000000005E-2</v>
      </c>
      <c r="D256">
        <v>7.1080000000000004E-2</v>
      </c>
      <c r="E256">
        <v>7.7899999999999997E-2</v>
      </c>
      <c r="F256">
        <v>3553563417.1999998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-0.38336347197106757</v>
      </c>
      <c r="Q256">
        <f t="shared" si="960"/>
        <v>-1362306409.4871633</v>
      </c>
      <c r="R256">
        <f t="shared" si="961"/>
        <v>68435864049.812889</v>
      </c>
      <c r="S256">
        <f t="shared" si="962"/>
        <v>684358.64049812884</v>
      </c>
      <c r="T256">
        <f t="shared" si="963"/>
        <v>684.35864049812881</v>
      </c>
    </row>
    <row r="257" spans="1:20" x14ac:dyDescent="0.25">
      <c r="A257" s="5">
        <v>44336</v>
      </c>
      <c r="B257">
        <v>7.8880000000000006E-2</v>
      </c>
      <c r="C257">
        <v>9.3240000000000003E-2</v>
      </c>
      <c r="D257">
        <v>7.3429999999999995E-2</v>
      </c>
      <c r="E257">
        <v>8.9279999999999998E-2</v>
      </c>
      <c r="F257">
        <v>3945843015.6999998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0.6002019182231193</v>
      </c>
      <c r="Q257">
        <f t="shared" si="960"/>
        <v>2368302547.0304379</v>
      </c>
      <c r="R257">
        <f t="shared" si="961"/>
        <v>69798170459.300049</v>
      </c>
      <c r="S257">
        <f t="shared" si="962"/>
        <v>697981.70459300047</v>
      </c>
      <c r="T257">
        <f t="shared" si="963"/>
        <v>697.98170459300047</v>
      </c>
    </row>
    <row r="258" spans="1:20" x14ac:dyDescent="0.25">
      <c r="A258" s="5">
        <v>44335</v>
      </c>
      <c r="B258">
        <v>0.1163</v>
      </c>
      <c r="C258">
        <v>0.11794</v>
      </c>
      <c r="D258">
        <v>6.25E-2</v>
      </c>
      <c r="E258">
        <v>7.8810000000000005E-2</v>
      </c>
      <c r="F258">
        <v>7366575431.8000002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-0.41161616161616149</v>
      </c>
      <c r="Q258">
        <f t="shared" si="960"/>
        <v>-3032201503.4934335</v>
      </c>
      <c r="R258">
        <f t="shared" si="961"/>
        <v>67429867912.269615</v>
      </c>
      <c r="S258">
        <f t="shared" si="962"/>
        <v>674298.67912269616</v>
      </c>
      <c r="T258">
        <f t="shared" si="963"/>
        <v>674.29867912269617</v>
      </c>
    </row>
    <row r="259" spans="1:20" x14ac:dyDescent="0.25">
      <c r="A259" s="5">
        <v>44334</v>
      </c>
      <c r="B259">
        <v>0.11278000000000001</v>
      </c>
      <c r="C259">
        <v>0.11985999999999999</v>
      </c>
      <c r="D259">
        <v>0.11172</v>
      </c>
      <c r="E259">
        <v>0.11627</v>
      </c>
      <c r="F259">
        <v>1988023899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0.11793611793611833</v>
      </c>
      <c r="Q259">
        <f t="shared" si="960"/>
        <v>234459821.0122858</v>
      </c>
      <c r="R259">
        <f t="shared" si="961"/>
        <v>70462069415.763046</v>
      </c>
      <c r="S259">
        <f t="shared" si="962"/>
        <v>704620.69415763044</v>
      </c>
      <c r="T259">
        <f t="shared" si="963"/>
        <v>704.6206941576304</v>
      </c>
    </row>
    <row r="260" spans="1:20" x14ac:dyDescent="0.25">
      <c r="A260" s="5">
        <v>44333</v>
      </c>
      <c r="B260">
        <v>0.11963</v>
      </c>
      <c r="C260">
        <v>0.11991</v>
      </c>
      <c r="D260">
        <v>0.10846</v>
      </c>
      <c r="E260">
        <v>0.11279</v>
      </c>
      <c r="F260">
        <v>2616574676.3000002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-0.24366812227074239</v>
      </c>
      <c r="Q260">
        <f t="shared" si="960"/>
        <v>-637575838.15519667</v>
      </c>
      <c r="R260">
        <f t="shared" si="961"/>
        <v>70227609594.750763</v>
      </c>
      <c r="S260">
        <f t="shared" si="962"/>
        <v>702276.09594750765</v>
      </c>
      <c r="T260">
        <f t="shared" si="963"/>
        <v>702.27609594750766</v>
      </c>
    </row>
    <row r="261" spans="1:20" x14ac:dyDescent="0.25">
      <c r="A261" s="5">
        <v>44332</v>
      </c>
      <c r="B261">
        <v>0.12062</v>
      </c>
      <c r="C261">
        <v>0.13124</v>
      </c>
      <c r="D261">
        <v>0.11355</v>
      </c>
      <c r="E261">
        <v>0.11964</v>
      </c>
      <c r="F261">
        <v>2852198160.6999998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-0.3114754098360657</v>
      </c>
      <c r="Q261">
        <f t="shared" si="960"/>
        <v>-888389591.03770518</v>
      </c>
      <c r="R261">
        <f t="shared" si="961"/>
        <v>70865185432.90596</v>
      </c>
      <c r="S261">
        <f t="shared" si="962"/>
        <v>708651.8543290596</v>
      </c>
      <c r="T261">
        <f t="shared" si="963"/>
        <v>708.65185432905957</v>
      </c>
    </row>
    <row r="262" spans="1:20" x14ac:dyDescent="0.25">
      <c r="A262" s="5">
        <v>44331</v>
      </c>
      <c r="B262">
        <v>0.12474</v>
      </c>
      <c r="C262">
        <v>0.12723000000000001</v>
      </c>
      <c r="D262">
        <v>0.11792</v>
      </c>
      <c r="E262">
        <v>0.12059</v>
      </c>
      <c r="F262">
        <v>2311307991.5999999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-0.42642320085929064</v>
      </c>
      <c r="Q262">
        <f t="shared" ref="Q262:Q325" si="965">F262*P262</f>
        <v>-985595351.9497304</v>
      </c>
      <c r="R262">
        <f t="shared" ref="R262:R325" si="966">R263+Q262</f>
        <v>71753575023.943665</v>
      </c>
      <c r="S262">
        <f t="shared" ref="S262:S325" si="967">R262/100000</f>
        <v>717535.75023943663</v>
      </c>
      <c r="T262">
        <f t="shared" ref="T262:T325" si="968">S262/1000</f>
        <v>717.53575023943665</v>
      </c>
    </row>
    <row r="263" spans="1:20" x14ac:dyDescent="0.25">
      <c r="A263" s="5">
        <v>44330</v>
      </c>
      <c r="B263">
        <v>0.12157</v>
      </c>
      <c r="C263">
        <v>0.12831000000000001</v>
      </c>
      <c r="D263">
        <v>0.11921</v>
      </c>
      <c r="E263">
        <v>0.12472999999999999</v>
      </c>
      <c r="F263">
        <v>2106093423.3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0.2131868131868111</v>
      </c>
      <c r="Q263">
        <f t="shared" si="965"/>
        <v>448991345.18702853</v>
      </c>
      <c r="R263">
        <f t="shared" si="966"/>
        <v>72739170375.893402</v>
      </c>
      <c r="S263">
        <f t="shared" si="967"/>
        <v>727391.70375893405</v>
      </c>
      <c r="T263">
        <f t="shared" si="968"/>
        <v>727.391703758934</v>
      </c>
    </row>
    <row r="264" spans="1:20" x14ac:dyDescent="0.25">
      <c r="A264" s="5">
        <v>44329</v>
      </c>
      <c r="B264">
        <v>0.11917999999999999</v>
      </c>
      <c r="C264">
        <v>0.12667</v>
      </c>
      <c r="D264">
        <v>0.107</v>
      </c>
      <c r="E264">
        <v>0.12159</v>
      </c>
      <c r="F264">
        <v>4081655125.0999999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0.48347737671581092</v>
      </c>
      <c r="Q264">
        <f t="shared" si="965"/>
        <v>1973387912.5419929</v>
      </c>
      <c r="R264">
        <f t="shared" si="966"/>
        <v>72290179030.706375</v>
      </c>
      <c r="S264">
        <f t="shared" si="967"/>
        <v>722901.79030706373</v>
      </c>
      <c r="T264">
        <f t="shared" si="968"/>
        <v>722.90179030706372</v>
      </c>
    </row>
    <row r="265" spans="1:20" x14ac:dyDescent="0.25">
      <c r="A265" s="5">
        <v>44328</v>
      </c>
      <c r="B265">
        <v>0.13894000000000001</v>
      </c>
      <c r="C265">
        <v>0.14723</v>
      </c>
      <c r="D265">
        <v>0.11761000000000001</v>
      </c>
      <c r="E265">
        <v>0.11917999999999999</v>
      </c>
      <c r="F265">
        <v>3708047950.8000002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-0.89399054692775226</v>
      </c>
      <c r="Q265">
        <f t="shared" si="965"/>
        <v>-3314959815.5700231</v>
      </c>
      <c r="R265">
        <f t="shared" si="966"/>
        <v>70316791118.164383</v>
      </c>
      <c r="S265">
        <f t="shared" si="967"/>
        <v>703167.91118164384</v>
      </c>
      <c r="T265">
        <f t="shared" si="968"/>
        <v>703.16791118164383</v>
      </c>
    </row>
    <row r="266" spans="1:20" x14ac:dyDescent="0.25">
      <c r="A266" s="5">
        <v>44327</v>
      </c>
      <c r="B266">
        <v>0.12711</v>
      </c>
      <c r="C266">
        <v>0.13941000000000001</v>
      </c>
      <c r="D266">
        <v>0.12124</v>
      </c>
      <c r="E266">
        <v>0.13893</v>
      </c>
      <c r="F266">
        <v>2702223976.9000001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0.9471656576774895</v>
      </c>
      <c r="Q266">
        <f t="shared" si="965"/>
        <v>2559453750.2723699</v>
      </c>
      <c r="R266">
        <f t="shared" si="966"/>
        <v>73631750933.734406</v>
      </c>
      <c r="S266">
        <f t="shared" si="967"/>
        <v>736317.50933734409</v>
      </c>
      <c r="T266">
        <f t="shared" si="968"/>
        <v>736.31750933734406</v>
      </c>
    </row>
    <row r="267" spans="1:20" x14ac:dyDescent="0.25">
      <c r="A267" s="5">
        <v>44326</v>
      </c>
      <c r="B267">
        <v>0.14293</v>
      </c>
      <c r="C267">
        <v>0.14817</v>
      </c>
      <c r="D267">
        <v>0.12</v>
      </c>
      <c r="E267">
        <v>0.12716</v>
      </c>
      <c r="F267">
        <v>3016312450.6999998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-0.49165779197728082</v>
      </c>
      <c r="Q267">
        <f t="shared" si="965"/>
        <v>-1482993519.4247427</v>
      </c>
      <c r="R267">
        <f t="shared" si="966"/>
        <v>71072297183.462036</v>
      </c>
      <c r="S267">
        <f t="shared" si="967"/>
        <v>710722.97183462034</v>
      </c>
      <c r="T267">
        <f t="shared" si="968"/>
        <v>710.72297183462035</v>
      </c>
    </row>
    <row r="268" spans="1:20" x14ac:dyDescent="0.25">
      <c r="A268" s="5">
        <v>44325</v>
      </c>
      <c r="B268">
        <v>0.14299999999999999</v>
      </c>
      <c r="C268">
        <v>0.14574999999999999</v>
      </c>
      <c r="D268">
        <v>0.13500000000000001</v>
      </c>
      <c r="E268">
        <v>0.14294999999999999</v>
      </c>
      <c r="F268">
        <v>2107209878.3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0.47906976744186014</v>
      </c>
      <c r="Q268">
        <f t="shared" si="965"/>
        <v>1009500546.3483714</v>
      </c>
      <c r="R268">
        <f t="shared" si="966"/>
        <v>72555290702.88678</v>
      </c>
      <c r="S268">
        <f t="shared" si="967"/>
        <v>725552.90702886775</v>
      </c>
      <c r="T268">
        <f t="shared" si="968"/>
        <v>725.55290702886771</v>
      </c>
    </row>
    <row r="269" spans="1:20" x14ac:dyDescent="0.25">
      <c r="A269" s="5">
        <v>44324</v>
      </c>
      <c r="B269">
        <v>0.14763000000000001</v>
      </c>
      <c r="C269">
        <v>0.153</v>
      </c>
      <c r="D269">
        <v>0.14119999999999999</v>
      </c>
      <c r="E269">
        <v>0.14301</v>
      </c>
      <c r="F269">
        <v>2702677967.4000001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-0.69322033898304991</v>
      </c>
      <c r="Q269">
        <f t="shared" si="965"/>
        <v>-1873551336.7230484</v>
      </c>
      <c r="R269">
        <f t="shared" si="966"/>
        <v>71545790156.538406</v>
      </c>
      <c r="S269">
        <f t="shared" si="967"/>
        <v>715457.90156538412</v>
      </c>
      <c r="T269">
        <f t="shared" si="968"/>
        <v>715.45790156538408</v>
      </c>
    </row>
    <row r="270" spans="1:20" x14ac:dyDescent="0.25">
      <c r="A270" s="5">
        <v>44323</v>
      </c>
      <c r="B270">
        <v>0.15203</v>
      </c>
      <c r="C270">
        <v>0.17</v>
      </c>
      <c r="D270">
        <v>0.13951</v>
      </c>
      <c r="E270">
        <v>0.14763000000000001</v>
      </c>
      <c r="F270">
        <v>5897879264.6000004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-0.46736634962282642</v>
      </c>
      <c r="Q270">
        <f t="shared" si="965"/>
        <v>-2756470302.412262</v>
      </c>
      <c r="R270">
        <f t="shared" si="966"/>
        <v>73419341493.261459</v>
      </c>
      <c r="S270">
        <f t="shared" si="967"/>
        <v>734193.41493261454</v>
      </c>
      <c r="T270">
        <f t="shared" si="968"/>
        <v>734.19341493261459</v>
      </c>
    </row>
    <row r="271" spans="1:20" x14ac:dyDescent="0.25">
      <c r="A271" s="5">
        <v>44322</v>
      </c>
      <c r="B271">
        <v>0.14654</v>
      </c>
      <c r="C271">
        <v>0.15817999999999999</v>
      </c>
      <c r="D271">
        <v>0.13728000000000001</v>
      </c>
      <c r="E271">
        <v>0.15215999999999999</v>
      </c>
      <c r="F271">
        <v>5577225772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0.42392344497607609</v>
      </c>
      <c r="Q271">
        <f t="shared" si="965"/>
        <v>2364316762.6755953</v>
      </c>
      <c r="R271">
        <f t="shared" si="966"/>
        <v>76175811795.673721</v>
      </c>
      <c r="S271">
        <f t="shared" si="967"/>
        <v>761758.11795673717</v>
      </c>
      <c r="T271">
        <f t="shared" si="968"/>
        <v>761.75811795673712</v>
      </c>
    </row>
    <row r="272" spans="1:20" x14ac:dyDescent="0.25">
      <c r="A272" s="5">
        <v>44321</v>
      </c>
      <c r="B272">
        <v>0.11913</v>
      </c>
      <c r="C272">
        <v>0.14665</v>
      </c>
      <c r="D272">
        <v>0.11762</v>
      </c>
      <c r="E272">
        <v>0.14654</v>
      </c>
      <c r="F272">
        <v>4279611398.5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0.9924216327936618</v>
      </c>
      <c r="Q272">
        <f t="shared" si="965"/>
        <v>4247178931.8217363</v>
      </c>
      <c r="R272">
        <f t="shared" si="966"/>
        <v>73811495032.998123</v>
      </c>
      <c r="S272">
        <f t="shared" si="967"/>
        <v>738114.95032998128</v>
      </c>
      <c r="T272">
        <f t="shared" si="968"/>
        <v>738.1149503299813</v>
      </c>
    </row>
    <row r="273" spans="1:20" x14ac:dyDescent="0.25">
      <c r="A273" s="5">
        <v>44320</v>
      </c>
      <c r="B273">
        <v>0.13159000000000001</v>
      </c>
      <c r="C273">
        <v>0.13181000000000001</v>
      </c>
      <c r="D273">
        <v>0.11784</v>
      </c>
      <c r="E273">
        <v>0.11917</v>
      </c>
      <c r="F273">
        <v>2423311528.5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-0.80959198282032974</v>
      </c>
      <c r="Q273">
        <f t="shared" si="965"/>
        <v>-1961893585.349679</v>
      </c>
      <c r="R273">
        <f t="shared" si="966"/>
        <v>69564316101.176392</v>
      </c>
      <c r="S273">
        <f t="shared" si="967"/>
        <v>695643.16101176396</v>
      </c>
      <c r="T273">
        <f t="shared" si="968"/>
        <v>695.64316101176394</v>
      </c>
    </row>
    <row r="274" spans="1:20" x14ac:dyDescent="0.25">
      <c r="A274" s="5">
        <v>44319</v>
      </c>
      <c r="B274">
        <v>0.12756999999999999</v>
      </c>
      <c r="C274">
        <v>0.13657</v>
      </c>
      <c r="D274">
        <v>0.12740000000000001</v>
      </c>
      <c r="E274">
        <v>0.13159000000000001</v>
      </c>
      <c r="F274">
        <v>1991222392.0999999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-8.6150490730641932E-2</v>
      </c>
      <c r="Q274">
        <f t="shared" si="965"/>
        <v>-171544786.23325771</v>
      </c>
      <c r="R274">
        <f t="shared" si="966"/>
        <v>71526209686.526077</v>
      </c>
      <c r="S274">
        <f t="shared" si="967"/>
        <v>715262.09686526074</v>
      </c>
      <c r="T274">
        <f t="shared" si="968"/>
        <v>715.26209686526079</v>
      </c>
    </row>
    <row r="275" spans="1:20" x14ac:dyDescent="0.25">
      <c r="A275" s="5">
        <v>44318</v>
      </c>
      <c r="B275">
        <v>0.13111</v>
      </c>
      <c r="C275">
        <v>0.13219</v>
      </c>
      <c r="D275">
        <v>0.12504999999999999</v>
      </c>
      <c r="E275">
        <v>0.12759000000000001</v>
      </c>
      <c r="F275">
        <v>1176973681.7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-0.28851540616246169</v>
      </c>
      <c r="Q275">
        <f t="shared" si="965"/>
        <v>-339575039.81820339</v>
      </c>
      <c r="R275">
        <f t="shared" si="966"/>
        <v>71697754472.759338</v>
      </c>
      <c r="S275">
        <f t="shared" si="967"/>
        <v>716977.54472759343</v>
      </c>
      <c r="T275">
        <f t="shared" si="968"/>
        <v>716.97754472759345</v>
      </c>
    </row>
    <row r="276" spans="1:20" x14ac:dyDescent="0.25">
      <c r="A276" s="5">
        <v>44317</v>
      </c>
      <c r="B276">
        <v>0.13228000000000001</v>
      </c>
      <c r="C276">
        <v>0.13350000000000001</v>
      </c>
      <c r="D276">
        <v>0.12739</v>
      </c>
      <c r="E276">
        <v>0.13111999999999999</v>
      </c>
      <c r="F276">
        <v>1383198265.7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0.22094926350244867</v>
      </c>
      <c r="Q276">
        <f t="shared" si="965"/>
        <v>305616638.0842793</v>
      </c>
      <c r="R276">
        <f t="shared" si="966"/>
        <v>72037329512.577545</v>
      </c>
      <c r="S276">
        <f t="shared" si="967"/>
        <v>720373.2951257755</v>
      </c>
      <c r="T276">
        <f t="shared" si="968"/>
        <v>720.37329512577548</v>
      </c>
    </row>
    <row r="277" spans="1:20" x14ac:dyDescent="0.25">
      <c r="A277" s="5">
        <v>44316</v>
      </c>
      <c r="B277">
        <v>0.12121999999999999</v>
      </c>
      <c r="C277">
        <v>0.13300000000000001</v>
      </c>
      <c r="D277">
        <v>0.11885999999999999</v>
      </c>
      <c r="E277">
        <v>0.13222999999999999</v>
      </c>
      <c r="F277">
        <v>2183125282.8000002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0.89108910891088822</v>
      </c>
      <c r="Q277">
        <f t="shared" si="965"/>
        <v>1945359162.891083</v>
      </c>
      <c r="R277">
        <f t="shared" si="966"/>
        <v>71731712874.493271</v>
      </c>
      <c r="S277">
        <f t="shared" si="967"/>
        <v>717317.12874493271</v>
      </c>
      <c r="T277">
        <f t="shared" si="968"/>
        <v>717.31712874493269</v>
      </c>
    </row>
    <row r="278" spans="1:20" x14ac:dyDescent="0.25">
      <c r="A278" s="5">
        <v>44315</v>
      </c>
      <c r="B278">
        <v>0.12266000000000001</v>
      </c>
      <c r="C278">
        <v>0.12525</v>
      </c>
      <c r="D278">
        <v>0.11763999999999999</v>
      </c>
      <c r="E278">
        <v>0.12123</v>
      </c>
      <c r="F278">
        <v>1483178594.9000001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-5.6504599211561847E-2</v>
      </c>
      <c r="Q278">
        <f t="shared" si="965"/>
        <v>-83806412.063991949</v>
      </c>
      <c r="R278">
        <f t="shared" si="966"/>
        <v>69786353711.602188</v>
      </c>
      <c r="S278">
        <f t="shared" si="967"/>
        <v>697863.53711602185</v>
      </c>
      <c r="T278">
        <f t="shared" si="968"/>
        <v>697.8635371160218</v>
      </c>
    </row>
    <row r="279" spans="1:20" x14ac:dyDescent="0.25">
      <c r="A279" s="5">
        <v>44314</v>
      </c>
      <c r="B279">
        <v>0.12598999999999999</v>
      </c>
      <c r="C279">
        <v>0.12977</v>
      </c>
      <c r="D279">
        <v>0.11616</v>
      </c>
      <c r="E279">
        <v>0.12266000000000001</v>
      </c>
      <c r="F279">
        <v>2169880462.9000001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-4.4819985304921796E-2</v>
      </c>
      <c r="Q279">
        <f t="shared" si="965"/>
        <v>-97254010.460614905</v>
      </c>
      <c r="R279">
        <f t="shared" si="966"/>
        <v>69870160123.666183</v>
      </c>
      <c r="S279">
        <f t="shared" si="967"/>
        <v>698701.60123666178</v>
      </c>
      <c r="T279">
        <f t="shared" si="968"/>
        <v>698.70160123666176</v>
      </c>
    </row>
    <row r="280" spans="1:20" x14ac:dyDescent="0.25">
      <c r="A280" s="5">
        <v>44313</v>
      </c>
      <c r="B280">
        <v>0.1173</v>
      </c>
      <c r="C280">
        <v>0.12884000000000001</v>
      </c>
      <c r="D280">
        <v>0.11550000000000001</v>
      </c>
      <c r="E280">
        <v>0.12594</v>
      </c>
      <c r="F280">
        <v>2449405558.3000002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0.5652173913043459</v>
      </c>
      <c r="Q280">
        <f t="shared" si="965"/>
        <v>1384446619.9086909</v>
      </c>
      <c r="R280">
        <f t="shared" si="966"/>
        <v>69967414134.126801</v>
      </c>
      <c r="S280">
        <f t="shared" si="967"/>
        <v>699674.14134126797</v>
      </c>
      <c r="T280">
        <f t="shared" si="968"/>
        <v>699.67414134126795</v>
      </c>
    </row>
    <row r="281" spans="1:20" x14ac:dyDescent="0.25">
      <c r="A281" s="5">
        <v>44312</v>
      </c>
      <c r="B281">
        <v>0.10176</v>
      </c>
      <c r="C281">
        <v>0.11745</v>
      </c>
      <c r="D281">
        <v>0.10009999999999999</v>
      </c>
      <c r="E281">
        <v>0.11731999999999999</v>
      </c>
      <c r="F281">
        <v>2893484725.8000002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0.98501440922190142</v>
      </c>
      <c r="Q281">
        <f t="shared" si="965"/>
        <v>2850124147.7764826</v>
      </c>
      <c r="R281">
        <f t="shared" si="966"/>
        <v>68582967514.218109</v>
      </c>
      <c r="S281">
        <f t="shared" si="967"/>
        <v>685829.67514218111</v>
      </c>
      <c r="T281">
        <f t="shared" si="968"/>
        <v>685.82967514218115</v>
      </c>
    </row>
    <row r="282" spans="1:20" x14ac:dyDescent="0.25">
      <c r="A282" s="5">
        <v>44311</v>
      </c>
      <c r="B282">
        <v>0.1026</v>
      </c>
      <c r="C282">
        <v>0.11006000000000001</v>
      </c>
      <c r="D282">
        <v>9.6500000000000002E-2</v>
      </c>
      <c r="E282">
        <v>0.10176</v>
      </c>
      <c r="F282">
        <v>1959940346.4000001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-0.224188790560472</v>
      </c>
      <c r="Q282">
        <f t="shared" si="965"/>
        <v>-439396655.83008856</v>
      </c>
      <c r="R282">
        <f t="shared" si="966"/>
        <v>65732843366.441628</v>
      </c>
      <c r="S282">
        <f t="shared" si="967"/>
        <v>657328.43366441631</v>
      </c>
      <c r="T282">
        <f t="shared" si="968"/>
        <v>657.32843366441637</v>
      </c>
    </row>
    <row r="283" spans="1:20" x14ac:dyDescent="0.25">
      <c r="A283" s="5">
        <v>44310</v>
      </c>
      <c r="B283">
        <v>0.10914</v>
      </c>
      <c r="C283">
        <v>0.11438</v>
      </c>
      <c r="D283">
        <v>0.10204000000000001</v>
      </c>
      <c r="E283">
        <v>0.10249</v>
      </c>
      <c r="F283">
        <v>3378231187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-0.92706645056726211</v>
      </c>
      <c r="Q283">
        <f t="shared" si="965"/>
        <v>-3131844795.7277188</v>
      </c>
      <c r="R283">
        <f t="shared" si="966"/>
        <v>66172240022.271713</v>
      </c>
      <c r="S283">
        <f t="shared" si="967"/>
        <v>661722.40022271709</v>
      </c>
      <c r="T283">
        <f t="shared" si="968"/>
        <v>661.72240022271706</v>
      </c>
    </row>
    <row r="284" spans="1:20" x14ac:dyDescent="0.25">
      <c r="A284" s="5">
        <v>44309</v>
      </c>
      <c r="B284">
        <v>0.11</v>
      </c>
      <c r="C284">
        <v>0.11261</v>
      </c>
      <c r="D284">
        <v>9.01E-2</v>
      </c>
      <c r="E284">
        <v>0.10915</v>
      </c>
      <c r="F284">
        <v>5876617740.8999996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0.6925810750777428</v>
      </c>
      <c r="Q284">
        <f t="shared" si="965"/>
        <v>4070034232.813458</v>
      </c>
      <c r="R284">
        <f t="shared" si="966"/>
        <v>69304084817.999435</v>
      </c>
      <c r="S284">
        <f t="shared" si="967"/>
        <v>693040.84817999438</v>
      </c>
      <c r="T284">
        <f t="shared" si="968"/>
        <v>693.04084817999433</v>
      </c>
    </row>
    <row r="285" spans="1:20" x14ac:dyDescent="0.25">
      <c r="A285" s="5">
        <v>44308</v>
      </c>
      <c r="B285">
        <v>0.12271</v>
      </c>
      <c r="C285">
        <v>0.12969</v>
      </c>
      <c r="D285">
        <v>0.10891000000000001</v>
      </c>
      <c r="E285">
        <v>0.11001</v>
      </c>
      <c r="F285">
        <v>3301812977.5999999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-0.89412897016361981</v>
      </c>
      <c r="Q285">
        <f t="shared" si="965"/>
        <v>-2952246637.334363</v>
      </c>
      <c r="R285">
        <f t="shared" si="966"/>
        <v>65234050585.185982</v>
      </c>
      <c r="S285">
        <f t="shared" si="967"/>
        <v>652340.50585185981</v>
      </c>
      <c r="T285">
        <f t="shared" si="968"/>
        <v>652.3405058518598</v>
      </c>
    </row>
    <row r="286" spans="1:20" x14ac:dyDescent="0.25">
      <c r="A286" s="5">
        <v>44307</v>
      </c>
      <c r="B286">
        <v>0.13278000000000001</v>
      </c>
      <c r="C286">
        <v>0.13561000000000001</v>
      </c>
      <c r="D286">
        <v>0.12089999999999999</v>
      </c>
      <c r="E286">
        <v>0.12273000000000001</v>
      </c>
      <c r="F286">
        <v>2244954543.5999999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-0.75118966689326849</v>
      </c>
      <c r="Q286">
        <f t="shared" si="965"/>
        <v>-1686386655.7974136</v>
      </c>
      <c r="R286">
        <f t="shared" si="966"/>
        <v>68186297222.520348</v>
      </c>
      <c r="S286">
        <f t="shared" si="967"/>
        <v>681862.97222520353</v>
      </c>
      <c r="T286">
        <f t="shared" si="968"/>
        <v>681.86297222520352</v>
      </c>
    </row>
    <row r="287" spans="1:20" x14ac:dyDescent="0.25">
      <c r="A287" s="5">
        <v>44306</v>
      </c>
      <c r="B287">
        <v>0.12989000000000001</v>
      </c>
      <c r="C287">
        <v>0.13489999999999999</v>
      </c>
      <c r="D287">
        <v>0.11677999999999999</v>
      </c>
      <c r="E287">
        <v>0.13278999999999999</v>
      </c>
      <c r="F287">
        <v>3116150665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0.76710816777041935</v>
      </c>
      <c r="Q287">
        <f t="shared" si="965"/>
        <v>2390424627.1247239</v>
      </c>
      <c r="R287">
        <f t="shared" si="966"/>
        <v>69872683878.317764</v>
      </c>
      <c r="S287">
        <f t="shared" si="967"/>
        <v>698726.83878317766</v>
      </c>
      <c r="T287">
        <f t="shared" si="968"/>
        <v>698.72683878317764</v>
      </c>
    </row>
    <row r="288" spans="1:20" x14ac:dyDescent="0.25">
      <c r="A288" s="5">
        <v>44305</v>
      </c>
      <c r="B288">
        <v>0.14302000000000001</v>
      </c>
      <c r="C288">
        <v>0.14799000000000001</v>
      </c>
      <c r="D288">
        <v>0.12950999999999999</v>
      </c>
      <c r="E288">
        <v>0.12992999999999999</v>
      </c>
      <c r="F288">
        <v>3094361723.1999998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-0.95454545454545425</v>
      </c>
      <c r="Q288">
        <f t="shared" si="965"/>
        <v>-2953708917.599999</v>
      </c>
      <c r="R288">
        <f t="shared" si="966"/>
        <v>67482259251.193047</v>
      </c>
      <c r="S288">
        <f t="shared" si="967"/>
        <v>674822.5925119305</v>
      </c>
      <c r="T288">
        <f t="shared" si="968"/>
        <v>674.82259251193045</v>
      </c>
    </row>
    <row r="289" spans="1:20" x14ac:dyDescent="0.25">
      <c r="A289" s="5">
        <v>44304</v>
      </c>
      <c r="B289">
        <v>0.15536</v>
      </c>
      <c r="C289">
        <v>0.15698000000000001</v>
      </c>
      <c r="D289">
        <v>0.122</v>
      </c>
      <c r="E289">
        <v>0.14302000000000001</v>
      </c>
      <c r="F289">
        <v>4773186573.5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0.20182961692395679</v>
      </c>
      <c r="Q289">
        <f t="shared" si="965"/>
        <v>963370417.63607895</v>
      </c>
      <c r="R289">
        <f t="shared" si="966"/>
        <v>70435968168.793045</v>
      </c>
      <c r="S289">
        <f t="shared" si="967"/>
        <v>704359.68168793048</v>
      </c>
      <c r="T289">
        <f t="shared" si="968"/>
        <v>704.35968168793045</v>
      </c>
    </row>
    <row r="290" spans="1:20" x14ac:dyDescent="0.25">
      <c r="A290" s="5">
        <v>44303</v>
      </c>
      <c r="B290">
        <v>0.16091</v>
      </c>
      <c r="C290">
        <v>0.18</v>
      </c>
      <c r="D290">
        <v>0.15278</v>
      </c>
      <c r="E290">
        <v>0.15534999999999999</v>
      </c>
      <c r="F290">
        <v>4516595321.3000002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-0.81116825863335862</v>
      </c>
      <c r="Q290">
        <f t="shared" si="965"/>
        <v>-3663718761.7304959</v>
      </c>
      <c r="R290">
        <f t="shared" si="966"/>
        <v>69472597751.156967</v>
      </c>
      <c r="S290">
        <f t="shared" si="967"/>
        <v>694725.97751156962</v>
      </c>
      <c r="T290">
        <f t="shared" si="968"/>
        <v>694.72597751156968</v>
      </c>
    </row>
    <row r="291" spans="1:20" x14ac:dyDescent="0.25">
      <c r="A291" s="5">
        <v>44302</v>
      </c>
      <c r="B291">
        <v>0.16420999999999999</v>
      </c>
      <c r="C291">
        <v>0.17799999999999999</v>
      </c>
      <c r="D291">
        <v>0.13500000000000001</v>
      </c>
      <c r="E291">
        <v>0.16091</v>
      </c>
      <c r="F291">
        <v>6725692463.3000002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0.2051162790697674</v>
      </c>
      <c r="Q291">
        <f t="shared" si="965"/>
        <v>1379549012.2396741</v>
      </c>
      <c r="R291">
        <f t="shared" si="966"/>
        <v>73136316512.887466</v>
      </c>
      <c r="S291">
        <f t="shared" si="967"/>
        <v>731363.16512887471</v>
      </c>
      <c r="T291">
        <f t="shared" si="968"/>
        <v>731.3631651288747</v>
      </c>
    </row>
    <row r="292" spans="1:20" x14ac:dyDescent="0.25">
      <c r="A292" s="5">
        <v>44301</v>
      </c>
      <c r="B292">
        <v>0.14038999999999999</v>
      </c>
      <c r="C292">
        <v>0.16899</v>
      </c>
      <c r="D292">
        <v>0.13600000000000001</v>
      </c>
      <c r="E292">
        <v>0.16420999999999999</v>
      </c>
      <c r="F292">
        <v>5137733985.6000004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0.71021521673234267</v>
      </c>
      <c r="Q292">
        <f t="shared" si="965"/>
        <v>3648896856.0960269</v>
      </c>
      <c r="R292">
        <f t="shared" si="966"/>
        <v>71756767500.647797</v>
      </c>
      <c r="S292">
        <f t="shared" si="967"/>
        <v>717567.67500647798</v>
      </c>
      <c r="T292">
        <f t="shared" si="968"/>
        <v>717.567675006478</v>
      </c>
    </row>
    <row r="293" spans="1:20" x14ac:dyDescent="0.25">
      <c r="A293" s="5">
        <v>44300</v>
      </c>
      <c r="B293">
        <v>0.1462</v>
      </c>
      <c r="C293">
        <v>0.15628</v>
      </c>
      <c r="D293">
        <v>0.13300000000000001</v>
      </c>
      <c r="E293">
        <v>0.1404</v>
      </c>
      <c r="F293">
        <v>4796784411.6999998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-0.36426116838488048</v>
      </c>
      <c r="Q293">
        <f t="shared" si="965"/>
        <v>-1747282294.2962234</v>
      </c>
      <c r="R293">
        <f t="shared" si="966"/>
        <v>68107870644.551765</v>
      </c>
      <c r="S293">
        <f t="shared" si="967"/>
        <v>681078.7064455176</v>
      </c>
      <c r="T293">
        <f t="shared" si="968"/>
        <v>681.07870644551758</v>
      </c>
    </row>
    <row r="294" spans="1:20" x14ac:dyDescent="0.25">
      <c r="A294" s="5">
        <v>44299</v>
      </c>
      <c r="B294">
        <v>0.12873999999999999</v>
      </c>
      <c r="C294">
        <v>0.15540000000000001</v>
      </c>
      <c r="D294">
        <v>0.128</v>
      </c>
      <c r="E294">
        <v>0.14621999999999999</v>
      </c>
      <c r="F294">
        <v>6284763382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0.32992700729926872</v>
      </c>
      <c r="Q294">
        <f t="shared" si="965"/>
        <v>2073513174.2072906</v>
      </c>
      <c r="R294">
        <f t="shared" si="966"/>
        <v>69855152938.847992</v>
      </c>
      <c r="S294">
        <f t="shared" si="967"/>
        <v>698551.52938847989</v>
      </c>
      <c r="T294">
        <f t="shared" si="968"/>
        <v>698.55152938847993</v>
      </c>
    </row>
    <row r="295" spans="1:20" x14ac:dyDescent="0.25">
      <c r="A295" s="5">
        <v>44298</v>
      </c>
      <c r="B295">
        <v>0.12212000000000001</v>
      </c>
      <c r="C295">
        <v>0.13739000000000001</v>
      </c>
      <c r="D295">
        <v>0.12154</v>
      </c>
      <c r="E295">
        <v>0.12873999999999999</v>
      </c>
      <c r="F295">
        <v>4811133581.8999996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-9.1482649842272501E-2</v>
      </c>
      <c r="Q295">
        <f t="shared" si="965"/>
        <v>-440135248.81735593</v>
      </c>
      <c r="R295">
        <f t="shared" si="966"/>
        <v>67781639764.640694</v>
      </c>
      <c r="S295">
        <f t="shared" si="967"/>
        <v>677816.3976464069</v>
      </c>
      <c r="T295">
        <f t="shared" si="968"/>
        <v>677.81639764640693</v>
      </c>
    </row>
    <row r="296" spans="1:20" x14ac:dyDescent="0.25">
      <c r="A296" s="5">
        <v>44297</v>
      </c>
      <c r="B296">
        <v>0.12640000000000001</v>
      </c>
      <c r="C296">
        <v>0.12684999999999999</v>
      </c>
      <c r="D296">
        <v>0.11792</v>
      </c>
      <c r="E296">
        <v>0.12214</v>
      </c>
      <c r="F296">
        <v>2206490981.5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-5.4871220604702217E-2</v>
      </c>
      <c r="Q296">
        <f t="shared" si="965"/>
        <v>-121072853.40817241</v>
      </c>
      <c r="R296">
        <f t="shared" si="966"/>
        <v>68221775013.458046</v>
      </c>
      <c r="S296">
        <f t="shared" si="967"/>
        <v>682217.75013458042</v>
      </c>
      <c r="T296">
        <f t="shared" si="968"/>
        <v>682.21775013458046</v>
      </c>
    </row>
    <row r="297" spans="1:20" x14ac:dyDescent="0.25">
      <c r="A297" s="5">
        <v>44296</v>
      </c>
      <c r="B297">
        <v>0.11584</v>
      </c>
      <c r="C297">
        <v>0.12758</v>
      </c>
      <c r="D297">
        <v>0.11241</v>
      </c>
      <c r="E297">
        <v>0.1263</v>
      </c>
      <c r="F297">
        <v>3257594697.4000001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0.83124588002636746</v>
      </c>
      <c r="Q297">
        <f t="shared" si="965"/>
        <v>2707862171.0094914</v>
      </c>
      <c r="R297">
        <f t="shared" si="966"/>
        <v>68342847866.866219</v>
      </c>
      <c r="S297">
        <f t="shared" si="967"/>
        <v>683428.47866866214</v>
      </c>
      <c r="T297">
        <f t="shared" si="968"/>
        <v>683.42847866866214</v>
      </c>
    </row>
    <row r="298" spans="1:20" x14ac:dyDescent="0.25">
      <c r="A298" s="5">
        <v>44295</v>
      </c>
      <c r="B298">
        <v>0.12349</v>
      </c>
      <c r="C298">
        <v>0.12514</v>
      </c>
      <c r="D298">
        <v>0.11432</v>
      </c>
      <c r="E298">
        <v>0.11584</v>
      </c>
      <c r="F298">
        <v>2309522635.3000002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-0.71903881700554639</v>
      </c>
      <c r="Q298">
        <f t="shared" si="965"/>
        <v>-1660636423.5336442</v>
      </c>
      <c r="R298">
        <f t="shared" si="966"/>
        <v>65634985695.856728</v>
      </c>
      <c r="S298">
        <f t="shared" si="967"/>
        <v>656349.85695856728</v>
      </c>
      <c r="T298">
        <f t="shared" si="968"/>
        <v>656.34985695856733</v>
      </c>
    </row>
    <row r="299" spans="1:20" x14ac:dyDescent="0.25">
      <c r="A299" s="5">
        <v>44294</v>
      </c>
      <c r="B299">
        <v>0.11032</v>
      </c>
      <c r="C299">
        <v>0.12615000000000001</v>
      </c>
      <c r="D299">
        <v>0.10971</v>
      </c>
      <c r="E299">
        <v>0.12349</v>
      </c>
      <c r="F299">
        <v>3443498300.5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0.67639902676398933</v>
      </c>
      <c r="Q299">
        <f t="shared" si="965"/>
        <v>2329178899.1216512</v>
      </c>
      <c r="R299">
        <f t="shared" si="966"/>
        <v>67295622119.390373</v>
      </c>
      <c r="S299">
        <f t="shared" si="967"/>
        <v>672956.22119390371</v>
      </c>
      <c r="T299">
        <f t="shared" si="968"/>
        <v>672.95622119390373</v>
      </c>
    </row>
    <row r="300" spans="1:20" x14ac:dyDescent="0.25">
      <c r="A300" s="5">
        <v>44293</v>
      </c>
      <c r="B300">
        <v>0.12397</v>
      </c>
      <c r="C300">
        <v>0.12578</v>
      </c>
      <c r="D300">
        <v>0.10349999999999999</v>
      </c>
      <c r="E300">
        <v>0.11045000000000001</v>
      </c>
      <c r="F300">
        <v>5108680620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-0.37612208258527746</v>
      </c>
      <c r="Q300">
        <f t="shared" si="965"/>
        <v>-1921487594.0574465</v>
      </c>
      <c r="R300">
        <f t="shared" si="966"/>
        <v>64966443220.268723</v>
      </c>
      <c r="S300">
        <f t="shared" si="967"/>
        <v>649664.43220268725</v>
      </c>
      <c r="T300">
        <f t="shared" si="968"/>
        <v>649.66443220268729</v>
      </c>
    </row>
    <row r="301" spans="1:20" x14ac:dyDescent="0.25">
      <c r="A301" s="5">
        <v>44292</v>
      </c>
      <c r="B301">
        <v>0.13652</v>
      </c>
      <c r="C301">
        <v>0.13880000000000001</v>
      </c>
      <c r="D301">
        <v>0.111</v>
      </c>
      <c r="E301">
        <v>0.12401</v>
      </c>
      <c r="F301">
        <v>6254159263.1999998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-6.4028776978417884E-2</v>
      </c>
      <c r="Q301">
        <f t="shared" si="965"/>
        <v>-400446168.65093911</v>
      </c>
      <c r="R301">
        <f t="shared" si="966"/>
        <v>66887930814.326172</v>
      </c>
      <c r="S301">
        <f t="shared" si="967"/>
        <v>668879.3081432617</v>
      </c>
      <c r="T301">
        <f t="shared" si="968"/>
        <v>668.87930814326171</v>
      </c>
    </row>
    <row r="302" spans="1:20" x14ac:dyDescent="0.25">
      <c r="A302" s="5">
        <v>44291</v>
      </c>
      <c r="B302">
        <v>0.12759999999999999</v>
      </c>
      <c r="C302">
        <v>0.14927000000000001</v>
      </c>
      <c r="D302">
        <v>0.12576000000000001</v>
      </c>
      <c r="E302">
        <v>0.13655</v>
      </c>
      <c r="F302">
        <v>7842044888.6000004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-8.2092726499362598E-2</v>
      </c>
      <c r="Q302">
        <f t="shared" si="965"/>
        <v>-643774846.23556423</v>
      </c>
      <c r="R302">
        <f t="shared" si="966"/>
        <v>67288376982.977112</v>
      </c>
      <c r="S302">
        <f t="shared" si="967"/>
        <v>672883.76982977113</v>
      </c>
      <c r="T302">
        <f t="shared" si="968"/>
        <v>672.88376982977115</v>
      </c>
    </row>
    <row r="303" spans="1:20" x14ac:dyDescent="0.25">
      <c r="A303" s="5">
        <v>44290</v>
      </c>
      <c r="B303">
        <v>0.10145</v>
      </c>
      <c r="C303">
        <v>0.12851000000000001</v>
      </c>
      <c r="D303">
        <v>9.9760000000000001E-2</v>
      </c>
      <c r="E303">
        <v>0.12761</v>
      </c>
      <c r="F303">
        <v>7398771026.8999996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0.93739130434782525</v>
      </c>
      <c r="Q303">
        <f t="shared" si="965"/>
        <v>6935543623.4766893</v>
      </c>
      <c r="R303">
        <f t="shared" si="966"/>
        <v>67932151829.212677</v>
      </c>
      <c r="S303">
        <f t="shared" si="967"/>
        <v>679321.51829212683</v>
      </c>
      <c r="T303">
        <f t="shared" si="968"/>
        <v>679.32151829212683</v>
      </c>
    </row>
    <row r="304" spans="1:20" x14ac:dyDescent="0.25">
      <c r="A304" s="5">
        <v>44289</v>
      </c>
      <c r="B304">
        <v>9.2350000000000002E-2</v>
      </c>
      <c r="C304">
        <v>0.11118</v>
      </c>
      <c r="D304">
        <v>8.7889999999999996E-2</v>
      </c>
      <c r="E304">
        <v>0.10143000000000001</v>
      </c>
      <c r="F304">
        <v>7464330743.1000004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0.16273078574495556</v>
      </c>
      <c r="Q304">
        <f t="shared" si="965"/>
        <v>1214676406.884891</v>
      </c>
      <c r="R304">
        <f t="shared" si="966"/>
        <v>60996608205.735985</v>
      </c>
      <c r="S304">
        <f t="shared" si="967"/>
        <v>609966.08205735986</v>
      </c>
      <c r="T304">
        <f t="shared" si="968"/>
        <v>609.96608205735981</v>
      </c>
    </row>
    <row r="305" spans="1:20" x14ac:dyDescent="0.25">
      <c r="A305" s="5">
        <v>44288</v>
      </c>
      <c r="B305">
        <v>8.5419999999999996E-2</v>
      </c>
      <c r="C305">
        <v>9.2679999999999998E-2</v>
      </c>
      <c r="D305">
        <v>8.4229999999999999E-2</v>
      </c>
      <c r="E305">
        <v>9.2319999999999999E-2</v>
      </c>
      <c r="F305">
        <v>3558201740.1999998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0.91479289940828423</v>
      </c>
      <c r="Q305">
        <f t="shared" si="965"/>
        <v>3255017686.5971603</v>
      </c>
      <c r="R305">
        <f t="shared" si="966"/>
        <v>59781931798.851097</v>
      </c>
      <c r="S305">
        <f t="shared" si="967"/>
        <v>597819.31798851094</v>
      </c>
      <c r="T305">
        <f t="shared" si="968"/>
        <v>597.81931798851099</v>
      </c>
    </row>
    <row r="306" spans="1:20" x14ac:dyDescent="0.25">
      <c r="A306" s="5">
        <v>44287</v>
      </c>
      <c r="B306">
        <v>9.3009999999999995E-2</v>
      </c>
      <c r="C306">
        <v>9.4710000000000003E-2</v>
      </c>
      <c r="D306">
        <v>8.2199999999999995E-2</v>
      </c>
      <c r="E306">
        <v>8.5430000000000006E-2</v>
      </c>
      <c r="F306">
        <v>5624820649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-0.48361310951238867</v>
      </c>
      <c r="Q306">
        <f t="shared" si="965"/>
        <v>-2720237004.512382</v>
      </c>
      <c r="R306">
        <f t="shared" si="966"/>
        <v>56526914112.253937</v>
      </c>
      <c r="S306">
        <f t="shared" si="967"/>
        <v>565269.14112253941</v>
      </c>
      <c r="T306">
        <f t="shared" si="968"/>
        <v>565.26914112253939</v>
      </c>
    </row>
    <row r="307" spans="1:20" x14ac:dyDescent="0.25">
      <c r="A307" s="5">
        <v>44286</v>
      </c>
      <c r="B307">
        <v>6.5979999999999997E-2</v>
      </c>
      <c r="C307">
        <v>9.7659999999999997E-2</v>
      </c>
      <c r="D307">
        <v>6.5530000000000005E-2</v>
      </c>
      <c r="E307">
        <v>9.2960000000000001E-2</v>
      </c>
      <c r="F307">
        <v>10236274771.4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0.70743853096794296</v>
      </c>
      <c r="Q307">
        <f t="shared" si="965"/>
        <v>7241535186.8634319</v>
      </c>
      <c r="R307">
        <f t="shared" si="966"/>
        <v>59247151116.766319</v>
      </c>
      <c r="S307">
        <f t="shared" si="967"/>
        <v>592471.51116766315</v>
      </c>
      <c r="T307">
        <f t="shared" si="968"/>
        <v>592.47151116766315</v>
      </c>
    </row>
    <row r="308" spans="1:20" x14ac:dyDescent="0.25">
      <c r="A308" s="5">
        <v>44285</v>
      </c>
      <c r="B308">
        <v>6.4740000000000006E-2</v>
      </c>
      <c r="C308">
        <v>6.6720000000000002E-2</v>
      </c>
      <c r="D308">
        <v>6.4210000000000003E-2</v>
      </c>
      <c r="E308">
        <v>6.5979999999999997E-2</v>
      </c>
      <c r="F308">
        <v>1516852370.8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0.41035856573704776</v>
      </c>
      <c r="Q308">
        <f t="shared" si="965"/>
        <v>622453363.31632853</v>
      </c>
      <c r="R308">
        <f t="shared" si="966"/>
        <v>52005615929.902885</v>
      </c>
      <c r="S308">
        <f t="shared" si="967"/>
        <v>520056.15929902886</v>
      </c>
      <c r="T308">
        <f t="shared" si="968"/>
        <v>520.05615929902888</v>
      </c>
    </row>
    <row r="309" spans="1:20" x14ac:dyDescent="0.25">
      <c r="A309" s="5">
        <v>44284</v>
      </c>
      <c r="B309">
        <v>6.3630000000000006E-2</v>
      </c>
      <c r="C309">
        <v>6.5860000000000002E-2</v>
      </c>
      <c r="D309">
        <v>6.3219999999999998E-2</v>
      </c>
      <c r="E309">
        <v>6.4750000000000002E-2</v>
      </c>
      <c r="F309">
        <v>1271156262.5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0.15909090909091028</v>
      </c>
      <c r="Q309">
        <f t="shared" si="965"/>
        <v>202229405.3977288</v>
      </c>
      <c r="R309">
        <f t="shared" si="966"/>
        <v>51383162566.586555</v>
      </c>
      <c r="S309">
        <f t="shared" si="967"/>
        <v>513831.62566586555</v>
      </c>
      <c r="T309">
        <f t="shared" si="968"/>
        <v>513.83162566586554</v>
      </c>
    </row>
    <row r="310" spans="1:20" x14ac:dyDescent="0.25">
      <c r="A310" s="5">
        <v>44283</v>
      </c>
      <c r="B310">
        <v>6.3600000000000004E-2</v>
      </c>
      <c r="C310">
        <v>6.4670000000000005E-2</v>
      </c>
      <c r="D310">
        <v>6.1870000000000001E-2</v>
      </c>
      <c r="E310">
        <v>6.3619999999999996E-2</v>
      </c>
      <c r="F310">
        <v>1161041795.8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0.24999999999999442</v>
      </c>
      <c r="Q310">
        <f t="shared" si="965"/>
        <v>290260448.94999349</v>
      </c>
      <c r="R310">
        <f t="shared" si="966"/>
        <v>51180933161.188828</v>
      </c>
      <c r="S310">
        <f t="shared" si="967"/>
        <v>511809.33161188825</v>
      </c>
      <c r="T310">
        <f t="shared" si="968"/>
        <v>511.80933161188824</v>
      </c>
    </row>
    <row r="311" spans="1:20" x14ac:dyDescent="0.25">
      <c r="A311" s="5">
        <v>44282</v>
      </c>
      <c r="B311">
        <v>6.4640000000000003E-2</v>
      </c>
      <c r="C311">
        <v>6.762E-2</v>
      </c>
      <c r="D311">
        <v>6.2729999999999994E-2</v>
      </c>
      <c r="E311">
        <v>6.3600000000000004E-2</v>
      </c>
      <c r="F311">
        <v>2569935519.6999998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-0.6441717791411008</v>
      </c>
      <c r="Q311">
        <f t="shared" si="965"/>
        <v>-1655479936.0030584</v>
      </c>
      <c r="R311">
        <f t="shared" si="966"/>
        <v>50890672712.238831</v>
      </c>
      <c r="S311">
        <f t="shared" si="967"/>
        <v>508906.72712238831</v>
      </c>
      <c r="T311">
        <f t="shared" si="968"/>
        <v>508.9067271223883</v>
      </c>
    </row>
    <row r="312" spans="1:20" x14ac:dyDescent="0.25">
      <c r="A312" s="5">
        <v>44281</v>
      </c>
      <c r="B312">
        <v>5.5280000000000003E-2</v>
      </c>
      <c r="C312">
        <v>6.6379999999999995E-2</v>
      </c>
      <c r="D312">
        <v>5.5230000000000001E-2</v>
      </c>
      <c r="E312">
        <v>6.4640000000000003E-2</v>
      </c>
      <c r="F312">
        <v>3151659053.8000002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0.68789237668161562</v>
      </c>
      <c r="Q312">
        <f t="shared" si="965"/>
        <v>2168002237.0086141</v>
      </c>
      <c r="R312">
        <f t="shared" si="966"/>
        <v>52546152648.24189</v>
      </c>
      <c r="S312">
        <f t="shared" si="967"/>
        <v>525461.52648241888</v>
      </c>
      <c r="T312">
        <f t="shared" si="968"/>
        <v>525.46152648241889</v>
      </c>
    </row>
    <row r="313" spans="1:20" x14ac:dyDescent="0.25">
      <c r="A313" s="5">
        <v>44280</v>
      </c>
      <c r="B313">
        <v>5.5649999999999998E-2</v>
      </c>
      <c r="C313">
        <v>5.6300000000000003E-2</v>
      </c>
      <c r="D313">
        <v>5.2729999999999999E-2</v>
      </c>
      <c r="E313">
        <v>5.5280000000000003E-2</v>
      </c>
      <c r="F313">
        <v>1760149123.5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0.4285714285714291</v>
      </c>
      <c r="Q313">
        <f t="shared" si="965"/>
        <v>754349624.35714376</v>
      </c>
      <c r="R313">
        <f t="shared" si="966"/>
        <v>50378150411.233276</v>
      </c>
      <c r="S313">
        <f t="shared" si="967"/>
        <v>503781.50411233277</v>
      </c>
      <c r="T313">
        <f t="shared" si="968"/>
        <v>503.78150411233275</v>
      </c>
    </row>
    <row r="314" spans="1:20" x14ac:dyDescent="0.25">
      <c r="A314" s="5">
        <v>44279</v>
      </c>
      <c r="B314">
        <v>5.8529999999999999E-2</v>
      </c>
      <c r="C314">
        <v>6.2280000000000002E-2</v>
      </c>
      <c r="D314">
        <v>5.432E-2</v>
      </c>
      <c r="E314">
        <v>5.568E-2</v>
      </c>
      <c r="F314">
        <v>2020874385.3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-0.65829145728643224</v>
      </c>
      <c r="Q314">
        <f t="shared" si="965"/>
        <v>-1330324344.09196</v>
      </c>
      <c r="R314">
        <f t="shared" si="966"/>
        <v>49623800786.876129</v>
      </c>
      <c r="S314">
        <f t="shared" si="967"/>
        <v>496238.00786876131</v>
      </c>
      <c r="T314">
        <f t="shared" si="968"/>
        <v>496.23800786876131</v>
      </c>
    </row>
    <row r="315" spans="1:20" x14ac:dyDescent="0.25">
      <c r="A315" s="5">
        <v>44278</v>
      </c>
      <c r="B315">
        <v>5.9279999999999999E-2</v>
      </c>
      <c r="C315">
        <v>6.1710000000000001E-2</v>
      </c>
      <c r="D315">
        <v>5.7459999999999997E-2</v>
      </c>
      <c r="E315">
        <v>5.8520000000000003E-2</v>
      </c>
      <c r="F315">
        <v>1924170090.2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-0.50117647058823322</v>
      </c>
      <c r="Q315">
        <f t="shared" si="965"/>
        <v>-964348774.61787844</v>
      </c>
      <c r="R315">
        <f t="shared" si="966"/>
        <v>50954125130.968086</v>
      </c>
      <c r="S315">
        <f t="shared" si="967"/>
        <v>509541.25130968087</v>
      </c>
      <c r="T315">
        <f t="shared" si="968"/>
        <v>509.54125130968089</v>
      </c>
    </row>
    <row r="316" spans="1:20" x14ac:dyDescent="0.25">
      <c r="A316" s="5">
        <v>44277</v>
      </c>
      <c r="B316">
        <v>6.3369999999999996E-2</v>
      </c>
      <c r="C316">
        <v>6.6259999999999999E-2</v>
      </c>
      <c r="D316">
        <v>5.876E-2</v>
      </c>
      <c r="E316">
        <v>5.9270000000000003E-2</v>
      </c>
      <c r="F316">
        <v>2716901314.0999999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-0.8639999999999991</v>
      </c>
      <c r="Q316">
        <f t="shared" si="965"/>
        <v>-2347402735.3823977</v>
      </c>
      <c r="R316">
        <f t="shared" si="966"/>
        <v>51918473905.585968</v>
      </c>
      <c r="S316">
        <f t="shared" si="967"/>
        <v>519184.73905585968</v>
      </c>
      <c r="T316">
        <f t="shared" si="968"/>
        <v>519.18473905585972</v>
      </c>
    </row>
    <row r="317" spans="1:20" x14ac:dyDescent="0.25">
      <c r="A317" s="5">
        <v>44276</v>
      </c>
      <c r="B317">
        <v>6.089E-2</v>
      </c>
      <c r="C317">
        <v>6.4490000000000006E-2</v>
      </c>
      <c r="D317">
        <v>5.8639999999999998E-2</v>
      </c>
      <c r="E317">
        <v>6.3369999999999996E-2</v>
      </c>
      <c r="F317">
        <v>3005393639.8000002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0.61709401709401424</v>
      </c>
      <c r="Q317">
        <f t="shared" si="965"/>
        <v>1854610434.132983</v>
      </c>
      <c r="R317">
        <f t="shared" si="966"/>
        <v>54265876640.968369</v>
      </c>
      <c r="S317">
        <f t="shared" si="967"/>
        <v>542658.76640968374</v>
      </c>
      <c r="T317">
        <f t="shared" si="968"/>
        <v>542.65876640968372</v>
      </c>
    </row>
    <row r="318" spans="1:20" x14ac:dyDescent="0.25">
      <c r="A318" s="5">
        <v>44275</v>
      </c>
      <c r="B318">
        <v>5.8619999999999998E-2</v>
      </c>
      <c r="C318">
        <v>6.8500000000000005E-2</v>
      </c>
      <c r="D318">
        <v>5.858E-2</v>
      </c>
      <c r="E318">
        <v>6.0900000000000003E-2</v>
      </c>
      <c r="F318">
        <v>6465754072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-0.53225806451612878</v>
      </c>
      <c r="Q318">
        <f t="shared" si="965"/>
        <v>-3441449747.9999986</v>
      </c>
      <c r="R318">
        <f t="shared" si="966"/>
        <v>52411266206.835388</v>
      </c>
      <c r="S318">
        <f t="shared" si="967"/>
        <v>524112.66206835391</v>
      </c>
      <c r="T318">
        <f t="shared" si="968"/>
        <v>524.11266206835387</v>
      </c>
    </row>
    <row r="319" spans="1:20" x14ac:dyDescent="0.25">
      <c r="A319" s="5">
        <v>44274</v>
      </c>
      <c r="B319">
        <v>5.3280000000000001E-2</v>
      </c>
      <c r="C319">
        <v>5.9549999999999999E-2</v>
      </c>
      <c r="D319">
        <v>5.2130000000000003E-2</v>
      </c>
      <c r="E319">
        <v>5.8619999999999998E-2</v>
      </c>
      <c r="F319">
        <v>2412204385.6999998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0.74932614555256039</v>
      </c>
      <c r="Q319">
        <f t="shared" si="965"/>
        <v>1807527814.6215625</v>
      </c>
      <c r="R319">
        <f t="shared" si="966"/>
        <v>55852715954.835388</v>
      </c>
      <c r="S319">
        <f t="shared" si="967"/>
        <v>558527.15954835387</v>
      </c>
      <c r="T319">
        <f t="shared" si="968"/>
        <v>558.52715954835389</v>
      </c>
    </row>
    <row r="320" spans="1:20" x14ac:dyDescent="0.25">
      <c r="A320" s="5">
        <v>44273</v>
      </c>
      <c r="B320">
        <v>5.484E-2</v>
      </c>
      <c r="C320">
        <v>5.5239999999999997E-2</v>
      </c>
      <c r="D320">
        <v>5.2920000000000002E-2</v>
      </c>
      <c r="E320">
        <v>5.3289999999999997E-2</v>
      </c>
      <c r="F320">
        <v>1276163995.9000001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-0.6810344827586241</v>
      </c>
      <c r="Q320">
        <f t="shared" si="965"/>
        <v>-869111686.86293542</v>
      </c>
      <c r="R320">
        <f t="shared" si="966"/>
        <v>54045188140.213829</v>
      </c>
      <c r="S320">
        <f t="shared" si="967"/>
        <v>540451.88140213827</v>
      </c>
      <c r="T320">
        <f t="shared" si="968"/>
        <v>540.45188140213827</v>
      </c>
    </row>
    <row r="321" spans="1:20" x14ac:dyDescent="0.25">
      <c r="A321" s="5">
        <v>44272</v>
      </c>
      <c r="B321">
        <v>5.237E-2</v>
      </c>
      <c r="C321">
        <v>5.5890000000000002E-2</v>
      </c>
      <c r="D321">
        <v>5.1959999999999999E-2</v>
      </c>
      <c r="E321">
        <v>5.4829999999999997E-2</v>
      </c>
      <c r="F321">
        <v>2706797539.1999998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0.46055979643765671</v>
      </c>
      <c r="Q321">
        <f t="shared" si="965"/>
        <v>1246642123.651902</v>
      </c>
      <c r="R321">
        <f t="shared" si="966"/>
        <v>54914299827.076767</v>
      </c>
      <c r="S321">
        <f t="shared" si="967"/>
        <v>549142.99827076762</v>
      </c>
      <c r="T321">
        <f t="shared" si="968"/>
        <v>549.14299827076763</v>
      </c>
    </row>
    <row r="322" spans="1:20" x14ac:dyDescent="0.25">
      <c r="A322" s="5">
        <v>44271</v>
      </c>
      <c r="B322">
        <v>5.0689999999999999E-2</v>
      </c>
      <c r="C322">
        <v>5.3150000000000003E-2</v>
      </c>
      <c r="D322">
        <v>4.904E-2</v>
      </c>
      <c r="E322">
        <v>5.237E-2</v>
      </c>
      <c r="F322">
        <v>1838243342.7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0.62043795620437836</v>
      </c>
      <c r="Q322">
        <f t="shared" si="965"/>
        <v>1140515942.5510926</v>
      </c>
      <c r="R322">
        <f t="shared" si="966"/>
        <v>53667657703.424866</v>
      </c>
      <c r="S322">
        <f t="shared" si="967"/>
        <v>536676.57703424862</v>
      </c>
      <c r="T322">
        <f t="shared" si="968"/>
        <v>536.67657703424857</v>
      </c>
    </row>
    <row r="323" spans="1:20" x14ac:dyDescent="0.25">
      <c r="A323" s="5">
        <v>44270</v>
      </c>
      <c r="B323">
        <v>5.1060000000000001E-2</v>
      </c>
      <c r="C323">
        <v>5.2200000000000003E-2</v>
      </c>
      <c r="D323">
        <v>4.82E-2</v>
      </c>
      <c r="E323">
        <v>5.0689999999999999E-2</v>
      </c>
      <c r="F323">
        <v>1776122719.5999999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0.24499999999999847</v>
      </c>
      <c r="Q323">
        <f t="shared" si="965"/>
        <v>435150066.30199724</v>
      </c>
      <c r="R323">
        <f t="shared" si="966"/>
        <v>52527141760.873772</v>
      </c>
      <c r="S323">
        <f t="shared" si="967"/>
        <v>525271.41760873771</v>
      </c>
      <c r="T323">
        <f t="shared" si="968"/>
        <v>525.27141760873769</v>
      </c>
    </row>
    <row r="324" spans="1:20" x14ac:dyDescent="0.25">
      <c r="A324" s="5">
        <v>44269</v>
      </c>
      <c r="B324">
        <v>5.2929999999999998E-2</v>
      </c>
      <c r="C324">
        <v>5.3839999999999999E-2</v>
      </c>
      <c r="D324">
        <v>5.0990000000000001E-2</v>
      </c>
      <c r="E324">
        <v>5.1049999999999998E-2</v>
      </c>
      <c r="F324">
        <v>1355377117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-0.95789473684210691</v>
      </c>
      <c r="Q324">
        <f t="shared" si="965"/>
        <v>-1298308606.8105285</v>
      </c>
      <c r="R324">
        <f t="shared" si="966"/>
        <v>52091991694.571777</v>
      </c>
      <c r="S324">
        <f t="shared" si="967"/>
        <v>520919.91694571776</v>
      </c>
      <c r="T324">
        <f t="shared" si="968"/>
        <v>520.91991694571777</v>
      </c>
    </row>
    <row r="325" spans="1:20" x14ac:dyDescent="0.25">
      <c r="A325" s="5">
        <v>44268</v>
      </c>
      <c r="B325">
        <v>4.9950000000000001E-2</v>
      </c>
      <c r="C325">
        <v>5.4170000000000003E-2</v>
      </c>
      <c r="D325">
        <v>4.8829999999999998E-2</v>
      </c>
      <c r="E325">
        <v>5.2909999999999999E-2</v>
      </c>
      <c r="F325">
        <v>1799821567.5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0.52808988764044829</v>
      </c>
      <c r="Q325">
        <f t="shared" si="965"/>
        <v>950467569.35393047</v>
      </c>
      <c r="R325">
        <f t="shared" si="966"/>
        <v>53390300301.382309</v>
      </c>
      <c r="S325">
        <f t="shared" si="967"/>
        <v>533903.00301382306</v>
      </c>
      <c r="T325">
        <f t="shared" si="968"/>
        <v>533.90300301382308</v>
      </c>
    </row>
    <row r="326" spans="1:20" x14ac:dyDescent="0.25">
      <c r="A326" s="5">
        <v>44267</v>
      </c>
      <c r="B326">
        <v>5.151E-2</v>
      </c>
      <c r="C326">
        <v>5.1740000000000001E-2</v>
      </c>
      <c r="D326">
        <v>4.861E-2</v>
      </c>
      <c r="E326">
        <v>4.9970000000000001E-2</v>
      </c>
      <c r="F326">
        <v>1323392816.5999999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-0.13099041533546343</v>
      </c>
      <c r="Q326">
        <f t="shared" ref="Q326:Q389" si="970">F326*P326</f>
        <v>-173351774.69840276</v>
      </c>
      <c r="R326">
        <f t="shared" ref="R326:R389" si="971">R327+Q326</f>
        <v>52439832732.028381</v>
      </c>
      <c r="S326">
        <f t="shared" ref="S326:S389" si="972">R326/100000</f>
        <v>524398.32732028386</v>
      </c>
      <c r="T326">
        <f t="shared" ref="T326:T389" si="973">S326/1000</f>
        <v>524.3983273202839</v>
      </c>
    </row>
    <row r="327" spans="1:20" x14ac:dyDescent="0.25">
      <c r="A327" s="5">
        <v>44266</v>
      </c>
      <c r="B327">
        <v>5.142E-2</v>
      </c>
      <c r="C327">
        <v>5.1839999999999997E-2</v>
      </c>
      <c r="D327">
        <v>4.9669999999999999E-2</v>
      </c>
      <c r="E327">
        <v>5.151E-2</v>
      </c>
      <c r="F327">
        <v>1451223707.5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0.69585253456221452</v>
      </c>
      <c r="Q327">
        <f t="shared" si="970"/>
        <v>1009837695.0806489</v>
      </c>
      <c r="R327">
        <f t="shared" si="971"/>
        <v>52613184506.726784</v>
      </c>
      <c r="S327">
        <f t="shared" si="972"/>
        <v>526131.84506726789</v>
      </c>
      <c r="T327">
        <f t="shared" si="973"/>
        <v>526.13184506726793</v>
      </c>
    </row>
    <row r="328" spans="1:20" x14ac:dyDescent="0.25">
      <c r="A328" s="5">
        <v>44265</v>
      </c>
      <c r="B328">
        <v>5.3199999999999997E-2</v>
      </c>
      <c r="C328">
        <v>5.339E-2</v>
      </c>
      <c r="D328">
        <v>5.0380000000000001E-2</v>
      </c>
      <c r="E328">
        <v>5.142E-2</v>
      </c>
      <c r="F328">
        <v>1821590711.4000001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-0.30897009966777428</v>
      </c>
      <c r="Q328">
        <f t="shared" si="970"/>
        <v>-562817063.65514994</v>
      </c>
      <c r="R328">
        <f t="shared" si="971"/>
        <v>51603346811.646133</v>
      </c>
      <c r="S328">
        <f t="shared" si="972"/>
        <v>516033.46811646136</v>
      </c>
      <c r="T328">
        <f t="shared" si="973"/>
        <v>516.03346811646134</v>
      </c>
    </row>
    <row r="329" spans="1:20" x14ac:dyDescent="0.25">
      <c r="A329" s="5">
        <v>44264</v>
      </c>
      <c r="B329">
        <v>5.3060000000000003E-2</v>
      </c>
      <c r="C329">
        <v>5.3580000000000003E-2</v>
      </c>
      <c r="D329">
        <v>5.203E-2</v>
      </c>
      <c r="E329">
        <v>5.3199999999999997E-2</v>
      </c>
      <c r="F329">
        <v>1353471935.8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0.50967741935483268</v>
      </c>
      <c r="Q329">
        <f t="shared" si="970"/>
        <v>689834083.4077338</v>
      </c>
      <c r="R329">
        <f t="shared" si="971"/>
        <v>52166163875.301285</v>
      </c>
      <c r="S329">
        <f t="shared" si="972"/>
        <v>521661.63875301287</v>
      </c>
      <c r="T329">
        <f t="shared" si="973"/>
        <v>521.66163875301288</v>
      </c>
    </row>
    <row r="330" spans="1:20" x14ac:dyDescent="0.25">
      <c r="A330" s="5">
        <v>44263</v>
      </c>
      <c r="B330">
        <v>5.1740000000000001E-2</v>
      </c>
      <c r="C330">
        <v>5.3289999999999997E-2</v>
      </c>
      <c r="D330">
        <v>5.0189999999999999E-2</v>
      </c>
      <c r="E330">
        <v>5.3069999999999999E-2</v>
      </c>
      <c r="F330">
        <v>1515827169.0999999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0.85806451612903345</v>
      </c>
      <c r="Q330">
        <f t="shared" si="970"/>
        <v>1300677506.389034</v>
      </c>
      <c r="R330">
        <f t="shared" si="971"/>
        <v>51476329791.893555</v>
      </c>
      <c r="S330">
        <f t="shared" si="972"/>
        <v>514763.29791893554</v>
      </c>
      <c r="T330">
        <f t="shared" si="973"/>
        <v>514.76329791893556</v>
      </c>
    </row>
    <row r="331" spans="1:20" x14ac:dyDescent="0.25">
      <c r="A331" s="5">
        <v>44262</v>
      </c>
      <c r="B331">
        <v>5.015E-2</v>
      </c>
      <c r="C331">
        <v>5.185E-2</v>
      </c>
      <c r="D331">
        <v>4.9979999999999997E-2</v>
      </c>
      <c r="E331">
        <v>5.1729999999999998E-2</v>
      </c>
      <c r="F331">
        <v>1066844034.4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0.87165775401069323</v>
      </c>
      <c r="Q331">
        <f t="shared" si="970"/>
        <v>929922874.90481067</v>
      </c>
      <c r="R331">
        <f t="shared" si="971"/>
        <v>50175652285.504524</v>
      </c>
      <c r="S331">
        <f t="shared" si="972"/>
        <v>501756.52285504522</v>
      </c>
      <c r="T331">
        <f t="shared" si="973"/>
        <v>501.7565228550452</v>
      </c>
    </row>
    <row r="332" spans="1:20" x14ac:dyDescent="0.25">
      <c r="A332" s="5">
        <v>44261</v>
      </c>
      <c r="B332">
        <v>5.0189999999999999E-2</v>
      </c>
      <c r="C332">
        <v>5.076E-2</v>
      </c>
      <c r="D332">
        <v>4.8640000000000003E-2</v>
      </c>
      <c r="E332">
        <v>5.015E-2</v>
      </c>
      <c r="F332">
        <v>1047091814.2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0.42452830188679214</v>
      </c>
      <c r="Q332">
        <f t="shared" si="970"/>
        <v>444520109.8018865</v>
      </c>
      <c r="R332">
        <f t="shared" si="971"/>
        <v>49245729410.599716</v>
      </c>
      <c r="S332">
        <f t="shared" si="972"/>
        <v>492457.29410599713</v>
      </c>
      <c r="T332">
        <f t="shared" si="973"/>
        <v>492.45729410599711</v>
      </c>
    </row>
    <row r="333" spans="1:20" x14ac:dyDescent="0.25">
      <c r="A333" s="5">
        <v>44260</v>
      </c>
      <c r="B333">
        <v>5.1429999999999997E-2</v>
      </c>
      <c r="C333">
        <v>5.1479999999999998E-2</v>
      </c>
      <c r="D333">
        <v>4.845E-2</v>
      </c>
      <c r="E333">
        <v>5.0189999999999999E-2</v>
      </c>
      <c r="F333">
        <v>1470004199.5999999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0.14851485148514829</v>
      </c>
      <c r="Q333">
        <f t="shared" si="970"/>
        <v>218317455.38613826</v>
      </c>
      <c r="R333">
        <f t="shared" si="971"/>
        <v>48801209300.797829</v>
      </c>
      <c r="S333">
        <f t="shared" si="972"/>
        <v>488012.09300797828</v>
      </c>
      <c r="T333">
        <f t="shared" si="973"/>
        <v>488.01209300797831</v>
      </c>
    </row>
    <row r="334" spans="1:20" x14ac:dyDescent="0.25">
      <c r="A334" s="5">
        <v>44259</v>
      </c>
      <c r="B334">
        <v>4.8849999999999998E-2</v>
      </c>
      <c r="C334">
        <v>5.3400000000000003E-2</v>
      </c>
      <c r="D334">
        <v>4.8390000000000002E-2</v>
      </c>
      <c r="E334">
        <v>5.142E-2</v>
      </c>
      <c r="F334">
        <v>3217266141.5999999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0.20958083832335234</v>
      </c>
      <c r="Q334">
        <f t="shared" si="970"/>
        <v>674277335.06586516</v>
      </c>
      <c r="R334">
        <f t="shared" si="971"/>
        <v>48582891845.41169</v>
      </c>
      <c r="S334">
        <f t="shared" si="972"/>
        <v>485828.91845411691</v>
      </c>
      <c r="T334">
        <f t="shared" si="973"/>
        <v>485.82891845411689</v>
      </c>
    </row>
    <row r="335" spans="1:20" x14ac:dyDescent="0.25">
      <c r="A335" s="5">
        <v>44258</v>
      </c>
      <c r="B335">
        <v>4.6850000000000003E-2</v>
      </c>
      <c r="C335">
        <v>4.965E-2</v>
      </c>
      <c r="D335">
        <v>4.6510000000000003E-2</v>
      </c>
      <c r="E335">
        <v>4.8829999999999998E-2</v>
      </c>
      <c r="F335">
        <v>1370831333.0999999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0.47770700636942542</v>
      </c>
      <c r="Q335">
        <f t="shared" si="970"/>
        <v>654855732.37260962</v>
      </c>
      <c r="R335">
        <f t="shared" si="971"/>
        <v>47908614510.345825</v>
      </c>
      <c r="S335">
        <f t="shared" si="972"/>
        <v>479086.14510345826</v>
      </c>
      <c r="T335">
        <f t="shared" si="973"/>
        <v>479.08614510345825</v>
      </c>
    </row>
    <row r="336" spans="1:20" x14ac:dyDescent="0.25">
      <c r="A336" s="5">
        <v>44257</v>
      </c>
      <c r="B336">
        <v>4.7840000000000001E-2</v>
      </c>
      <c r="C336">
        <v>4.8910000000000002E-2</v>
      </c>
      <c r="D336">
        <v>4.5449999999999997E-2</v>
      </c>
      <c r="E336">
        <v>4.6870000000000002E-2</v>
      </c>
      <c r="F336">
        <v>1378993621.9000001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-0.17919075144508517</v>
      </c>
      <c r="Q336">
        <f t="shared" si="970"/>
        <v>-247102903.34624067</v>
      </c>
      <c r="R336">
        <f t="shared" si="971"/>
        <v>47253758777.973213</v>
      </c>
      <c r="S336">
        <f t="shared" si="972"/>
        <v>472537.58777973213</v>
      </c>
      <c r="T336">
        <f t="shared" si="973"/>
        <v>472.53758777973212</v>
      </c>
    </row>
    <row r="337" spans="1:20" x14ac:dyDescent="0.25">
      <c r="A337" s="5">
        <v>44256</v>
      </c>
      <c r="B337">
        <v>4.5600000000000002E-2</v>
      </c>
      <c r="C337">
        <v>4.82E-2</v>
      </c>
      <c r="D337">
        <v>4.4940000000000001E-2</v>
      </c>
      <c r="E337">
        <v>4.7840000000000001E-2</v>
      </c>
      <c r="F337">
        <v>1591481988.5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0.77914110429447891</v>
      </c>
      <c r="Q337">
        <f t="shared" si="970"/>
        <v>1239989033.9846632</v>
      </c>
      <c r="R337">
        <f t="shared" si="971"/>
        <v>47500861681.31945</v>
      </c>
      <c r="S337">
        <f t="shared" si="972"/>
        <v>475008.61681319453</v>
      </c>
      <c r="T337">
        <f t="shared" si="973"/>
        <v>475.00861681319452</v>
      </c>
    </row>
    <row r="338" spans="1:20" x14ac:dyDescent="0.25">
      <c r="A338" s="5">
        <v>44255</v>
      </c>
      <c r="B338">
        <v>4.6510000000000003E-2</v>
      </c>
      <c r="C338">
        <v>4.6809999999999997E-2</v>
      </c>
      <c r="D338">
        <v>4.2999999999999997E-2</v>
      </c>
      <c r="E338">
        <v>4.5620000000000001E-2</v>
      </c>
      <c r="F338">
        <v>1562798229</v>
      </c>
      <c r="G338">
        <v>0</v>
      </c>
      <c r="L338" t="s">
        <v>7</v>
      </c>
      <c r="M338" t="s">
        <v>8</v>
      </c>
      <c r="N338" t="s">
        <v>7</v>
      </c>
      <c r="P338">
        <f t="shared" si="969"/>
        <v>0.37532808398950324</v>
      </c>
      <c r="Q338">
        <f t="shared" si="970"/>
        <v>586562064.95275891</v>
      </c>
      <c r="R338">
        <f t="shared" si="971"/>
        <v>46260872647.334785</v>
      </c>
      <c r="S338">
        <f t="shared" si="972"/>
        <v>462608.72647334787</v>
      </c>
      <c r="T338">
        <f t="shared" si="973"/>
        <v>462.60872647334787</v>
      </c>
    </row>
    <row r="339" spans="1:20" x14ac:dyDescent="0.25">
      <c r="A339" s="5">
        <v>44254</v>
      </c>
      <c r="B339">
        <v>4.5190000000000001E-2</v>
      </c>
      <c r="C339">
        <v>4.845E-2</v>
      </c>
      <c r="D339">
        <v>4.512E-2</v>
      </c>
      <c r="E339">
        <v>4.6519999999999999E-2</v>
      </c>
      <c r="F339">
        <v>1649942643.4000001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-0.15915915915915999</v>
      </c>
      <c r="Q339">
        <f t="shared" si="970"/>
        <v>-262603483.78438577</v>
      </c>
      <c r="R339">
        <f t="shared" si="971"/>
        <v>45674310582.382027</v>
      </c>
      <c r="S339">
        <f t="shared" si="972"/>
        <v>456743.10582382028</v>
      </c>
      <c r="T339">
        <f t="shared" si="973"/>
        <v>456.74310582382026</v>
      </c>
    </row>
    <row r="340" spans="1:20" x14ac:dyDescent="0.25">
      <c r="A340" s="5">
        <v>44253</v>
      </c>
      <c r="B340">
        <v>4.521E-2</v>
      </c>
      <c r="C340">
        <v>4.684E-2</v>
      </c>
      <c r="D340">
        <v>4.233E-2</v>
      </c>
      <c r="E340">
        <v>4.5170000000000002E-2</v>
      </c>
      <c r="F340">
        <v>1576432724.3</v>
      </c>
      <c r="G340">
        <v>0</v>
      </c>
      <c r="L340" t="s">
        <v>7</v>
      </c>
      <c r="M340" t="s">
        <v>8</v>
      </c>
      <c r="N340" t="s">
        <v>7</v>
      </c>
      <c r="P340">
        <f t="shared" si="969"/>
        <v>0.25942350332594333</v>
      </c>
      <c r="Q340">
        <f t="shared" si="970"/>
        <v>408963700.09556693</v>
      </c>
      <c r="R340">
        <f t="shared" si="971"/>
        <v>45936914066.166412</v>
      </c>
      <c r="S340">
        <f t="shared" si="972"/>
        <v>459369.14066166413</v>
      </c>
      <c r="T340">
        <f t="shared" si="973"/>
        <v>459.36914066166412</v>
      </c>
    </row>
    <row r="341" spans="1:20" x14ac:dyDescent="0.25">
      <c r="A341" s="5">
        <v>44252</v>
      </c>
      <c r="B341">
        <v>4.8000000000000001E-2</v>
      </c>
      <c r="C341">
        <v>5.0049999999999997E-2</v>
      </c>
      <c r="D341">
        <v>4.4920000000000002E-2</v>
      </c>
      <c r="E341">
        <v>4.5199999999999997E-2</v>
      </c>
      <c r="F341">
        <v>1774250210.3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-0.89083820662768198</v>
      </c>
      <c r="Q341">
        <f t="shared" si="970"/>
        <v>-1580569875.4524395</v>
      </c>
      <c r="R341">
        <f t="shared" si="971"/>
        <v>45527950366.070847</v>
      </c>
      <c r="S341">
        <f t="shared" si="972"/>
        <v>455279.50366070849</v>
      </c>
      <c r="T341">
        <f t="shared" si="973"/>
        <v>455.27950366070849</v>
      </c>
    </row>
    <row r="342" spans="1:20" x14ac:dyDescent="0.25">
      <c r="A342" s="5">
        <v>44251</v>
      </c>
      <c r="B342">
        <v>4.496E-2</v>
      </c>
      <c r="C342">
        <v>5.0049999999999997E-2</v>
      </c>
      <c r="D342">
        <v>4.3240000000000001E-2</v>
      </c>
      <c r="E342">
        <v>4.8000000000000001E-2</v>
      </c>
      <c r="F342">
        <v>2396568102.6999998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0.39794419970631506</v>
      </c>
      <c r="Q342">
        <f t="shared" si="970"/>
        <v>953700375.67063332</v>
      </c>
      <c r="R342">
        <f t="shared" si="971"/>
        <v>47108520241.523285</v>
      </c>
      <c r="S342">
        <f t="shared" si="972"/>
        <v>471085.20241523284</v>
      </c>
      <c r="T342">
        <f t="shared" si="973"/>
        <v>471.08520241523286</v>
      </c>
    </row>
    <row r="343" spans="1:20" x14ac:dyDescent="0.25">
      <c r="A343" s="5">
        <v>44250</v>
      </c>
      <c r="B343">
        <v>5.423E-2</v>
      </c>
      <c r="C343">
        <v>5.4629999999999998E-2</v>
      </c>
      <c r="D343">
        <v>3.7999999999999999E-2</v>
      </c>
      <c r="E343">
        <v>4.5010000000000001E-2</v>
      </c>
      <c r="F343">
        <v>4596214425.3999996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-0.156945279615153</v>
      </c>
      <c r="Q343">
        <f t="shared" si="970"/>
        <v>-721354158.16560268</v>
      </c>
      <c r="R343">
        <f t="shared" si="971"/>
        <v>46154819865.852654</v>
      </c>
      <c r="S343">
        <f t="shared" si="972"/>
        <v>461548.19865852653</v>
      </c>
      <c r="T343">
        <f t="shared" si="973"/>
        <v>461.54819865852653</v>
      </c>
    </row>
    <row r="344" spans="1:20" x14ac:dyDescent="0.25">
      <c r="A344" s="5">
        <v>44249</v>
      </c>
      <c r="B344">
        <v>5.935E-2</v>
      </c>
      <c r="C344">
        <v>5.96E-2</v>
      </c>
      <c r="D344">
        <v>4.7570000000000001E-2</v>
      </c>
      <c r="E344">
        <v>5.425E-2</v>
      </c>
      <c r="F344">
        <v>3394984565.5999999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0.11055694098088097</v>
      </c>
      <c r="Q344">
        <f t="shared" si="970"/>
        <v>375339108.25004101</v>
      </c>
      <c r="R344">
        <f t="shared" si="971"/>
        <v>46876174024.018257</v>
      </c>
      <c r="S344">
        <f t="shared" si="972"/>
        <v>468761.74024018255</v>
      </c>
      <c r="T344">
        <f t="shared" si="973"/>
        <v>468.76174024018258</v>
      </c>
    </row>
    <row r="345" spans="1:20" x14ac:dyDescent="0.25">
      <c r="A345" s="5">
        <v>44248</v>
      </c>
      <c r="B345">
        <v>5.7729999999999997E-2</v>
      </c>
      <c r="C345">
        <v>6.1359999999999998E-2</v>
      </c>
      <c r="D345">
        <v>5.6340000000000001E-2</v>
      </c>
      <c r="E345">
        <v>5.935E-2</v>
      </c>
      <c r="F345">
        <v>2049672560.8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0.19920318725099631</v>
      </c>
      <c r="Q345">
        <f t="shared" si="970"/>
        <v>408301306.93227154</v>
      </c>
      <c r="R345">
        <f t="shared" si="971"/>
        <v>46500834915.768219</v>
      </c>
      <c r="S345">
        <f t="shared" si="972"/>
        <v>465008.34915768221</v>
      </c>
      <c r="T345">
        <f t="shared" si="973"/>
        <v>465.00834915768223</v>
      </c>
    </row>
    <row r="346" spans="1:20" x14ac:dyDescent="0.25">
      <c r="A346" s="5">
        <v>44247</v>
      </c>
      <c r="B346">
        <v>6.0699999999999997E-2</v>
      </c>
      <c r="C346">
        <v>6.368E-2</v>
      </c>
      <c r="D346">
        <v>5.5059999999999998E-2</v>
      </c>
      <c r="E346">
        <v>5.7729999999999997E-2</v>
      </c>
      <c r="F346">
        <v>3441845049.1999998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-0.38051044083526731</v>
      </c>
      <c r="Q346">
        <f t="shared" si="970"/>
        <v>-1309657976.9577742</v>
      </c>
      <c r="R346">
        <f t="shared" si="971"/>
        <v>46092533608.835945</v>
      </c>
      <c r="S346">
        <f t="shared" si="972"/>
        <v>460925.33608835947</v>
      </c>
      <c r="T346">
        <f t="shared" si="973"/>
        <v>460.92533608835947</v>
      </c>
    </row>
    <row r="347" spans="1:20" x14ac:dyDescent="0.25">
      <c r="A347" s="5">
        <v>44246</v>
      </c>
      <c r="B347">
        <v>5.491E-2</v>
      </c>
      <c r="C347">
        <v>6.4490000000000006E-2</v>
      </c>
      <c r="D347">
        <v>5.3999999999999999E-2</v>
      </c>
      <c r="E347">
        <v>6.0729999999999999E-2</v>
      </c>
      <c r="F347">
        <v>4529927537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0.28312678741658642</v>
      </c>
      <c r="Q347">
        <f t="shared" si="970"/>
        <v>1282543830.78074</v>
      </c>
      <c r="R347">
        <f t="shared" si="971"/>
        <v>47402191585.793716</v>
      </c>
      <c r="S347">
        <f t="shared" si="972"/>
        <v>474021.91585793719</v>
      </c>
      <c r="T347">
        <f t="shared" si="973"/>
        <v>474.02191585793719</v>
      </c>
    </row>
    <row r="348" spans="1:20" x14ac:dyDescent="0.25">
      <c r="A348" s="5">
        <v>44245</v>
      </c>
      <c r="B348">
        <v>5.2580000000000002E-2</v>
      </c>
      <c r="C348">
        <v>5.5649999999999998E-2</v>
      </c>
      <c r="D348">
        <v>5.21E-2</v>
      </c>
      <c r="E348">
        <v>5.4919999999999997E-2</v>
      </c>
      <c r="F348">
        <v>2080844398.7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0.58873239436619607</v>
      </c>
      <c r="Q348">
        <f t="shared" si="970"/>
        <v>1225060505.1501386</v>
      </c>
      <c r="R348">
        <f t="shared" si="971"/>
        <v>46119647755.012978</v>
      </c>
      <c r="S348">
        <f t="shared" si="972"/>
        <v>461196.47755012976</v>
      </c>
      <c r="T348">
        <f t="shared" si="973"/>
        <v>461.19647755012977</v>
      </c>
    </row>
    <row r="349" spans="1:20" x14ac:dyDescent="0.25">
      <c r="A349" s="5">
        <v>44244</v>
      </c>
      <c r="B349">
        <v>5.2019999999999997E-2</v>
      </c>
      <c r="C349">
        <v>5.3940000000000002E-2</v>
      </c>
      <c r="D349">
        <v>4.8739999999999999E-2</v>
      </c>
      <c r="E349">
        <v>5.2560000000000003E-2</v>
      </c>
      <c r="F349">
        <v>2324982014.1999998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0.46923076923076984</v>
      </c>
      <c r="Q349">
        <f t="shared" si="970"/>
        <v>1090953098.9707706</v>
      </c>
      <c r="R349">
        <f t="shared" si="971"/>
        <v>44894587249.862839</v>
      </c>
      <c r="S349">
        <f t="shared" si="972"/>
        <v>448945.87249862839</v>
      </c>
      <c r="T349">
        <f t="shared" si="973"/>
        <v>448.94587249862838</v>
      </c>
    </row>
    <row r="350" spans="1:20" x14ac:dyDescent="0.25">
      <c r="A350" s="5">
        <v>44243</v>
      </c>
      <c r="B350">
        <v>5.0790000000000002E-2</v>
      </c>
      <c r="C350">
        <v>5.5199999999999999E-2</v>
      </c>
      <c r="D350">
        <v>4.9169999999999998E-2</v>
      </c>
      <c r="E350">
        <v>5.2019999999999997E-2</v>
      </c>
      <c r="F350">
        <v>2518117109.3000002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-5.4726368159204619E-2</v>
      </c>
      <c r="Q350">
        <f t="shared" si="970"/>
        <v>-137807403.99154392</v>
      </c>
      <c r="R350">
        <f t="shared" si="971"/>
        <v>43803634150.892067</v>
      </c>
      <c r="S350">
        <f t="shared" si="972"/>
        <v>438036.34150892065</v>
      </c>
      <c r="T350">
        <f t="shared" si="973"/>
        <v>438.03634150892066</v>
      </c>
    </row>
    <row r="351" spans="1:20" x14ac:dyDescent="0.25">
      <c r="A351" s="5">
        <v>44242</v>
      </c>
      <c r="B351">
        <v>5.5190000000000003E-2</v>
      </c>
      <c r="C351">
        <v>5.6270000000000001E-2</v>
      </c>
      <c r="D351">
        <v>4.5089999999999998E-2</v>
      </c>
      <c r="E351">
        <v>5.0790000000000002E-2</v>
      </c>
      <c r="F351">
        <v>4334549054.8999996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1.9677996422182903E-2</v>
      </c>
      <c r="Q351">
        <f t="shared" si="970"/>
        <v>85295240.794098482</v>
      </c>
      <c r="R351">
        <f t="shared" si="971"/>
        <v>43941441554.883614</v>
      </c>
      <c r="S351">
        <f t="shared" si="972"/>
        <v>439414.41554883611</v>
      </c>
      <c r="T351">
        <f t="shared" si="973"/>
        <v>439.41441554883613</v>
      </c>
    </row>
    <row r="352" spans="1:20" x14ac:dyDescent="0.25">
      <c r="A352" s="5">
        <v>44241</v>
      </c>
      <c r="B352">
        <v>5.9929999999999997E-2</v>
      </c>
      <c r="C352">
        <v>6.0199999999999997E-2</v>
      </c>
      <c r="D352">
        <v>5.2229999999999999E-2</v>
      </c>
      <c r="E352">
        <v>5.5190000000000003E-2</v>
      </c>
      <c r="F352">
        <v>3273279004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-0.25721455457967252</v>
      </c>
      <c r="Q352">
        <f t="shared" si="970"/>
        <v>-841935001.02885413</v>
      </c>
      <c r="R352">
        <f t="shared" si="971"/>
        <v>43856146314.089516</v>
      </c>
      <c r="S352">
        <f t="shared" si="972"/>
        <v>438561.46314089518</v>
      </c>
      <c r="T352">
        <f t="shared" si="973"/>
        <v>438.56146314089517</v>
      </c>
    </row>
    <row r="353" spans="1:20" x14ac:dyDescent="0.25">
      <c r="A353" s="5">
        <v>44240</v>
      </c>
      <c r="B353">
        <v>5.5160000000000001E-2</v>
      </c>
      <c r="C353">
        <v>6.1219999999999997E-2</v>
      </c>
      <c r="D353">
        <v>5.1499999999999997E-2</v>
      </c>
      <c r="E353">
        <v>5.9950000000000003E-2</v>
      </c>
      <c r="F353">
        <v>4513205809.5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0.73868312757201782</v>
      </c>
      <c r="Q353">
        <f t="shared" si="970"/>
        <v>3333828982.7376604</v>
      </c>
      <c r="R353">
        <f t="shared" si="971"/>
        <v>44698081315.11837</v>
      </c>
      <c r="S353">
        <f t="shared" si="972"/>
        <v>446980.81315118371</v>
      </c>
      <c r="T353">
        <f t="shared" si="973"/>
        <v>446.98081315118372</v>
      </c>
    </row>
    <row r="354" spans="1:20" x14ac:dyDescent="0.25">
      <c r="A354" s="5">
        <v>44239</v>
      </c>
      <c r="B354">
        <v>5.6829999999999999E-2</v>
      </c>
      <c r="C354">
        <v>5.7860000000000002E-2</v>
      </c>
      <c r="D354">
        <v>5.1580000000000001E-2</v>
      </c>
      <c r="E354">
        <v>5.5149999999999998E-2</v>
      </c>
      <c r="F354">
        <v>4610107562.8999996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0.1369426751592345</v>
      </c>
      <c r="Q354">
        <f t="shared" si="970"/>
        <v>631320462.43534493</v>
      </c>
      <c r="R354">
        <f t="shared" si="971"/>
        <v>41364252332.380707</v>
      </c>
      <c r="S354">
        <f t="shared" si="972"/>
        <v>413642.52332380705</v>
      </c>
      <c r="T354">
        <f t="shared" si="973"/>
        <v>413.64252332380704</v>
      </c>
    </row>
    <row r="355" spans="1:20" x14ac:dyDescent="0.25">
      <c r="A355" s="5">
        <v>44238</v>
      </c>
      <c r="B355">
        <v>4.6289999999999998E-2</v>
      </c>
      <c r="C355">
        <v>5.91E-2</v>
      </c>
      <c r="D355">
        <v>4.4429999999999997E-2</v>
      </c>
      <c r="E355">
        <v>5.6809999999999999E-2</v>
      </c>
      <c r="F355">
        <v>4404275814.1000004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0.68779822767552834</v>
      </c>
      <c r="Q355">
        <f t="shared" si="970"/>
        <v>3029253099.132175</v>
      </c>
      <c r="R355">
        <f t="shared" si="971"/>
        <v>40732931869.945358</v>
      </c>
      <c r="S355">
        <f t="shared" si="972"/>
        <v>407329.31869945361</v>
      </c>
      <c r="T355">
        <f t="shared" si="973"/>
        <v>407.32931869945361</v>
      </c>
    </row>
    <row r="356" spans="1:20" x14ac:dyDescent="0.25">
      <c r="A356" s="5">
        <v>44237</v>
      </c>
      <c r="B356">
        <v>4.6080000000000003E-2</v>
      </c>
      <c r="C356">
        <v>4.9770000000000002E-2</v>
      </c>
      <c r="D356">
        <v>4.1500000000000002E-2</v>
      </c>
      <c r="E356">
        <v>4.6289999999999998E-2</v>
      </c>
      <c r="F356">
        <v>4894593793.3999996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0.15840386940749598</v>
      </c>
      <c r="Q356">
        <f t="shared" si="970"/>
        <v>775322596.0524739</v>
      </c>
      <c r="R356">
        <f t="shared" si="971"/>
        <v>37703678770.813187</v>
      </c>
      <c r="S356">
        <f t="shared" si="972"/>
        <v>377036.78770813189</v>
      </c>
      <c r="T356">
        <f t="shared" si="973"/>
        <v>377.0367877081319</v>
      </c>
    </row>
    <row r="357" spans="1:20" x14ac:dyDescent="0.25">
      <c r="A357" s="5">
        <v>44236</v>
      </c>
      <c r="B357">
        <v>4.0419999999999998E-2</v>
      </c>
      <c r="C357">
        <v>5.0970000000000001E-2</v>
      </c>
      <c r="D357">
        <v>4.0309999999999999E-2</v>
      </c>
      <c r="E357">
        <v>4.6080000000000003E-2</v>
      </c>
      <c r="F357">
        <v>7588746716.3000002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8.2551594746717222E-2</v>
      </c>
      <c r="Q357">
        <f t="shared" si="970"/>
        <v>626463143.55947864</v>
      </c>
      <c r="R357">
        <f t="shared" si="971"/>
        <v>36928356174.760712</v>
      </c>
      <c r="S357">
        <f t="shared" si="972"/>
        <v>369283.56174760713</v>
      </c>
      <c r="T357">
        <f t="shared" si="973"/>
        <v>369.28356174760711</v>
      </c>
    </row>
    <row r="358" spans="1:20" x14ac:dyDescent="0.25">
      <c r="A358" s="5">
        <v>44235</v>
      </c>
      <c r="B358">
        <v>3.5970000000000002E-2</v>
      </c>
      <c r="C358">
        <v>4.1829999999999999E-2</v>
      </c>
      <c r="D358">
        <v>3.526E-2</v>
      </c>
      <c r="E358">
        <v>4.0419999999999998E-2</v>
      </c>
      <c r="F358">
        <v>4084547193.0999999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0.57077625570776203</v>
      </c>
      <c r="Q358">
        <f t="shared" si="970"/>
        <v>2331362553.139267</v>
      </c>
      <c r="R358">
        <f t="shared" si="971"/>
        <v>36301893031.201233</v>
      </c>
      <c r="S358">
        <f t="shared" si="972"/>
        <v>363018.93031201232</v>
      </c>
      <c r="T358">
        <f t="shared" si="973"/>
        <v>363.01893031201234</v>
      </c>
    </row>
    <row r="359" spans="1:20" x14ac:dyDescent="0.25">
      <c r="A359" s="5">
        <v>44234</v>
      </c>
      <c r="B359">
        <v>3.5060000000000001E-2</v>
      </c>
      <c r="C359">
        <v>3.7339999999999998E-2</v>
      </c>
      <c r="D359">
        <v>3.4020000000000002E-2</v>
      </c>
      <c r="E359">
        <v>3.5970000000000002E-2</v>
      </c>
      <c r="F359">
        <v>3243193308.0999999</v>
      </c>
      <c r="G359">
        <v>0</v>
      </c>
      <c r="L359" t="s">
        <v>8</v>
      </c>
      <c r="M359" t="s">
        <v>8</v>
      </c>
      <c r="N359" t="s">
        <v>7</v>
      </c>
      <c r="P359">
        <f t="shared" si="969"/>
        <v>0.17469879518072431</v>
      </c>
      <c r="Q359">
        <f t="shared" si="970"/>
        <v>566581963.46325755</v>
      </c>
      <c r="R359">
        <f t="shared" si="971"/>
        <v>33970530478.06197</v>
      </c>
      <c r="S359">
        <f t="shared" si="972"/>
        <v>339705.30478061968</v>
      </c>
      <c r="T359">
        <f t="shared" si="973"/>
        <v>339.70530478061971</v>
      </c>
    </row>
    <row r="360" spans="1:20" x14ac:dyDescent="0.25">
      <c r="A360" s="5">
        <v>44233</v>
      </c>
      <c r="B360">
        <v>3.6240000000000001E-2</v>
      </c>
      <c r="C360">
        <v>3.6479999999999999E-2</v>
      </c>
      <c r="D360">
        <v>3.347E-2</v>
      </c>
      <c r="E360">
        <v>3.5069999999999997E-2</v>
      </c>
      <c r="F360">
        <v>2224935328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6.3122923588038476E-2</v>
      </c>
      <c r="Q360">
        <f t="shared" si="970"/>
        <v>140444422.69767132</v>
      </c>
      <c r="R360">
        <f t="shared" si="971"/>
        <v>33403948514.598713</v>
      </c>
      <c r="S360">
        <f t="shared" si="972"/>
        <v>334039.48514598713</v>
      </c>
      <c r="T360">
        <f t="shared" si="973"/>
        <v>334.0394851459871</v>
      </c>
    </row>
    <row r="361" spans="1:20" x14ac:dyDescent="0.25">
      <c r="A361" s="5">
        <v>44232</v>
      </c>
      <c r="B361">
        <v>3.3110000000000001E-2</v>
      </c>
      <c r="C361">
        <v>3.662E-2</v>
      </c>
      <c r="D361">
        <v>3.3000000000000002E-2</v>
      </c>
      <c r="E361">
        <v>3.6240000000000001E-2</v>
      </c>
      <c r="F361">
        <v>3253853066.1999998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0.79005524861878529</v>
      </c>
      <c r="Q361">
        <f t="shared" si="970"/>
        <v>2570723693.1856375</v>
      </c>
      <c r="R361">
        <f t="shared" si="971"/>
        <v>33263504091.901043</v>
      </c>
      <c r="S361">
        <f t="shared" si="972"/>
        <v>332635.04091901041</v>
      </c>
      <c r="T361">
        <f t="shared" si="973"/>
        <v>332.63504091901041</v>
      </c>
    </row>
    <row r="362" spans="1:20" x14ac:dyDescent="0.25">
      <c r="A362" s="5">
        <v>44231</v>
      </c>
      <c r="B362">
        <v>3.4509999999999999E-2</v>
      </c>
      <c r="C362">
        <v>3.4720000000000001E-2</v>
      </c>
      <c r="D362">
        <v>3.211E-2</v>
      </c>
      <c r="E362">
        <v>3.3099999999999997E-2</v>
      </c>
      <c r="F362">
        <v>2284283699.1999998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-0.2413793103448296</v>
      </c>
      <c r="Q362">
        <f t="shared" si="970"/>
        <v>-551378823.94483209</v>
      </c>
      <c r="R362">
        <f t="shared" si="971"/>
        <v>30692780398.715405</v>
      </c>
      <c r="S362">
        <f t="shared" si="972"/>
        <v>306927.80398715404</v>
      </c>
      <c r="T362">
        <f t="shared" si="973"/>
        <v>306.92780398715405</v>
      </c>
    </row>
    <row r="363" spans="1:20" x14ac:dyDescent="0.25">
      <c r="A363" s="5">
        <v>44230</v>
      </c>
      <c r="B363">
        <v>3.3169999999999998E-2</v>
      </c>
      <c r="C363">
        <v>3.5249999999999997E-2</v>
      </c>
      <c r="D363">
        <v>3.3160000000000002E-2</v>
      </c>
      <c r="E363">
        <v>3.4520000000000002E-2</v>
      </c>
      <c r="F363">
        <v>2185136843</v>
      </c>
      <c r="G363">
        <v>0</v>
      </c>
      <c r="L363" t="s">
        <v>8</v>
      </c>
      <c r="M363" t="s">
        <v>7</v>
      </c>
      <c r="N363" t="s">
        <v>7</v>
      </c>
      <c r="P363">
        <f t="shared" si="969"/>
        <v>0.301435406698568</v>
      </c>
      <c r="Q363">
        <f t="shared" si="970"/>
        <v>658677612.96172988</v>
      </c>
      <c r="R363">
        <f t="shared" si="971"/>
        <v>31244159222.660236</v>
      </c>
      <c r="S363">
        <f t="shared" si="972"/>
        <v>312441.59222660237</v>
      </c>
      <c r="T363">
        <f t="shared" si="973"/>
        <v>312.44159222660238</v>
      </c>
    </row>
    <row r="364" spans="1:20" x14ac:dyDescent="0.25">
      <c r="A364" s="5">
        <v>44229</v>
      </c>
      <c r="B364">
        <v>3.295E-2</v>
      </c>
      <c r="C364">
        <v>3.3520000000000001E-2</v>
      </c>
      <c r="D364">
        <v>3.2000000000000001E-2</v>
      </c>
      <c r="E364">
        <v>3.3169999999999998E-2</v>
      </c>
      <c r="F364">
        <v>1771167774.7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0.53947368421052244</v>
      </c>
      <c r="Q364">
        <f t="shared" si="970"/>
        <v>955498404.77236164</v>
      </c>
      <c r="R364">
        <f t="shared" si="971"/>
        <v>30585481609.698505</v>
      </c>
      <c r="S364">
        <f t="shared" si="972"/>
        <v>305854.81609698507</v>
      </c>
      <c r="T364">
        <f t="shared" si="973"/>
        <v>305.85481609698508</v>
      </c>
    </row>
    <row r="365" spans="1:20" x14ac:dyDescent="0.25">
      <c r="A365" s="5">
        <v>44228</v>
      </c>
      <c r="B365">
        <v>3.1539999999999999E-2</v>
      </c>
      <c r="C365">
        <v>3.4930000000000003E-2</v>
      </c>
      <c r="D365">
        <v>3.117E-2</v>
      </c>
      <c r="E365">
        <v>3.295E-2</v>
      </c>
      <c r="F365">
        <v>3869231172.5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-5.319148936170269E-2</v>
      </c>
      <c r="Q365">
        <f t="shared" si="970"/>
        <v>-205810168.75000218</v>
      </c>
      <c r="R365">
        <f t="shared" si="971"/>
        <v>29629983204.926144</v>
      </c>
      <c r="S365">
        <f t="shared" si="972"/>
        <v>296299.83204926143</v>
      </c>
      <c r="T365">
        <f t="shared" si="973"/>
        <v>296.29983204926145</v>
      </c>
    </row>
    <row r="366" spans="1:20" x14ac:dyDescent="0.25">
      <c r="A366" s="5">
        <v>44227</v>
      </c>
      <c r="B366">
        <v>3.2160000000000001E-2</v>
      </c>
      <c r="C366">
        <v>3.4889999999999997E-2</v>
      </c>
      <c r="D366">
        <v>3.0880000000000001E-2</v>
      </c>
      <c r="E366">
        <v>3.1539999999999999E-2</v>
      </c>
      <c r="F366">
        <v>4176884195.5999999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-0.67082294264339248</v>
      </c>
      <c r="Q366">
        <f t="shared" si="970"/>
        <v>-2801949747.1730714</v>
      </c>
      <c r="R366">
        <f t="shared" si="971"/>
        <v>29835793373.676147</v>
      </c>
      <c r="S366">
        <f t="shared" si="972"/>
        <v>298357.93373676145</v>
      </c>
      <c r="T366">
        <f t="shared" si="973"/>
        <v>298.35793373676142</v>
      </c>
    </row>
    <row r="367" spans="1:20" x14ac:dyDescent="0.25">
      <c r="A367" s="5">
        <v>44226</v>
      </c>
      <c r="B367">
        <v>3.3329999999999999E-2</v>
      </c>
      <c r="C367">
        <v>3.3619999999999997E-2</v>
      </c>
      <c r="D367">
        <v>3.058E-2</v>
      </c>
      <c r="E367">
        <v>3.2160000000000001E-2</v>
      </c>
      <c r="F367">
        <v>4329078092.1999998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3.9473684210528166E-2</v>
      </c>
      <c r="Q367">
        <f t="shared" si="970"/>
        <v>170884661.53421852</v>
      </c>
      <c r="R367">
        <f t="shared" si="971"/>
        <v>32637743120.84922</v>
      </c>
      <c r="S367">
        <f t="shared" si="972"/>
        <v>326377.4312084922</v>
      </c>
      <c r="T367">
        <f t="shared" si="973"/>
        <v>326.37743120849223</v>
      </c>
    </row>
    <row r="368" spans="1:20" x14ac:dyDescent="0.25">
      <c r="A368" s="5">
        <v>44225</v>
      </c>
      <c r="B368">
        <v>2.954E-2</v>
      </c>
      <c r="C368">
        <v>4.4389999999999999E-2</v>
      </c>
      <c r="D368">
        <v>2.9350000000000001E-2</v>
      </c>
      <c r="E368">
        <v>3.3349999999999998E-2</v>
      </c>
      <c r="F368">
        <v>14514073978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-0.46808510638297912</v>
      </c>
      <c r="Q368">
        <f t="shared" si="970"/>
        <v>-6793821862.0425587</v>
      </c>
      <c r="R368">
        <f t="shared" si="971"/>
        <v>32466858459.315002</v>
      </c>
      <c r="S368">
        <f t="shared" si="972"/>
        <v>324668.58459315001</v>
      </c>
      <c r="T368">
        <f t="shared" si="973"/>
        <v>324.66858459315</v>
      </c>
    </row>
    <row r="369" spans="1:20" x14ac:dyDescent="0.25">
      <c r="A369" s="5">
        <v>44224</v>
      </c>
      <c r="B369">
        <v>2.8230000000000002E-2</v>
      </c>
      <c r="C369">
        <v>2.9960000000000001E-2</v>
      </c>
      <c r="D369">
        <v>2.7900000000000001E-2</v>
      </c>
      <c r="E369">
        <v>2.955E-2</v>
      </c>
      <c r="F369">
        <v>910735526.29999995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0.60194174757281482</v>
      </c>
      <c r="Q369">
        <f t="shared" si="970"/>
        <v>548209734.27766919</v>
      </c>
      <c r="R369">
        <f t="shared" si="971"/>
        <v>39260680321.357559</v>
      </c>
      <c r="S369">
        <f t="shared" si="972"/>
        <v>392606.80321357556</v>
      </c>
      <c r="T369">
        <f t="shared" si="973"/>
        <v>392.60680321357557</v>
      </c>
    </row>
    <row r="370" spans="1:20" x14ac:dyDescent="0.25">
      <c r="A370" s="5">
        <v>44223</v>
      </c>
      <c r="B370">
        <v>2.9510000000000002E-2</v>
      </c>
      <c r="C370">
        <v>2.9510000000000002E-2</v>
      </c>
      <c r="D370">
        <v>2.7539999999999999E-2</v>
      </c>
      <c r="E370">
        <v>2.8230000000000002E-2</v>
      </c>
      <c r="F370">
        <v>1103407126.5</v>
      </c>
      <c r="G370">
        <v>0</v>
      </c>
      <c r="L370" t="s">
        <v>7</v>
      </c>
      <c r="M370" t="s">
        <v>8</v>
      </c>
      <c r="N370" t="s">
        <v>7</v>
      </c>
      <c r="P370">
        <f t="shared" si="969"/>
        <v>-0.29949238578679993</v>
      </c>
      <c r="Q370">
        <f t="shared" si="970"/>
        <v>-330462032.80964237</v>
      </c>
      <c r="R370">
        <f t="shared" si="971"/>
        <v>38712470587.079887</v>
      </c>
      <c r="S370">
        <f t="shared" si="972"/>
        <v>387124.70587079885</v>
      </c>
      <c r="T370">
        <f t="shared" si="973"/>
        <v>387.12470587079883</v>
      </c>
    </row>
    <row r="371" spans="1:20" x14ac:dyDescent="0.25">
      <c r="A371" s="5">
        <v>44222</v>
      </c>
      <c r="B371">
        <v>2.9489999999999999E-2</v>
      </c>
      <c r="C371">
        <v>2.9960000000000001E-2</v>
      </c>
      <c r="D371">
        <v>2.843E-2</v>
      </c>
      <c r="E371">
        <v>2.9489999999999999E-2</v>
      </c>
      <c r="F371">
        <v>1024100538.8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0.38562091503267759</v>
      </c>
      <c r="Q371">
        <f t="shared" si="970"/>
        <v>394914586.85751414</v>
      </c>
      <c r="R371">
        <f t="shared" si="971"/>
        <v>39042932619.889526</v>
      </c>
      <c r="S371">
        <f t="shared" si="972"/>
        <v>390429.32619889529</v>
      </c>
      <c r="T371">
        <f t="shared" si="973"/>
        <v>390.4293261988953</v>
      </c>
    </row>
    <row r="372" spans="1:20" x14ac:dyDescent="0.25">
      <c r="A372" s="5">
        <v>44221</v>
      </c>
      <c r="B372">
        <v>0.03</v>
      </c>
      <c r="C372">
        <v>3.27E-2</v>
      </c>
      <c r="D372">
        <v>2.9420000000000002E-2</v>
      </c>
      <c r="E372">
        <v>2.9489999999999999E-2</v>
      </c>
      <c r="F372">
        <v>2759431099.5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-0.95731707317073345</v>
      </c>
      <c r="Q372">
        <f t="shared" si="970"/>
        <v>-2641650503.789639</v>
      </c>
      <c r="R372">
        <f t="shared" si="971"/>
        <v>38648018033.032013</v>
      </c>
      <c r="S372">
        <f t="shared" si="972"/>
        <v>386480.18033032015</v>
      </c>
      <c r="T372">
        <f t="shared" si="973"/>
        <v>386.48018033032014</v>
      </c>
    </row>
    <row r="373" spans="1:20" x14ac:dyDescent="0.25">
      <c r="A373" s="5">
        <v>44220</v>
      </c>
      <c r="B373">
        <v>2.9250000000000002E-2</v>
      </c>
      <c r="C373">
        <v>3.0689999999999999E-2</v>
      </c>
      <c r="D373">
        <v>2.8989999999999998E-2</v>
      </c>
      <c r="E373">
        <v>2.9989999999999999E-2</v>
      </c>
      <c r="F373">
        <v>1309374467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0.17647058823529507</v>
      </c>
      <c r="Q373">
        <f t="shared" si="970"/>
        <v>231066082.41176596</v>
      </c>
      <c r="R373">
        <f t="shared" si="971"/>
        <v>41289668536.821655</v>
      </c>
      <c r="S373">
        <f t="shared" si="972"/>
        <v>412896.68536821654</v>
      </c>
      <c r="T373">
        <f t="shared" si="973"/>
        <v>412.89668536821654</v>
      </c>
    </row>
    <row r="374" spans="1:20" x14ac:dyDescent="0.25">
      <c r="A374" s="5">
        <v>44219</v>
      </c>
      <c r="B374">
        <v>2.8549999999999999E-2</v>
      </c>
      <c r="C374">
        <v>2.946E-2</v>
      </c>
      <c r="D374">
        <v>2.8060000000000002E-2</v>
      </c>
      <c r="E374">
        <v>2.9250000000000002E-2</v>
      </c>
      <c r="F374">
        <v>1013788694.9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0.70000000000000195</v>
      </c>
      <c r="Q374">
        <f t="shared" si="970"/>
        <v>709652086.43000197</v>
      </c>
      <c r="R374">
        <f t="shared" si="971"/>
        <v>41058602454.409889</v>
      </c>
      <c r="S374">
        <f t="shared" si="972"/>
        <v>410586.02454409888</v>
      </c>
      <c r="T374">
        <f t="shared" si="973"/>
        <v>410.5860245440989</v>
      </c>
    </row>
    <row r="375" spans="1:20" x14ac:dyDescent="0.25">
      <c r="A375" s="5">
        <v>44218</v>
      </c>
      <c r="B375">
        <v>2.7609999999999999E-2</v>
      </c>
      <c r="C375">
        <v>2.896E-2</v>
      </c>
      <c r="D375">
        <v>2.6360000000000001E-2</v>
      </c>
      <c r="E375">
        <v>2.8570000000000002E-2</v>
      </c>
      <c r="F375">
        <v>1464665680.4000001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0.70000000000000129</v>
      </c>
      <c r="Q375">
        <f t="shared" si="970"/>
        <v>1025265976.280002</v>
      </c>
      <c r="R375">
        <f t="shared" si="971"/>
        <v>40348950367.979889</v>
      </c>
      <c r="S375">
        <f t="shared" si="972"/>
        <v>403489.50367979892</v>
      </c>
      <c r="T375">
        <f t="shared" si="973"/>
        <v>403.48950367979893</v>
      </c>
    </row>
    <row r="376" spans="1:20" x14ac:dyDescent="0.25">
      <c r="A376" s="5">
        <v>44217</v>
      </c>
      <c r="B376">
        <v>3.048E-2</v>
      </c>
      <c r="C376">
        <v>3.057E-2</v>
      </c>
      <c r="D376">
        <v>2.7560000000000001E-2</v>
      </c>
      <c r="E376">
        <v>2.7619999999999999E-2</v>
      </c>
      <c r="F376">
        <v>1793834935.5999999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-0.96013289036545013</v>
      </c>
      <c r="Q376">
        <f t="shared" si="970"/>
        <v>-1722319921.556149</v>
      </c>
      <c r="R376">
        <f t="shared" si="971"/>
        <v>39323684391.69989</v>
      </c>
      <c r="S376">
        <f t="shared" si="972"/>
        <v>393236.84391699889</v>
      </c>
      <c r="T376">
        <f t="shared" si="973"/>
        <v>393.23684391699891</v>
      </c>
    </row>
    <row r="377" spans="1:20" x14ac:dyDescent="0.25">
      <c r="A377" s="5">
        <v>44216</v>
      </c>
      <c r="B377">
        <v>3.0609999999999998E-2</v>
      </c>
      <c r="C377">
        <v>3.1370000000000002E-2</v>
      </c>
      <c r="D377">
        <v>2.9159999999999998E-2</v>
      </c>
      <c r="E377">
        <v>3.0460000000000001E-2</v>
      </c>
      <c r="F377">
        <v>1749865640.5999999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0.17647058823529449</v>
      </c>
      <c r="Q377">
        <f t="shared" si="970"/>
        <v>308799818.92941242</v>
      </c>
      <c r="R377">
        <f t="shared" si="971"/>
        <v>41046004313.256042</v>
      </c>
      <c r="S377">
        <f t="shared" si="972"/>
        <v>410460.04313256044</v>
      </c>
      <c r="T377">
        <f t="shared" si="973"/>
        <v>410.46004313256043</v>
      </c>
    </row>
    <row r="378" spans="1:20" x14ac:dyDescent="0.25">
      <c r="A378" s="5">
        <v>44215</v>
      </c>
      <c r="B378">
        <v>3.1640000000000001E-2</v>
      </c>
      <c r="C378">
        <v>3.2480000000000002E-2</v>
      </c>
      <c r="D378">
        <v>3.0609999999999998E-2</v>
      </c>
      <c r="E378">
        <v>3.0630000000000001E-2</v>
      </c>
      <c r="F378">
        <v>1898785824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-0.97860962566844645</v>
      </c>
      <c r="Q378">
        <f t="shared" si="970"/>
        <v>-1858170084.4491925</v>
      </c>
      <c r="R378">
        <f t="shared" si="971"/>
        <v>40737204494.32663</v>
      </c>
      <c r="S378">
        <f t="shared" si="972"/>
        <v>407372.04494326632</v>
      </c>
      <c r="T378">
        <f t="shared" si="973"/>
        <v>407.3720449432663</v>
      </c>
    </row>
    <row r="379" spans="1:20" x14ac:dyDescent="0.25">
      <c r="A379" s="5">
        <v>44214</v>
      </c>
      <c r="B379">
        <v>3.0200000000000001E-2</v>
      </c>
      <c r="C379">
        <v>3.2300000000000002E-2</v>
      </c>
      <c r="D379">
        <v>2.962E-2</v>
      </c>
      <c r="E379">
        <v>3.1640000000000001E-2</v>
      </c>
      <c r="F379">
        <v>1831502514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0.50746268656716387</v>
      </c>
      <c r="Q379">
        <f t="shared" si="970"/>
        <v>929419186.20895469</v>
      </c>
      <c r="R379">
        <f t="shared" si="971"/>
        <v>42595374578.775826</v>
      </c>
      <c r="S379">
        <f t="shared" si="972"/>
        <v>425953.74578775826</v>
      </c>
      <c r="T379">
        <f t="shared" si="973"/>
        <v>425.95374578775824</v>
      </c>
    </row>
    <row r="380" spans="1:20" x14ac:dyDescent="0.25">
      <c r="A380" s="5">
        <v>44213</v>
      </c>
      <c r="B380">
        <v>3.0089999999999999E-2</v>
      </c>
      <c r="C380">
        <v>3.0769999999999999E-2</v>
      </c>
      <c r="D380">
        <v>2.912E-2</v>
      </c>
      <c r="E380">
        <v>3.0200000000000001E-2</v>
      </c>
      <c r="F380">
        <v>1482981263.3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0.30909090909091147</v>
      </c>
      <c r="Q380">
        <f t="shared" si="970"/>
        <v>458376026.83818531</v>
      </c>
      <c r="R380">
        <f t="shared" si="971"/>
        <v>41665955392.566872</v>
      </c>
      <c r="S380">
        <f t="shared" si="972"/>
        <v>416659.5539256687</v>
      </c>
      <c r="T380">
        <f t="shared" si="973"/>
        <v>416.65955392566872</v>
      </c>
    </row>
    <row r="381" spans="1:20" x14ac:dyDescent="0.25">
      <c r="A381" s="5">
        <v>44212</v>
      </c>
      <c r="B381">
        <v>2.9729999999999999E-2</v>
      </c>
      <c r="C381">
        <v>3.1300000000000001E-2</v>
      </c>
      <c r="D381">
        <v>2.945E-2</v>
      </c>
      <c r="E381">
        <v>3.0079999999999999E-2</v>
      </c>
      <c r="F381">
        <v>2018029935.0999999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-0.31891891891892077</v>
      </c>
      <c r="Q381">
        <f t="shared" si="970"/>
        <v>-643587925.24811184</v>
      </c>
      <c r="R381">
        <f t="shared" si="971"/>
        <v>41207579365.728683</v>
      </c>
      <c r="S381">
        <f t="shared" si="972"/>
        <v>412075.79365728685</v>
      </c>
      <c r="T381">
        <f t="shared" si="973"/>
        <v>412.07579365728685</v>
      </c>
    </row>
    <row r="382" spans="1:20" x14ac:dyDescent="0.25">
      <c r="A382" s="5">
        <v>44211</v>
      </c>
      <c r="B382">
        <v>3.015E-2</v>
      </c>
      <c r="C382">
        <v>3.1460000000000002E-2</v>
      </c>
      <c r="D382">
        <v>2.8299999999999999E-2</v>
      </c>
      <c r="E382">
        <v>2.972E-2</v>
      </c>
      <c r="F382">
        <v>2693255797.1999998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-0.10126582278481029</v>
      </c>
      <c r="Q382">
        <f t="shared" si="970"/>
        <v>-272734764.27341813</v>
      </c>
      <c r="R382">
        <f t="shared" si="971"/>
        <v>41851167290.976799</v>
      </c>
      <c r="S382">
        <f t="shared" si="972"/>
        <v>418511.67290976801</v>
      </c>
      <c r="T382">
        <f t="shared" si="973"/>
        <v>418.51167290976798</v>
      </c>
    </row>
    <row r="383" spans="1:20" x14ac:dyDescent="0.25">
      <c r="A383" s="5">
        <v>44210</v>
      </c>
      <c r="B383">
        <v>3.0790000000000001E-2</v>
      </c>
      <c r="C383">
        <v>3.1859999999999999E-2</v>
      </c>
      <c r="D383">
        <v>2.9080000000000002E-2</v>
      </c>
      <c r="E383">
        <v>3.014E-2</v>
      </c>
      <c r="F383">
        <v>2407147625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-0.23741007194244654</v>
      </c>
      <c r="Q383">
        <f t="shared" si="970"/>
        <v>-571481090.82733929</v>
      </c>
      <c r="R383">
        <f t="shared" si="971"/>
        <v>42123902055.250214</v>
      </c>
      <c r="S383">
        <f t="shared" si="972"/>
        <v>421239.02055250213</v>
      </c>
      <c r="T383">
        <f t="shared" si="973"/>
        <v>421.23902055250215</v>
      </c>
    </row>
    <row r="384" spans="1:20" x14ac:dyDescent="0.25">
      <c r="A384" s="5">
        <v>44209</v>
      </c>
      <c r="B384">
        <v>2.8639999999999999E-2</v>
      </c>
      <c r="C384">
        <v>3.09E-2</v>
      </c>
      <c r="D384">
        <v>2.775E-2</v>
      </c>
      <c r="E384">
        <v>3.0790000000000001E-2</v>
      </c>
      <c r="F384">
        <v>1767066265.4000001</v>
      </c>
      <c r="G384">
        <v>0</v>
      </c>
      <c r="L384" t="s">
        <v>8</v>
      </c>
      <c r="M384" t="s">
        <v>7</v>
      </c>
      <c r="N384" t="s">
        <v>8</v>
      </c>
      <c r="P384">
        <f t="shared" si="969"/>
        <v>0.93015873015873085</v>
      </c>
      <c r="Q384">
        <f t="shared" si="970"/>
        <v>1643652113.5307949</v>
      </c>
      <c r="R384">
        <f t="shared" si="971"/>
        <v>42695383146.077553</v>
      </c>
      <c r="S384">
        <f t="shared" si="972"/>
        <v>426953.83146077552</v>
      </c>
      <c r="T384">
        <f t="shared" si="973"/>
        <v>426.95383146077552</v>
      </c>
    </row>
    <row r="385" spans="1:20" x14ac:dyDescent="0.25">
      <c r="A385" s="5">
        <v>44208</v>
      </c>
      <c r="B385">
        <v>2.8969999999999999E-2</v>
      </c>
      <c r="C385">
        <v>3.0380000000000001E-2</v>
      </c>
      <c r="D385">
        <v>2.7890000000000002E-2</v>
      </c>
      <c r="E385">
        <v>2.8649999999999998E-2</v>
      </c>
      <c r="F385">
        <v>1883041867.5999999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-0.38955823293172925</v>
      </c>
      <c r="Q385">
        <f t="shared" si="970"/>
        <v>-733554462.47871923</v>
      </c>
      <c r="R385">
        <f t="shared" si="971"/>
        <v>41051731032.546761</v>
      </c>
      <c r="S385">
        <f t="shared" si="972"/>
        <v>410517.31032546761</v>
      </c>
      <c r="T385">
        <f t="shared" si="973"/>
        <v>410.51731032546763</v>
      </c>
    </row>
    <row r="386" spans="1:20" x14ac:dyDescent="0.25">
      <c r="A386" s="5">
        <v>44207</v>
      </c>
      <c r="B386">
        <v>3.2739999999999998E-2</v>
      </c>
      <c r="C386">
        <v>3.2800000000000003E-2</v>
      </c>
      <c r="D386">
        <v>2.6939999999999999E-2</v>
      </c>
      <c r="E386">
        <v>2.8969999999999999E-2</v>
      </c>
      <c r="F386">
        <v>4706959975.6000004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-0.30716723549488084</v>
      </c>
      <c r="Q386">
        <f t="shared" si="970"/>
        <v>-1445823883.2901039</v>
      </c>
      <c r="R386">
        <f t="shared" si="971"/>
        <v>41785285495.025482</v>
      </c>
      <c r="S386">
        <f t="shared" si="972"/>
        <v>417852.85495025484</v>
      </c>
      <c r="T386">
        <f t="shared" si="973"/>
        <v>417.85285495025482</v>
      </c>
    </row>
    <row r="387" spans="1:20" x14ac:dyDescent="0.25">
      <c r="A387" s="5">
        <v>44206</v>
      </c>
      <c r="B387">
        <v>3.3820000000000003E-2</v>
      </c>
      <c r="C387">
        <v>3.6740000000000002E-2</v>
      </c>
      <c r="D387">
        <v>3.1050000000000001E-2</v>
      </c>
      <c r="E387">
        <v>3.2750000000000001E-2</v>
      </c>
      <c r="F387">
        <v>5258909192.3000002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-0.40246045694200355</v>
      </c>
      <c r="Q387">
        <f t="shared" si="970"/>
        <v>-2116502996.549561</v>
      </c>
      <c r="R387">
        <f t="shared" si="971"/>
        <v>43231109378.315582</v>
      </c>
      <c r="S387">
        <f t="shared" si="972"/>
        <v>432311.09378315584</v>
      </c>
      <c r="T387">
        <f t="shared" si="973"/>
        <v>432.31109378315585</v>
      </c>
    </row>
    <row r="388" spans="1:20" x14ac:dyDescent="0.25">
      <c r="A388" s="5">
        <v>44205</v>
      </c>
      <c r="B388">
        <v>3.041E-2</v>
      </c>
      <c r="C388">
        <v>3.5540000000000002E-2</v>
      </c>
      <c r="D388">
        <v>2.9559999999999999E-2</v>
      </c>
      <c r="E388">
        <v>3.3820000000000003E-2</v>
      </c>
      <c r="F388">
        <v>4324171400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0.42474916387959916</v>
      </c>
      <c r="Q388">
        <f t="shared" si="970"/>
        <v>1836688186.6220758</v>
      </c>
      <c r="R388">
        <f t="shared" si="971"/>
        <v>45347612374.865143</v>
      </c>
      <c r="S388">
        <f t="shared" si="972"/>
        <v>453476.12374865141</v>
      </c>
      <c r="T388">
        <f t="shared" si="973"/>
        <v>453.47612374865139</v>
      </c>
    </row>
    <row r="389" spans="1:20" x14ac:dyDescent="0.25">
      <c r="A389" s="5">
        <v>44204</v>
      </c>
      <c r="B389">
        <v>3.0949999999999998E-2</v>
      </c>
      <c r="C389">
        <v>3.1260000000000003E-2</v>
      </c>
      <c r="D389">
        <v>2.8649999999999998E-2</v>
      </c>
      <c r="E389">
        <v>3.04E-2</v>
      </c>
      <c r="F389">
        <v>2918249782.4000001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0.34099616858237425</v>
      </c>
      <c r="Q389">
        <f t="shared" si="970"/>
        <v>995111994.76474738</v>
      </c>
      <c r="R389">
        <f t="shared" si="971"/>
        <v>43510924188.243065</v>
      </c>
      <c r="S389">
        <f t="shared" si="972"/>
        <v>435109.24188243062</v>
      </c>
      <c r="T389">
        <f t="shared" si="973"/>
        <v>435.10924188243064</v>
      </c>
    </row>
    <row r="390" spans="1:20" x14ac:dyDescent="0.25">
      <c r="A390" s="5">
        <v>44203</v>
      </c>
      <c r="B390">
        <v>3.0470000000000001E-2</v>
      </c>
      <c r="C390">
        <v>3.3369999999999997E-2</v>
      </c>
      <c r="D390">
        <v>2.9960000000000001E-2</v>
      </c>
      <c r="E390">
        <v>3.0949999999999998E-2</v>
      </c>
      <c r="F390">
        <v>4780439554.1999998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-0.4193548387096781</v>
      </c>
      <c r="Q390">
        <f t="shared" ref="Q390:Q453" si="975">F390*P390</f>
        <v>-2004700458.2129064</v>
      </c>
      <c r="R390">
        <f t="shared" ref="R390:R453" si="976">R391+Q390</f>
        <v>42515812193.478317</v>
      </c>
      <c r="S390">
        <f t="shared" ref="S390:S453" si="977">R390/100000</f>
        <v>425158.12193478318</v>
      </c>
      <c r="T390">
        <f t="shared" ref="T390:T453" si="978">S390/1000</f>
        <v>425.1581219347832</v>
      </c>
    </row>
    <row r="391" spans="1:20" x14ac:dyDescent="0.25">
      <c r="A391" s="5">
        <v>44202</v>
      </c>
      <c r="B391">
        <v>2.853E-2</v>
      </c>
      <c r="C391">
        <v>3.09E-2</v>
      </c>
      <c r="D391">
        <v>2.7799999999999998E-2</v>
      </c>
      <c r="E391">
        <v>3.0460000000000001E-2</v>
      </c>
      <c r="F391">
        <v>3323268177.3000002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0.71612903225806512</v>
      </c>
      <c r="Q391">
        <f t="shared" si="975"/>
        <v>2379888823.7438731</v>
      </c>
      <c r="R391">
        <f t="shared" si="976"/>
        <v>44520512651.691223</v>
      </c>
      <c r="S391">
        <f t="shared" si="977"/>
        <v>445205.12651691225</v>
      </c>
      <c r="T391">
        <f t="shared" si="978"/>
        <v>445.20512651691223</v>
      </c>
    </row>
    <row r="392" spans="1:20" x14ac:dyDescent="0.25">
      <c r="A392" s="5">
        <v>44201</v>
      </c>
      <c r="B392">
        <v>3.0960000000000001E-2</v>
      </c>
      <c r="C392">
        <v>3.125E-2</v>
      </c>
      <c r="D392">
        <v>2.6929999999999999E-2</v>
      </c>
      <c r="E392">
        <v>2.852E-2</v>
      </c>
      <c r="F392">
        <v>4639853362.5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-0.26388888888888851</v>
      </c>
      <c r="Q392">
        <f t="shared" si="975"/>
        <v>-1224405748.4374983</v>
      </c>
      <c r="R392">
        <f t="shared" si="976"/>
        <v>42140623827.94735</v>
      </c>
      <c r="S392">
        <f t="shared" si="977"/>
        <v>421406.2382794735</v>
      </c>
      <c r="T392">
        <f t="shared" si="978"/>
        <v>421.40623827947348</v>
      </c>
    </row>
    <row r="393" spans="1:20" x14ac:dyDescent="0.25">
      <c r="A393" s="5">
        <v>44200</v>
      </c>
      <c r="B393">
        <v>2.9489999999999999E-2</v>
      </c>
      <c r="C393">
        <v>3.2190000000000003E-2</v>
      </c>
      <c r="D393">
        <v>2.6800000000000001E-2</v>
      </c>
      <c r="E393">
        <v>3.0949999999999998E-2</v>
      </c>
      <c r="F393">
        <v>4735501702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0.53988868274582391</v>
      </c>
      <c r="Q393">
        <f t="shared" si="975"/>
        <v>2556643776.0333872</v>
      </c>
      <c r="R393">
        <f t="shared" si="976"/>
        <v>43365029576.38485</v>
      </c>
      <c r="S393">
        <f t="shared" si="977"/>
        <v>433650.29576384852</v>
      </c>
      <c r="T393">
        <f t="shared" si="978"/>
        <v>433.65029576384853</v>
      </c>
    </row>
    <row r="394" spans="1:20" x14ac:dyDescent="0.25">
      <c r="A394" s="5">
        <v>44199</v>
      </c>
      <c r="B394">
        <v>2.7199999999999998E-2</v>
      </c>
      <c r="C394">
        <v>3.0040000000000001E-2</v>
      </c>
      <c r="D394">
        <v>2.6519999999999998E-2</v>
      </c>
      <c r="E394">
        <v>2.9489999999999999E-2</v>
      </c>
      <c r="F394">
        <v>2556032496.0999999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0.68749999999999911</v>
      </c>
      <c r="Q394">
        <f t="shared" si="975"/>
        <v>1757272341.0687478</v>
      </c>
      <c r="R394">
        <f t="shared" si="976"/>
        <v>40808385800.351463</v>
      </c>
      <c r="S394">
        <f t="shared" si="977"/>
        <v>408083.85800351464</v>
      </c>
      <c r="T394">
        <f t="shared" si="978"/>
        <v>408.08385800351465</v>
      </c>
    </row>
    <row r="395" spans="1:20" x14ac:dyDescent="0.25">
      <c r="A395" s="5">
        <v>44198</v>
      </c>
      <c r="B395">
        <v>2.6859999999999998E-2</v>
      </c>
      <c r="C395">
        <v>2.794E-2</v>
      </c>
      <c r="D395">
        <v>2.6499999999999999E-2</v>
      </c>
      <c r="E395">
        <v>2.7210000000000002E-2</v>
      </c>
      <c r="F395">
        <v>1134173980.5999999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-1.3888888888885911E-2</v>
      </c>
      <c r="Q395">
        <f t="shared" si="975"/>
        <v>-15752416.397218844</v>
      </c>
      <c r="R395">
        <f t="shared" si="976"/>
        <v>39051113459.282715</v>
      </c>
      <c r="S395">
        <f t="shared" si="977"/>
        <v>390511.13459282718</v>
      </c>
      <c r="T395">
        <f t="shared" si="978"/>
        <v>390.5111345928272</v>
      </c>
    </row>
    <row r="396" spans="1:20" x14ac:dyDescent="0.25">
      <c r="A396" s="5">
        <v>44197</v>
      </c>
      <c r="B396">
        <v>2.6769999999999999E-2</v>
      </c>
      <c r="C396">
        <v>2.7380000000000002E-2</v>
      </c>
      <c r="D396">
        <v>2.6460000000000001E-2</v>
      </c>
      <c r="E396">
        <v>2.6849999999999999E-2</v>
      </c>
      <c r="F396">
        <v>687812306.60000002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-0.15217391304348327</v>
      </c>
      <c r="Q396">
        <f t="shared" si="975"/>
        <v>-104667090.13478605</v>
      </c>
      <c r="R396">
        <f t="shared" si="976"/>
        <v>39066865875.679932</v>
      </c>
      <c r="S396">
        <f t="shared" si="977"/>
        <v>390668.6587567993</v>
      </c>
      <c r="T396">
        <f t="shared" si="978"/>
        <v>390.66865875679929</v>
      </c>
    </row>
    <row r="397" spans="1:20" x14ac:dyDescent="0.25">
      <c r="A397" s="5">
        <v>44196</v>
      </c>
      <c r="B397">
        <v>2.6939999999999999E-2</v>
      </c>
      <c r="C397">
        <v>2.7050000000000001E-2</v>
      </c>
      <c r="D397">
        <v>2.5930000000000002E-2</v>
      </c>
      <c r="E397">
        <v>2.6769999999999999E-2</v>
      </c>
      <c r="F397">
        <v>921669879.70000005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0.49999999999999534</v>
      </c>
      <c r="Q397">
        <f t="shared" si="975"/>
        <v>460834939.84999573</v>
      </c>
      <c r="R397">
        <f t="shared" si="976"/>
        <v>39171532965.81472</v>
      </c>
      <c r="S397">
        <f t="shared" si="977"/>
        <v>391715.32965814718</v>
      </c>
      <c r="T397">
        <f t="shared" si="978"/>
        <v>391.7153296581472</v>
      </c>
    </row>
    <row r="398" spans="1:20" x14ac:dyDescent="0.25">
      <c r="A398" s="5">
        <v>44195</v>
      </c>
      <c r="B398">
        <v>2.768E-2</v>
      </c>
      <c r="C398">
        <v>2.7820000000000001E-2</v>
      </c>
      <c r="D398">
        <v>2.6349999999999998E-2</v>
      </c>
      <c r="E398">
        <v>2.6950000000000002E-2</v>
      </c>
      <c r="F398">
        <v>1207710716.3</v>
      </c>
      <c r="G398">
        <v>0</v>
      </c>
      <c r="L398" t="s">
        <v>7</v>
      </c>
      <c r="M398" t="s">
        <v>8</v>
      </c>
      <c r="N398" t="s">
        <v>7</v>
      </c>
      <c r="P398">
        <f t="shared" si="974"/>
        <v>-0.18367346938775203</v>
      </c>
      <c r="Q398">
        <f t="shared" si="975"/>
        <v>-221824417.27958813</v>
      </c>
      <c r="R398">
        <f t="shared" si="976"/>
        <v>38710698025.964722</v>
      </c>
      <c r="S398">
        <f t="shared" si="977"/>
        <v>387106.98025964724</v>
      </c>
      <c r="T398">
        <f t="shared" si="978"/>
        <v>387.10698025964723</v>
      </c>
    </row>
    <row r="399" spans="1:20" x14ac:dyDescent="0.25">
      <c r="A399" s="5">
        <v>44194</v>
      </c>
      <c r="B399">
        <v>2.9579999999999999E-2</v>
      </c>
      <c r="C399">
        <v>3.024E-2</v>
      </c>
      <c r="D399">
        <v>2.6499999999999999E-2</v>
      </c>
      <c r="E399">
        <v>2.767E-2</v>
      </c>
      <c r="F399">
        <v>2631697624.4000001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-0.37433155080213859</v>
      </c>
      <c r="Q399">
        <f t="shared" si="975"/>
        <v>-985127452.9839561</v>
      </c>
      <c r="R399">
        <f t="shared" si="976"/>
        <v>38932522443.244308</v>
      </c>
      <c r="S399">
        <f t="shared" si="977"/>
        <v>389325.22443244309</v>
      </c>
      <c r="T399">
        <f t="shared" si="978"/>
        <v>389.32522443244312</v>
      </c>
    </row>
    <row r="400" spans="1:20" x14ac:dyDescent="0.25">
      <c r="A400" s="5">
        <v>44193</v>
      </c>
      <c r="B400">
        <v>2.8899999999999999E-2</v>
      </c>
      <c r="C400">
        <v>3.0380000000000001E-2</v>
      </c>
      <c r="D400">
        <v>2.861E-2</v>
      </c>
      <c r="E400">
        <v>2.9590000000000002E-2</v>
      </c>
      <c r="F400">
        <v>1683299563.4000001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0.10734463276836305</v>
      </c>
      <c r="Q400">
        <f t="shared" si="975"/>
        <v>180693173.47231886</v>
      </c>
      <c r="R400">
        <f t="shared" si="976"/>
        <v>39917649896.228264</v>
      </c>
      <c r="S400">
        <f t="shared" si="977"/>
        <v>399176.49896228261</v>
      </c>
      <c r="T400">
        <f t="shared" si="978"/>
        <v>399.17649896228261</v>
      </c>
    </row>
    <row r="401" spans="1:20" x14ac:dyDescent="0.25">
      <c r="A401" s="5">
        <v>44192</v>
      </c>
      <c r="B401">
        <v>2.7810000000000001E-2</v>
      </c>
      <c r="C401">
        <v>3.1130000000000001E-2</v>
      </c>
      <c r="D401">
        <v>2.6630000000000001E-2</v>
      </c>
      <c r="E401">
        <v>2.8889999999999999E-2</v>
      </c>
      <c r="F401">
        <v>2702426365.1999998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4.4444444444434921E-3</v>
      </c>
      <c r="Q401">
        <f t="shared" si="975"/>
        <v>12010783.845330758</v>
      </c>
      <c r="R401">
        <f t="shared" si="976"/>
        <v>39736956722.755943</v>
      </c>
      <c r="S401">
        <f t="shared" si="977"/>
        <v>397369.56722755946</v>
      </c>
      <c r="T401">
        <f t="shared" si="978"/>
        <v>397.36956722755946</v>
      </c>
    </row>
    <row r="402" spans="1:20" x14ac:dyDescent="0.25">
      <c r="A402" s="5">
        <v>44191</v>
      </c>
      <c r="B402">
        <v>2.853E-2</v>
      </c>
      <c r="C402">
        <v>2.8629999999999999E-2</v>
      </c>
      <c r="D402">
        <v>2.7220000000000001E-2</v>
      </c>
      <c r="E402">
        <v>2.7799999999999998E-2</v>
      </c>
      <c r="F402">
        <v>932421941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-0.17730496453900996</v>
      </c>
      <c r="Q402">
        <f t="shared" si="975"/>
        <v>-165323039.18439984</v>
      </c>
      <c r="R402">
        <f t="shared" si="976"/>
        <v>39724945938.910614</v>
      </c>
      <c r="S402">
        <f t="shared" si="977"/>
        <v>397249.45938910614</v>
      </c>
      <c r="T402">
        <f t="shared" si="978"/>
        <v>397.24945938910616</v>
      </c>
    </row>
    <row r="403" spans="1:20" x14ac:dyDescent="0.25">
      <c r="A403" s="5">
        <v>44190</v>
      </c>
      <c r="B403">
        <v>2.7689999999999999E-2</v>
      </c>
      <c r="C403">
        <v>2.9499999999999998E-2</v>
      </c>
      <c r="D403">
        <v>2.708E-2</v>
      </c>
      <c r="E403">
        <v>2.8539999999999999E-2</v>
      </c>
      <c r="F403">
        <v>1544825223.7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0.2066115702479342</v>
      </c>
      <c r="Q403">
        <f t="shared" si="975"/>
        <v>319178765.22727323</v>
      </c>
      <c r="R403">
        <f t="shared" si="976"/>
        <v>39890268978.095016</v>
      </c>
      <c r="S403">
        <f t="shared" si="977"/>
        <v>398902.68978095014</v>
      </c>
      <c r="T403">
        <f t="shared" si="978"/>
        <v>398.90268978095014</v>
      </c>
    </row>
    <row r="404" spans="1:20" x14ac:dyDescent="0.25">
      <c r="A404" s="5">
        <v>44189</v>
      </c>
      <c r="B404">
        <v>2.4799999999999999E-2</v>
      </c>
      <c r="C404">
        <v>2.775E-2</v>
      </c>
      <c r="D404">
        <v>2.4129999999999999E-2</v>
      </c>
      <c r="E404">
        <v>2.7689999999999999E-2</v>
      </c>
      <c r="F404">
        <v>1751535454.7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0.96685082872928119</v>
      </c>
      <c r="Q404">
        <f t="shared" si="975"/>
        <v>1693473505.9254134</v>
      </c>
      <c r="R404">
        <f t="shared" si="976"/>
        <v>39571090212.867744</v>
      </c>
      <c r="S404">
        <f t="shared" si="977"/>
        <v>395710.90212867747</v>
      </c>
      <c r="T404">
        <f t="shared" si="978"/>
        <v>395.71090212867745</v>
      </c>
    </row>
    <row r="405" spans="1:20" x14ac:dyDescent="0.25">
      <c r="A405" s="5">
        <v>44188</v>
      </c>
      <c r="B405">
        <v>2.8850000000000001E-2</v>
      </c>
      <c r="C405">
        <v>2.904E-2</v>
      </c>
      <c r="D405">
        <v>2.3709999999999998E-2</v>
      </c>
      <c r="E405">
        <v>2.4799999999999999E-2</v>
      </c>
      <c r="F405">
        <v>2142604251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-0.59099437148217626</v>
      </c>
      <c r="Q405">
        <f t="shared" si="975"/>
        <v>-1266267052.654784</v>
      </c>
      <c r="R405">
        <f t="shared" si="976"/>
        <v>37877616706.942329</v>
      </c>
      <c r="S405">
        <f t="shared" si="977"/>
        <v>378776.1670694233</v>
      </c>
      <c r="T405">
        <f t="shared" si="978"/>
        <v>378.77616706942331</v>
      </c>
    </row>
    <row r="406" spans="1:20" x14ac:dyDescent="0.25">
      <c r="A406" s="5">
        <v>44187</v>
      </c>
      <c r="B406">
        <v>2.9260000000000001E-2</v>
      </c>
      <c r="C406">
        <v>2.9579999999999999E-2</v>
      </c>
      <c r="D406">
        <v>2.775E-2</v>
      </c>
      <c r="E406">
        <v>2.8850000000000001E-2</v>
      </c>
      <c r="F406">
        <v>1360964666.0999999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0.20218579234972819</v>
      </c>
      <c r="Q406">
        <f t="shared" si="975"/>
        <v>275167719.37541175</v>
      </c>
      <c r="R406">
        <f t="shared" si="976"/>
        <v>39143883759.597115</v>
      </c>
      <c r="S406">
        <f t="shared" si="977"/>
        <v>391438.83759597113</v>
      </c>
      <c r="T406">
        <f t="shared" si="978"/>
        <v>391.43883759597111</v>
      </c>
    </row>
    <row r="407" spans="1:20" x14ac:dyDescent="0.25">
      <c r="A407" s="5">
        <v>44186</v>
      </c>
      <c r="B407">
        <v>3.1210000000000002E-2</v>
      </c>
      <c r="C407">
        <v>3.1910000000000001E-2</v>
      </c>
      <c r="D407">
        <v>2.9000000000000001E-2</v>
      </c>
      <c r="E407">
        <v>2.9260000000000001E-2</v>
      </c>
      <c r="F407">
        <v>1471631429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-0.82130584192439871</v>
      </c>
      <c r="Q407">
        <f t="shared" si="975"/>
        <v>-1208659489.797251</v>
      </c>
      <c r="R407">
        <f t="shared" si="976"/>
        <v>38868716040.221703</v>
      </c>
      <c r="S407">
        <f t="shared" si="977"/>
        <v>388687.16040221701</v>
      </c>
      <c r="T407">
        <f t="shared" si="978"/>
        <v>388.68716040221699</v>
      </c>
    </row>
    <row r="408" spans="1:20" x14ac:dyDescent="0.25">
      <c r="A408" s="5">
        <v>44185</v>
      </c>
      <c r="B408">
        <v>3.1230000000000001E-2</v>
      </c>
      <c r="C408">
        <v>3.288E-2</v>
      </c>
      <c r="D408">
        <v>3.0269999999999998E-2</v>
      </c>
      <c r="E408">
        <v>3.1220000000000001E-2</v>
      </c>
      <c r="F408">
        <v>1529437086.9000001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-0.27203065134099425</v>
      </c>
      <c r="Q408">
        <f t="shared" si="975"/>
        <v>-416053766.93447983</v>
      </c>
      <c r="R408">
        <f t="shared" si="976"/>
        <v>40077375530.018951</v>
      </c>
      <c r="S408">
        <f t="shared" si="977"/>
        <v>400773.75530018954</v>
      </c>
      <c r="T408">
        <f t="shared" si="978"/>
        <v>400.77375530018952</v>
      </c>
    </row>
    <row r="409" spans="1:20" x14ac:dyDescent="0.25">
      <c r="A409" s="5">
        <v>44184</v>
      </c>
      <c r="B409">
        <v>3.109E-2</v>
      </c>
      <c r="C409">
        <v>3.1980000000000001E-2</v>
      </c>
      <c r="D409">
        <v>3.083E-2</v>
      </c>
      <c r="E409">
        <v>3.124E-2</v>
      </c>
      <c r="F409">
        <v>693795912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-0.28695652173913039</v>
      </c>
      <c r="Q409">
        <f t="shared" si="975"/>
        <v>-199089261.70434779</v>
      </c>
      <c r="R409">
        <f t="shared" si="976"/>
        <v>40493429296.95343</v>
      </c>
      <c r="S409">
        <f t="shared" si="977"/>
        <v>404934.29296953429</v>
      </c>
      <c r="T409">
        <f t="shared" si="978"/>
        <v>404.93429296953428</v>
      </c>
    </row>
    <row r="410" spans="1:20" x14ac:dyDescent="0.25">
      <c r="A410" s="5">
        <v>44183</v>
      </c>
      <c r="B410">
        <v>3.0720000000000001E-2</v>
      </c>
      <c r="C410">
        <v>3.143E-2</v>
      </c>
      <c r="D410">
        <v>3.0099999999999998E-2</v>
      </c>
      <c r="E410">
        <v>3.109E-2</v>
      </c>
      <c r="F410">
        <v>949196559.60000002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0.48872180451127867</v>
      </c>
      <c r="Q410">
        <f t="shared" si="975"/>
        <v>463893055.44360948</v>
      </c>
      <c r="R410">
        <f t="shared" si="976"/>
        <v>40692518558.657776</v>
      </c>
      <c r="S410">
        <f t="shared" si="977"/>
        <v>406925.18558657775</v>
      </c>
      <c r="T410">
        <f t="shared" si="978"/>
        <v>406.92518558657775</v>
      </c>
    </row>
    <row r="411" spans="1:20" x14ac:dyDescent="0.25">
      <c r="A411" s="5">
        <v>44182</v>
      </c>
      <c r="B411">
        <v>3.1449999999999999E-2</v>
      </c>
      <c r="C411">
        <v>3.2489999999999998E-2</v>
      </c>
      <c r="D411">
        <v>0.03</v>
      </c>
      <c r="E411">
        <v>3.0720000000000001E-2</v>
      </c>
      <c r="F411">
        <v>1955526630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-0.42168674698795011</v>
      </c>
      <c r="Q411">
        <f t="shared" si="975"/>
        <v>-824619663.25300872</v>
      </c>
      <c r="R411">
        <f t="shared" si="976"/>
        <v>40228625503.214165</v>
      </c>
      <c r="S411">
        <f t="shared" si="977"/>
        <v>402286.25503214163</v>
      </c>
      <c r="T411">
        <f t="shared" si="978"/>
        <v>402.28625503214164</v>
      </c>
    </row>
    <row r="412" spans="1:20" x14ac:dyDescent="0.25">
      <c r="A412" s="5">
        <v>44181</v>
      </c>
      <c r="B412">
        <v>2.9190000000000001E-2</v>
      </c>
      <c r="C412">
        <v>3.1469999999999998E-2</v>
      </c>
      <c r="D412">
        <v>2.8750000000000001E-2</v>
      </c>
      <c r="E412">
        <v>3.1449999999999999E-2</v>
      </c>
      <c r="F412">
        <v>1044220054.6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0.98529411764705943</v>
      </c>
      <c r="Q412">
        <f t="shared" si="975"/>
        <v>1028863877.3264712</v>
      </c>
      <c r="R412">
        <f t="shared" si="976"/>
        <v>41053245166.467171</v>
      </c>
      <c r="S412">
        <f t="shared" si="977"/>
        <v>410532.45166467171</v>
      </c>
      <c r="T412">
        <f t="shared" si="978"/>
        <v>410.53245166467173</v>
      </c>
    </row>
    <row r="413" spans="1:20" x14ac:dyDescent="0.25">
      <c r="A413" s="5">
        <v>44180</v>
      </c>
      <c r="B413">
        <v>2.911E-2</v>
      </c>
      <c r="C413">
        <v>2.9499999999999998E-2</v>
      </c>
      <c r="D413">
        <v>2.869E-2</v>
      </c>
      <c r="E413">
        <v>2.9180000000000001E-2</v>
      </c>
      <c r="F413">
        <v>528730999.80000001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0.20987654320988131</v>
      </c>
      <c r="Q413">
        <f t="shared" si="975"/>
        <v>110968234.52592845</v>
      </c>
      <c r="R413">
        <f t="shared" si="976"/>
        <v>40024381289.140701</v>
      </c>
      <c r="S413">
        <f t="shared" si="977"/>
        <v>400243.812891407</v>
      </c>
      <c r="T413">
        <f t="shared" si="978"/>
        <v>400.243812891407</v>
      </c>
    </row>
    <row r="414" spans="1:20" x14ac:dyDescent="0.25">
      <c r="A414" s="5">
        <v>44179</v>
      </c>
      <c r="B414">
        <v>2.92E-2</v>
      </c>
      <c r="C414">
        <v>2.9229999999999999E-2</v>
      </c>
      <c r="D414">
        <v>2.86E-2</v>
      </c>
      <c r="E414">
        <v>2.9100000000000001E-2</v>
      </c>
      <c r="F414">
        <v>493689369.60000002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0.58730158730159221</v>
      </c>
      <c r="Q414">
        <f t="shared" si="975"/>
        <v>289944550.40000242</v>
      </c>
      <c r="R414">
        <f t="shared" si="976"/>
        <v>39913413054.614777</v>
      </c>
      <c r="S414">
        <f t="shared" si="977"/>
        <v>399134.13054614776</v>
      </c>
      <c r="T414">
        <f t="shared" si="978"/>
        <v>399.13413054614779</v>
      </c>
    </row>
    <row r="415" spans="1:20" x14ac:dyDescent="0.25">
      <c r="A415" s="5">
        <v>44178</v>
      </c>
      <c r="B415">
        <v>2.8559999999999999E-2</v>
      </c>
      <c r="C415">
        <v>2.9669999999999998E-2</v>
      </c>
      <c r="D415">
        <v>2.845E-2</v>
      </c>
      <c r="E415">
        <v>2.921E-2</v>
      </c>
      <c r="F415">
        <v>632948071.5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0.24590163934426387</v>
      </c>
      <c r="Q415">
        <f t="shared" si="975"/>
        <v>155642968.40164036</v>
      </c>
      <c r="R415">
        <f t="shared" si="976"/>
        <v>39623468504.214775</v>
      </c>
      <c r="S415">
        <f t="shared" si="977"/>
        <v>396234.68504214776</v>
      </c>
      <c r="T415">
        <f t="shared" si="978"/>
        <v>396.23468504214776</v>
      </c>
    </row>
    <row r="416" spans="1:20" x14ac:dyDescent="0.25">
      <c r="A416" s="5">
        <v>44177</v>
      </c>
      <c r="B416">
        <v>2.7789999999999999E-2</v>
      </c>
      <c r="C416">
        <v>2.8819999999999998E-2</v>
      </c>
      <c r="D416">
        <v>2.7640000000000001E-2</v>
      </c>
      <c r="E416">
        <v>2.8549999999999999E-2</v>
      </c>
      <c r="F416">
        <v>614827855.39999998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0.54237288135593209</v>
      </c>
      <c r="Q416">
        <f t="shared" si="975"/>
        <v>333465955.47118634</v>
      </c>
      <c r="R416">
        <f t="shared" si="976"/>
        <v>39467825535.813133</v>
      </c>
      <c r="S416">
        <f t="shared" si="977"/>
        <v>394678.25535813131</v>
      </c>
      <c r="T416">
        <f t="shared" si="978"/>
        <v>394.67825535813131</v>
      </c>
    </row>
    <row r="417" spans="1:20" x14ac:dyDescent="0.25">
      <c r="A417" s="5">
        <v>44176</v>
      </c>
      <c r="B417">
        <v>2.8119999999999999E-2</v>
      </c>
      <c r="C417">
        <v>2.8209999999999999E-2</v>
      </c>
      <c r="D417">
        <v>2.7400000000000001E-2</v>
      </c>
      <c r="E417">
        <v>2.7779999999999999E-2</v>
      </c>
      <c r="F417">
        <v>917010768.79999995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-6.17283950617303E-2</v>
      </c>
      <c r="Q417">
        <f t="shared" si="975"/>
        <v>-56605603.012347423</v>
      </c>
      <c r="R417">
        <f t="shared" si="976"/>
        <v>39134359580.341949</v>
      </c>
      <c r="S417">
        <f t="shared" si="977"/>
        <v>391343.59580341948</v>
      </c>
      <c r="T417">
        <f t="shared" si="978"/>
        <v>391.34359580341948</v>
      </c>
    </row>
    <row r="418" spans="1:20" x14ac:dyDescent="0.25">
      <c r="A418" s="5">
        <v>44175</v>
      </c>
      <c r="B418">
        <v>2.869E-2</v>
      </c>
      <c r="C418">
        <v>2.8809999999999999E-2</v>
      </c>
      <c r="D418">
        <v>2.7740000000000001E-2</v>
      </c>
      <c r="E418">
        <v>2.811E-2</v>
      </c>
      <c r="F418">
        <v>639683453.70000005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-0.30841121495327201</v>
      </c>
      <c r="Q418">
        <f t="shared" si="975"/>
        <v>-197285551.14112213</v>
      </c>
      <c r="R418">
        <f t="shared" si="976"/>
        <v>39190965183.354294</v>
      </c>
      <c r="S418">
        <f t="shared" si="977"/>
        <v>391909.65183354291</v>
      </c>
      <c r="T418">
        <f t="shared" si="978"/>
        <v>391.90965183354291</v>
      </c>
    </row>
    <row r="419" spans="1:20" x14ac:dyDescent="0.25">
      <c r="A419" s="5">
        <v>44174</v>
      </c>
      <c r="B419">
        <v>2.7890000000000002E-2</v>
      </c>
      <c r="C419">
        <v>2.8850000000000001E-2</v>
      </c>
      <c r="D419">
        <v>2.7E-2</v>
      </c>
      <c r="E419">
        <v>2.87E-2</v>
      </c>
      <c r="F419">
        <v>1091324294.4000001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0.83783783783783705</v>
      </c>
      <c r="Q419">
        <f t="shared" si="975"/>
        <v>914352787.19999921</v>
      </c>
      <c r="R419">
        <f t="shared" si="976"/>
        <v>39388250734.495415</v>
      </c>
      <c r="S419">
        <f t="shared" si="977"/>
        <v>393882.50734495412</v>
      </c>
      <c r="T419">
        <f t="shared" si="978"/>
        <v>393.88250734495415</v>
      </c>
    </row>
    <row r="420" spans="1:20" x14ac:dyDescent="0.25">
      <c r="A420" s="5">
        <v>44173</v>
      </c>
      <c r="B420">
        <v>3.0300000000000001E-2</v>
      </c>
      <c r="C420">
        <v>3.0300000000000001E-2</v>
      </c>
      <c r="D420">
        <v>2.75E-2</v>
      </c>
      <c r="E420">
        <v>2.7900000000000001E-2</v>
      </c>
      <c r="F420">
        <v>948379670.60000002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-0.71428571428571352</v>
      </c>
      <c r="Q420">
        <f t="shared" si="975"/>
        <v>-677414050.42857075</v>
      </c>
      <c r="R420">
        <f t="shared" si="976"/>
        <v>38473897947.295418</v>
      </c>
      <c r="S420">
        <f t="shared" si="977"/>
        <v>384738.97947295418</v>
      </c>
      <c r="T420">
        <f t="shared" si="978"/>
        <v>384.73897947295416</v>
      </c>
    </row>
    <row r="421" spans="1:20" x14ac:dyDescent="0.25">
      <c r="A421" s="5">
        <v>44172</v>
      </c>
      <c r="B421">
        <v>3.0929999999999999E-2</v>
      </c>
      <c r="C421">
        <v>3.0980000000000001E-2</v>
      </c>
      <c r="D421">
        <v>2.989E-2</v>
      </c>
      <c r="E421">
        <v>3.0290000000000001E-2</v>
      </c>
      <c r="F421">
        <v>520972036.30000001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-0.26605504587155815</v>
      </c>
      <c r="Q421">
        <f t="shared" si="975"/>
        <v>-138607239.01559556</v>
      </c>
      <c r="R421">
        <f t="shared" si="976"/>
        <v>39151311997.723991</v>
      </c>
      <c r="S421">
        <f t="shared" si="977"/>
        <v>391513.11997723993</v>
      </c>
      <c r="T421">
        <f t="shared" si="978"/>
        <v>391.51311997723991</v>
      </c>
    </row>
    <row r="422" spans="1:20" x14ac:dyDescent="0.25">
      <c r="A422" s="5">
        <v>44171</v>
      </c>
      <c r="B422">
        <v>3.057E-2</v>
      </c>
      <c r="C422">
        <v>3.1E-2</v>
      </c>
      <c r="D422">
        <v>3.0040000000000001E-2</v>
      </c>
      <c r="E422">
        <v>3.091E-2</v>
      </c>
      <c r="F422">
        <v>625718156.39999998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0.81250000000000022</v>
      </c>
      <c r="Q422">
        <f t="shared" si="975"/>
        <v>508396002.07500011</v>
      </c>
      <c r="R422">
        <f t="shared" si="976"/>
        <v>39289919236.739586</v>
      </c>
      <c r="S422">
        <f t="shared" si="977"/>
        <v>392899.19236739585</v>
      </c>
      <c r="T422">
        <f t="shared" si="978"/>
        <v>392.89919236739587</v>
      </c>
    </row>
    <row r="423" spans="1:20" x14ac:dyDescent="0.25">
      <c r="A423" s="5">
        <v>44170</v>
      </c>
      <c r="B423">
        <v>2.9440000000000001E-2</v>
      </c>
      <c r="C423">
        <v>3.0599999999999999E-2</v>
      </c>
      <c r="D423">
        <v>2.9170000000000001E-2</v>
      </c>
      <c r="E423">
        <v>3.056E-2</v>
      </c>
      <c r="F423">
        <v>366436721.80000001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0.94405594405594617</v>
      </c>
      <c r="Q423">
        <f t="shared" si="975"/>
        <v>345936765.33566511</v>
      </c>
      <c r="R423">
        <f t="shared" si="976"/>
        <v>38781523234.664589</v>
      </c>
      <c r="S423">
        <f t="shared" si="977"/>
        <v>387815.23234664591</v>
      </c>
      <c r="T423">
        <f t="shared" si="978"/>
        <v>387.81523234664593</v>
      </c>
    </row>
    <row r="424" spans="1:20" x14ac:dyDescent="0.25">
      <c r="A424" s="5">
        <v>44169</v>
      </c>
      <c r="B424">
        <v>3.1649999999999998E-2</v>
      </c>
      <c r="C424">
        <v>3.1719999999999998E-2</v>
      </c>
      <c r="D424">
        <v>2.903E-2</v>
      </c>
      <c r="E424">
        <v>2.947E-2</v>
      </c>
      <c r="F424">
        <v>892084794.79999995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-0.67286245353159868</v>
      </c>
      <c r="Q424">
        <f t="shared" si="975"/>
        <v>-600250363.78736067</v>
      </c>
      <c r="R424">
        <f t="shared" si="976"/>
        <v>38435586469.328926</v>
      </c>
      <c r="S424">
        <f t="shared" si="977"/>
        <v>384355.86469328927</v>
      </c>
      <c r="T424">
        <f t="shared" si="978"/>
        <v>384.35586469328928</v>
      </c>
    </row>
    <row r="425" spans="1:20" x14ac:dyDescent="0.25">
      <c r="A425" s="5">
        <v>44168</v>
      </c>
      <c r="B425">
        <v>3.117E-2</v>
      </c>
      <c r="C425">
        <v>3.1949999999999999E-2</v>
      </c>
      <c r="D425">
        <v>3.073E-2</v>
      </c>
      <c r="E425">
        <v>3.1660000000000001E-2</v>
      </c>
      <c r="F425">
        <v>730337042.70000005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0.52459016393442814</v>
      </c>
      <c r="Q425">
        <f t="shared" si="975"/>
        <v>383127628.95737845</v>
      </c>
      <c r="R425">
        <f t="shared" si="976"/>
        <v>39035836833.116287</v>
      </c>
      <c r="S425">
        <f t="shared" si="977"/>
        <v>390358.3683311629</v>
      </c>
      <c r="T425">
        <f t="shared" si="978"/>
        <v>390.35836833116292</v>
      </c>
    </row>
    <row r="426" spans="1:20" x14ac:dyDescent="0.25">
      <c r="A426" s="5">
        <v>44167</v>
      </c>
      <c r="B426">
        <v>3.0259999999999999E-2</v>
      </c>
      <c r="C426">
        <v>3.134E-2</v>
      </c>
      <c r="D426">
        <v>2.9700000000000001E-2</v>
      </c>
      <c r="E426">
        <v>3.1179999999999999E-2</v>
      </c>
      <c r="F426">
        <v>964079509.29999995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0.80487804878048719</v>
      </c>
      <c r="Q426">
        <f t="shared" si="975"/>
        <v>775966434.31463349</v>
      </c>
      <c r="R426">
        <f t="shared" si="976"/>
        <v>38652709204.158905</v>
      </c>
      <c r="S426">
        <f t="shared" si="977"/>
        <v>386527.09204158903</v>
      </c>
      <c r="T426">
        <f t="shared" si="978"/>
        <v>386.52709204158901</v>
      </c>
    </row>
    <row r="427" spans="1:20" x14ac:dyDescent="0.25">
      <c r="A427" s="5">
        <v>44166</v>
      </c>
      <c r="B427">
        <v>3.236E-2</v>
      </c>
      <c r="C427">
        <v>3.4250000000000003E-2</v>
      </c>
      <c r="D427">
        <v>2.92E-2</v>
      </c>
      <c r="E427">
        <v>3.024E-2</v>
      </c>
      <c r="F427">
        <v>2733408986.1999998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-0.58811881188118864</v>
      </c>
      <c r="Q427">
        <f t="shared" si="975"/>
        <v>-1607569245.3493083</v>
      </c>
      <c r="R427">
        <f t="shared" si="976"/>
        <v>37876742769.844269</v>
      </c>
      <c r="S427">
        <f t="shared" si="977"/>
        <v>378767.42769844271</v>
      </c>
      <c r="T427">
        <f t="shared" si="978"/>
        <v>378.7674276984427</v>
      </c>
    </row>
    <row r="428" spans="1:20" x14ac:dyDescent="0.25">
      <c r="A428" s="5">
        <v>44165</v>
      </c>
      <c r="B428">
        <v>3.074E-2</v>
      </c>
      <c r="C428">
        <v>3.3090000000000001E-2</v>
      </c>
      <c r="D428">
        <v>3.024E-2</v>
      </c>
      <c r="E428">
        <v>3.236E-2</v>
      </c>
      <c r="F428">
        <v>1785509133.8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0.48771929824561333</v>
      </c>
      <c r="Q428">
        <f t="shared" si="975"/>
        <v>870827261.74806893</v>
      </c>
      <c r="R428">
        <f t="shared" si="976"/>
        <v>39484312015.193581</v>
      </c>
      <c r="S428">
        <f t="shared" si="977"/>
        <v>394843.12015193579</v>
      </c>
      <c r="T428">
        <f t="shared" si="978"/>
        <v>394.84312015193581</v>
      </c>
    </row>
    <row r="429" spans="1:20" x14ac:dyDescent="0.25">
      <c r="A429" s="5">
        <v>44164</v>
      </c>
      <c r="B429">
        <v>3.0460000000000001E-2</v>
      </c>
      <c r="C429">
        <v>3.1230000000000001E-2</v>
      </c>
      <c r="D429">
        <v>2.9559999999999999E-2</v>
      </c>
      <c r="E429">
        <v>3.0720000000000001E-2</v>
      </c>
      <c r="F429">
        <v>909797312.5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0.389221556886228</v>
      </c>
      <c r="Q429">
        <f t="shared" si="975"/>
        <v>354112726.4221561</v>
      </c>
      <c r="R429">
        <f t="shared" si="976"/>
        <v>38613484753.445511</v>
      </c>
      <c r="S429">
        <f t="shared" si="977"/>
        <v>386134.84753445513</v>
      </c>
      <c r="T429">
        <f t="shared" si="978"/>
        <v>386.1348475344551</v>
      </c>
    </row>
    <row r="430" spans="1:20" x14ac:dyDescent="0.25">
      <c r="A430" s="5">
        <v>44163</v>
      </c>
      <c r="B430">
        <v>2.938E-2</v>
      </c>
      <c r="C430">
        <v>3.125E-2</v>
      </c>
      <c r="D430">
        <v>2.8629999999999999E-2</v>
      </c>
      <c r="E430">
        <v>3.0470000000000001E-2</v>
      </c>
      <c r="F430">
        <v>1526904135.5999999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0.40458015267175634</v>
      </c>
      <c r="Q430">
        <f t="shared" si="975"/>
        <v>617755108.29618406</v>
      </c>
      <c r="R430">
        <f t="shared" si="976"/>
        <v>38259372027.023354</v>
      </c>
      <c r="S430">
        <f t="shared" si="977"/>
        <v>382593.72027023352</v>
      </c>
      <c r="T430">
        <f t="shared" si="978"/>
        <v>382.59372027023352</v>
      </c>
    </row>
    <row r="431" spans="1:20" x14ac:dyDescent="0.25">
      <c r="A431" s="5">
        <v>44162</v>
      </c>
      <c r="B431">
        <v>2.9420000000000002E-2</v>
      </c>
      <c r="C431">
        <v>3.014E-2</v>
      </c>
      <c r="D431">
        <v>2.8060000000000002E-2</v>
      </c>
      <c r="E431">
        <v>2.938E-2</v>
      </c>
      <c r="F431">
        <v>1370876076.8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0.26923076923076844</v>
      </c>
      <c r="Q431">
        <f t="shared" si="975"/>
        <v>369082020.67692196</v>
      </c>
      <c r="R431">
        <f t="shared" si="976"/>
        <v>37641616918.727173</v>
      </c>
      <c r="S431">
        <f t="shared" si="977"/>
        <v>376416.16918727173</v>
      </c>
      <c r="T431">
        <f t="shared" si="978"/>
        <v>376.41616918727175</v>
      </c>
    </row>
    <row r="432" spans="1:20" x14ac:dyDescent="0.25">
      <c r="A432" s="5">
        <v>44161</v>
      </c>
      <c r="B432">
        <v>3.3050000000000003E-2</v>
      </c>
      <c r="C432">
        <v>3.3890000000000003E-2</v>
      </c>
      <c r="D432">
        <v>2.7150000000000001E-2</v>
      </c>
      <c r="E432">
        <v>2.9420000000000002E-2</v>
      </c>
      <c r="F432">
        <v>4693587268.6000004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-0.32640949554896137</v>
      </c>
      <c r="Q432">
        <f t="shared" si="975"/>
        <v>-1532031452.6587536</v>
      </c>
      <c r="R432">
        <f t="shared" si="976"/>
        <v>37272534898.050247</v>
      </c>
      <c r="S432">
        <f t="shared" si="977"/>
        <v>372725.34898050246</v>
      </c>
      <c r="T432">
        <f t="shared" si="978"/>
        <v>372.72534898050247</v>
      </c>
    </row>
    <row r="433" spans="1:20" x14ac:dyDescent="0.25">
      <c r="A433" s="5">
        <v>44160</v>
      </c>
      <c r="B433">
        <v>3.524E-2</v>
      </c>
      <c r="C433">
        <v>3.7440000000000001E-2</v>
      </c>
      <c r="D433">
        <v>3.1609999999999999E-2</v>
      </c>
      <c r="E433">
        <v>3.304E-2</v>
      </c>
      <c r="F433">
        <v>4381691467.8999996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-0.50943396226415083</v>
      </c>
      <c r="Q433">
        <f t="shared" si="975"/>
        <v>-2232182445.9113202</v>
      </c>
      <c r="R433">
        <f t="shared" si="976"/>
        <v>38804566350.709</v>
      </c>
      <c r="S433">
        <f t="shared" si="977"/>
        <v>388045.66350709001</v>
      </c>
      <c r="T433">
        <f t="shared" si="978"/>
        <v>388.04566350709001</v>
      </c>
    </row>
    <row r="434" spans="1:20" x14ac:dyDescent="0.25">
      <c r="A434" s="5">
        <v>44159</v>
      </c>
      <c r="B434">
        <v>3.1739999999999997E-2</v>
      </c>
      <c r="C434">
        <v>3.9149999999999997E-2</v>
      </c>
      <c r="D434">
        <v>3.143E-2</v>
      </c>
      <c r="E434">
        <v>3.5229999999999997E-2</v>
      </c>
      <c r="F434">
        <v>6013330220.1999998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-1.5544041450777472E-2</v>
      </c>
      <c r="Q434">
        <f t="shared" si="975"/>
        <v>-93471454.200001627</v>
      </c>
      <c r="R434">
        <f t="shared" si="976"/>
        <v>41036748796.620323</v>
      </c>
      <c r="S434">
        <f t="shared" si="977"/>
        <v>410367.48796620325</v>
      </c>
      <c r="T434">
        <f t="shared" si="978"/>
        <v>410.36748796620327</v>
      </c>
    </row>
    <row r="435" spans="1:20" x14ac:dyDescent="0.25">
      <c r="A435" s="5">
        <v>44158</v>
      </c>
      <c r="B435">
        <v>2.8729999999999999E-2</v>
      </c>
      <c r="C435">
        <v>3.1829999999999997E-2</v>
      </c>
      <c r="D435">
        <v>2.8299999999999999E-2</v>
      </c>
      <c r="E435">
        <v>3.1739999999999997E-2</v>
      </c>
      <c r="F435">
        <v>2623456115.6999998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0.9490084985835695</v>
      </c>
      <c r="Q435">
        <f t="shared" si="975"/>
        <v>2489682149.46034</v>
      </c>
      <c r="R435">
        <f t="shared" si="976"/>
        <v>41130220250.820328</v>
      </c>
      <c r="S435">
        <f t="shared" si="977"/>
        <v>411302.20250820328</v>
      </c>
      <c r="T435">
        <f t="shared" si="978"/>
        <v>411.30220250820327</v>
      </c>
    </row>
    <row r="436" spans="1:20" x14ac:dyDescent="0.25">
      <c r="A436" s="5">
        <v>44157</v>
      </c>
      <c r="B436">
        <v>3.056E-2</v>
      </c>
      <c r="C436">
        <v>3.0810000000000001E-2</v>
      </c>
      <c r="D436">
        <v>2.7220000000000001E-2</v>
      </c>
      <c r="E436">
        <v>2.8750000000000001E-2</v>
      </c>
      <c r="F436">
        <v>2909105916.4000001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-0.14763231197771567</v>
      </c>
      <c r="Q436">
        <f t="shared" si="975"/>
        <v>-429478032.2261833</v>
      </c>
      <c r="R436">
        <f t="shared" si="976"/>
        <v>38640538101.359985</v>
      </c>
      <c r="S436">
        <f t="shared" si="977"/>
        <v>386405.38101359986</v>
      </c>
      <c r="T436">
        <f t="shared" si="978"/>
        <v>386.40538101359988</v>
      </c>
    </row>
    <row r="437" spans="1:20" x14ac:dyDescent="0.25">
      <c r="A437" s="5">
        <v>44156</v>
      </c>
      <c r="B437">
        <v>2.6290000000000001E-2</v>
      </c>
      <c r="C437">
        <v>3.073E-2</v>
      </c>
      <c r="D437">
        <v>2.6120000000000001E-2</v>
      </c>
      <c r="E437">
        <v>3.057E-2</v>
      </c>
      <c r="F437">
        <v>3351418820.0999999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0.93058568329717983</v>
      </c>
      <c r="Q437">
        <f t="shared" si="975"/>
        <v>3118782372.7177868</v>
      </c>
      <c r="R437">
        <f t="shared" si="976"/>
        <v>39070016133.586166</v>
      </c>
      <c r="S437">
        <f t="shared" si="977"/>
        <v>390700.16133586166</v>
      </c>
      <c r="T437">
        <f t="shared" si="978"/>
        <v>390.70016133586165</v>
      </c>
    </row>
    <row r="438" spans="1:20" x14ac:dyDescent="0.25">
      <c r="A438" s="5">
        <v>44155</v>
      </c>
      <c r="B438">
        <v>2.58E-2</v>
      </c>
      <c r="C438">
        <v>2.657E-2</v>
      </c>
      <c r="D438">
        <v>2.5739999999999999E-2</v>
      </c>
      <c r="E438">
        <v>2.6290000000000001E-2</v>
      </c>
      <c r="F438">
        <v>1131122949.7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0.32530120481928021</v>
      </c>
      <c r="Q438">
        <f t="shared" si="975"/>
        <v>367955658.33614808</v>
      </c>
      <c r="R438">
        <f t="shared" si="976"/>
        <v>35951233760.868378</v>
      </c>
      <c r="S438">
        <f t="shared" si="977"/>
        <v>359512.3376086838</v>
      </c>
      <c r="T438">
        <f t="shared" si="978"/>
        <v>359.51233760868382</v>
      </c>
    </row>
    <row r="439" spans="1:20" x14ac:dyDescent="0.25">
      <c r="A439" s="5">
        <v>44154</v>
      </c>
      <c r="B439">
        <v>2.6769999999999999E-2</v>
      </c>
      <c r="C439">
        <v>2.6950000000000002E-2</v>
      </c>
      <c r="D439">
        <v>2.53E-2</v>
      </c>
      <c r="E439">
        <v>2.581E-2</v>
      </c>
      <c r="F439">
        <v>1328670550.3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-0.38181818181818256</v>
      </c>
      <c r="Q439">
        <f t="shared" si="975"/>
        <v>-507310573.75091004</v>
      </c>
      <c r="R439">
        <f t="shared" si="976"/>
        <v>35583278102.532227</v>
      </c>
      <c r="S439">
        <f t="shared" si="977"/>
        <v>355832.78102532227</v>
      </c>
      <c r="T439">
        <f t="shared" si="978"/>
        <v>355.83278102532228</v>
      </c>
    </row>
    <row r="440" spans="1:20" x14ac:dyDescent="0.25">
      <c r="A440" s="5">
        <v>44153</v>
      </c>
      <c r="B440">
        <v>2.6499999999999999E-2</v>
      </c>
      <c r="C440">
        <v>2.7130000000000001E-2</v>
      </c>
      <c r="D440">
        <v>2.41E-2</v>
      </c>
      <c r="E440">
        <v>2.6780000000000002E-2</v>
      </c>
      <c r="F440">
        <v>1659887707.2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0.76897689768976929</v>
      </c>
      <c r="Q440">
        <f t="shared" si="975"/>
        <v>1276415299.5960402</v>
      </c>
      <c r="R440">
        <f t="shared" si="976"/>
        <v>36090588676.283134</v>
      </c>
      <c r="S440">
        <f t="shared" si="977"/>
        <v>360905.88676283136</v>
      </c>
      <c r="T440">
        <f t="shared" si="978"/>
        <v>360.90588676283136</v>
      </c>
    </row>
    <row r="441" spans="1:20" x14ac:dyDescent="0.25">
      <c r="A441" s="5">
        <v>44152</v>
      </c>
      <c r="B441">
        <v>2.5489999999999999E-2</v>
      </c>
      <c r="C441">
        <v>2.664E-2</v>
      </c>
      <c r="D441">
        <v>2.545E-2</v>
      </c>
      <c r="E441">
        <v>2.649E-2</v>
      </c>
      <c r="F441">
        <v>1001981251.9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0.74789915966386422</v>
      </c>
      <c r="Q441">
        <f t="shared" si="975"/>
        <v>749380936.29495668</v>
      </c>
      <c r="R441">
        <f t="shared" si="976"/>
        <v>34814173376.687096</v>
      </c>
      <c r="S441">
        <f t="shared" si="977"/>
        <v>348141.73376687098</v>
      </c>
      <c r="T441">
        <f t="shared" si="978"/>
        <v>348.14173376687097</v>
      </c>
    </row>
    <row r="442" spans="1:20" x14ac:dyDescent="0.25">
      <c r="A442" s="5">
        <v>44151</v>
      </c>
      <c r="B442">
        <v>2.5319999999999999E-2</v>
      </c>
      <c r="C442">
        <v>2.58E-2</v>
      </c>
      <c r="D442">
        <v>2.5100000000000001E-2</v>
      </c>
      <c r="E442">
        <v>2.5489999999999999E-2</v>
      </c>
      <c r="F442">
        <v>681566043.39999998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0.11428571428570976</v>
      </c>
      <c r="Q442">
        <f t="shared" si="975"/>
        <v>77893262.102854058</v>
      </c>
      <c r="R442">
        <f t="shared" si="976"/>
        <v>34064792440.392136</v>
      </c>
      <c r="S442">
        <f t="shared" si="977"/>
        <v>340647.92440392135</v>
      </c>
      <c r="T442">
        <f t="shared" si="978"/>
        <v>340.64792440392137</v>
      </c>
    </row>
    <row r="443" spans="1:20" x14ac:dyDescent="0.25">
      <c r="A443" s="5">
        <v>44150</v>
      </c>
      <c r="B443">
        <v>2.513E-2</v>
      </c>
      <c r="C443">
        <v>2.581E-2</v>
      </c>
      <c r="D443">
        <v>2.4920000000000001E-2</v>
      </c>
      <c r="E443">
        <v>2.5329999999999998E-2</v>
      </c>
      <c r="F443">
        <v>685798227.20000005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-7.8651685393263157E-2</v>
      </c>
      <c r="Q443">
        <f t="shared" si="975"/>
        <v>-53939186.408992015</v>
      </c>
      <c r="R443">
        <f t="shared" si="976"/>
        <v>33986899178.28928</v>
      </c>
      <c r="S443">
        <f t="shared" si="977"/>
        <v>339868.99178289279</v>
      </c>
      <c r="T443">
        <f t="shared" si="978"/>
        <v>339.86899178289281</v>
      </c>
    </row>
    <row r="444" spans="1:20" x14ac:dyDescent="0.25">
      <c r="A444" s="5">
        <v>44149</v>
      </c>
      <c r="B444">
        <v>2.5399999999999999E-2</v>
      </c>
      <c r="C444">
        <v>2.545E-2</v>
      </c>
      <c r="D444">
        <v>2.495E-2</v>
      </c>
      <c r="E444">
        <v>2.513E-2</v>
      </c>
      <c r="F444">
        <v>571177180.20000005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-0.28000000000000225</v>
      </c>
      <c r="Q444">
        <f t="shared" si="975"/>
        <v>-159929610.45600131</v>
      </c>
      <c r="R444">
        <f t="shared" si="976"/>
        <v>34040838364.698273</v>
      </c>
      <c r="S444">
        <f t="shared" si="977"/>
        <v>340408.38364698272</v>
      </c>
      <c r="T444">
        <f t="shared" si="978"/>
        <v>340.40838364698271</v>
      </c>
    </row>
    <row r="445" spans="1:20" x14ac:dyDescent="0.25">
      <c r="A445" s="5">
        <v>44148</v>
      </c>
      <c r="B445">
        <v>2.4899999999999999E-2</v>
      </c>
      <c r="C445">
        <v>2.547E-2</v>
      </c>
      <c r="D445">
        <v>2.478E-2</v>
      </c>
      <c r="E445">
        <v>2.5399999999999999E-2</v>
      </c>
      <c r="F445">
        <v>805998812.89999998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0.79710144927536042</v>
      </c>
      <c r="Q445">
        <f t="shared" si="975"/>
        <v>642462821.87681007</v>
      </c>
      <c r="R445">
        <f t="shared" si="976"/>
        <v>34200767975.154274</v>
      </c>
      <c r="S445">
        <f t="shared" si="977"/>
        <v>342007.67975154275</v>
      </c>
      <c r="T445">
        <f t="shared" si="978"/>
        <v>342.00767975154275</v>
      </c>
    </row>
    <row r="446" spans="1:20" x14ac:dyDescent="0.25">
      <c r="A446" s="5">
        <v>44147</v>
      </c>
      <c r="B446">
        <v>2.4969999999999999E-2</v>
      </c>
      <c r="C446">
        <v>2.521E-2</v>
      </c>
      <c r="D446">
        <v>2.4740000000000002E-2</v>
      </c>
      <c r="E446">
        <v>2.4899999999999999E-2</v>
      </c>
      <c r="F446">
        <v>643131651.89999998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-0.31914893617022311</v>
      </c>
      <c r="Q446">
        <f t="shared" si="975"/>
        <v>-205254782.52128324</v>
      </c>
      <c r="R446">
        <f t="shared" si="976"/>
        <v>33558305153.277462</v>
      </c>
      <c r="S446">
        <f t="shared" si="977"/>
        <v>335583.05153277464</v>
      </c>
      <c r="T446">
        <f t="shared" si="978"/>
        <v>335.58305153277462</v>
      </c>
    </row>
    <row r="447" spans="1:20" x14ac:dyDescent="0.25">
      <c r="A447" s="5">
        <v>44146</v>
      </c>
      <c r="B447">
        <v>2.4840000000000001E-2</v>
      </c>
      <c r="C447">
        <v>2.53E-2</v>
      </c>
      <c r="D447">
        <v>2.4830000000000001E-2</v>
      </c>
      <c r="E447">
        <v>2.4979999999999999E-2</v>
      </c>
      <c r="F447">
        <v>488484326.39999998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-0.36170212765958326</v>
      </c>
      <c r="Q447">
        <f t="shared" si="975"/>
        <v>-176685820.18723834</v>
      </c>
      <c r="R447">
        <f t="shared" si="976"/>
        <v>33763559935.798744</v>
      </c>
      <c r="S447">
        <f t="shared" si="977"/>
        <v>337635.59935798746</v>
      </c>
      <c r="T447">
        <f t="shared" si="978"/>
        <v>337.63559935798747</v>
      </c>
    </row>
    <row r="448" spans="1:20" x14ac:dyDescent="0.25">
      <c r="A448" s="5">
        <v>44145</v>
      </c>
      <c r="B448">
        <v>2.479E-2</v>
      </c>
      <c r="C448">
        <v>2.53E-2</v>
      </c>
      <c r="D448">
        <v>2.461E-2</v>
      </c>
      <c r="E448">
        <v>2.4830000000000001E-2</v>
      </c>
      <c r="F448">
        <v>524595692.69999999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-0.36231884057970565</v>
      </c>
      <c r="Q448">
        <f t="shared" si="975"/>
        <v>-190070903.15217155</v>
      </c>
      <c r="R448">
        <f t="shared" si="976"/>
        <v>33940245755.985981</v>
      </c>
      <c r="S448">
        <f t="shared" si="977"/>
        <v>339402.45755985979</v>
      </c>
      <c r="T448">
        <f t="shared" si="978"/>
        <v>339.40245755985978</v>
      </c>
    </row>
    <row r="449" spans="1:20" x14ac:dyDescent="0.25">
      <c r="A449" s="5">
        <v>44144</v>
      </c>
      <c r="B449">
        <v>2.5340000000000001E-2</v>
      </c>
      <c r="C449">
        <v>2.562E-2</v>
      </c>
      <c r="D449">
        <v>2.4639999999999999E-2</v>
      </c>
      <c r="E449">
        <v>2.479E-2</v>
      </c>
      <c r="F449">
        <v>639504222.29999995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-0.69387755102040705</v>
      </c>
      <c r="Q449">
        <f t="shared" si="975"/>
        <v>-443737623.63673395</v>
      </c>
      <c r="R449">
        <f t="shared" si="976"/>
        <v>34130316659.138153</v>
      </c>
      <c r="S449">
        <f t="shared" si="977"/>
        <v>341303.16659138154</v>
      </c>
      <c r="T449">
        <f t="shared" si="978"/>
        <v>341.30316659138151</v>
      </c>
    </row>
    <row r="450" spans="1:20" x14ac:dyDescent="0.25">
      <c r="A450" s="5">
        <v>44143</v>
      </c>
      <c r="B450">
        <v>2.486E-2</v>
      </c>
      <c r="C450">
        <v>2.5649999999999999E-2</v>
      </c>
      <c r="D450">
        <v>2.46E-2</v>
      </c>
      <c r="E450">
        <v>2.5350000000000001E-2</v>
      </c>
      <c r="F450">
        <v>569685678.5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0.42857142857143138</v>
      </c>
      <c r="Q450">
        <f t="shared" si="975"/>
        <v>244151005.07143018</v>
      </c>
      <c r="R450">
        <f t="shared" si="976"/>
        <v>34574054282.774887</v>
      </c>
      <c r="S450">
        <f t="shared" si="977"/>
        <v>345740.54282774887</v>
      </c>
      <c r="T450">
        <f t="shared" si="978"/>
        <v>345.74054282774887</v>
      </c>
    </row>
    <row r="451" spans="1:20" x14ac:dyDescent="0.25">
      <c r="A451" s="5">
        <v>44142</v>
      </c>
      <c r="B451">
        <v>2.615E-2</v>
      </c>
      <c r="C451">
        <v>2.674E-2</v>
      </c>
      <c r="D451">
        <v>2.4400000000000002E-2</v>
      </c>
      <c r="E451">
        <v>2.486E-2</v>
      </c>
      <c r="F451">
        <v>1515522976.5999999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-0.60683760683760779</v>
      </c>
      <c r="Q451">
        <f t="shared" si="975"/>
        <v>-919676336.22735178</v>
      </c>
      <c r="R451">
        <f t="shared" si="976"/>
        <v>34329903277.703457</v>
      </c>
      <c r="S451">
        <f t="shared" si="977"/>
        <v>343299.03277703456</v>
      </c>
      <c r="T451">
        <f t="shared" si="978"/>
        <v>343.29903277703454</v>
      </c>
    </row>
    <row r="452" spans="1:20" x14ac:dyDescent="0.25">
      <c r="A452" s="5">
        <v>44141</v>
      </c>
      <c r="B452">
        <v>2.494E-2</v>
      </c>
      <c r="C452">
        <v>2.6169999999999999E-2</v>
      </c>
      <c r="D452">
        <v>2.4899999999999999E-2</v>
      </c>
      <c r="E452">
        <v>2.6159999999999999E-2</v>
      </c>
      <c r="F452">
        <v>1057308400.7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0.9842519685039377</v>
      </c>
      <c r="Q452">
        <f t="shared" si="975"/>
        <v>1040657874.7047251</v>
      </c>
      <c r="R452">
        <f t="shared" si="976"/>
        <v>35249579613.930809</v>
      </c>
      <c r="S452">
        <f t="shared" si="977"/>
        <v>352495.79613930808</v>
      </c>
      <c r="T452">
        <f t="shared" si="978"/>
        <v>352.49579613930808</v>
      </c>
    </row>
    <row r="453" spans="1:20" x14ac:dyDescent="0.25">
      <c r="A453" s="5">
        <v>44140</v>
      </c>
      <c r="B453">
        <v>2.4209999999999999E-2</v>
      </c>
      <c r="C453">
        <v>2.5080000000000002E-2</v>
      </c>
      <c r="D453">
        <v>2.402E-2</v>
      </c>
      <c r="E453">
        <v>2.4930000000000001E-2</v>
      </c>
      <c r="F453">
        <v>1014789309.3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0.71698113207547065</v>
      </c>
      <c r="Q453">
        <f t="shared" si="975"/>
        <v>727584787.79999888</v>
      </c>
      <c r="R453">
        <f t="shared" si="976"/>
        <v>34208921739.226082</v>
      </c>
      <c r="S453">
        <f t="shared" si="977"/>
        <v>342089.21739226079</v>
      </c>
      <c r="T453">
        <f t="shared" si="978"/>
        <v>342.08921739226076</v>
      </c>
    </row>
    <row r="454" spans="1:20" x14ac:dyDescent="0.25">
      <c r="A454" s="5">
        <v>44139</v>
      </c>
      <c r="B454">
        <v>2.4410000000000001E-2</v>
      </c>
      <c r="C454">
        <v>2.444E-2</v>
      </c>
      <c r="D454">
        <v>2.3650000000000001E-2</v>
      </c>
      <c r="E454">
        <v>2.4199999999999999E-2</v>
      </c>
      <c r="F454">
        <v>894859419.70000005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0.39240506329113689</v>
      </c>
      <c r="Q454">
        <f t="shared" ref="Q454:Q517" si="980">F454*P454</f>
        <v>351147367.22404855</v>
      </c>
      <c r="R454">
        <f t="shared" ref="R454:R517" si="981">R455+Q454</f>
        <v>33481336951.426083</v>
      </c>
      <c r="S454">
        <f t="shared" ref="S454:S517" si="982">R454/100000</f>
        <v>334813.36951426085</v>
      </c>
      <c r="T454">
        <f t="shared" ref="T454:T517" si="983">S454/1000</f>
        <v>334.81336951426084</v>
      </c>
    </row>
    <row r="455" spans="1:20" x14ac:dyDescent="0.25">
      <c r="A455" s="5">
        <v>44138</v>
      </c>
      <c r="B455">
        <v>2.444E-2</v>
      </c>
      <c r="C455">
        <v>2.4469999999999999E-2</v>
      </c>
      <c r="D455">
        <v>2.3040000000000001E-2</v>
      </c>
      <c r="E455">
        <v>2.4420000000000001E-2</v>
      </c>
      <c r="F455">
        <v>1095296354.5999999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0.93006993006993277</v>
      </c>
      <c r="Q455">
        <f t="shared" si="980"/>
        <v>1018702203.9286742</v>
      </c>
      <c r="R455">
        <f t="shared" si="981"/>
        <v>33130189584.202034</v>
      </c>
      <c r="S455">
        <f t="shared" si="982"/>
        <v>331301.89584202034</v>
      </c>
      <c r="T455">
        <f t="shared" si="983"/>
        <v>331.30189584202031</v>
      </c>
    </row>
    <row r="456" spans="1:20" x14ac:dyDescent="0.25">
      <c r="A456" s="5">
        <v>44137</v>
      </c>
      <c r="B456">
        <v>2.5739999999999999E-2</v>
      </c>
      <c r="C456">
        <v>2.589E-2</v>
      </c>
      <c r="D456">
        <v>2.436E-2</v>
      </c>
      <c r="E456">
        <v>2.445E-2</v>
      </c>
      <c r="F456">
        <v>879566372.70000005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-0.8823529411764709</v>
      </c>
      <c r="Q456">
        <f t="shared" si="980"/>
        <v>-776087975.91176498</v>
      </c>
      <c r="R456">
        <f t="shared" si="981"/>
        <v>32111487380.273361</v>
      </c>
      <c r="S456">
        <f t="shared" si="982"/>
        <v>321114.87380273361</v>
      </c>
      <c r="T456">
        <f t="shared" si="983"/>
        <v>321.1148738027336</v>
      </c>
    </row>
    <row r="457" spans="1:20" x14ac:dyDescent="0.25">
      <c r="A457" s="5">
        <v>44136</v>
      </c>
      <c r="B457">
        <v>2.5760000000000002E-2</v>
      </c>
      <c r="C457">
        <v>2.5909999999999999E-2</v>
      </c>
      <c r="D457">
        <v>2.5399999999999999E-2</v>
      </c>
      <c r="E457">
        <v>2.5739999999999999E-2</v>
      </c>
      <c r="F457">
        <v>497387089.19999999</v>
      </c>
      <c r="G457">
        <v>0</v>
      </c>
      <c r="L457" t="s">
        <v>7</v>
      </c>
      <c r="M457" t="s">
        <v>8</v>
      </c>
      <c r="N457" t="s">
        <v>7</v>
      </c>
      <c r="P457">
        <f t="shared" si="979"/>
        <v>0.33333333333333331</v>
      </c>
      <c r="Q457">
        <f t="shared" si="980"/>
        <v>165795696.39999998</v>
      </c>
      <c r="R457">
        <f t="shared" si="981"/>
        <v>32887575356.185127</v>
      </c>
      <c r="S457">
        <f t="shared" si="982"/>
        <v>328875.75356185128</v>
      </c>
      <c r="T457">
        <f t="shared" si="983"/>
        <v>328.8757535618513</v>
      </c>
    </row>
    <row r="458" spans="1:20" x14ac:dyDescent="0.25">
      <c r="A458" s="5">
        <v>44135</v>
      </c>
      <c r="B458">
        <v>2.5600000000000001E-2</v>
      </c>
      <c r="C458">
        <v>2.6689999999999998E-2</v>
      </c>
      <c r="D458">
        <v>2.545E-2</v>
      </c>
      <c r="E458">
        <v>2.5760000000000002E-2</v>
      </c>
      <c r="F458">
        <v>851462505.60000002</v>
      </c>
      <c r="G458">
        <v>0</v>
      </c>
      <c r="L458" t="s">
        <v>7</v>
      </c>
      <c r="M458" t="s">
        <v>8</v>
      </c>
      <c r="N458" t="s">
        <v>7</v>
      </c>
      <c r="P458">
        <f t="shared" si="979"/>
        <v>-0.49999999999999722</v>
      </c>
      <c r="Q458">
        <f t="shared" si="980"/>
        <v>-425731252.79999763</v>
      </c>
      <c r="R458">
        <f t="shared" si="981"/>
        <v>32721779659.785126</v>
      </c>
      <c r="S458">
        <f t="shared" si="982"/>
        <v>327217.79659785127</v>
      </c>
      <c r="T458">
        <f t="shared" si="983"/>
        <v>327.21779659785125</v>
      </c>
    </row>
    <row r="459" spans="1:20" x14ac:dyDescent="0.25">
      <c r="A459" s="5">
        <v>44134</v>
      </c>
      <c r="B459">
        <v>2.656E-2</v>
      </c>
      <c r="C459">
        <v>2.6669999999999999E-2</v>
      </c>
      <c r="D459">
        <v>2.5219999999999999E-2</v>
      </c>
      <c r="E459">
        <v>2.5600000000000001E-2</v>
      </c>
      <c r="F459">
        <v>871951290.5</v>
      </c>
      <c r="G459">
        <v>0</v>
      </c>
      <c r="L459" t="s">
        <v>7</v>
      </c>
      <c r="M459" t="s">
        <v>8</v>
      </c>
      <c r="N459" t="s">
        <v>7</v>
      </c>
      <c r="P459">
        <f t="shared" si="979"/>
        <v>-0.47586206896551464</v>
      </c>
      <c r="Q459">
        <f t="shared" si="980"/>
        <v>-414928545.13448048</v>
      </c>
      <c r="R459">
        <f t="shared" si="981"/>
        <v>33147510912.585125</v>
      </c>
      <c r="S459">
        <f t="shared" si="982"/>
        <v>331475.10912585125</v>
      </c>
      <c r="T459">
        <f t="shared" si="983"/>
        <v>331.47510912585125</v>
      </c>
    </row>
    <row r="460" spans="1:20" x14ac:dyDescent="0.25">
      <c r="A460" s="5">
        <v>44133</v>
      </c>
      <c r="B460">
        <v>2.6880000000000001E-2</v>
      </c>
      <c r="C460">
        <v>2.7279999999999999E-2</v>
      </c>
      <c r="D460">
        <v>2.6360000000000001E-2</v>
      </c>
      <c r="E460">
        <v>2.6550000000000001E-2</v>
      </c>
      <c r="F460">
        <v>765752218</v>
      </c>
      <c r="G460">
        <v>0</v>
      </c>
      <c r="L460" t="s">
        <v>7</v>
      </c>
      <c r="M460" t="s">
        <v>8</v>
      </c>
      <c r="N460" t="s">
        <v>7</v>
      </c>
      <c r="P460">
        <f t="shared" si="979"/>
        <v>-0.58695652173913093</v>
      </c>
      <c r="Q460">
        <f t="shared" si="980"/>
        <v>-449463258.39130473</v>
      </c>
      <c r="R460">
        <f t="shared" si="981"/>
        <v>33562439457.719604</v>
      </c>
      <c r="S460">
        <f t="shared" si="982"/>
        <v>335624.39457719604</v>
      </c>
      <c r="T460">
        <f t="shared" si="983"/>
        <v>335.62439457719603</v>
      </c>
    </row>
    <row r="461" spans="1:20" x14ac:dyDescent="0.25">
      <c r="A461" s="5">
        <v>44132</v>
      </c>
      <c r="B461">
        <v>2.7009999999999999E-2</v>
      </c>
      <c r="C461">
        <v>2.7359999999999999E-2</v>
      </c>
      <c r="D461">
        <v>2.6519999999999998E-2</v>
      </c>
      <c r="E461">
        <v>2.6880000000000001E-2</v>
      </c>
      <c r="F461">
        <v>771483712.89999998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-0.14285714285713697</v>
      </c>
      <c r="Q461">
        <f t="shared" si="980"/>
        <v>-110211958.98570974</v>
      </c>
      <c r="R461">
        <f t="shared" si="981"/>
        <v>34011902716.110909</v>
      </c>
      <c r="S461">
        <f t="shared" si="982"/>
        <v>340119.02716110909</v>
      </c>
      <c r="T461">
        <f t="shared" si="983"/>
        <v>340.1190271611091</v>
      </c>
    </row>
    <row r="462" spans="1:20" x14ac:dyDescent="0.25">
      <c r="A462" s="5">
        <v>44131</v>
      </c>
      <c r="B462">
        <v>2.6749999999999999E-2</v>
      </c>
      <c r="C462">
        <v>2.7140000000000001E-2</v>
      </c>
      <c r="D462">
        <v>2.6700000000000002E-2</v>
      </c>
      <c r="E462">
        <v>2.7009999999999999E-2</v>
      </c>
      <c r="F462">
        <v>610373758.5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0.40909090909090084</v>
      </c>
      <c r="Q462">
        <f t="shared" si="980"/>
        <v>249698355.74999496</v>
      </c>
      <c r="R462">
        <f t="shared" si="981"/>
        <v>34122114675.096619</v>
      </c>
      <c r="S462">
        <f t="shared" si="982"/>
        <v>341221.1467509662</v>
      </c>
      <c r="T462">
        <f t="shared" si="983"/>
        <v>341.22114675096623</v>
      </c>
    </row>
    <row r="463" spans="1:20" x14ac:dyDescent="0.25">
      <c r="A463" s="5">
        <v>44130</v>
      </c>
      <c r="B463">
        <v>2.6980000000000001E-2</v>
      </c>
      <c r="C463">
        <v>2.75E-2</v>
      </c>
      <c r="D463">
        <v>2.6339999999999999E-2</v>
      </c>
      <c r="E463">
        <v>2.6749999999999999E-2</v>
      </c>
      <c r="F463">
        <v>855670592.29999995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-0.29310344827586177</v>
      </c>
      <c r="Q463">
        <f t="shared" si="980"/>
        <v>-250800001.19137904</v>
      </c>
      <c r="R463">
        <f t="shared" si="981"/>
        <v>33872416319.346622</v>
      </c>
      <c r="S463">
        <f t="shared" si="982"/>
        <v>338724.1631934662</v>
      </c>
      <c r="T463">
        <f t="shared" si="983"/>
        <v>338.72416319346621</v>
      </c>
    </row>
    <row r="464" spans="1:20" x14ac:dyDescent="0.25">
      <c r="A464" s="5">
        <v>44129</v>
      </c>
      <c r="B464">
        <v>2.7050000000000001E-2</v>
      </c>
      <c r="C464">
        <v>2.725E-2</v>
      </c>
      <c r="D464">
        <v>2.6620000000000001E-2</v>
      </c>
      <c r="E464">
        <v>2.699E-2</v>
      </c>
      <c r="F464">
        <v>576987726.89999998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0.17460317460317337</v>
      </c>
      <c r="Q464">
        <f t="shared" si="980"/>
        <v>100743888.8238088</v>
      </c>
      <c r="R464">
        <f t="shared" si="981"/>
        <v>34123216320.538002</v>
      </c>
      <c r="S464">
        <f t="shared" si="982"/>
        <v>341232.16320538003</v>
      </c>
      <c r="T464">
        <f t="shared" si="983"/>
        <v>341.23216320538</v>
      </c>
    </row>
    <row r="465" spans="1:20" x14ac:dyDescent="0.25">
      <c r="A465" s="5">
        <v>44128</v>
      </c>
      <c r="B465">
        <v>2.6700000000000002E-2</v>
      </c>
      <c r="C465">
        <v>2.7289999999999998E-2</v>
      </c>
      <c r="D465">
        <v>2.656E-2</v>
      </c>
      <c r="E465">
        <v>2.7060000000000001E-2</v>
      </c>
      <c r="F465">
        <v>544973533.70000005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0.36986301369863511</v>
      </c>
      <c r="Q465">
        <f t="shared" si="980"/>
        <v>201565553.56027669</v>
      </c>
      <c r="R465">
        <f t="shared" si="981"/>
        <v>34022472431.714191</v>
      </c>
      <c r="S465">
        <f t="shared" si="982"/>
        <v>340224.72431714192</v>
      </c>
      <c r="T465">
        <f t="shared" si="983"/>
        <v>340.22472431714192</v>
      </c>
    </row>
    <row r="466" spans="1:20" x14ac:dyDescent="0.25">
      <c r="A466" s="5">
        <v>44127</v>
      </c>
      <c r="B466">
        <v>2.7089999999999999E-2</v>
      </c>
      <c r="C466">
        <v>2.7130000000000001E-2</v>
      </c>
      <c r="D466">
        <v>2.6239999999999999E-2</v>
      </c>
      <c r="E466">
        <v>2.6689999999999998E-2</v>
      </c>
      <c r="F466">
        <v>546279908.20000005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1.1235955056175395E-2</v>
      </c>
      <c r="Q466">
        <f t="shared" si="980"/>
        <v>6137976.4966268213</v>
      </c>
      <c r="R466">
        <f t="shared" si="981"/>
        <v>33820906878.153915</v>
      </c>
      <c r="S466">
        <f t="shared" si="982"/>
        <v>338209.06878153916</v>
      </c>
      <c r="T466">
        <f t="shared" si="983"/>
        <v>338.20906878153914</v>
      </c>
    </row>
    <row r="467" spans="1:20" x14ac:dyDescent="0.25">
      <c r="A467" s="5">
        <v>44126</v>
      </c>
      <c r="B467">
        <v>2.666E-2</v>
      </c>
      <c r="C467">
        <v>2.7480000000000001E-2</v>
      </c>
      <c r="D467">
        <v>2.665E-2</v>
      </c>
      <c r="E467">
        <v>2.708E-2</v>
      </c>
      <c r="F467">
        <v>727252779.70000005</v>
      </c>
      <c r="G467">
        <v>0</v>
      </c>
      <c r="L467" t="s">
        <v>7</v>
      </c>
      <c r="M467" t="s">
        <v>8</v>
      </c>
      <c r="N467" t="s">
        <v>7</v>
      </c>
      <c r="P467">
        <f t="shared" si="979"/>
        <v>3.6144578313251498E-2</v>
      </c>
      <c r="Q467">
        <f t="shared" si="980"/>
        <v>26286245.049396493</v>
      </c>
      <c r="R467">
        <f t="shared" si="981"/>
        <v>33814768901.657288</v>
      </c>
      <c r="S467">
        <f t="shared" si="982"/>
        <v>338147.6890165729</v>
      </c>
      <c r="T467">
        <f t="shared" si="983"/>
        <v>338.14768901657288</v>
      </c>
    </row>
    <row r="468" spans="1:20" x14ac:dyDescent="0.25">
      <c r="A468" s="5">
        <v>44125</v>
      </c>
      <c r="B468">
        <v>2.5930000000000002E-2</v>
      </c>
      <c r="C468">
        <v>2.7570000000000001E-2</v>
      </c>
      <c r="D468">
        <v>2.5870000000000001E-2</v>
      </c>
      <c r="E468">
        <v>2.6669999999999999E-2</v>
      </c>
      <c r="F468">
        <v>1144231906</v>
      </c>
      <c r="G468">
        <v>0</v>
      </c>
      <c r="L468" t="s">
        <v>7</v>
      </c>
      <c r="M468" t="s">
        <v>8</v>
      </c>
      <c r="N468" t="s">
        <v>7</v>
      </c>
      <c r="P468">
        <f t="shared" si="979"/>
        <v>-5.8823529411766384E-2</v>
      </c>
      <c r="Q468">
        <f t="shared" si="980"/>
        <v>-67307759.176472515</v>
      </c>
      <c r="R468">
        <f t="shared" si="981"/>
        <v>33788482656.607891</v>
      </c>
      <c r="S468">
        <f t="shared" si="982"/>
        <v>337884.82656607893</v>
      </c>
      <c r="T468">
        <f t="shared" si="983"/>
        <v>337.88482656607891</v>
      </c>
    </row>
    <row r="469" spans="1:20" x14ac:dyDescent="0.25">
      <c r="A469" s="5">
        <v>44124</v>
      </c>
      <c r="B469">
        <v>2.588E-2</v>
      </c>
      <c r="C469">
        <v>2.9149999999999999E-2</v>
      </c>
      <c r="D469">
        <v>2.5319999999999999E-2</v>
      </c>
      <c r="E469">
        <v>2.5919999999999999E-2</v>
      </c>
      <c r="F469">
        <v>2321744915.9000001</v>
      </c>
      <c r="G469">
        <v>0</v>
      </c>
      <c r="L469" t="s">
        <v>8</v>
      </c>
      <c r="M469" t="s">
        <v>8</v>
      </c>
      <c r="N469" t="s">
        <v>7</v>
      </c>
      <c r="P469">
        <f t="shared" si="979"/>
        <v>-0.68668407310704971</v>
      </c>
      <c r="Q469">
        <f t="shared" si="980"/>
        <v>-1594305255.5657966</v>
      </c>
      <c r="R469">
        <f t="shared" si="981"/>
        <v>33855790415.784363</v>
      </c>
      <c r="S469">
        <f t="shared" si="982"/>
        <v>338557.90415784362</v>
      </c>
      <c r="T469">
        <f t="shared" si="983"/>
        <v>338.55790415784361</v>
      </c>
    </row>
    <row r="470" spans="1:20" x14ac:dyDescent="0.25">
      <c r="A470" s="5">
        <v>44123</v>
      </c>
      <c r="B470">
        <v>2.5930000000000002E-2</v>
      </c>
      <c r="C470">
        <v>2.614E-2</v>
      </c>
      <c r="D470">
        <v>2.5649999999999999E-2</v>
      </c>
      <c r="E470">
        <v>2.589E-2</v>
      </c>
      <c r="F470">
        <v>513549302.69999999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-2.0408163265305257E-2</v>
      </c>
      <c r="Q470">
        <f t="shared" si="980"/>
        <v>-10480598.01428527</v>
      </c>
      <c r="R470">
        <f t="shared" si="981"/>
        <v>35450095671.350159</v>
      </c>
      <c r="S470">
        <f t="shared" si="982"/>
        <v>354500.9567135016</v>
      </c>
      <c r="T470">
        <f t="shared" si="983"/>
        <v>354.50095671350158</v>
      </c>
    </row>
    <row r="471" spans="1:20" x14ac:dyDescent="0.25">
      <c r="A471" s="5">
        <v>44122</v>
      </c>
      <c r="B471">
        <v>2.5739999999999999E-2</v>
      </c>
      <c r="C471">
        <v>2.6100000000000002E-2</v>
      </c>
      <c r="D471">
        <v>2.5669999999999998E-2</v>
      </c>
      <c r="E471">
        <v>2.5940000000000001E-2</v>
      </c>
      <c r="F471">
        <v>265978536.09999999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0.25581395348837582</v>
      </c>
      <c r="Q471">
        <f t="shared" si="980"/>
        <v>68041020.862791687</v>
      </c>
      <c r="R471">
        <f t="shared" si="981"/>
        <v>35460576269.364441</v>
      </c>
      <c r="S471">
        <f t="shared" si="982"/>
        <v>354605.76269364438</v>
      </c>
      <c r="T471">
        <f t="shared" si="983"/>
        <v>354.60576269364441</v>
      </c>
    </row>
    <row r="472" spans="1:20" x14ac:dyDescent="0.25">
      <c r="A472" s="5">
        <v>44121</v>
      </c>
      <c r="B472">
        <v>2.571E-2</v>
      </c>
      <c r="C472">
        <v>2.606E-2</v>
      </c>
      <c r="D472">
        <v>2.5499999999999998E-2</v>
      </c>
      <c r="E472">
        <v>2.5739999999999999E-2</v>
      </c>
      <c r="F472">
        <v>315279242.39999998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-0.14285714285714285</v>
      </c>
      <c r="Q472">
        <f t="shared" si="980"/>
        <v>-45039891.771428563</v>
      </c>
      <c r="R472">
        <f t="shared" si="981"/>
        <v>35392535248.501648</v>
      </c>
      <c r="S472">
        <f t="shared" si="982"/>
        <v>353925.35248501645</v>
      </c>
      <c r="T472">
        <f t="shared" si="983"/>
        <v>353.92535248501645</v>
      </c>
    </row>
    <row r="473" spans="1:20" x14ac:dyDescent="0.25">
      <c r="A473" s="5">
        <v>44120</v>
      </c>
      <c r="B473">
        <v>2.6530000000000001E-2</v>
      </c>
      <c r="C473">
        <v>2.6610000000000002E-2</v>
      </c>
      <c r="D473">
        <v>2.5499999999999998E-2</v>
      </c>
      <c r="E473">
        <v>2.572E-2</v>
      </c>
      <c r="F473">
        <v>608652972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-0.60360360360360221</v>
      </c>
      <c r="Q473">
        <f t="shared" si="980"/>
        <v>-367385127.24324238</v>
      </c>
      <c r="R473">
        <f t="shared" si="981"/>
        <v>35437575140.273079</v>
      </c>
      <c r="S473">
        <f t="shared" si="982"/>
        <v>354375.75140273076</v>
      </c>
      <c r="T473">
        <f t="shared" si="983"/>
        <v>354.37575140273077</v>
      </c>
    </row>
    <row r="474" spans="1:20" x14ac:dyDescent="0.25">
      <c r="A474" s="5">
        <v>44119</v>
      </c>
      <c r="B474">
        <v>2.6749999999999999E-2</v>
      </c>
      <c r="C474">
        <v>2.6790000000000001E-2</v>
      </c>
      <c r="D474">
        <v>2.6270000000000002E-2</v>
      </c>
      <c r="E474">
        <v>2.6519999999999998E-2</v>
      </c>
      <c r="F474">
        <v>594845653</v>
      </c>
      <c r="G474">
        <v>0</v>
      </c>
      <c r="L474" t="s">
        <v>8</v>
      </c>
      <c r="M474" t="s">
        <v>8</v>
      </c>
      <c r="N474" t="s">
        <v>7</v>
      </c>
      <c r="P474">
        <f t="shared" si="979"/>
        <v>-3.8461538461550267E-2</v>
      </c>
      <c r="Q474">
        <f t="shared" si="980"/>
        <v>-22878678.961545482</v>
      </c>
      <c r="R474">
        <f t="shared" si="981"/>
        <v>35804960267.516319</v>
      </c>
      <c r="S474">
        <f t="shared" si="982"/>
        <v>358049.60267516319</v>
      </c>
      <c r="T474">
        <f t="shared" si="983"/>
        <v>358.04960267516321</v>
      </c>
    </row>
    <row r="475" spans="1:20" x14ac:dyDescent="0.25">
      <c r="A475" s="5">
        <v>44118</v>
      </c>
      <c r="B475">
        <v>2.6800000000000001E-2</v>
      </c>
      <c r="C475">
        <v>2.7179999999999999E-2</v>
      </c>
      <c r="D475">
        <v>2.63E-2</v>
      </c>
      <c r="E475">
        <v>2.6759999999999999E-2</v>
      </c>
      <c r="F475">
        <v>836283008.79999995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4.5454545454543666E-2</v>
      </c>
      <c r="Q475">
        <f t="shared" si="980"/>
        <v>38012864.036362141</v>
      </c>
      <c r="R475">
        <f t="shared" si="981"/>
        <v>35827838946.477867</v>
      </c>
      <c r="S475">
        <f t="shared" si="982"/>
        <v>358278.38946477865</v>
      </c>
      <c r="T475">
        <f t="shared" si="983"/>
        <v>358.27838946477863</v>
      </c>
    </row>
    <row r="476" spans="1:20" x14ac:dyDescent="0.25">
      <c r="A476" s="5">
        <v>44117</v>
      </c>
      <c r="B476">
        <v>2.708E-2</v>
      </c>
      <c r="C476">
        <v>2.733E-2</v>
      </c>
      <c r="D476">
        <v>2.6509999999999999E-2</v>
      </c>
      <c r="E476">
        <v>2.6800000000000001E-2</v>
      </c>
      <c r="F476">
        <v>899778594.70000005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-0.29268292682926439</v>
      </c>
      <c r="Q476">
        <f t="shared" si="980"/>
        <v>-263349832.59511846</v>
      </c>
      <c r="R476">
        <f t="shared" si="981"/>
        <v>35789826082.441505</v>
      </c>
      <c r="S476">
        <f t="shared" si="982"/>
        <v>357898.26082441508</v>
      </c>
      <c r="T476">
        <f t="shared" si="983"/>
        <v>357.8982608244151</v>
      </c>
    </row>
    <row r="477" spans="1:20" x14ac:dyDescent="0.25">
      <c r="A477" s="5">
        <v>44116</v>
      </c>
      <c r="B477">
        <v>2.6550000000000001E-2</v>
      </c>
      <c r="C477">
        <v>2.784E-2</v>
      </c>
      <c r="D477">
        <v>2.5839999999999998E-2</v>
      </c>
      <c r="E477">
        <v>2.7089999999999999E-2</v>
      </c>
      <c r="F477">
        <v>1398274223.4000001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0.25</v>
      </c>
      <c r="Q477">
        <f t="shared" si="980"/>
        <v>349568555.85000002</v>
      </c>
      <c r="R477">
        <f t="shared" si="981"/>
        <v>36053175915.036621</v>
      </c>
      <c r="S477">
        <f t="shared" si="982"/>
        <v>360531.75915036618</v>
      </c>
      <c r="T477">
        <f t="shared" si="983"/>
        <v>360.53175915036616</v>
      </c>
    </row>
    <row r="478" spans="1:20" x14ac:dyDescent="0.25">
      <c r="A478" s="5">
        <v>44115</v>
      </c>
      <c r="B478">
        <v>2.6429999999999999E-2</v>
      </c>
      <c r="C478">
        <v>2.6800000000000001E-2</v>
      </c>
      <c r="D478">
        <v>2.6079999999999999E-2</v>
      </c>
      <c r="E478">
        <v>2.656E-2</v>
      </c>
      <c r="F478">
        <v>941753387.20000005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0.33333333333333331</v>
      </c>
      <c r="Q478">
        <f t="shared" si="980"/>
        <v>313917795.73333335</v>
      </c>
      <c r="R478">
        <f t="shared" si="981"/>
        <v>35703607359.186623</v>
      </c>
      <c r="S478">
        <f t="shared" si="982"/>
        <v>357036.07359186624</v>
      </c>
      <c r="T478">
        <f t="shared" si="983"/>
        <v>357.03607359186623</v>
      </c>
    </row>
    <row r="479" spans="1:20" x14ac:dyDescent="0.25">
      <c r="A479" s="5">
        <v>44114</v>
      </c>
      <c r="B479">
        <v>2.6270000000000002E-2</v>
      </c>
      <c r="C479">
        <v>2.743E-2</v>
      </c>
      <c r="D479">
        <v>2.6259999999999999E-2</v>
      </c>
      <c r="E479">
        <v>2.6440000000000002E-2</v>
      </c>
      <c r="F479">
        <v>1335278925.5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-0.69230769230768729</v>
      </c>
      <c r="Q479">
        <f t="shared" si="980"/>
        <v>-924423871.49999332</v>
      </c>
      <c r="R479">
        <f t="shared" si="981"/>
        <v>35389689563.453293</v>
      </c>
      <c r="S479">
        <f t="shared" si="982"/>
        <v>353896.89563453291</v>
      </c>
      <c r="T479">
        <f t="shared" si="983"/>
        <v>353.89689563453288</v>
      </c>
    </row>
    <row r="480" spans="1:20" x14ac:dyDescent="0.25">
      <c r="A480" s="5">
        <v>44113</v>
      </c>
      <c r="B480">
        <v>2.572E-2</v>
      </c>
      <c r="C480">
        <v>2.6460000000000001E-2</v>
      </c>
      <c r="D480">
        <v>2.5600000000000001E-2</v>
      </c>
      <c r="E480">
        <v>2.6270000000000002E-2</v>
      </c>
      <c r="F480">
        <v>1467913927.2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0.55813953488372259</v>
      </c>
      <c r="Q480">
        <f t="shared" si="980"/>
        <v>819300796.5767467</v>
      </c>
      <c r="R480">
        <f t="shared" si="981"/>
        <v>36314113434.953285</v>
      </c>
      <c r="S480">
        <f t="shared" si="982"/>
        <v>363141.13434953283</v>
      </c>
      <c r="T480">
        <f t="shared" si="983"/>
        <v>363.14113434953282</v>
      </c>
    </row>
    <row r="481" spans="1:20" x14ac:dyDescent="0.25">
      <c r="A481" s="5">
        <v>44112</v>
      </c>
      <c r="B481">
        <v>2.5510000000000001E-2</v>
      </c>
      <c r="C481">
        <v>2.5999999999999999E-2</v>
      </c>
      <c r="D481">
        <v>2.496E-2</v>
      </c>
      <c r="E481">
        <v>2.572E-2</v>
      </c>
      <c r="F481">
        <v>1045491048.5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0.46153846153846306</v>
      </c>
      <c r="Q481">
        <f t="shared" si="980"/>
        <v>482534330.07692468</v>
      </c>
      <c r="R481">
        <f t="shared" si="981"/>
        <v>35494812638.376541</v>
      </c>
      <c r="S481">
        <f t="shared" si="982"/>
        <v>354948.12638376543</v>
      </c>
      <c r="T481">
        <f t="shared" si="983"/>
        <v>354.94812638376544</v>
      </c>
    </row>
    <row r="482" spans="1:20" x14ac:dyDescent="0.25">
      <c r="A482" s="5">
        <v>44111</v>
      </c>
      <c r="B482">
        <v>2.5559999999999999E-2</v>
      </c>
      <c r="C482">
        <v>2.5659999999999999E-2</v>
      </c>
      <c r="D482">
        <v>2.5010000000000001E-2</v>
      </c>
      <c r="E482">
        <v>2.5510000000000001E-2</v>
      </c>
      <c r="F482">
        <v>711802005.60000002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0.53846153846154499</v>
      </c>
      <c r="Q482">
        <f t="shared" si="980"/>
        <v>383278003.01538926</v>
      </c>
      <c r="R482">
        <f t="shared" si="981"/>
        <v>35012278308.299614</v>
      </c>
      <c r="S482">
        <f t="shared" si="982"/>
        <v>350122.78308299615</v>
      </c>
      <c r="T482">
        <f t="shared" si="983"/>
        <v>350.12278308299614</v>
      </c>
    </row>
    <row r="483" spans="1:20" x14ac:dyDescent="0.25">
      <c r="A483" s="5">
        <v>44110</v>
      </c>
      <c r="B483">
        <v>2.6429999999999999E-2</v>
      </c>
      <c r="C483">
        <v>2.6589999999999999E-2</v>
      </c>
      <c r="D483">
        <v>2.5270000000000001E-2</v>
      </c>
      <c r="E483">
        <v>2.5559999999999999E-2</v>
      </c>
      <c r="F483">
        <v>1042748361.9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-0.56060606060606211</v>
      </c>
      <c r="Q483">
        <f t="shared" si="980"/>
        <v>-584571051.36818337</v>
      </c>
      <c r="R483">
        <f t="shared" si="981"/>
        <v>34629000305.284225</v>
      </c>
      <c r="S483">
        <f t="shared" si="982"/>
        <v>346290.00305284228</v>
      </c>
      <c r="T483">
        <f t="shared" si="983"/>
        <v>346.29000305284228</v>
      </c>
    </row>
    <row r="484" spans="1:20" x14ac:dyDescent="0.25">
      <c r="A484" s="5">
        <v>44109</v>
      </c>
      <c r="B484">
        <v>2.6440000000000002E-2</v>
      </c>
      <c r="C484">
        <v>2.6839999999999999E-2</v>
      </c>
      <c r="D484">
        <v>2.5930000000000002E-2</v>
      </c>
      <c r="E484">
        <v>2.6429999999999999E-2</v>
      </c>
      <c r="F484">
        <v>1057490258.8</v>
      </c>
      <c r="G484">
        <v>0</v>
      </c>
      <c r="L484" t="s">
        <v>7</v>
      </c>
      <c r="M484" t="s">
        <v>8</v>
      </c>
      <c r="N484" t="s">
        <v>7</v>
      </c>
      <c r="P484">
        <f t="shared" si="979"/>
        <v>9.8901098901095136E-2</v>
      </c>
      <c r="Q484">
        <f t="shared" si="980"/>
        <v>104586948.67252348</v>
      </c>
      <c r="R484">
        <f t="shared" si="981"/>
        <v>35213571356.652412</v>
      </c>
      <c r="S484">
        <f t="shared" si="982"/>
        <v>352135.71356652415</v>
      </c>
      <c r="T484">
        <f t="shared" si="983"/>
        <v>352.13571356652415</v>
      </c>
    </row>
    <row r="485" spans="1:20" x14ac:dyDescent="0.25">
      <c r="A485" s="5">
        <v>44108</v>
      </c>
      <c r="B485">
        <v>2.7199999999999998E-2</v>
      </c>
      <c r="C485">
        <v>2.7390000000000001E-2</v>
      </c>
      <c r="D485">
        <v>2.5860000000000001E-2</v>
      </c>
      <c r="E485">
        <v>2.6440000000000002E-2</v>
      </c>
      <c r="F485">
        <v>1524677259.7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-0.24183006535947632</v>
      </c>
      <c r="Q485">
        <f t="shared" si="980"/>
        <v>-368712801.36535829</v>
      </c>
      <c r="R485">
        <f t="shared" si="981"/>
        <v>35108984407.979889</v>
      </c>
      <c r="S485">
        <f t="shared" si="982"/>
        <v>351089.8440797989</v>
      </c>
      <c r="T485">
        <f t="shared" si="983"/>
        <v>351.08984407979892</v>
      </c>
    </row>
    <row r="486" spans="1:20" x14ac:dyDescent="0.25">
      <c r="A486" s="5">
        <v>44107</v>
      </c>
      <c r="B486">
        <v>2.5899999999999999E-2</v>
      </c>
      <c r="C486">
        <v>2.8490000000000001E-2</v>
      </c>
      <c r="D486">
        <v>2.5749999999999999E-2</v>
      </c>
      <c r="E486">
        <v>2.7189999999999999E-2</v>
      </c>
      <c r="F486">
        <v>1679730887.0999999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5.1094890510948038E-2</v>
      </c>
      <c r="Q486">
        <f t="shared" si="980"/>
        <v>85825665.764232114</v>
      </c>
      <c r="R486">
        <f t="shared" si="981"/>
        <v>35477697209.345245</v>
      </c>
      <c r="S486">
        <f t="shared" si="982"/>
        <v>354776.97209345247</v>
      </c>
      <c r="T486">
        <f t="shared" si="983"/>
        <v>354.77697209345246</v>
      </c>
    </row>
    <row r="487" spans="1:20" x14ac:dyDescent="0.25">
      <c r="A487" s="5">
        <v>44106</v>
      </c>
      <c r="B487">
        <v>2.579E-2</v>
      </c>
      <c r="C487">
        <v>2.6169999999999999E-2</v>
      </c>
      <c r="D487">
        <v>2.3949999999999999E-2</v>
      </c>
      <c r="E487">
        <v>2.5899999999999999E-2</v>
      </c>
      <c r="F487">
        <v>1241602705.3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0.75675675675675724</v>
      </c>
      <c r="Q487">
        <f t="shared" si="980"/>
        <v>939591236.44324386</v>
      </c>
      <c r="R487">
        <f t="shared" si="981"/>
        <v>35391871543.581017</v>
      </c>
      <c r="S487">
        <f t="shared" si="982"/>
        <v>353918.71543581015</v>
      </c>
      <c r="T487">
        <f t="shared" si="983"/>
        <v>353.91871543581016</v>
      </c>
    </row>
    <row r="488" spans="1:20" x14ac:dyDescent="0.25">
      <c r="A488" s="5">
        <v>44105</v>
      </c>
      <c r="B488">
        <v>2.622E-2</v>
      </c>
      <c r="C488">
        <v>2.6749999999999999E-2</v>
      </c>
      <c r="D488">
        <v>2.504E-2</v>
      </c>
      <c r="E488">
        <v>2.581E-2</v>
      </c>
      <c r="F488">
        <v>1801626292.5999999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-9.9415204678362595E-2</v>
      </c>
      <c r="Q488">
        <f t="shared" si="980"/>
        <v>-179109046.63274857</v>
      </c>
      <c r="R488">
        <f t="shared" si="981"/>
        <v>34452280307.137772</v>
      </c>
      <c r="S488">
        <f t="shared" si="982"/>
        <v>344522.80307137774</v>
      </c>
      <c r="T488">
        <f t="shared" si="983"/>
        <v>344.52280307137772</v>
      </c>
    </row>
    <row r="489" spans="1:20" x14ac:dyDescent="0.25">
      <c r="A489" s="5">
        <v>44104</v>
      </c>
      <c r="B489">
        <v>2.63E-2</v>
      </c>
      <c r="C489">
        <v>2.657E-2</v>
      </c>
      <c r="D489">
        <v>2.572E-2</v>
      </c>
      <c r="E489">
        <v>2.6210000000000001E-2</v>
      </c>
      <c r="F489">
        <v>820839526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0.15294117647059016</v>
      </c>
      <c r="Q489">
        <f t="shared" si="980"/>
        <v>125540162.80000158</v>
      </c>
      <c r="R489">
        <f t="shared" si="981"/>
        <v>34631389353.770523</v>
      </c>
      <c r="S489">
        <f t="shared" si="982"/>
        <v>346313.89353770524</v>
      </c>
      <c r="T489">
        <f t="shared" si="983"/>
        <v>346.31389353770521</v>
      </c>
    </row>
    <row r="490" spans="1:20" x14ac:dyDescent="0.25">
      <c r="A490" s="5">
        <v>44103</v>
      </c>
      <c r="B490">
        <v>2.623E-2</v>
      </c>
      <c r="C490">
        <v>2.6429999999999999E-2</v>
      </c>
      <c r="D490">
        <v>2.5499999999999998E-2</v>
      </c>
      <c r="E490">
        <v>2.63E-2</v>
      </c>
      <c r="F490">
        <v>1142496339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0.72043010752688574</v>
      </c>
      <c r="Q490">
        <f t="shared" si="980"/>
        <v>823088760.35484326</v>
      </c>
      <c r="R490">
        <f t="shared" si="981"/>
        <v>34505849190.97052</v>
      </c>
      <c r="S490">
        <f t="shared" si="982"/>
        <v>345058.49190970522</v>
      </c>
      <c r="T490">
        <f t="shared" si="983"/>
        <v>345.0584919097052</v>
      </c>
    </row>
    <row r="491" spans="1:20" x14ac:dyDescent="0.25">
      <c r="A491" s="5">
        <v>44102</v>
      </c>
      <c r="B491">
        <v>2.6589999999999999E-2</v>
      </c>
      <c r="C491">
        <v>2.717E-2</v>
      </c>
      <c r="D491">
        <v>2.613E-2</v>
      </c>
      <c r="E491">
        <v>2.6249999999999999E-2</v>
      </c>
      <c r="F491">
        <v>1696802057.5999999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-0.76923076923077183</v>
      </c>
      <c r="Q491">
        <f t="shared" si="980"/>
        <v>-1305232352.0000043</v>
      </c>
      <c r="R491">
        <f t="shared" si="981"/>
        <v>33682760430.615673</v>
      </c>
      <c r="S491">
        <f t="shared" si="982"/>
        <v>336827.60430615675</v>
      </c>
      <c r="T491">
        <f t="shared" si="983"/>
        <v>336.82760430615673</v>
      </c>
    </row>
    <row r="492" spans="1:20" x14ac:dyDescent="0.25">
      <c r="A492" s="5">
        <v>44101</v>
      </c>
      <c r="B492">
        <v>2.717E-2</v>
      </c>
      <c r="C492">
        <v>2.7570000000000001E-2</v>
      </c>
      <c r="D492">
        <v>2.5950000000000001E-2</v>
      </c>
      <c r="E492">
        <v>2.6589999999999999E-2</v>
      </c>
      <c r="F492">
        <v>1398653692.4000001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-0.20987654320987872</v>
      </c>
      <c r="Q492">
        <f t="shared" si="980"/>
        <v>-293544602.10864502</v>
      </c>
      <c r="R492">
        <f t="shared" si="981"/>
        <v>34987992782.615677</v>
      </c>
      <c r="S492">
        <f t="shared" si="982"/>
        <v>349879.92782615678</v>
      </c>
      <c r="T492">
        <f t="shared" si="983"/>
        <v>349.8799278261568</v>
      </c>
    </row>
    <row r="493" spans="1:20" x14ac:dyDescent="0.25">
      <c r="A493" s="5">
        <v>44100</v>
      </c>
      <c r="B493">
        <v>2.7150000000000001E-2</v>
      </c>
      <c r="C493">
        <v>2.8930000000000001E-2</v>
      </c>
      <c r="D493">
        <v>2.6970000000000001E-2</v>
      </c>
      <c r="E493">
        <v>2.7179999999999999E-2</v>
      </c>
      <c r="F493">
        <v>1427017277.3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-0.78571428571428736</v>
      </c>
      <c r="Q493">
        <f t="shared" si="980"/>
        <v>-1121227860.7357166</v>
      </c>
      <c r="R493">
        <f t="shared" si="981"/>
        <v>35281537384.724319</v>
      </c>
      <c r="S493">
        <f t="shared" si="982"/>
        <v>352815.3738472432</v>
      </c>
      <c r="T493">
        <f t="shared" si="983"/>
        <v>352.81537384724322</v>
      </c>
    </row>
    <row r="494" spans="1:20" x14ac:dyDescent="0.25">
      <c r="A494" s="5">
        <v>44099</v>
      </c>
      <c r="B494">
        <v>2.6249999999999999E-2</v>
      </c>
      <c r="C494">
        <v>2.742E-2</v>
      </c>
      <c r="D494">
        <v>2.5489999999999999E-2</v>
      </c>
      <c r="E494">
        <v>2.7140000000000001E-2</v>
      </c>
      <c r="F494">
        <v>1542529258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0.70984455958549342</v>
      </c>
      <c r="Q494">
        <f t="shared" si="980"/>
        <v>1094956001.792748</v>
      </c>
      <c r="R494">
        <f t="shared" si="981"/>
        <v>36402765245.460037</v>
      </c>
      <c r="S494">
        <f t="shared" si="982"/>
        <v>364027.65245460038</v>
      </c>
      <c r="T494">
        <f t="shared" si="983"/>
        <v>364.0276524546004</v>
      </c>
    </row>
    <row r="495" spans="1:20" x14ac:dyDescent="0.25">
      <c r="A495" s="5">
        <v>44098</v>
      </c>
      <c r="B495">
        <v>2.486E-2</v>
      </c>
      <c r="C495">
        <v>2.6339999999999999E-2</v>
      </c>
      <c r="D495">
        <v>2.4469999999999999E-2</v>
      </c>
      <c r="E495">
        <v>2.6249999999999999E-2</v>
      </c>
      <c r="F495">
        <v>1612964213.8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0.90374331550802156</v>
      </c>
      <c r="Q495">
        <f t="shared" si="980"/>
        <v>1457705626.3754013</v>
      </c>
      <c r="R495">
        <f t="shared" si="981"/>
        <v>35307809243.66729</v>
      </c>
      <c r="S495">
        <f t="shared" si="982"/>
        <v>353078.09243667289</v>
      </c>
      <c r="T495">
        <f t="shared" si="983"/>
        <v>353.07809243667288</v>
      </c>
    </row>
    <row r="496" spans="1:20" x14ac:dyDescent="0.25">
      <c r="A496" s="5">
        <v>44097</v>
      </c>
      <c r="B496">
        <v>2.4979999999999999E-2</v>
      </c>
      <c r="C496">
        <v>2.6100000000000002E-2</v>
      </c>
      <c r="D496">
        <v>2.4629999999999999E-2</v>
      </c>
      <c r="E496">
        <v>2.486E-2</v>
      </c>
      <c r="F496">
        <v>1251326659.8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-0.68707482993197189</v>
      </c>
      <c r="Q496">
        <f t="shared" si="980"/>
        <v>-859755051.97142744</v>
      </c>
      <c r="R496">
        <f t="shared" si="981"/>
        <v>33850103617.291885</v>
      </c>
      <c r="S496">
        <f t="shared" si="982"/>
        <v>338501.03617291886</v>
      </c>
      <c r="T496">
        <f t="shared" si="983"/>
        <v>338.50103617291887</v>
      </c>
    </row>
    <row r="497" spans="1:20" x14ac:dyDescent="0.25">
      <c r="A497" s="5">
        <v>44096</v>
      </c>
      <c r="B497">
        <v>2.4899999999999999E-2</v>
      </c>
      <c r="C497">
        <v>2.5489999999999999E-2</v>
      </c>
      <c r="D497">
        <v>2.453E-2</v>
      </c>
      <c r="E497">
        <v>2.4989999999999998E-2</v>
      </c>
      <c r="F497">
        <v>815152797.5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-4.1666666666668621E-2</v>
      </c>
      <c r="Q497">
        <f t="shared" si="980"/>
        <v>-33964699.895834923</v>
      </c>
      <c r="R497">
        <f t="shared" si="981"/>
        <v>34709858669.263313</v>
      </c>
      <c r="S497">
        <f t="shared" si="982"/>
        <v>347098.58669263311</v>
      </c>
      <c r="T497">
        <f t="shared" si="983"/>
        <v>347.09858669263309</v>
      </c>
    </row>
    <row r="498" spans="1:20" x14ac:dyDescent="0.25">
      <c r="A498" s="5">
        <v>44095</v>
      </c>
      <c r="B498">
        <v>2.6950000000000002E-2</v>
      </c>
      <c r="C498">
        <v>2.7490000000000001E-2</v>
      </c>
      <c r="D498">
        <v>2.4590000000000001E-2</v>
      </c>
      <c r="E498">
        <v>2.4899999999999999E-2</v>
      </c>
      <c r="F498">
        <v>1509835312.5999999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-0.78620689655172571</v>
      </c>
      <c r="Q498">
        <f t="shared" si="980"/>
        <v>-1187042935.4234505</v>
      </c>
      <c r="R498">
        <f t="shared" si="981"/>
        <v>34743823369.159149</v>
      </c>
      <c r="S498">
        <f t="shared" si="982"/>
        <v>347438.23369159148</v>
      </c>
      <c r="T498">
        <f t="shared" si="983"/>
        <v>347.43823369159151</v>
      </c>
    </row>
    <row r="499" spans="1:20" x14ac:dyDescent="0.25">
      <c r="A499" s="5">
        <v>44094</v>
      </c>
      <c r="B499">
        <v>2.768E-2</v>
      </c>
      <c r="C499">
        <v>2.7730000000000001E-2</v>
      </c>
      <c r="D499">
        <v>2.6409999999999999E-2</v>
      </c>
      <c r="E499">
        <v>2.6939999999999999E-2</v>
      </c>
      <c r="F499">
        <v>973857313.10000002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-0.19696969696969921</v>
      </c>
      <c r="Q499">
        <f t="shared" si="980"/>
        <v>-191820379.8530325</v>
      </c>
      <c r="R499">
        <f t="shared" si="981"/>
        <v>35930866304.582596</v>
      </c>
      <c r="S499">
        <f t="shared" si="982"/>
        <v>359308.66304582596</v>
      </c>
      <c r="T499">
        <f t="shared" si="983"/>
        <v>359.30866304582594</v>
      </c>
    </row>
    <row r="500" spans="1:20" x14ac:dyDescent="0.25">
      <c r="A500" s="5">
        <v>44093</v>
      </c>
      <c r="B500">
        <v>2.9049999999999999E-2</v>
      </c>
      <c r="C500">
        <v>2.9260000000000001E-2</v>
      </c>
      <c r="D500">
        <v>2.7560000000000001E-2</v>
      </c>
      <c r="E500">
        <v>2.768E-2</v>
      </c>
      <c r="F500">
        <v>968543405.20000005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-0.85882352941176643</v>
      </c>
      <c r="Q500">
        <f t="shared" si="980"/>
        <v>-831807865.64235461</v>
      </c>
      <c r="R500">
        <f t="shared" si="981"/>
        <v>36122686684.435631</v>
      </c>
      <c r="S500">
        <f t="shared" si="982"/>
        <v>361226.86684435629</v>
      </c>
      <c r="T500">
        <f t="shared" si="983"/>
        <v>361.22686684435627</v>
      </c>
    </row>
    <row r="501" spans="1:20" x14ac:dyDescent="0.25">
      <c r="A501" s="5">
        <v>44092</v>
      </c>
      <c r="B501">
        <v>2.8129999999999999E-2</v>
      </c>
      <c r="C501">
        <v>2.9860000000000001E-2</v>
      </c>
      <c r="D501">
        <v>2.7779999999999999E-2</v>
      </c>
      <c r="E501">
        <v>2.9049999999999999E-2</v>
      </c>
      <c r="F501">
        <v>1503621076.8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0.22115384615384528</v>
      </c>
      <c r="Q501">
        <f t="shared" si="980"/>
        <v>332531584.29230636</v>
      </c>
      <c r="R501">
        <f t="shared" si="981"/>
        <v>36954494550.077988</v>
      </c>
      <c r="S501">
        <f t="shared" si="982"/>
        <v>369544.9455007799</v>
      </c>
      <c r="T501">
        <f t="shared" si="983"/>
        <v>369.54494550077987</v>
      </c>
    </row>
    <row r="502" spans="1:20" x14ac:dyDescent="0.25">
      <c r="A502" s="5">
        <v>44091</v>
      </c>
      <c r="B502">
        <v>2.639E-2</v>
      </c>
      <c r="C502">
        <v>2.8469999999999999E-2</v>
      </c>
      <c r="D502">
        <v>2.6339999999999999E-2</v>
      </c>
      <c r="E502">
        <v>2.8129999999999999E-2</v>
      </c>
      <c r="F502">
        <v>1848290113.2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0.68075117370892013</v>
      </c>
      <c r="Q502">
        <f t="shared" si="980"/>
        <v>1258225663.9154928</v>
      </c>
      <c r="R502">
        <f t="shared" si="981"/>
        <v>36621962965.785683</v>
      </c>
      <c r="S502">
        <f t="shared" si="982"/>
        <v>366219.62965785683</v>
      </c>
      <c r="T502">
        <f t="shared" si="983"/>
        <v>366.21962965785684</v>
      </c>
    </row>
    <row r="503" spans="1:20" x14ac:dyDescent="0.25">
      <c r="A503" s="5">
        <v>44090</v>
      </c>
      <c r="B503">
        <v>2.7879999999999999E-2</v>
      </c>
      <c r="C503">
        <v>2.9899999999999999E-2</v>
      </c>
      <c r="D503">
        <v>2.615E-2</v>
      </c>
      <c r="E503">
        <v>2.639E-2</v>
      </c>
      <c r="F503">
        <v>3502290453.5999999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-0.87199999999999966</v>
      </c>
      <c r="Q503">
        <f t="shared" si="980"/>
        <v>-3053997275.5391989</v>
      </c>
      <c r="R503">
        <f t="shared" si="981"/>
        <v>35363737301.870193</v>
      </c>
      <c r="S503">
        <f t="shared" si="982"/>
        <v>353637.37301870191</v>
      </c>
      <c r="T503">
        <f t="shared" si="983"/>
        <v>353.63737301870191</v>
      </c>
    </row>
    <row r="504" spans="1:20" x14ac:dyDescent="0.25">
      <c r="A504" s="5">
        <v>44089</v>
      </c>
      <c r="B504">
        <v>3.041E-2</v>
      </c>
      <c r="C504">
        <v>3.0450000000000001E-2</v>
      </c>
      <c r="D504">
        <v>2.751E-2</v>
      </c>
      <c r="E504">
        <v>2.7879999999999999E-2</v>
      </c>
      <c r="F504">
        <v>1917325425.7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-0.7482993197278921</v>
      </c>
      <c r="Q504">
        <f t="shared" si="980"/>
        <v>-1434733311.7483013</v>
      </c>
      <c r="R504">
        <f t="shared" si="981"/>
        <v>38417734577.409393</v>
      </c>
      <c r="S504">
        <f t="shared" si="982"/>
        <v>384177.34577409393</v>
      </c>
      <c r="T504">
        <f t="shared" si="983"/>
        <v>384.17734577409391</v>
      </c>
    </row>
    <row r="505" spans="1:20" x14ac:dyDescent="0.25">
      <c r="A505" s="5">
        <v>44088</v>
      </c>
      <c r="B505">
        <v>3.065E-2</v>
      </c>
      <c r="C505">
        <v>3.1449999999999999E-2</v>
      </c>
      <c r="D505">
        <v>3.0020000000000002E-2</v>
      </c>
      <c r="E505">
        <v>3.039E-2</v>
      </c>
      <c r="F505">
        <v>1397742517.7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-0.48251748251748322</v>
      </c>
      <c r="Q505">
        <f t="shared" si="980"/>
        <v>-674435200.84825277</v>
      </c>
      <c r="R505">
        <f t="shared" si="981"/>
        <v>39852467889.157692</v>
      </c>
      <c r="S505">
        <f t="shared" si="982"/>
        <v>398524.67889157694</v>
      </c>
      <c r="T505">
        <f t="shared" si="983"/>
        <v>398.52467889157697</v>
      </c>
    </row>
    <row r="506" spans="1:20" x14ac:dyDescent="0.25">
      <c r="A506" s="5">
        <v>44087</v>
      </c>
      <c r="B506">
        <v>3.2719999999999999E-2</v>
      </c>
      <c r="C506">
        <v>3.2840000000000001E-2</v>
      </c>
      <c r="D506">
        <v>2.937E-2</v>
      </c>
      <c r="E506">
        <v>3.065E-2</v>
      </c>
      <c r="F506">
        <v>1327085168.3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-0.26224783861671497</v>
      </c>
      <c r="Q506">
        <f t="shared" si="980"/>
        <v>-348025217.04697442</v>
      </c>
      <c r="R506">
        <f t="shared" si="981"/>
        <v>40526903090.005943</v>
      </c>
      <c r="S506">
        <f t="shared" si="982"/>
        <v>405269.03090005944</v>
      </c>
      <c r="T506">
        <f t="shared" si="983"/>
        <v>405.26903090005942</v>
      </c>
    </row>
    <row r="507" spans="1:20" x14ac:dyDescent="0.25">
      <c r="A507" s="5">
        <v>44086</v>
      </c>
      <c r="B507">
        <v>3.3500000000000002E-2</v>
      </c>
      <c r="C507">
        <v>3.3570000000000003E-2</v>
      </c>
      <c r="D507">
        <v>3.2030000000000003E-2</v>
      </c>
      <c r="E507">
        <v>3.2719999999999999E-2</v>
      </c>
      <c r="F507">
        <v>807207380.89999998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-0.10389610389610869</v>
      </c>
      <c r="Q507">
        <f t="shared" si="980"/>
        <v>-83865701.911692172</v>
      </c>
      <c r="R507">
        <f t="shared" si="981"/>
        <v>40874928307.052917</v>
      </c>
      <c r="S507">
        <f t="shared" si="982"/>
        <v>408749.28307052917</v>
      </c>
      <c r="T507">
        <f t="shared" si="983"/>
        <v>408.74928307052915</v>
      </c>
    </row>
    <row r="508" spans="1:20" x14ac:dyDescent="0.25">
      <c r="A508" s="5">
        <v>44085</v>
      </c>
      <c r="B508">
        <v>3.3009999999999998E-2</v>
      </c>
      <c r="C508">
        <v>3.4500000000000003E-2</v>
      </c>
      <c r="D508">
        <v>3.1419999999999997E-2</v>
      </c>
      <c r="E508">
        <v>3.3500000000000002E-2</v>
      </c>
      <c r="F508">
        <v>1399235276.3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0.35064935064935143</v>
      </c>
      <c r="Q508">
        <f t="shared" si="980"/>
        <v>490640941.04026079</v>
      </c>
      <c r="R508">
        <f t="shared" si="981"/>
        <v>40958794008.964607</v>
      </c>
      <c r="S508">
        <f t="shared" si="982"/>
        <v>409587.94008964609</v>
      </c>
      <c r="T508">
        <f t="shared" si="983"/>
        <v>409.58794008964611</v>
      </c>
    </row>
    <row r="509" spans="1:20" x14ac:dyDescent="0.25">
      <c r="A509" s="5">
        <v>44084</v>
      </c>
      <c r="B509">
        <v>3.3959999999999997E-2</v>
      </c>
      <c r="C509">
        <v>3.5200000000000002E-2</v>
      </c>
      <c r="D509">
        <v>3.2460000000000003E-2</v>
      </c>
      <c r="E509">
        <v>3.2989999999999998E-2</v>
      </c>
      <c r="F509">
        <v>1586740038.0999999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-0.61313868613138989</v>
      </c>
      <c r="Q509">
        <f t="shared" si="980"/>
        <v>-972891702.19270551</v>
      </c>
      <c r="R509">
        <f t="shared" si="981"/>
        <v>40468153067.924347</v>
      </c>
      <c r="S509">
        <f t="shared" si="982"/>
        <v>404681.53067924344</v>
      </c>
      <c r="T509">
        <f t="shared" si="983"/>
        <v>404.68153067924345</v>
      </c>
    </row>
    <row r="510" spans="1:20" x14ac:dyDescent="0.25">
      <c r="A510" s="5">
        <v>44083</v>
      </c>
      <c r="B510">
        <v>3.5180000000000003E-2</v>
      </c>
      <c r="C510">
        <v>3.5909999999999997E-2</v>
      </c>
      <c r="D510">
        <v>3.356E-2</v>
      </c>
      <c r="E510">
        <v>3.397E-2</v>
      </c>
      <c r="F510">
        <v>1994534013.5999999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-0.65106382978723321</v>
      </c>
      <c r="Q510">
        <f t="shared" si="980"/>
        <v>-1298568953.5353174</v>
      </c>
      <c r="R510">
        <f t="shared" si="981"/>
        <v>41441044770.11705</v>
      </c>
      <c r="S510">
        <f t="shared" si="982"/>
        <v>414410.44770117052</v>
      </c>
      <c r="T510">
        <f t="shared" si="983"/>
        <v>414.41044770117054</v>
      </c>
    </row>
    <row r="511" spans="1:20" x14ac:dyDescent="0.25">
      <c r="A511" s="5">
        <v>44082</v>
      </c>
      <c r="B511">
        <v>3.2480000000000002E-2</v>
      </c>
      <c r="C511">
        <v>3.5499999999999997E-2</v>
      </c>
      <c r="D511">
        <v>3.1570000000000001E-2</v>
      </c>
      <c r="E511">
        <v>3.5180000000000003E-2</v>
      </c>
      <c r="F511">
        <v>3498364544.9000001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0.83715012722646609</v>
      </c>
      <c r="Q511">
        <f t="shared" si="980"/>
        <v>2928656323.8475933</v>
      </c>
      <c r="R511">
        <f t="shared" si="981"/>
        <v>42739613723.652367</v>
      </c>
      <c r="S511">
        <f t="shared" si="982"/>
        <v>427396.13723652367</v>
      </c>
      <c r="T511">
        <f t="shared" si="983"/>
        <v>427.39613723652366</v>
      </c>
    </row>
    <row r="512" spans="1:20" x14ac:dyDescent="0.25">
      <c r="A512" s="5">
        <v>44081</v>
      </c>
      <c r="B512">
        <v>3.141E-2</v>
      </c>
      <c r="C512">
        <v>3.2559999999999999E-2</v>
      </c>
      <c r="D512">
        <v>2.8330000000000001E-2</v>
      </c>
      <c r="E512">
        <v>3.2489999999999998E-2</v>
      </c>
      <c r="F512">
        <v>2764926930.5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0.96690307328605174</v>
      </c>
      <c r="Q512">
        <f t="shared" si="980"/>
        <v>2673416346.5118194</v>
      </c>
      <c r="R512">
        <f t="shared" si="981"/>
        <v>39810957399.804771</v>
      </c>
      <c r="S512">
        <f t="shared" si="982"/>
        <v>398109.57399804774</v>
      </c>
      <c r="T512">
        <f t="shared" si="983"/>
        <v>398.10957399804772</v>
      </c>
    </row>
    <row r="513" spans="1:20" x14ac:dyDescent="0.25">
      <c r="A513" s="5">
        <v>44080</v>
      </c>
      <c r="B513">
        <v>2.988E-2</v>
      </c>
      <c r="C513">
        <v>3.2559999999999999E-2</v>
      </c>
      <c r="D513">
        <v>2.8000000000000001E-2</v>
      </c>
      <c r="E513">
        <v>3.1419999999999997E-2</v>
      </c>
      <c r="F513">
        <v>4400299426.1999998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0.49999999999999883</v>
      </c>
      <c r="Q513">
        <f t="shared" si="980"/>
        <v>2200149713.0999947</v>
      </c>
      <c r="R513">
        <f t="shared" si="981"/>
        <v>37137541053.292953</v>
      </c>
      <c r="S513">
        <f t="shared" si="982"/>
        <v>371375.41053292953</v>
      </c>
      <c r="T513">
        <f t="shared" si="983"/>
        <v>371.37541053292955</v>
      </c>
    </row>
    <row r="514" spans="1:20" x14ac:dyDescent="0.25">
      <c r="A514" s="5">
        <v>44079</v>
      </c>
      <c r="B514">
        <v>3.5549999999999998E-2</v>
      </c>
      <c r="C514">
        <v>3.6650000000000002E-2</v>
      </c>
      <c r="D514">
        <v>2.7230000000000001E-2</v>
      </c>
      <c r="E514">
        <v>2.988E-2</v>
      </c>
      <c r="F514">
        <v>6505449760.6000004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-0.43736730360934201</v>
      </c>
      <c r="Q514">
        <f t="shared" si="980"/>
        <v>-2845271020.5596619</v>
      </c>
      <c r="R514">
        <f t="shared" si="981"/>
        <v>34937391340.192963</v>
      </c>
      <c r="S514">
        <f t="shared" si="982"/>
        <v>349373.9134019296</v>
      </c>
      <c r="T514">
        <f t="shared" si="983"/>
        <v>349.3739134019296</v>
      </c>
    </row>
    <row r="515" spans="1:20" x14ac:dyDescent="0.25">
      <c r="A515" s="5">
        <v>44078</v>
      </c>
      <c r="B515">
        <v>3.9980000000000002E-2</v>
      </c>
      <c r="C515">
        <v>4.4819999999999999E-2</v>
      </c>
      <c r="D515">
        <v>3.1399999999999997E-2</v>
      </c>
      <c r="E515">
        <v>3.5520000000000003E-2</v>
      </c>
      <c r="F515">
        <v>10510231260.4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-0.38599105812220491</v>
      </c>
      <c r="Q515">
        <f t="shared" si="980"/>
        <v>-4056855285.3108711</v>
      </c>
      <c r="R515">
        <f t="shared" si="981"/>
        <v>37782662360.752625</v>
      </c>
      <c r="S515">
        <f t="shared" si="982"/>
        <v>377826.62360752624</v>
      </c>
      <c r="T515">
        <f t="shared" si="983"/>
        <v>377.82662360752624</v>
      </c>
    </row>
    <row r="516" spans="1:20" x14ac:dyDescent="0.25">
      <c r="A516" s="5">
        <v>44077</v>
      </c>
      <c r="B516">
        <v>3.4509999999999999E-2</v>
      </c>
      <c r="C516">
        <v>4.99E-2</v>
      </c>
      <c r="D516">
        <v>3.4009999999999999E-2</v>
      </c>
      <c r="E516">
        <v>3.9960000000000002E-2</v>
      </c>
      <c r="F516">
        <v>13240401200.200001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-0.25110132158590265</v>
      </c>
      <c r="Q516">
        <f t="shared" si="980"/>
        <v>-3324682239.6977916</v>
      </c>
      <c r="R516">
        <f t="shared" si="981"/>
        <v>41839517646.063499</v>
      </c>
      <c r="S516">
        <f t="shared" si="982"/>
        <v>418395.17646063498</v>
      </c>
      <c r="T516">
        <f t="shared" si="983"/>
        <v>418.39517646063496</v>
      </c>
    </row>
    <row r="517" spans="1:20" x14ac:dyDescent="0.25">
      <c r="A517" s="5">
        <v>44076</v>
      </c>
      <c r="B517">
        <v>3.465E-2</v>
      </c>
      <c r="C517">
        <v>3.8339999999999999E-2</v>
      </c>
      <c r="D517">
        <v>3.125E-2</v>
      </c>
      <c r="E517">
        <v>3.449E-2</v>
      </c>
      <c r="F517">
        <v>9640849144.6000004</v>
      </c>
      <c r="G517">
        <v>0</v>
      </c>
      <c r="L517" t="s">
        <v>8</v>
      </c>
      <c r="M517" t="s">
        <v>8</v>
      </c>
      <c r="N517" t="s">
        <v>8</v>
      </c>
      <c r="P517">
        <f t="shared" si="979"/>
        <v>-8.6036671368124054E-2</v>
      </c>
      <c r="Q517">
        <f t="shared" si="980"/>
        <v>-829466569.56361008</v>
      </c>
      <c r="R517">
        <f t="shared" si="981"/>
        <v>45164199885.761292</v>
      </c>
      <c r="S517">
        <f t="shared" si="982"/>
        <v>451641.9988576129</v>
      </c>
      <c r="T517">
        <f t="shared" si="983"/>
        <v>451.64199885761292</v>
      </c>
    </row>
    <row r="518" spans="1:20" x14ac:dyDescent="0.25">
      <c r="A518" s="5">
        <v>44075</v>
      </c>
      <c r="B518">
        <v>2.9159999999999998E-2</v>
      </c>
      <c r="C518">
        <v>3.5999999999999997E-2</v>
      </c>
      <c r="D518">
        <v>2.8049999999999999E-2</v>
      </c>
      <c r="E518">
        <v>3.4660000000000003E-2</v>
      </c>
      <c r="F518">
        <v>4731565797.1999998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0.6628930817610077</v>
      </c>
      <c r="Q518">
        <f t="shared" ref="Q518:Q581" si="985">F518*P518</f>
        <v>3136522232.8608871</v>
      </c>
      <c r="R518">
        <f t="shared" ref="R518:R581" si="986">R519+Q518</f>
        <v>45993666455.324905</v>
      </c>
      <c r="S518">
        <f t="shared" ref="S518:S581" si="987">R518/100000</f>
        <v>459936.66455324908</v>
      </c>
      <c r="T518">
        <f t="shared" ref="T518:T581" si="988">S518/1000</f>
        <v>459.9366645532491</v>
      </c>
    </row>
    <row r="519" spans="1:20" x14ac:dyDescent="0.25">
      <c r="A519" s="5">
        <v>44074</v>
      </c>
      <c r="B519">
        <v>2.6960000000000001E-2</v>
      </c>
      <c r="C519">
        <v>2.9819999999999999E-2</v>
      </c>
      <c r="D519">
        <v>2.5780000000000001E-2</v>
      </c>
      <c r="E519">
        <v>2.9170000000000001E-2</v>
      </c>
      <c r="F519">
        <v>2585111182.1999998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0.67821782178217915</v>
      </c>
      <c r="Q519">
        <f t="shared" si="985"/>
        <v>1753268475.056438</v>
      </c>
      <c r="R519">
        <f t="shared" si="986"/>
        <v>42857144222.46402</v>
      </c>
      <c r="S519">
        <f t="shared" si="987"/>
        <v>428571.44222464022</v>
      </c>
      <c r="T519">
        <f t="shared" si="988"/>
        <v>428.57144222464024</v>
      </c>
    </row>
    <row r="520" spans="1:20" x14ac:dyDescent="0.25">
      <c r="A520" s="5">
        <v>44073</v>
      </c>
      <c r="B520">
        <v>2.4910000000000002E-2</v>
      </c>
      <c r="C520">
        <v>2.819E-2</v>
      </c>
      <c r="D520">
        <v>2.4889999999999999E-2</v>
      </c>
      <c r="E520">
        <v>2.6960000000000001E-2</v>
      </c>
      <c r="F520">
        <v>1906342649.0999999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0.25454545454545568</v>
      </c>
      <c r="Q520">
        <f t="shared" si="985"/>
        <v>485250856.13454759</v>
      </c>
      <c r="R520">
        <f t="shared" si="986"/>
        <v>41103875747.407585</v>
      </c>
      <c r="S520">
        <f t="shared" si="987"/>
        <v>411038.75747407583</v>
      </c>
      <c r="T520">
        <f t="shared" si="988"/>
        <v>411.03875747407585</v>
      </c>
    </row>
    <row r="521" spans="1:20" x14ac:dyDescent="0.25">
      <c r="A521" s="5">
        <v>44072</v>
      </c>
      <c r="B521">
        <v>2.392E-2</v>
      </c>
      <c r="C521">
        <v>2.5239999999999999E-2</v>
      </c>
      <c r="D521">
        <v>2.3709999999999998E-2</v>
      </c>
      <c r="E521">
        <v>2.4910000000000002E-2</v>
      </c>
      <c r="F521">
        <v>917633930.60000002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0.56862745098039613</v>
      </c>
      <c r="Q521">
        <f t="shared" si="985"/>
        <v>521791842.89019972</v>
      </c>
      <c r="R521">
        <f t="shared" si="986"/>
        <v>40618624891.273041</v>
      </c>
      <c r="S521">
        <f t="shared" si="987"/>
        <v>406186.24891273043</v>
      </c>
      <c r="T521">
        <f t="shared" si="988"/>
        <v>406.18624891273043</v>
      </c>
    </row>
    <row r="522" spans="1:20" x14ac:dyDescent="0.25">
      <c r="A522" s="5">
        <v>44071</v>
      </c>
      <c r="B522">
        <v>2.308E-2</v>
      </c>
      <c r="C522">
        <v>2.4279999999999999E-2</v>
      </c>
      <c r="D522">
        <v>2.2689999999999998E-2</v>
      </c>
      <c r="E522">
        <v>2.392E-2</v>
      </c>
      <c r="F522">
        <v>928195097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0.54716981132075604</v>
      </c>
      <c r="Q522">
        <f t="shared" si="985"/>
        <v>507880336.09434086</v>
      </c>
      <c r="R522">
        <f t="shared" si="986"/>
        <v>40096833048.382843</v>
      </c>
      <c r="S522">
        <f t="shared" si="987"/>
        <v>400968.33048382844</v>
      </c>
      <c r="T522">
        <f t="shared" si="988"/>
        <v>400.96833048382842</v>
      </c>
    </row>
    <row r="523" spans="1:20" x14ac:dyDescent="0.25">
      <c r="A523" s="5">
        <v>44070</v>
      </c>
      <c r="B523">
        <v>2.3689999999999999E-2</v>
      </c>
      <c r="C523">
        <v>2.4469999999999999E-2</v>
      </c>
      <c r="D523">
        <v>2.2030000000000001E-2</v>
      </c>
      <c r="E523">
        <v>2.307E-2</v>
      </c>
      <c r="F523">
        <v>1427748692.5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-0.14754098360655718</v>
      </c>
      <c r="Q523">
        <f t="shared" si="985"/>
        <v>-210651446.43442595</v>
      </c>
      <c r="R523">
        <f t="shared" si="986"/>
        <v>39588952712.288506</v>
      </c>
      <c r="S523">
        <f t="shared" si="987"/>
        <v>395889.52712288505</v>
      </c>
      <c r="T523">
        <f t="shared" si="988"/>
        <v>395.88952712288506</v>
      </c>
    </row>
    <row r="524" spans="1:20" x14ac:dyDescent="0.25">
      <c r="A524" s="5">
        <v>44069</v>
      </c>
      <c r="B524">
        <v>2.3E-2</v>
      </c>
      <c r="C524">
        <v>2.392E-2</v>
      </c>
      <c r="D524">
        <v>2.2749999999999999E-2</v>
      </c>
      <c r="E524">
        <v>2.3689999999999999E-2</v>
      </c>
      <c r="F524">
        <v>1055935996.2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0.60683760683760535</v>
      </c>
      <c r="Q524">
        <f t="shared" si="985"/>
        <v>640781672.90769076</v>
      </c>
      <c r="R524">
        <f t="shared" si="986"/>
        <v>39799604158.722931</v>
      </c>
      <c r="S524">
        <f t="shared" si="987"/>
        <v>397996.04158722929</v>
      </c>
      <c r="T524">
        <f t="shared" si="988"/>
        <v>397.99604158722929</v>
      </c>
    </row>
    <row r="525" spans="1:20" x14ac:dyDescent="0.25">
      <c r="A525" s="5">
        <v>44068</v>
      </c>
      <c r="B525">
        <v>2.5100000000000001E-2</v>
      </c>
      <c r="C525">
        <v>2.546E-2</v>
      </c>
      <c r="D525">
        <v>2.2190000000000001E-2</v>
      </c>
      <c r="E525">
        <v>2.299E-2</v>
      </c>
      <c r="F525">
        <v>1464579684.4000001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-0.51070336391437376</v>
      </c>
      <c r="Q525">
        <f t="shared" si="985"/>
        <v>-747965771.54373193</v>
      </c>
      <c r="R525">
        <f t="shared" si="986"/>
        <v>39158822485.815239</v>
      </c>
      <c r="S525">
        <f t="shared" si="987"/>
        <v>391588.22485815239</v>
      </c>
      <c r="T525">
        <f t="shared" si="988"/>
        <v>391.58822485815239</v>
      </c>
    </row>
    <row r="526" spans="1:20" x14ac:dyDescent="0.25">
      <c r="A526" s="5">
        <v>44067</v>
      </c>
      <c r="B526">
        <v>2.4340000000000001E-2</v>
      </c>
      <c r="C526">
        <v>2.5690000000000001E-2</v>
      </c>
      <c r="D526">
        <v>2.3900000000000001E-2</v>
      </c>
      <c r="E526">
        <v>2.5100000000000001E-2</v>
      </c>
      <c r="F526">
        <v>1084065804.8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0.34078212290502763</v>
      </c>
      <c r="Q526">
        <f t="shared" si="985"/>
        <v>369430246.32849127</v>
      </c>
      <c r="R526">
        <f t="shared" si="986"/>
        <v>39906788257.358971</v>
      </c>
      <c r="S526">
        <f t="shared" si="987"/>
        <v>399067.88257358968</v>
      </c>
      <c r="T526">
        <f t="shared" si="988"/>
        <v>399.06788257358966</v>
      </c>
    </row>
    <row r="527" spans="1:20" x14ac:dyDescent="0.25">
      <c r="A527" s="5">
        <v>44066</v>
      </c>
      <c r="B527">
        <v>2.5100000000000001E-2</v>
      </c>
      <c r="C527">
        <v>2.529E-2</v>
      </c>
      <c r="D527">
        <v>2.3609999999999999E-2</v>
      </c>
      <c r="E527">
        <v>2.435E-2</v>
      </c>
      <c r="F527">
        <v>1106682263.3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-0.11904761904761826</v>
      </c>
      <c r="Q527">
        <f t="shared" si="985"/>
        <v>-131747888.48809436</v>
      </c>
      <c r="R527">
        <f t="shared" si="986"/>
        <v>39537358011.030479</v>
      </c>
      <c r="S527">
        <f t="shared" si="987"/>
        <v>395373.58011030481</v>
      </c>
      <c r="T527">
        <f t="shared" si="988"/>
        <v>395.37358011030483</v>
      </c>
    </row>
    <row r="528" spans="1:20" x14ac:dyDescent="0.25">
      <c r="A528" s="5">
        <v>44065</v>
      </c>
      <c r="B528">
        <v>2.4250000000000001E-2</v>
      </c>
      <c r="C528">
        <v>2.5510000000000001E-2</v>
      </c>
      <c r="D528">
        <v>2.332E-2</v>
      </c>
      <c r="E528">
        <v>2.512E-2</v>
      </c>
      <c r="F528">
        <v>2125627832.3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0.64383561643835496</v>
      </c>
      <c r="Q528">
        <f t="shared" si="985"/>
        <v>1368554905.7273946</v>
      </c>
      <c r="R528">
        <f t="shared" si="986"/>
        <v>39669105899.518578</v>
      </c>
      <c r="S528">
        <f t="shared" si="987"/>
        <v>396691.05899518577</v>
      </c>
      <c r="T528">
        <f t="shared" si="988"/>
        <v>396.69105899518576</v>
      </c>
    </row>
    <row r="529" spans="1:20" x14ac:dyDescent="0.25">
      <c r="A529" s="5">
        <v>44064</v>
      </c>
      <c r="B529">
        <v>2.7459999999999998E-2</v>
      </c>
      <c r="C529">
        <v>2.7720000000000002E-2</v>
      </c>
      <c r="D529">
        <v>2.4E-2</v>
      </c>
      <c r="E529">
        <v>2.4250000000000001E-2</v>
      </c>
      <c r="F529">
        <v>2158912614.4000001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-0.86559139784946226</v>
      </c>
      <c r="Q529">
        <f t="shared" si="985"/>
        <v>-1868736187.7333331</v>
      </c>
      <c r="R529">
        <f t="shared" si="986"/>
        <v>38300550993.791183</v>
      </c>
      <c r="S529">
        <f t="shared" si="987"/>
        <v>383005.50993791182</v>
      </c>
      <c r="T529">
        <f t="shared" si="988"/>
        <v>383.00550993791182</v>
      </c>
    </row>
    <row r="530" spans="1:20" x14ac:dyDescent="0.25">
      <c r="A530" s="5">
        <v>44063</v>
      </c>
      <c r="B530">
        <v>2.649E-2</v>
      </c>
      <c r="C530">
        <v>2.7779999999999999E-2</v>
      </c>
      <c r="D530">
        <v>2.6450000000000001E-2</v>
      </c>
      <c r="E530">
        <v>2.7459999999999998E-2</v>
      </c>
      <c r="F530">
        <v>2042028251.2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0.51879699248120092</v>
      </c>
      <c r="Q530">
        <f t="shared" si="985"/>
        <v>1059398115.2842063</v>
      </c>
      <c r="R530">
        <f t="shared" si="986"/>
        <v>40169287181.524513</v>
      </c>
      <c r="S530">
        <f t="shared" si="987"/>
        <v>401692.87181524513</v>
      </c>
      <c r="T530">
        <f t="shared" si="988"/>
        <v>401.69287181524516</v>
      </c>
    </row>
    <row r="531" spans="1:20" x14ac:dyDescent="0.25">
      <c r="A531" s="5">
        <v>44062</v>
      </c>
      <c r="B531">
        <v>2.8760000000000001E-2</v>
      </c>
      <c r="C531">
        <v>2.894E-2</v>
      </c>
      <c r="D531">
        <v>2.547E-2</v>
      </c>
      <c r="E531">
        <v>2.648E-2</v>
      </c>
      <c r="F531">
        <v>3805112504.5999999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-0.41786743515850133</v>
      </c>
      <c r="Q531">
        <f t="shared" si="985"/>
        <v>-1590032602.7867432</v>
      </c>
      <c r="R531">
        <f t="shared" si="986"/>
        <v>39109889066.240311</v>
      </c>
      <c r="S531">
        <f t="shared" si="987"/>
        <v>391098.89066240308</v>
      </c>
      <c r="T531">
        <f t="shared" si="988"/>
        <v>391.09889066240305</v>
      </c>
    </row>
    <row r="532" spans="1:20" x14ac:dyDescent="0.25">
      <c r="A532" s="5">
        <v>44061</v>
      </c>
      <c r="B532">
        <v>3.0370000000000001E-2</v>
      </c>
      <c r="C532">
        <v>3.2480000000000002E-2</v>
      </c>
      <c r="D532">
        <v>2.8000000000000001E-2</v>
      </c>
      <c r="E532">
        <v>2.8750000000000001E-2</v>
      </c>
      <c r="F532">
        <v>3772125514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-0.66517857142857129</v>
      </c>
      <c r="Q532">
        <f t="shared" si="985"/>
        <v>-2509137060.6517854</v>
      </c>
      <c r="R532">
        <f t="shared" si="986"/>
        <v>40699921669.027054</v>
      </c>
      <c r="S532">
        <f t="shared" si="987"/>
        <v>406999.21669027052</v>
      </c>
      <c r="T532">
        <f t="shared" si="988"/>
        <v>406.99921669027054</v>
      </c>
    </row>
    <row r="533" spans="1:20" x14ac:dyDescent="0.25">
      <c r="A533" s="5">
        <v>44060</v>
      </c>
      <c r="B533">
        <v>2.8240000000000001E-2</v>
      </c>
      <c r="C533">
        <v>3.1399999999999997E-2</v>
      </c>
      <c r="D533">
        <v>2.6759999999999999E-2</v>
      </c>
      <c r="E533">
        <v>3.0360000000000002E-2</v>
      </c>
      <c r="F533">
        <v>2639464251.8000002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0.55172413793103614</v>
      </c>
      <c r="Q533">
        <f t="shared" si="985"/>
        <v>1456256138.9241424</v>
      </c>
      <c r="R533">
        <f t="shared" si="986"/>
        <v>43209058729.678841</v>
      </c>
      <c r="S533">
        <f t="shared" si="987"/>
        <v>432090.58729678841</v>
      </c>
      <c r="T533">
        <f t="shared" si="988"/>
        <v>432.09058729678839</v>
      </c>
    </row>
    <row r="534" spans="1:20" x14ac:dyDescent="0.25">
      <c r="A534" s="5">
        <v>44059</v>
      </c>
      <c r="B534">
        <v>2.5270000000000001E-2</v>
      </c>
      <c r="C534">
        <v>2.852E-2</v>
      </c>
      <c r="D534">
        <v>2.4029999999999999E-2</v>
      </c>
      <c r="E534">
        <v>2.8240000000000001E-2</v>
      </c>
      <c r="F534">
        <v>2446857391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0.87527839643652605</v>
      </c>
      <c r="Q534">
        <f t="shared" si="985"/>
        <v>2141681413.5033419</v>
      </c>
      <c r="R534">
        <f t="shared" si="986"/>
        <v>41752802590.7547</v>
      </c>
      <c r="S534">
        <f t="shared" si="987"/>
        <v>417528.02590754698</v>
      </c>
      <c r="T534">
        <f t="shared" si="988"/>
        <v>417.52802590754698</v>
      </c>
    </row>
    <row r="535" spans="1:20" x14ac:dyDescent="0.25">
      <c r="A535" s="5">
        <v>44058</v>
      </c>
      <c r="B535">
        <v>2.4709999999999999E-2</v>
      </c>
      <c r="C535">
        <v>2.5739999999999999E-2</v>
      </c>
      <c r="D535">
        <v>2.3599999999999999E-2</v>
      </c>
      <c r="E535">
        <v>2.5260000000000001E-2</v>
      </c>
      <c r="F535">
        <v>1821331007.5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0.55140186915888045</v>
      </c>
      <c r="Q535">
        <f t="shared" si="985"/>
        <v>1004285321.8925269</v>
      </c>
      <c r="R535">
        <f t="shared" si="986"/>
        <v>39611121177.251358</v>
      </c>
      <c r="S535">
        <f t="shared" si="987"/>
        <v>396111.21177251358</v>
      </c>
      <c r="T535">
        <f t="shared" si="988"/>
        <v>396.11121177251357</v>
      </c>
    </row>
    <row r="536" spans="1:20" x14ac:dyDescent="0.25">
      <c r="A536" s="5">
        <v>44057</v>
      </c>
      <c r="B536">
        <v>2.2380000000000001E-2</v>
      </c>
      <c r="C536">
        <v>2.5839999999999998E-2</v>
      </c>
      <c r="D536">
        <v>2.2349999999999998E-2</v>
      </c>
      <c r="E536">
        <v>2.4709999999999999E-2</v>
      </c>
      <c r="F536">
        <v>2544402787.1999998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0.35243553008596046</v>
      </c>
      <c r="Q536">
        <f t="shared" si="985"/>
        <v>896737945.05902719</v>
      </c>
      <c r="R536">
        <f t="shared" si="986"/>
        <v>38606835855.358833</v>
      </c>
      <c r="S536">
        <f t="shared" si="987"/>
        <v>386068.35855358833</v>
      </c>
      <c r="T536">
        <f t="shared" si="988"/>
        <v>386.06835855358833</v>
      </c>
    </row>
    <row r="537" spans="1:20" x14ac:dyDescent="0.25">
      <c r="A537" s="5">
        <v>44056</v>
      </c>
      <c r="B537">
        <v>2.019E-2</v>
      </c>
      <c r="C537">
        <v>2.299E-2</v>
      </c>
      <c r="D537">
        <v>1.95E-2</v>
      </c>
      <c r="E537">
        <v>2.2380000000000001E-2</v>
      </c>
      <c r="F537">
        <v>2033016524.8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0.65042979942693446</v>
      </c>
      <c r="Q537">
        <f t="shared" si="985"/>
        <v>1322334530.4573073</v>
      </c>
      <c r="R537">
        <f t="shared" si="986"/>
        <v>37710097910.299805</v>
      </c>
      <c r="S537">
        <f t="shared" si="987"/>
        <v>377100.97910299804</v>
      </c>
      <c r="T537">
        <f t="shared" si="988"/>
        <v>377.10097910299805</v>
      </c>
    </row>
    <row r="538" spans="1:20" x14ac:dyDescent="0.25">
      <c r="A538" s="5">
        <v>44055</v>
      </c>
      <c r="B538">
        <v>2.0109999999999999E-2</v>
      </c>
      <c r="C538">
        <v>2.043E-2</v>
      </c>
      <c r="D538">
        <v>1.898E-2</v>
      </c>
      <c r="E538">
        <v>2.019E-2</v>
      </c>
      <c r="F538">
        <v>861345699.60000002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0.66896551724137843</v>
      </c>
      <c r="Q538">
        <f t="shared" si="985"/>
        <v>576210571.45655096</v>
      </c>
      <c r="R538">
        <f t="shared" si="986"/>
        <v>36387763379.842499</v>
      </c>
      <c r="S538">
        <f t="shared" si="987"/>
        <v>363877.63379842497</v>
      </c>
      <c r="T538">
        <f t="shared" si="988"/>
        <v>363.87763379842499</v>
      </c>
    </row>
    <row r="539" spans="1:20" x14ac:dyDescent="0.25">
      <c r="A539" s="5">
        <v>44054</v>
      </c>
      <c r="B539">
        <v>2.147E-2</v>
      </c>
      <c r="C539">
        <v>2.1530000000000001E-2</v>
      </c>
      <c r="D539">
        <v>1.9369999999999998E-2</v>
      </c>
      <c r="E539">
        <v>2.01E-2</v>
      </c>
      <c r="F539">
        <v>1095164577.5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-0.3240740740740734</v>
      </c>
      <c r="Q539">
        <f t="shared" si="985"/>
        <v>-354914446.4120363</v>
      </c>
      <c r="R539">
        <f t="shared" si="986"/>
        <v>35811552808.385948</v>
      </c>
      <c r="S539">
        <f t="shared" si="987"/>
        <v>358115.52808385948</v>
      </c>
      <c r="T539">
        <f t="shared" si="988"/>
        <v>358.11552808385949</v>
      </c>
    </row>
    <row r="540" spans="1:20" x14ac:dyDescent="0.25">
      <c r="A540" s="5">
        <v>44053</v>
      </c>
      <c r="B540">
        <v>2.0449999999999999E-2</v>
      </c>
      <c r="C540">
        <v>2.18E-2</v>
      </c>
      <c r="D540">
        <v>2.043E-2</v>
      </c>
      <c r="E540">
        <v>2.146E-2</v>
      </c>
      <c r="F540">
        <v>1363516940.0999999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0.50364963503649618</v>
      </c>
      <c r="Q540">
        <f t="shared" si="985"/>
        <v>686734809.24744499</v>
      </c>
      <c r="R540">
        <f t="shared" si="986"/>
        <v>36166467254.797981</v>
      </c>
      <c r="S540">
        <f t="shared" si="987"/>
        <v>361664.6725479798</v>
      </c>
      <c r="T540">
        <f t="shared" si="988"/>
        <v>361.66467254797982</v>
      </c>
    </row>
    <row r="541" spans="1:20" x14ac:dyDescent="0.25">
      <c r="A541" s="5">
        <v>44052</v>
      </c>
      <c r="B541">
        <v>2.0459999999999999E-2</v>
      </c>
      <c r="C541">
        <v>2.0629999999999999E-2</v>
      </c>
      <c r="D541">
        <v>2.01E-2</v>
      </c>
      <c r="E541">
        <v>2.0449999999999999E-2</v>
      </c>
      <c r="F541">
        <v>528429014.89999998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0.32075471698113256</v>
      </c>
      <c r="Q541">
        <f t="shared" si="985"/>
        <v>169496099.11886817</v>
      </c>
      <c r="R541">
        <f t="shared" si="986"/>
        <v>35479732445.550537</v>
      </c>
      <c r="S541">
        <f t="shared" si="987"/>
        <v>354797.32445550535</v>
      </c>
      <c r="T541">
        <f t="shared" si="988"/>
        <v>354.79732445550536</v>
      </c>
    </row>
    <row r="542" spans="1:20" x14ac:dyDescent="0.25">
      <c r="A542" s="5">
        <v>44051</v>
      </c>
      <c r="B542">
        <v>1.9879999999999998E-2</v>
      </c>
      <c r="C542">
        <v>2.0570000000000001E-2</v>
      </c>
      <c r="D542">
        <v>1.966E-2</v>
      </c>
      <c r="E542">
        <v>2.0459999999999999E-2</v>
      </c>
      <c r="F542">
        <v>500285035.19999999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0.75824175824175311</v>
      </c>
      <c r="Q542">
        <f t="shared" si="985"/>
        <v>379337004.71208531</v>
      </c>
      <c r="R542">
        <f t="shared" si="986"/>
        <v>35310236346.431671</v>
      </c>
      <c r="S542">
        <f t="shared" si="987"/>
        <v>353102.3634643167</v>
      </c>
      <c r="T542">
        <f t="shared" si="988"/>
        <v>353.10236346431668</v>
      </c>
    </row>
    <row r="543" spans="1:20" x14ac:dyDescent="0.25">
      <c r="A543" s="5">
        <v>44050</v>
      </c>
      <c r="B543">
        <v>2.0240000000000001E-2</v>
      </c>
      <c r="C543">
        <v>2.111E-2</v>
      </c>
      <c r="D543">
        <v>1.8849999999999999E-2</v>
      </c>
      <c r="E543">
        <v>1.9879999999999998E-2</v>
      </c>
      <c r="F543">
        <v>1431156389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-8.8495575221239881E-2</v>
      </c>
      <c r="Q543">
        <f t="shared" si="985"/>
        <v>-126651007.87610754</v>
      </c>
      <c r="R543">
        <f t="shared" si="986"/>
        <v>34930899341.719589</v>
      </c>
      <c r="S543">
        <f t="shared" si="987"/>
        <v>349308.99341719592</v>
      </c>
      <c r="T543">
        <f t="shared" si="988"/>
        <v>349.30899341719589</v>
      </c>
    </row>
    <row r="544" spans="1:20" x14ac:dyDescent="0.25">
      <c r="A544" s="5">
        <v>44049</v>
      </c>
      <c r="B544">
        <v>2.0310000000000002E-2</v>
      </c>
      <c r="C544">
        <v>2.0559999999999998E-2</v>
      </c>
      <c r="D544">
        <v>1.9910000000000001E-2</v>
      </c>
      <c r="E544">
        <v>2.0219999999999998E-2</v>
      </c>
      <c r="F544">
        <v>823784529.60000002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-4.6153846153849765E-2</v>
      </c>
      <c r="Q544">
        <f t="shared" si="985"/>
        <v>-38020824.443079896</v>
      </c>
      <c r="R544">
        <f t="shared" si="986"/>
        <v>35057550349.595695</v>
      </c>
      <c r="S544">
        <f t="shared" si="987"/>
        <v>350575.50349595695</v>
      </c>
      <c r="T544">
        <f t="shared" si="988"/>
        <v>350.57550349595692</v>
      </c>
    </row>
    <row r="545" spans="1:20" x14ac:dyDescent="0.25">
      <c r="A545" s="5">
        <v>44048</v>
      </c>
      <c r="B545">
        <v>2.0389999999999998E-2</v>
      </c>
      <c r="C545">
        <v>2.0729999999999998E-2</v>
      </c>
      <c r="D545">
        <v>1.9990000000000001E-2</v>
      </c>
      <c r="E545">
        <v>2.0310000000000002E-2</v>
      </c>
      <c r="F545">
        <v>872977182.20000005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-0.13513513513513006</v>
      </c>
      <c r="Q545">
        <f t="shared" si="985"/>
        <v>-117969889.48648207</v>
      </c>
      <c r="R545">
        <f t="shared" si="986"/>
        <v>35095571174.038773</v>
      </c>
      <c r="S545">
        <f t="shared" si="987"/>
        <v>350955.71174038772</v>
      </c>
      <c r="T545">
        <f t="shared" si="988"/>
        <v>350.9557117403877</v>
      </c>
    </row>
    <row r="546" spans="1:20" x14ac:dyDescent="0.25">
      <c r="A546" s="5">
        <v>44047</v>
      </c>
      <c r="B546">
        <v>1.9869999999999999E-2</v>
      </c>
      <c r="C546">
        <v>2.068E-2</v>
      </c>
      <c r="D546">
        <v>1.9869999999999999E-2</v>
      </c>
      <c r="E546">
        <v>2.0389999999999998E-2</v>
      </c>
      <c r="F546">
        <v>1048725753.9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0.28395061728394705</v>
      </c>
      <c r="Q546">
        <f t="shared" si="985"/>
        <v>297786325.18147773</v>
      </c>
      <c r="R546">
        <f t="shared" si="986"/>
        <v>35213541063.525253</v>
      </c>
      <c r="S546">
        <f t="shared" si="987"/>
        <v>352135.41063525254</v>
      </c>
      <c r="T546">
        <f t="shared" si="988"/>
        <v>352.13541063525253</v>
      </c>
    </row>
    <row r="547" spans="1:20" x14ac:dyDescent="0.25">
      <c r="A547" s="5">
        <v>44046</v>
      </c>
      <c r="B547">
        <v>1.907E-2</v>
      </c>
      <c r="C547">
        <v>2.0129999999999999E-2</v>
      </c>
      <c r="D547">
        <v>1.8769999999999998E-2</v>
      </c>
      <c r="E547">
        <v>1.9869999999999999E-2</v>
      </c>
      <c r="F547">
        <v>1163766904.5999999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0.61764705882352966</v>
      </c>
      <c r="Q547">
        <f t="shared" si="985"/>
        <v>718797205.78235316</v>
      </c>
      <c r="R547">
        <f t="shared" si="986"/>
        <v>34915754738.343773</v>
      </c>
      <c r="S547">
        <f t="shared" si="987"/>
        <v>349157.54738343775</v>
      </c>
      <c r="T547">
        <f t="shared" si="988"/>
        <v>349.15754738343776</v>
      </c>
    </row>
    <row r="548" spans="1:20" x14ac:dyDescent="0.25">
      <c r="A548" s="5">
        <v>44045</v>
      </c>
      <c r="B548">
        <v>2.0469999999999999E-2</v>
      </c>
      <c r="C548">
        <v>2.1350000000000001E-2</v>
      </c>
      <c r="D548">
        <v>1.7500000000000002E-2</v>
      </c>
      <c r="E548">
        <v>1.907E-2</v>
      </c>
      <c r="F548">
        <v>2497799717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-0.18441558441558506</v>
      </c>
      <c r="Q548">
        <f t="shared" si="985"/>
        <v>-460633194.56363797</v>
      </c>
      <c r="R548">
        <f t="shared" si="986"/>
        <v>34196957532.561417</v>
      </c>
      <c r="S548">
        <f t="shared" si="987"/>
        <v>341969.57532561419</v>
      </c>
      <c r="T548">
        <f t="shared" si="988"/>
        <v>341.96957532561419</v>
      </c>
    </row>
    <row r="549" spans="1:20" x14ac:dyDescent="0.25">
      <c r="A549" s="5">
        <v>44044</v>
      </c>
      <c r="B549">
        <v>1.968E-2</v>
      </c>
      <c r="C549">
        <v>2.0789999999999999E-2</v>
      </c>
      <c r="D549">
        <v>1.9390000000000001E-2</v>
      </c>
      <c r="E549">
        <v>2.0459999999999999E-2</v>
      </c>
      <c r="F549">
        <v>1541574235.9000001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0.52857142857142747</v>
      </c>
      <c r="Q549">
        <f t="shared" si="985"/>
        <v>814832096.11856973</v>
      </c>
      <c r="R549">
        <f t="shared" si="986"/>
        <v>34657590727.125053</v>
      </c>
      <c r="S549">
        <f t="shared" si="987"/>
        <v>346575.90727125056</v>
      </c>
      <c r="T549">
        <f t="shared" si="988"/>
        <v>346.57590727125057</v>
      </c>
    </row>
    <row r="550" spans="1:20" x14ac:dyDescent="0.25">
      <c r="A550" s="5">
        <v>44043</v>
      </c>
      <c r="B550">
        <v>1.917E-2</v>
      </c>
      <c r="C550">
        <v>1.9779999999999999E-2</v>
      </c>
      <c r="D550">
        <v>1.8950000000000002E-2</v>
      </c>
      <c r="E550">
        <v>1.968E-2</v>
      </c>
      <c r="F550">
        <v>829510685.5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0.75903614457831392</v>
      </c>
      <c r="Q550">
        <f t="shared" si="985"/>
        <v>629628592.60843432</v>
      </c>
      <c r="R550">
        <f t="shared" si="986"/>
        <v>33842758631.006481</v>
      </c>
      <c r="S550">
        <f t="shared" si="987"/>
        <v>338427.58631006483</v>
      </c>
      <c r="T550">
        <f t="shared" si="988"/>
        <v>338.42758631006484</v>
      </c>
    </row>
    <row r="551" spans="1:20" x14ac:dyDescent="0.25">
      <c r="A551" s="5">
        <v>44042</v>
      </c>
      <c r="B551">
        <v>1.9140000000000001E-2</v>
      </c>
      <c r="C551">
        <v>1.9390000000000001E-2</v>
      </c>
      <c r="D551">
        <v>1.865E-2</v>
      </c>
      <c r="E551">
        <v>1.917E-2</v>
      </c>
      <c r="F551">
        <v>830799342.60000002</v>
      </c>
      <c r="G551">
        <v>0</v>
      </c>
      <c r="L551" t="s">
        <v>7</v>
      </c>
      <c r="M551" t="s">
        <v>8</v>
      </c>
      <c r="N551" t="s">
        <v>8</v>
      </c>
      <c r="P551">
        <f t="shared" si="984"/>
        <v>0.40540540540540237</v>
      </c>
      <c r="Q551">
        <f t="shared" si="985"/>
        <v>336810544.2972948</v>
      </c>
      <c r="R551">
        <f t="shared" si="986"/>
        <v>33213130038.398048</v>
      </c>
      <c r="S551">
        <f t="shared" si="987"/>
        <v>332131.3003839805</v>
      </c>
      <c r="T551">
        <f t="shared" si="988"/>
        <v>332.13130038398049</v>
      </c>
    </row>
    <row r="552" spans="1:20" x14ac:dyDescent="0.25">
      <c r="A552" s="5">
        <v>44041</v>
      </c>
      <c r="B552">
        <v>1.9120000000000002E-2</v>
      </c>
      <c r="C552">
        <v>1.9970000000000002E-2</v>
      </c>
      <c r="D552">
        <v>1.8929999999999999E-2</v>
      </c>
      <c r="E552">
        <v>1.915E-2</v>
      </c>
      <c r="F552">
        <v>1280116972.4000001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-0.57692307692307521</v>
      </c>
      <c r="Q552">
        <f t="shared" si="985"/>
        <v>-738529022.53845942</v>
      </c>
      <c r="R552">
        <f t="shared" si="986"/>
        <v>32876319494.100754</v>
      </c>
      <c r="S552">
        <f t="shared" si="987"/>
        <v>328763.19494100753</v>
      </c>
      <c r="T552">
        <f t="shared" si="988"/>
        <v>328.76319494100755</v>
      </c>
    </row>
    <row r="553" spans="1:20" x14ac:dyDescent="0.25">
      <c r="A553" s="5">
        <v>44040</v>
      </c>
      <c r="B553">
        <v>1.8710000000000001E-2</v>
      </c>
      <c r="C553">
        <v>1.95E-2</v>
      </c>
      <c r="D553">
        <v>1.8169999999999999E-2</v>
      </c>
      <c r="E553">
        <v>1.9120000000000002E-2</v>
      </c>
      <c r="F553">
        <v>1175162599.9000001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0.42857142857143155</v>
      </c>
      <c r="Q553">
        <f t="shared" si="985"/>
        <v>503641114.24286067</v>
      </c>
      <c r="R553">
        <f t="shared" si="986"/>
        <v>33614848516.639214</v>
      </c>
      <c r="S553">
        <f t="shared" si="987"/>
        <v>336148.48516639211</v>
      </c>
      <c r="T553">
        <f t="shared" si="988"/>
        <v>336.14848516639211</v>
      </c>
    </row>
    <row r="554" spans="1:20" x14ac:dyDescent="0.25">
      <c r="A554" s="5">
        <v>44039</v>
      </c>
      <c r="B554">
        <v>1.8519999999999998E-2</v>
      </c>
      <c r="C554">
        <v>1.9140000000000001E-2</v>
      </c>
      <c r="D554">
        <v>1.7579999999999998E-2</v>
      </c>
      <c r="E554">
        <v>1.8720000000000001E-2</v>
      </c>
      <c r="F554">
        <v>1338292018.4000001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0.46153846153846206</v>
      </c>
      <c r="Q554">
        <f t="shared" si="985"/>
        <v>617673239.26153922</v>
      </c>
      <c r="R554">
        <f t="shared" si="986"/>
        <v>33111207402.396355</v>
      </c>
      <c r="S554">
        <f t="shared" si="987"/>
        <v>331112.07402396353</v>
      </c>
      <c r="T554">
        <f t="shared" si="988"/>
        <v>331.11207402396354</v>
      </c>
    </row>
    <row r="555" spans="1:20" x14ac:dyDescent="0.25">
      <c r="A555" s="5">
        <v>44038</v>
      </c>
      <c r="B555">
        <v>1.8780000000000002E-2</v>
      </c>
      <c r="C555">
        <v>1.9369999999999998E-2</v>
      </c>
      <c r="D555">
        <v>1.8249999999999999E-2</v>
      </c>
      <c r="E555">
        <v>1.8519999999999998E-2</v>
      </c>
      <c r="F555">
        <v>847552344.20000005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-0.51785714285714368</v>
      </c>
      <c r="Q555">
        <f t="shared" si="985"/>
        <v>-438911035.38928646</v>
      </c>
      <c r="R555">
        <f t="shared" si="986"/>
        <v>32493534163.134815</v>
      </c>
      <c r="S555">
        <f t="shared" si="987"/>
        <v>324935.34163134813</v>
      </c>
      <c r="T555">
        <f t="shared" si="988"/>
        <v>324.93534163134814</v>
      </c>
    </row>
    <row r="556" spans="1:20" x14ac:dyDescent="0.25">
      <c r="A556" s="5">
        <v>44037</v>
      </c>
      <c r="B556">
        <v>1.7930000000000001E-2</v>
      </c>
      <c r="C556">
        <v>1.883E-2</v>
      </c>
      <c r="D556">
        <v>1.7899999999999999E-2</v>
      </c>
      <c r="E556">
        <v>1.8769999999999998E-2</v>
      </c>
      <c r="F556">
        <v>726348655.29999995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0.87096774193548165</v>
      </c>
      <c r="Q556">
        <f t="shared" si="985"/>
        <v>632626248.16451442</v>
      </c>
      <c r="R556">
        <f t="shared" si="986"/>
        <v>32932445198.524101</v>
      </c>
      <c r="S556">
        <f t="shared" si="987"/>
        <v>329324.45198524103</v>
      </c>
      <c r="T556">
        <f t="shared" si="988"/>
        <v>329.32445198524101</v>
      </c>
    </row>
    <row r="557" spans="1:20" x14ac:dyDescent="0.25">
      <c r="A557" s="5">
        <v>44036</v>
      </c>
      <c r="B557">
        <v>1.7919999999999998E-2</v>
      </c>
      <c r="C557">
        <v>1.8270000000000002E-2</v>
      </c>
      <c r="D557">
        <v>1.746E-2</v>
      </c>
      <c r="E557">
        <v>1.7940000000000001E-2</v>
      </c>
      <c r="F557">
        <v>526515505.60000002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0.18518518518518581</v>
      </c>
      <c r="Q557">
        <f t="shared" si="985"/>
        <v>97502871.407407746</v>
      </c>
      <c r="R557">
        <f t="shared" si="986"/>
        <v>32299818950.359589</v>
      </c>
      <c r="S557">
        <f t="shared" si="987"/>
        <v>322998.18950359587</v>
      </c>
      <c r="T557">
        <f t="shared" si="988"/>
        <v>322.99818950359588</v>
      </c>
    </row>
    <row r="558" spans="1:20" x14ac:dyDescent="0.25">
      <c r="A558" s="5">
        <v>44035</v>
      </c>
      <c r="B558">
        <v>1.7919999999999998E-2</v>
      </c>
      <c r="C558">
        <v>1.806E-2</v>
      </c>
      <c r="D558">
        <v>1.7729999999999999E-2</v>
      </c>
      <c r="E558">
        <v>1.7919999999999998E-2</v>
      </c>
      <c r="F558">
        <v>462917735.39999998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0.15151515151514514</v>
      </c>
      <c r="Q558">
        <f t="shared" si="985"/>
        <v>70139050.818178862</v>
      </c>
      <c r="R558">
        <f t="shared" si="986"/>
        <v>32202316078.952183</v>
      </c>
      <c r="S558">
        <f t="shared" si="987"/>
        <v>322023.16078952182</v>
      </c>
      <c r="T558">
        <f t="shared" si="988"/>
        <v>322.0231607895218</v>
      </c>
    </row>
    <row r="559" spans="1:20" x14ac:dyDescent="0.25">
      <c r="A559" s="5">
        <v>44034</v>
      </c>
      <c r="B559">
        <v>1.7610000000000001E-2</v>
      </c>
      <c r="C559">
        <v>1.797E-2</v>
      </c>
      <c r="D559">
        <v>1.7330000000000002E-2</v>
      </c>
      <c r="E559">
        <v>1.7940000000000001E-2</v>
      </c>
      <c r="F559">
        <v>399538220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0.90625000000000355</v>
      </c>
      <c r="Q559">
        <f t="shared" si="985"/>
        <v>362081511.87500143</v>
      </c>
      <c r="R559">
        <f t="shared" si="986"/>
        <v>32132177028.134003</v>
      </c>
      <c r="S559">
        <f t="shared" si="987"/>
        <v>321321.77028134005</v>
      </c>
      <c r="T559">
        <f t="shared" si="988"/>
        <v>321.32177028134004</v>
      </c>
    </row>
    <row r="560" spans="1:20" x14ac:dyDescent="0.25">
      <c r="A560" s="5">
        <v>44033</v>
      </c>
      <c r="B560">
        <v>1.7160000000000002E-2</v>
      </c>
      <c r="C560">
        <v>1.772E-2</v>
      </c>
      <c r="D560">
        <v>1.7139999999999999E-2</v>
      </c>
      <c r="E560">
        <v>1.762E-2</v>
      </c>
      <c r="F560">
        <v>487837067.80000001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0.65517241379310598</v>
      </c>
      <c r="Q560">
        <f t="shared" si="985"/>
        <v>319617389.24827713</v>
      </c>
      <c r="R560">
        <f t="shared" si="986"/>
        <v>31770095516.259003</v>
      </c>
      <c r="S560">
        <f t="shared" si="987"/>
        <v>317700.95516259002</v>
      </c>
      <c r="T560">
        <f t="shared" si="988"/>
        <v>317.70095516259005</v>
      </c>
    </row>
    <row r="561" spans="1:104" x14ac:dyDescent="0.25">
      <c r="A561" s="5">
        <v>44032</v>
      </c>
      <c r="B561">
        <v>1.753E-2</v>
      </c>
      <c r="C561">
        <v>1.7569999999999999E-2</v>
      </c>
      <c r="D561">
        <v>1.6899999999999998E-2</v>
      </c>
      <c r="E561">
        <v>1.7160000000000002E-2</v>
      </c>
      <c r="F561">
        <v>404033197.80000001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-0.22388059701491611</v>
      </c>
      <c r="Q561">
        <f t="shared" si="985"/>
        <v>-90455193.537309691</v>
      </c>
      <c r="R561">
        <f t="shared" si="986"/>
        <v>31450478127.010727</v>
      </c>
      <c r="S561">
        <f t="shared" si="987"/>
        <v>314504.78127010725</v>
      </c>
      <c r="T561">
        <f t="shared" si="988"/>
        <v>314.50478127010723</v>
      </c>
      <c r="CZ561" t="s">
        <v>7</v>
      </c>
    </row>
    <row r="562" spans="1:104" x14ac:dyDescent="0.25">
      <c r="A562" s="5">
        <v>44031</v>
      </c>
      <c r="B562">
        <v>1.7420000000000001E-2</v>
      </c>
      <c r="C562">
        <v>1.7590000000000001E-2</v>
      </c>
      <c r="D562">
        <v>1.7160000000000002E-2</v>
      </c>
      <c r="E562">
        <v>1.753E-2</v>
      </c>
      <c r="F562">
        <v>406733413.5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0.72093023255813471</v>
      </c>
      <c r="Q562">
        <f t="shared" si="985"/>
        <v>293226414.38371897</v>
      </c>
      <c r="R562">
        <f t="shared" si="986"/>
        <v>31540933320.548038</v>
      </c>
      <c r="S562">
        <f t="shared" si="987"/>
        <v>315409.33320548036</v>
      </c>
      <c r="T562">
        <f t="shared" si="988"/>
        <v>315.40933320548038</v>
      </c>
      <c r="CZ562" t="s">
        <v>7</v>
      </c>
    </row>
    <row r="563" spans="1:104" x14ac:dyDescent="0.25">
      <c r="A563" s="5">
        <v>44030</v>
      </c>
      <c r="B563">
        <v>1.7170000000000001E-2</v>
      </c>
      <c r="C563">
        <v>1.745E-2</v>
      </c>
      <c r="D563">
        <v>1.6990000000000002E-2</v>
      </c>
      <c r="E563">
        <v>1.7420000000000001E-2</v>
      </c>
      <c r="F563">
        <v>322484939.39999998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0.86956521739130932</v>
      </c>
      <c r="Q563">
        <f t="shared" si="985"/>
        <v>280421686.43478417</v>
      </c>
      <c r="R563">
        <f t="shared" si="986"/>
        <v>31247706906.164318</v>
      </c>
      <c r="S563">
        <f t="shared" si="987"/>
        <v>312477.06906164315</v>
      </c>
      <c r="T563">
        <f t="shared" si="988"/>
        <v>312.47706906164314</v>
      </c>
      <c r="CZ563" t="s">
        <v>7</v>
      </c>
    </row>
    <row r="564" spans="1:104" x14ac:dyDescent="0.25">
      <c r="A564" s="5">
        <v>44029</v>
      </c>
      <c r="B564">
        <v>1.7160000000000002E-2</v>
      </c>
      <c r="C564">
        <v>1.7350000000000001E-2</v>
      </c>
      <c r="D564">
        <v>1.702E-2</v>
      </c>
      <c r="E564">
        <v>1.7170000000000001E-2</v>
      </c>
      <c r="F564">
        <v>340578913.30000001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-9.0909090909087081E-2</v>
      </c>
      <c r="Q564">
        <f t="shared" si="985"/>
        <v>-30961719.390907787</v>
      </c>
      <c r="R564">
        <f t="shared" si="986"/>
        <v>30967285219.729534</v>
      </c>
      <c r="S564">
        <f t="shared" si="987"/>
        <v>309672.85219729535</v>
      </c>
      <c r="T564">
        <f t="shared" si="988"/>
        <v>309.67285219729536</v>
      </c>
    </row>
    <row r="565" spans="1:104" x14ac:dyDescent="0.25">
      <c r="A565" s="5">
        <v>44028</v>
      </c>
      <c r="B565">
        <v>1.7569999999999999E-2</v>
      </c>
      <c r="C565">
        <v>1.763E-2</v>
      </c>
      <c r="D565">
        <v>1.66E-2</v>
      </c>
      <c r="E565">
        <v>1.7160000000000002E-2</v>
      </c>
      <c r="F565">
        <v>671120048.10000002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8.7378640776702238E-2</v>
      </c>
      <c r="Q565">
        <f t="shared" si="985"/>
        <v>58641557.600973032</v>
      </c>
      <c r="R565">
        <f t="shared" si="986"/>
        <v>30998246939.120441</v>
      </c>
      <c r="S565">
        <f t="shared" si="987"/>
        <v>309982.46939120442</v>
      </c>
      <c r="T565">
        <f t="shared" si="988"/>
        <v>309.9824693912044</v>
      </c>
    </row>
    <row r="566" spans="1:104" x14ac:dyDescent="0.25">
      <c r="A566" s="5">
        <v>44027</v>
      </c>
      <c r="B566">
        <v>1.7649999999999999E-2</v>
      </c>
      <c r="C566">
        <v>1.7770000000000001E-2</v>
      </c>
      <c r="D566">
        <v>1.7440000000000001E-2</v>
      </c>
      <c r="E566">
        <v>1.7569999999999999E-2</v>
      </c>
      <c r="F566">
        <v>438452843.80000001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-0.21212121212122423</v>
      </c>
      <c r="Q566">
        <f t="shared" si="985"/>
        <v>-93005148.684853792</v>
      </c>
      <c r="R566">
        <f t="shared" si="986"/>
        <v>30939605381.51947</v>
      </c>
      <c r="S566">
        <f t="shared" si="987"/>
        <v>309396.0538151947</v>
      </c>
      <c r="T566">
        <f t="shared" si="988"/>
        <v>309.3960538151947</v>
      </c>
    </row>
    <row r="567" spans="1:104" x14ac:dyDescent="0.25">
      <c r="A567" s="5">
        <v>44026</v>
      </c>
      <c r="B567">
        <v>1.755E-2</v>
      </c>
      <c r="C567">
        <v>1.7770000000000001E-2</v>
      </c>
      <c r="D567">
        <v>1.7069999999999998E-2</v>
      </c>
      <c r="E567">
        <v>1.7649999999999999E-2</v>
      </c>
      <c r="F567">
        <v>624134874.70000005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0.65714285714285259</v>
      </c>
      <c r="Q567">
        <f t="shared" si="985"/>
        <v>410145774.80285436</v>
      </c>
      <c r="R567">
        <f t="shared" si="986"/>
        <v>31032610530.204323</v>
      </c>
      <c r="S567">
        <f t="shared" si="987"/>
        <v>310326.1053020432</v>
      </c>
      <c r="T567">
        <f t="shared" si="988"/>
        <v>310.32610530204317</v>
      </c>
    </row>
    <row r="568" spans="1:104" x14ac:dyDescent="0.25">
      <c r="A568" s="5">
        <v>44025</v>
      </c>
      <c r="B568">
        <v>1.8149999999999999E-2</v>
      </c>
      <c r="C568">
        <v>1.8409999999999999E-2</v>
      </c>
      <c r="D568">
        <v>1.695E-2</v>
      </c>
      <c r="E568">
        <v>1.7559999999999999E-2</v>
      </c>
      <c r="F568">
        <v>922411496.89999998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-0.16438356164383611</v>
      </c>
      <c r="Q568">
        <f t="shared" si="985"/>
        <v>-151629287.16164428</v>
      </c>
      <c r="R568">
        <f t="shared" si="986"/>
        <v>30622464755.40147</v>
      </c>
      <c r="S568">
        <f t="shared" si="987"/>
        <v>306224.64755401469</v>
      </c>
      <c r="T568">
        <f t="shared" si="988"/>
        <v>306.22464755401467</v>
      </c>
    </row>
    <row r="569" spans="1:104" x14ac:dyDescent="0.25">
      <c r="A569" s="5">
        <v>44024</v>
      </c>
      <c r="B569">
        <v>1.8360000000000001E-2</v>
      </c>
      <c r="C569">
        <v>1.8540000000000001E-2</v>
      </c>
      <c r="D569">
        <v>1.788E-2</v>
      </c>
      <c r="E569">
        <v>1.8180000000000002E-2</v>
      </c>
      <c r="F569">
        <v>600815518.29999995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-9.0909090909087081E-2</v>
      </c>
      <c r="Q569">
        <f t="shared" si="985"/>
        <v>-54619592.572724968</v>
      </c>
      <c r="R569">
        <f t="shared" si="986"/>
        <v>30774094042.563114</v>
      </c>
      <c r="S569">
        <f t="shared" si="987"/>
        <v>307740.94042563112</v>
      </c>
      <c r="T569">
        <f t="shared" si="988"/>
        <v>307.74094042563115</v>
      </c>
    </row>
    <row r="570" spans="1:104" x14ac:dyDescent="0.25">
      <c r="A570" s="5">
        <v>44023</v>
      </c>
      <c r="B570">
        <v>1.813E-2</v>
      </c>
      <c r="C570">
        <v>1.8880000000000001E-2</v>
      </c>
      <c r="D570">
        <v>1.8110000000000001E-2</v>
      </c>
      <c r="E570">
        <v>1.8370000000000001E-2</v>
      </c>
      <c r="F570">
        <v>826526597.89999998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-0.32467532467532501</v>
      </c>
      <c r="Q570">
        <f t="shared" si="985"/>
        <v>-268352791.5259743</v>
      </c>
      <c r="R570">
        <f t="shared" si="986"/>
        <v>30828713635.135838</v>
      </c>
      <c r="S570">
        <f t="shared" si="987"/>
        <v>308287.13635135838</v>
      </c>
      <c r="T570">
        <f t="shared" si="988"/>
        <v>308.28713635135836</v>
      </c>
    </row>
    <row r="571" spans="1:104" x14ac:dyDescent="0.25">
      <c r="A571" s="5">
        <v>44022</v>
      </c>
      <c r="B571">
        <v>1.8550000000000001E-2</v>
      </c>
      <c r="C571">
        <v>1.8689999999999998E-2</v>
      </c>
      <c r="D571">
        <v>1.78E-2</v>
      </c>
      <c r="E571">
        <v>1.8120000000000001E-2</v>
      </c>
      <c r="F571">
        <v>1068163189.9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-0.28089887640449124</v>
      </c>
      <c r="Q571">
        <f t="shared" si="985"/>
        <v>-300045839.8595472</v>
      </c>
      <c r="R571">
        <f t="shared" si="986"/>
        <v>31097066426.661812</v>
      </c>
      <c r="S571">
        <f t="shared" si="987"/>
        <v>310970.66426661814</v>
      </c>
      <c r="T571">
        <f t="shared" si="988"/>
        <v>310.97066426661814</v>
      </c>
    </row>
    <row r="572" spans="1:104" x14ac:dyDescent="0.25">
      <c r="A572" s="5">
        <v>44021</v>
      </c>
      <c r="B572">
        <v>1.7919999999999998E-2</v>
      </c>
      <c r="C572">
        <v>1.9179999999999999E-2</v>
      </c>
      <c r="D572">
        <v>1.7520000000000001E-2</v>
      </c>
      <c r="E572">
        <v>1.856E-2</v>
      </c>
      <c r="F572">
        <v>1719100196.8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0.25301204819277151</v>
      </c>
      <c r="Q572">
        <f t="shared" si="985"/>
        <v>434953061.84096456</v>
      </c>
      <c r="R572">
        <f t="shared" si="986"/>
        <v>31397112266.521358</v>
      </c>
      <c r="S572">
        <f t="shared" si="987"/>
        <v>313971.1226652136</v>
      </c>
      <c r="T572">
        <f t="shared" si="988"/>
        <v>313.97112266521361</v>
      </c>
    </row>
    <row r="573" spans="1:104" x14ac:dyDescent="0.25">
      <c r="A573" s="5">
        <v>44020</v>
      </c>
      <c r="B573">
        <v>1.7219999999999999E-2</v>
      </c>
      <c r="C573">
        <v>1.8149999999999999E-2</v>
      </c>
      <c r="D573">
        <v>1.6820000000000002E-2</v>
      </c>
      <c r="E573">
        <v>1.7909999999999999E-2</v>
      </c>
      <c r="F573">
        <v>1341452980.8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0.63909774436090072</v>
      </c>
      <c r="Q573">
        <f t="shared" si="985"/>
        <v>857319574.19548666</v>
      </c>
      <c r="R573">
        <f t="shared" si="986"/>
        <v>30962159204.680393</v>
      </c>
      <c r="S573">
        <f t="shared" si="987"/>
        <v>309621.59204680391</v>
      </c>
      <c r="T573">
        <f t="shared" si="988"/>
        <v>309.62159204680393</v>
      </c>
    </row>
    <row r="574" spans="1:104" x14ac:dyDescent="0.25">
      <c r="A574" s="5">
        <v>44019</v>
      </c>
      <c r="B574">
        <v>1.8020000000000001E-2</v>
      </c>
      <c r="C574">
        <v>1.814E-2</v>
      </c>
      <c r="D574">
        <v>1.7100000000000001E-2</v>
      </c>
      <c r="E574">
        <v>1.72E-2</v>
      </c>
      <c r="F574">
        <v>896802894.60000002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-0.80769230769230871</v>
      </c>
      <c r="Q574">
        <f t="shared" si="985"/>
        <v>-724340799.48461628</v>
      </c>
      <c r="R574">
        <f t="shared" si="986"/>
        <v>30104839630.484905</v>
      </c>
      <c r="S574">
        <f t="shared" si="987"/>
        <v>301048.39630484907</v>
      </c>
      <c r="T574">
        <f t="shared" si="988"/>
        <v>301.04839630484906</v>
      </c>
    </row>
    <row r="575" spans="1:104" x14ac:dyDescent="0.25">
      <c r="A575" s="5">
        <v>44018</v>
      </c>
      <c r="B575">
        <v>1.6889999999999999E-2</v>
      </c>
      <c r="C575">
        <v>1.8190000000000001E-2</v>
      </c>
      <c r="D575">
        <v>1.6879999999999999E-2</v>
      </c>
      <c r="E575">
        <v>1.8020000000000001E-2</v>
      </c>
      <c r="F575">
        <v>1308886115.2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0.74045801526717603</v>
      </c>
      <c r="Q575">
        <f t="shared" si="985"/>
        <v>969175215.07175636</v>
      </c>
      <c r="R575">
        <f t="shared" si="986"/>
        <v>30829180429.969521</v>
      </c>
      <c r="S575">
        <f t="shared" si="987"/>
        <v>308291.80429969518</v>
      </c>
      <c r="T575">
        <f t="shared" si="988"/>
        <v>308.29180429969517</v>
      </c>
    </row>
    <row r="576" spans="1:104" x14ac:dyDescent="0.25">
      <c r="A576" s="5">
        <v>44017</v>
      </c>
      <c r="B576">
        <v>1.6840000000000001E-2</v>
      </c>
      <c r="C576">
        <v>1.7010000000000001E-2</v>
      </c>
      <c r="D576">
        <v>1.6310000000000002E-2</v>
      </c>
      <c r="E576">
        <v>1.6879999999999999E-2</v>
      </c>
      <c r="F576">
        <v>635875944.70000005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0.62857142857142345</v>
      </c>
      <c r="Q576">
        <f t="shared" si="985"/>
        <v>399693450.95428246</v>
      </c>
      <c r="R576">
        <f t="shared" si="986"/>
        <v>29860005214.897766</v>
      </c>
      <c r="S576">
        <f t="shared" si="987"/>
        <v>298600.05214897764</v>
      </c>
      <c r="T576">
        <f t="shared" si="988"/>
        <v>298.60005214897762</v>
      </c>
    </row>
    <row r="577" spans="1:20" x14ac:dyDescent="0.25">
      <c r="A577" s="5">
        <v>44016</v>
      </c>
      <c r="B577">
        <v>1.661E-2</v>
      </c>
      <c r="C577">
        <v>1.6920000000000001E-2</v>
      </c>
      <c r="D577">
        <v>1.6570000000000001E-2</v>
      </c>
      <c r="E577">
        <v>1.6820000000000002E-2</v>
      </c>
      <c r="F577">
        <v>492305345.69999999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0.42857142857143138</v>
      </c>
      <c r="Q577">
        <f t="shared" si="985"/>
        <v>210988005.30000138</v>
      </c>
      <c r="R577">
        <f t="shared" si="986"/>
        <v>29460311763.943485</v>
      </c>
      <c r="S577">
        <f t="shared" si="987"/>
        <v>294603.11763943487</v>
      </c>
      <c r="T577">
        <f t="shared" si="988"/>
        <v>294.60311763943486</v>
      </c>
    </row>
    <row r="578" spans="1:20" x14ac:dyDescent="0.25">
      <c r="A578" s="5">
        <v>44015</v>
      </c>
      <c r="B578">
        <v>1.6590000000000001E-2</v>
      </c>
      <c r="C578">
        <v>1.6879999999999999E-2</v>
      </c>
      <c r="D578">
        <v>1.6490000000000001E-2</v>
      </c>
      <c r="E578">
        <v>1.6619999999999999E-2</v>
      </c>
      <c r="F578">
        <v>518559896.10000002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-0.33333333333333925</v>
      </c>
      <c r="Q578">
        <f t="shared" si="985"/>
        <v>-172853298.70000309</v>
      </c>
      <c r="R578">
        <f t="shared" si="986"/>
        <v>29249323758.643482</v>
      </c>
      <c r="S578">
        <f t="shared" si="987"/>
        <v>292493.23758643481</v>
      </c>
      <c r="T578">
        <f t="shared" si="988"/>
        <v>292.49323758643482</v>
      </c>
    </row>
    <row r="579" spans="1:20" x14ac:dyDescent="0.25">
      <c r="A579" s="5">
        <v>44014</v>
      </c>
      <c r="B579">
        <v>1.687E-2</v>
      </c>
      <c r="C579">
        <v>1.7250000000000001E-2</v>
      </c>
      <c r="D579">
        <v>1.6150000000000001E-2</v>
      </c>
      <c r="E579">
        <v>1.6580000000000001E-2</v>
      </c>
      <c r="F579">
        <v>1094274818.7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-0.2181818181818187</v>
      </c>
      <c r="Q579">
        <f t="shared" si="985"/>
        <v>-238750869.53454602</v>
      </c>
      <c r="R579">
        <f t="shared" si="986"/>
        <v>29422177057.343487</v>
      </c>
      <c r="S579">
        <f t="shared" si="987"/>
        <v>294221.77057343489</v>
      </c>
      <c r="T579">
        <f t="shared" si="988"/>
        <v>294.22177057343487</v>
      </c>
    </row>
    <row r="580" spans="1:20" x14ac:dyDescent="0.25">
      <c r="A580" s="5">
        <v>44013</v>
      </c>
      <c r="B580">
        <v>1.6369999999999999E-2</v>
      </c>
      <c r="C580">
        <v>1.7000000000000001E-2</v>
      </c>
      <c r="D580">
        <v>1.619E-2</v>
      </c>
      <c r="E580">
        <v>1.686E-2</v>
      </c>
      <c r="F580">
        <v>631037219.79999995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0.65432098765431868</v>
      </c>
      <c r="Q580">
        <f t="shared" si="985"/>
        <v>412900896.90617132</v>
      </c>
      <c r="R580">
        <f t="shared" si="986"/>
        <v>29660927926.878033</v>
      </c>
      <c r="S580">
        <f t="shared" si="987"/>
        <v>296609.27926878032</v>
      </c>
      <c r="T580">
        <f t="shared" si="988"/>
        <v>296.60927926878031</v>
      </c>
    </row>
    <row r="581" spans="1:20" x14ac:dyDescent="0.25">
      <c r="A581" s="5">
        <v>44012</v>
      </c>
      <c r="B581">
        <v>1.619E-2</v>
      </c>
      <c r="C581">
        <v>1.66E-2</v>
      </c>
      <c r="D581">
        <v>1.617E-2</v>
      </c>
      <c r="E581">
        <v>1.636E-2</v>
      </c>
      <c r="F581">
        <v>469446916.30000001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-0.11627906976744523</v>
      </c>
      <c r="Q581">
        <f t="shared" si="985"/>
        <v>-54586850.732559726</v>
      </c>
      <c r="R581">
        <f t="shared" si="986"/>
        <v>29248027029.971863</v>
      </c>
      <c r="S581">
        <f t="shared" si="987"/>
        <v>292480.2702997186</v>
      </c>
      <c r="T581">
        <f t="shared" si="988"/>
        <v>292.4802702997186</v>
      </c>
    </row>
    <row r="582" spans="1:20" x14ac:dyDescent="0.25">
      <c r="A582" s="5">
        <v>44011</v>
      </c>
      <c r="B582">
        <v>1.5779999999999999E-2</v>
      </c>
      <c r="C582">
        <v>1.6369999999999999E-2</v>
      </c>
      <c r="D582">
        <v>1.576E-2</v>
      </c>
      <c r="E582">
        <v>1.619E-2</v>
      </c>
      <c r="F582">
        <v>659473533.79999995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0.40983606557377122</v>
      </c>
      <c r="Q582">
        <f t="shared" ref="Q582:Q645" si="990">F582*P582</f>
        <v>270276038.44262344</v>
      </c>
      <c r="R582">
        <f t="shared" ref="R582:R645" si="991">R583+Q582</f>
        <v>29302613880.704422</v>
      </c>
      <c r="S582">
        <f t="shared" ref="S582:S645" si="992">R582/100000</f>
        <v>293026.13880704425</v>
      </c>
      <c r="T582">
        <f t="shared" ref="T582:T645" si="993">S582/1000</f>
        <v>293.02613880704428</v>
      </c>
    </row>
    <row r="583" spans="1:20" x14ac:dyDescent="0.25">
      <c r="A583" s="5">
        <v>44010</v>
      </c>
      <c r="B583">
        <v>1.5429999999999999E-2</v>
      </c>
      <c r="C583">
        <v>1.5970000000000002E-2</v>
      </c>
      <c r="D583">
        <v>1.5299999999999999E-2</v>
      </c>
      <c r="E583">
        <v>1.5769999999999999E-2</v>
      </c>
      <c r="F583">
        <v>360321981.69999999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0.4029850746268609</v>
      </c>
      <c r="Q583">
        <f t="shared" si="990"/>
        <v>145204380.6850729</v>
      </c>
      <c r="R583">
        <f t="shared" si="991"/>
        <v>29032337842.261799</v>
      </c>
      <c r="S583">
        <f t="shared" si="992"/>
        <v>290323.37842261797</v>
      </c>
      <c r="T583">
        <f t="shared" si="993"/>
        <v>290.32337842261796</v>
      </c>
    </row>
    <row r="584" spans="1:20" x14ac:dyDescent="0.25">
      <c r="A584" s="5">
        <v>44009</v>
      </c>
      <c r="B584">
        <v>1.585E-2</v>
      </c>
      <c r="C584">
        <v>1.6E-2</v>
      </c>
      <c r="D584">
        <v>1.4800000000000001E-2</v>
      </c>
      <c r="E584">
        <v>1.5440000000000001E-2</v>
      </c>
      <c r="F584">
        <v>603752848.70000005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6.666666666666686E-2</v>
      </c>
      <c r="Q584">
        <f t="shared" si="990"/>
        <v>40250189.913333453</v>
      </c>
      <c r="R584">
        <f t="shared" si="991"/>
        <v>28887133461.576725</v>
      </c>
      <c r="S584">
        <f t="shared" si="992"/>
        <v>288871.33461576723</v>
      </c>
      <c r="T584">
        <f t="shared" si="993"/>
        <v>288.87133461576724</v>
      </c>
    </row>
    <row r="585" spans="1:20" x14ac:dyDescent="0.25">
      <c r="A585" s="5">
        <v>44008</v>
      </c>
      <c r="B585">
        <v>1.5890000000000001E-2</v>
      </c>
      <c r="C585">
        <v>1.6039999999999999E-2</v>
      </c>
      <c r="D585">
        <v>1.5650000000000001E-2</v>
      </c>
      <c r="E585">
        <v>1.585E-2</v>
      </c>
      <c r="F585">
        <v>391427883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2.5641025641024728E-2</v>
      </c>
      <c r="Q585">
        <f t="shared" si="990"/>
        <v>10036612.384615026</v>
      </c>
      <c r="R585">
        <f t="shared" si="991"/>
        <v>28846883271.663391</v>
      </c>
      <c r="S585">
        <f t="shared" si="992"/>
        <v>288468.83271663391</v>
      </c>
      <c r="T585">
        <f t="shared" si="993"/>
        <v>288.46883271663393</v>
      </c>
    </row>
    <row r="586" spans="1:20" x14ac:dyDescent="0.25">
      <c r="A586" s="5">
        <v>44007</v>
      </c>
      <c r="B586">
        <v>1.593E-2</v>
      </c>
      <c r="C586">
        <v>1.61E-2</v>
      </c>
      <c r="D586">
        <v>1.538E-2</v>
      </c>
      <c r="E586">
        <v>1.5900000000000001E-2</v>
      </c>
      <c r="F586">
        <v>452767718.5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0.44444444444444792</v>
      </c>
      <c r="Q586">
        <f t="shared" si="990"/>
        <v>201230097.11111268</v>
      </c>
      <c r="R586">
        <f t="shared" si="991"/>
        <v>28836846659.278774</v>
      </c>
      <c r="S586">
        <f t="shared" si="992"/>
        <v>288368.46659278776</v>
      </c>
      <c r="T586">
        <f t="shared" si="993"/>
        <v>288.36846659278774</v>
      </c>
    </row>
    <row r="587" spans="1:20" x14ac:dyDescent="0.25">
      <c r="A587" s="5">
        <v>44006</v>
      </c>
      <c r="B587">
        <v>1.651E-2</v>
      </c>
      <c r="C587">
        <v>1.6820000000000002E-2</v>
      </c>
      <c r="D587">
        <v>1.5570000000000001E-2</v>
      </c>
      <c r="E587">
        <v>1.593E-2</v>
      </c>
      <c r="F587">
        <v>654819800.29999995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-0.42400000000000176</v>
      </c>
      <c r="Q587">
        <f t="shared" si="990"/>
        <v>-277643595.32720113</v>
      </c>
      <c r="R587">
        <f t="shared" si="991"/>
        <v>28635616562.16766</v>
      </c>
      <c r="S587">
        <f t="shared" si="992"/>
        <v>286356.1656216766</v>
      </c>
      <c r="T587">
        <f t="shared" si="993"/>
        <v>286.35616562167661</v>
      </c>
    </row>
    <row r="588" spans="1:20" x14ac:dyDescent="0.25">
      <c r="A588" s="5">
        <v>44005</v>
      </c>
      <c r="B588">
        <v>1.6379999999999999E-2</v>
      </c>
      <c r="C588">
        <v>1.677E-2</v>
      </c>
      <c r="D588">
        <v>1.6219999999999998E-2</v>
      </c>
      <c r="E588">
        <v>1.6500000000000001E-2</v>
      </c>
      <c r="F588">
        <v>502293048.30000001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1.8181818181823687E-2</v>
      </c>
      <c r="Q588">
        <f t="shared" si="990"/>
        <v>9132600.878184583</v>
      </c>
      <c r="R588">
        <f t="shared" si="991"/>
        <v>28913260157.494862</v>
      </c>
      <c r="S588">
        <f t="shared" si="992"/>
        <v>289132.60157494864</v>
      </c>
      <c r="T588">
        <f t="shared" si="993"/>
        <v>289.13260157494864</v>
      </c>
    </row>
    <row r="589" spans="1:20" x14ac:dyDescent="0.25">
      <c r="A589" s="5">
        <v>44004</v>
      </c>
      <c r="B589">
        <v>1.5820000000000001E-2</v>
      </c>
      <c r="C589">
        <v>1.6449999999999999E-2</v>
      </c>
      <c r="D589">
        <v>1.5800000000000002E-2</v>
      </c>
      <c r="E589">
        <v>1.6379999999999999E-2</v>
      </c>
      <c r="F589">
        <v>444402664.10000002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0.78461538461538194</v>
      </c>
      <c r="Q589">
        <f t="shared" si="990"/>
        <v>348685167.21692193</v>
      </c>
      <c r="R589">
        <f t="shared" si="991"/>
        <v>28904127556.616676</v>
      </c>
      <c r="S589">
        <f t="shared" si="992"/>
        <v>289041.27556616679</v>
      </c>
      <c r="T589">
        <f t="shared" si="993"/>
        <v>289.0412755661668</v>
      </c>
    </row>
    <row r="590" spans="1:20" x14ac:dyDescent="0.25">
      <c r="A590" s="5">
        <v>44003</v>
      </c>
      <c r="B590">
        <v>1.5980000000000001E-2</v>
      </c>
      <c r="C590">
        <v>1.6029999999999999E-2</v>
      </c>
      <c r="D590">
        <v>1.5769999999999999E-2</v>
      </c>
      <c r="E590">
        <v>1.5820000000000001E-2</v>
      </c>
      <c r="F590">
        <v>193430086.90000001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-0.61538461538460409</v>
      </c>
      <c r="Q590">
        <f t="shared" si="990"/>
        <v>-119033899.63076705</v>
      </c>
      <c r="R590">
        <f t="shared" si="991"/>
        <v>28555442389.399754</v>
      </c>
      <c r="S590">
        <f t="shared" si="992"/>
        <v>285554.42389399756</v>
      </c>
      <c r="T590">
        <f t="shared" si="993"/>
        <v>285.55442389399758</v>
      </c>
    </row>
    <row r="591" spans="1:20" x14ac:dyDescent="0.25">
      <c r="A591" s="5">
        <v>44002</v>
      </c>
      <c r="B591">
        <v>1.5859999999999999E-2</v>
      </c>
      <c r="C591">
        <v>1.6070000000000001E-2</v>
      </c>
      <c r="D591">
        <v>1.5559999999999999E-2</v>
      </c>
      <c r="E591">
        <v>1.5970000000000002E-2</v>
      </c>
      <c r="F591">
        <v>305950553.19999999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0.60784313725490569</v>
      </c>
      <c r="Q591">
        <f t="shared" si="990"/>
        <v>185969944.10196191</v>
      </c>
      <c r="R591">
        <f t="shared" si="991"/>
        <v>28674476289.030521</v>
      </c>
      <c r="S591">
        <f t="shared" si="992"/>
        <v>286744.7628903052</v>
      </c>
      <c r="T591">
        <f t="shared" si="993"/>
        <v>286.7447628903052</v>
      </c>
    </row>
    <row r="592" spans="1:20" x14ac:dyDescent="0.25">
      <c r="A592" s="5">
        <v>44001</v>
      </c>
      <c r="B592">
        <v>1.601E-2</v>
      </c>
      <c r="C592">
        <v>1.6160000000000001E-2</v>
      </c>
      <c r="D592">
        <v>1.566E-2</v>
      </c>
      <c r="E592">
        <v>1.5859999999999999E-2</v>
      </c>
      <c r="F592">
        <v>369504217.69999999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-0.20000000000000556</v>
      </c>
      <c r="Q592">
        <f t="shared" si="990"/>
        <v>-73900843.540002048</v>
      </c>
      <c r="R592">
        <f t="shared" si="991"/>
        <v>28488506344.928558</v>
      </c>
      <c r="S592">
        <f t="shared" si="992"/>
        <v>284885.06344928558</v>
      </c>
      <c r="T592">
        <f t="shared" si="993"/>
        <v>284.88506344928555</v>
      </c>
    </row>
    <row r="593" spans="1:20" x14ac:dyDescent="0.25">
      <c r="A593" s="5">
        <v>44000</v>
      </c>
      <c r="B593">
        <v>1.6209999999999999E-2</v>
      </c>
      <c r="C593">
        <v>1.6230000000000001E-2</v>
      </c>
      <c r="D593">
        <v>1.5789999999999998E-2</v>
      </c>
      <c r="E593">
        <v>1.602E-2</v>
      </c>
      <c r="F593">
        <v>297870834.69999999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4.5454545454543305E-2</v>
      </c>
      <c r="Q593">
        <f t="shared" si="990"/>
        <v>13539583.395453904</v>
      </c>
      <c r="R593">
        <f t="shared" si="991"/>
        <v>28562407188.468559</v>
      </c>
      <c r="S593">
        <f t="shared" si="992"/>
        <v>285624.0718846856</v>
      </c>
      <c r="T593">
        <f t="shared" si="993"/>
        <v>285.62407188468558</v>
      </c>
    </row>
    <row r="594" spans="1:20" x14ac:dyDescent="0.25">
      <c r="A594" s="5">
        <v>43999</v>
      </c>
      <c r="B594">
        <v>1.6129999999999999E-2</v>
      </c>
      <c r="C594">
        <v>1.6490000000000001E-2</v>
      </c>
      <c r="D594">
        <v>1.5820000000000001E-2</v>
      </c>
      <c r="E594">
        <v>1.6209999999999999E-2</v>
      </c>
      <c r="F594">
        <v>470811398.30000001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0.16417910447760514</v>
      </c>
      <c r="Q594">
        <f t="shared" si="990"/>
        <v>77297393.750743076</v>
      </c>
      <c r="R594">
        <f t="shared" si="991"/>
        <v>28548867605.073105</v>
      </c>
      <c r="S594">
        <f t="shared" si="992"/>
        <v>285488.67605073104</v>
      </c>
      <c r="T594">
        <f t="shared" si="993"/>
        <v>285.48867605073104</v>
      </c>
    </row>
    <row r="595" spans="1:20" x14ac:dyDescent="0.25">
      <c r="A595" s="5">
        <v>43998</v>
      </c>
      <c r="B595">
        <v>1.6080000000000001E-2</v>
      </c>
      <c r="C595">
        <v>1.6289999999999999E-2</v>
      </c>
      <c r="D595">
        <v>1.5970000000000002E-2</v>
      </c>
      <c r="E595">
        <v>1.6129999999999999E-2</v>
      </c>
      <c r="F595">
        <v>407083968.5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-1.0842021724855133E-14</v>
      </c>
      <c r="Q595">
        <f t="shared" si="990"/>
        <v>-4.4136132303172421E-6</v>
      </c>
      <c r="R595">
        <f t="shared" si="991"/>
        <v>28471570211.322361</v>
      </c>
      <c r="S595">
        <f t="shared" si="992"/>
        <v>284715.70211322361</v>
      </c>
      <c r="T595">
        <f t="shared" si="993"/>
        <v>284.71570211322359</v>
      </c>
    </row>
    <row r="596" spans="1:20" x14ac:dyDescent="0.25">
      <c r="A596" s="5">
        <v>43997</v>
      </c>
      <c r="B596">
        <v>1.6160000000000001E-2</v>
      </c>
      <c r="C596">
        <v>1.6199999999999999E-2</v>
      </c>
      <c r="D596">
        <v>1.4999999999999999E-2</v>
      </c>
      <c r="E596">
        <v>1.6060000000000001E-2</v>
      </c>
      <c r="F596">
        <v>782994181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0.76666666666667038</v>
      </c>
      <c r="Q596">
        <f t="shared" si="990"/>
        <v>600295538.76666963</v>
      </c>
      <c r="R596">
        <f t="shared" si="991"/>
        <v>28471570211.322365</v>
      </c>
      <c r="S596">
        <f t="shared" si="992"/>
        <v>284715.70211322367</v>
      </c>
      <c r="T596">
        <f t="shared" si="993"/>
        <v>284.71570211322364</v>
      </c>
    </row>
    <row r="597" spans="1:20" x14ac:dyDescent="0.25">
      <c r="A597" s="5">
        <v>43996</v>
      </c>
      <c r="B597">
        <v>1.67E-2</v>
      </c>
      <c r="C597">
        <v>1.6709999999999999E-2</v>
      </c>
      <c r="D597">
        <v>1.5990000000000001E-2</v>
      </c>
      <c r="E597">
        <v>1.6160000000000001E-2</v>
      </c>
      <c r="F597">
        <v>319376526.5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-0.52777777777777668</v>
      </c>
      <c r="Q597">
        <f t="shared" si="990"/>
        <v>-168559833.43055519</v>
      </c>
      <c r="R597">
        <f t="shared" si="991"/>
        <v>27871274672.555695</v>
      </c>
      <c r="S597">
        <f t="shared" si="992"/>
        <v>278712.74672555696</v>
      </c>
      <c r="T597">
        <f t="shared" si="993"/>
        <v>278.71274672555694</v>
      </c>
    </row>
    <row r="598" spans="1:20" x14ac:dyDescent="0.25">
      <c r="A598" s="5">
        <v>43995</v>
      </c>
      <c r="B598">
        <v>1.644E-2</v>
      </c>
      <c r="C598">
        <v>1.6740000000000001E-2</v>
      </c>
      <c r="D598">
        <v>1.6109999999999999E-2</v>
      </c>
      <c r="E598">
        <v>1.668E-2</v>
      </c>
      <c r="F598">
        <v>360463122.30000001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0.80952380952380687</v>
      </c>
      <c r="Q598">
        <f t="shared" si="990"/>
        <v>291803479.95714194</v>
      </c>
      <c r="R598">
        <f t="shared" si="991"/>
        <v>28039834505.986248</v>
      </c>
      <c r="S598">
        <f t="shared" si="992"/>
        <v>280398.34505986248</v>
      </c>
      <c r="T598">
        <f t="shared" si="993"/>
        <v>280.39834505986249</v>
      </c>
    </row>
    <row r="599" spans="1:20" x14ac:dyDescent="0.25">
      <c r="A599" s="5">
        <v>43994</v>
      </c>
      <c r="B599">
        <v>1.5730000000000001E-2</v>
      </c>
      <c r="C599">
        <v>1.67E-2</v>
      </c>
      <c r="D599">
        <v>1.562E-2</v>
      </c>
      <c r="E599">
        <v>1.644E-2</v>
      </c>
      <c r="F599">
        <v>429158018.5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0.5185185185185186</v>
      </c>
      <c r="Q599">
        <f t="shared" si="990"/>
        <v>222526379.96296299</v>
      </c>
      <c r="R599">
        <f t="shared" si="991"/>
        <v>27748031026.029106</v>
      </c>
      <c r="S599">
        <f t="shared" si="992"/>
        <v>277480.31026029104</v>
      </c>
      <c r="T599">
        <f t="shared" si="993"/>
        <v>277.48031026029105</v>
      </c>
    </row>
    <row r="600" spans="1:20" x14ac:dyDescent="0.25">
      <c r="A600" s="5">
        <v>43993</v>
      </c>
      <c r="B600">
        <v>1.7610000000000001E-2</v>
      </c>
      <c r="C600">
        <v>1.7749999999999998E-2</v>
      </c>
      <c r="D600">
        <v>1.5100000000000001E-2</v>
      </c>
      <c r="E600">
        <v>1.5730000000000001E-2</v>
      </c>
      <c r="F600">
        <v>880233994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-0.52452830188679178</v>
      </c>
      <c r="Q600">
        <f t="shared" si="990"/>
        <v>-461707642.13584846</v>
      </c>
      <c r="R600">
        <f t="shared" si="991"/>
        <v>27525504646.066143</v>
      </c>
      <c r="S600">
        <f t="shared" si="992"/>
        <v>275255.04646066146</v>
      </c>
      <c r="T600">
        <f t="shared" si="993"/>
        <v>275.25504646066145</v>
      </c>
    </row>
    <row r="601" spans="1:20" x14ac:dyDescent="0.25">
      <c r="A601" s="5">
        <v>43992</v>
      </c>
      <c r="B601">
        <v>1.754E-2</v>
      </c>
      <c r="C601">
        <v>1.7680000000000001E-2</v>
      </c>
      <c r="D601">
        <v>1.7080000000000001E-2</v>
      </c>
      <c r="E601">
        <v>1.7600000000000001E-2</v>
      </c>
      <c r="F601">
        <v>578951235.79999995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0.73333333333333262</v>
      </c>
      <c r="Q601">
        <f t="shared" si="990"/>
        <v>424564239.58666623</v>
      </c>
      <c r="R601">
        <f t="shared" si="991"/>
        <v>27987212288.201992</v>
      </c>
      <c r="S601">
        <f t="shared" si="992"/>
        <v>279872.1228820199</v>
      </c>
      <c r="T601">
        <f t="shared" si="993"/>
        <v>279.87212288201988</v>
      </c>
    </row>
    <row r="602" spans="1:20" x14ac:dyDescent="0.25">
      <c r="A602" s="5">
        <v>43991</v>
      </c>
      <c r="B602">
        <v>1.7940000000000001E-2</v>
      </c>
      <c r="C602">
        <v>1.8079999999999999E-2</v>
      </c>
      <c r="D602">
        <v>1.7430000000000001E-2</v>
      </c>
      <c r="E602">
        <v>1.754E-2</v>
      </c>
      <c r="F602">
        <v>714307909.10000002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-0.66153846153846352</v>
      </c>
      <c r="Q602">
        <f t="shared" si="990"/>
        <v>-472542155.25077069</v>
      </c>
      <c r="R602">
        <f t="shared" si="991"/>
        <v>27562648048.615326</v>
      </c>
      <c r="S602">
        <f t="shared" si="992"/>
        <v>275626.48048615328</v>
      </c>
      <c r="T602">
        <f t="shared" si="993"/>
        <v>275.6264804861533</v>
      </c>
    </row>
    <row r="603" spans="1:20" x14ac:dyDescent="0.25">
      <c r="A603" s="5">
        <v>43990</v>
      </c>
      <c r="B603">
        <v>1.8190000000000001E-2</v>
      </c>
      <c r="C603">
        <v>1.8620000000000001E-2</v>
      </c>
      <c r="D603">
        <v>1.7729999999999999E-2</v>
      </c>
      <c r="E603">
        <v>1.7940000000000001E-2</v>
      </c>
      <c r="F603">
        <v>1258883594.0999999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-0.52808988764044629</v>
      </c>
      <c r="Q603">
        <f t="shared" si="990"/>
        <v>-664803695.76067019</v>
      </c>
      <c r="R603">
        <f t="shared" si="991"/>
        <v>28035190203.866096</v>
      </c>
      <c r="S603">
        <f t="shared" si="992"/>
        <v>280351.90203866095</v>
      </c>
      <c r="T603">
        <f t="shared" si="993"/>
        <v>280.35190203866097</v>
      </c>
    </row>
    <row r="604" spans="1:20" x14ac:dyDescent="0.25">
      <c r="A604" s="5">
        <v>43989</v>
      </c>
      <c r="B604">
        <v>1.704E-2</v>
      </c>
      <c r="C604">
        <v>1.8239999999999999E-2</v>
      </c>
      <c r="D604">
        <v>1.6820000000000002E-2</v>
      </c>
      <c r="E604">
        <v>1.8200000000000001E-2</v>
      </c>
      <c r="F604">
        <v>1568620124.2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0.9436619718309881</v>
      </c>
      <c r="Q604">
        <f t="shared" si="990"/>
        <v>1480247159.4563415</v>
      </c>
      <c r="R604">
        <f t="shared" si="991"/>
        <v>28699993899.626766</v>
      </c>
      <c r="S604">
        <f t="shared" si="992"/>
        <v>286999.93899626768</v>
      </c>
      <c r="T604">
        <f t="shared" si="993"/>
        <v>286.9999389962677</v>
      </c>
    </row>
    <row r="605" spans="1:20" x14ac:dyDescent="0.25">
      <c r="A605" s="5">
        <v>43988</v>
      </c>
      <c r="B605">
        <v>1.6830000000000001E-2</v>
      </c>
      <c r="C605">
        <v>1.7160000000000002E-2</v>
      </c>
      <c r="D605">
        <v>1.6490000000000001E-2</v>
      </c>
      <c r="E605">
        <v>1.704E-2</v>
      </c>
      <c r="F605">
        <v>495444520.39999998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0.64179104477611348</v>
      </c>
      <c r="Q605">
        <f t="shared" si="990"/>
        <v>317971856.37611645</v>
      </c>
      <c r="R605">
        <f t="shared" si="991"/>
        <v>27219746740.170425</v>
      </c>
      <c r="S605">
        <f t="shared" si="992"/>
        <v>272197.46740170423</v>
      </c>
      <c r="T605">
        <f t="shared" si="993"/>
        <v>272.19746740170422</v>
      </c>
    </row>
    <row r="606" spans="1:20" x14ac:dyDescent="0.25">
      <c r="A606" s="5">
        <v>43987</v>
      </c>
      <c r="B606">
        <v>1.687E-2</v>
      </c>
      <c r="C606">
        <v>1.729E-2</v>
      </c>
      <c r="D606">
        <v>1.6729999999999998E-2</v>
      </c>
      <c r="E606">
        <v>1.685E-2</v>
      </c>
      <c r="F606">
        <v>705915471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-0.57142857142856518</v>
      </c>
      <c r="Q606">
        <f t="shared" si="990"/>
        <v>-403380269.14285272</v>
      </c>
      <c r="R606">
        <f t="shared" si="991"/>
        <v>26901774883.794308</v>
      </c>
      <c r="S606">
        <f t="shared" si="992"/>
        <v>269017.74883794307</v>
      </c>
      <c r="T606">
        <f t="shared" si="993"/>
        <v>269.01774883794309</v>
      </c>
    </row>
    <row r="607" spans="1:20" x14ac:dyDescent="0.25">
      <c r="A607" s="5">
        <v>43986</v>
      </c>
      <c r="B607">
        <v>1.6920000000000001E-2</v>
      </c>
      <c r="C607">
        <v>1.7350000000000001E-2</v>
      </c>
      <c r="D607">
        <v>1.6230000000000001E-2</v>
      </c>
      <c r="E607">
        <v>1.687E-2</v>
      </c>
      <c r="F607">
        <v>932477687.5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0.14285714285714021</v>
      </c>
      <c r="Q607">
        <f t="shared" si="990"/>
        <v>133211098.21428324</v>
      </c>
      <c r="R607">
        <f t="shared" si="991"/>
        <v>27305155152.93716</v>
      </c>
      <c r="S607">
        <f t="shared" si="992"/>
        <v>273051.55152937159</v>
      </c>
      <c r="T607">
        <f t="shared" si="993"/>
        <v>273.05155152937158</v>
      </c>
    </row>
    <row r="608" spans="1:20" x14ac:dyDescent="0.25">
      <c r="A608" s="5">
        <v>43985</v>
      </c>
      <c r="B608">
        <v>1.635E-2</v>
      </c>
      <c r="C608">
        <v>1.6979999999999999E-2</v>
      </c>
      <c r="D608">
        <v>1.593E-2</v>
      </c>
      <c r="E608">
        <v>1.6910000000000001E-2</v>
      </c>
      <c r="F608">
        <v>764202136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0.86666666666667191</v>
      </c>
      <c r="Q608">
        <f t="shared" si="990"/>
        <v>662308517.86667073</v>
      </c>
      <c r="R608">
        <f t="shared" si="991"/>
        <v>27171944054.722878</v>
      </c>
      <c r="S608">
        <f t="shared" si="992"/>
        <v>271719.44054722879</v>
      </c>
      <c r="T608">
        <f t="shared" si="993"/>
        <v>271.71944054722877</v>
      </c>
    </row>
    <row r="609" spans="1:20" x14ac:dyDescent="0.25">
      <c r="A609" s="5">
        <v>43984</v>
      </c>
      <c r="B609">
        <v>1.7069999999999998E-2</v>
      </c>
      <c r="C609">
        <v>1.755E-2</v>
      </c>
      <c r="D609">
        <v>1.55E-2</v>
      </c>
      <c r="E609">
        <v>1.6369999999999999E-2</v>
      </c>
      <c r="F609">
        <v>1378466762.3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-0.15121951219512259</v>
      </c>
      <c r="Q609">
        <f t="shared" si="990"/>
        <v>-208451071.37219599</v>
      </c>
      <c r="R609">
        <f t="shared" si="991"/>
        <v>26509635536.856205</v>
      </c>
      <c r="S609">
        <f t="shared" si="992"/>
        <v>265096.35536856204</v>
      </c>
      <c r="T609">
        <f t="shared" si="993"/>
        <v>265.09635536856206</v>
      </c>
    </row>
    <row r="610" spans="1:20" x14ac:dyDescent="0.25">
      <c r="A610" s="5">
        <v>43983</v>
      </c>
      <c r="B610">
        <v>1.5820000000000001E-2</v>
      </c>
      <c r="C610">
        <v>1.7100000000000001E-2</v>
      </c>
      <c r="D610">
        <v>1.5769999999999999E-2</v>
      </c>
      <c r="E610">
        <v>1.7069999999999998E-2</v>
      </c>
      <c r="F610">
        <v>1272003796.8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0.95488721804510945</v>
      </c>
      <c r="Q610">
        <f t="shared" si="990"/>
        <v>1214620166.8691688</v>
      </c>
      <c r="R610">
        <f t="shared" si="991"/>
        <v>26718086608.228401</v>
      </c>
      <c r="S610">
        <f t="shared" si="992"/>
        <v>267180.86608228402</v>
      </c>
      <c r="T610">
        <f t="shared" si="993"/>
        <v>267.18086608228401</v>
      </c>
    </row>
    <row r="611" spans="1:20" x14ac:dyDescent="0.25">
      <c r="A611" s="5">
        <v>43982</v>
      </c>
      <c r="B611">
        <v>1.6379999999999999E-2</v>
      </c>
      <c r="C611">
        <v>1.7229999999999999E-2</v>
      </c>
      <c r="D611">
        <v>1.5389999999999999E-2</v>
      </c>
      <c r="E611">
        <v>1.5820000000000001E-2</v>
      </c>
      <c r="F611">
        <v>1576076060.8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-0.53260869565217217</v>
      </c>
      <c r="Q611">
        <f t="shared" si="990"/>
        <v>-839431814.99130154</v>
      </c>
      <c r="R611">
        <f t="shared" si="991"/>
        <v>25503466441.359234</v>
      </c>
      <c r="S611">
        <f t="shared" si="992"/>
        <v>255034.66441359234</v>
      </c>
      <c r="T611">
        <f t="shared" si="993"/>
        <v>255.03466441359234</v>
      </c>
    </row>
    <row r="612" spans="1:20" x14ac:dyDescent="0.25">
      <c r="A612" s="5">
        <v>43981</v>
      </c>
      <c r="B612">
        <v>1.499E-2</v>
      </c>
      <c r="C612">
        <v>1.6449999999999999E-2</v>
      </c>
      <c r="D612">
        <v>1.491E-2</v>
      </c>
      <c r="E612">
        <v>1.6379999999999999E-2</v>
      </c>
      <c r="F612">
        <v>1067640788.5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0.90909090909090828</v>
      </c>
      <c r="Q612">
        <f t="shared" si="990"/>
        <v>970582534.99999917</v>
      </c>
      <c r="R612">
        <f t="shared" si="991"/>
        <v>26342898256.350536</v>
      </c>
      <c r="S612">
        <f t="shared" si="992"/>
        <v>263428.98256350536</v>
      </c>
      <c r="T612">
        <f t="shared" si="993"/>
        <v>263.42898256350537</v>
      </c>
    </row>
    <row r="613" spans="1:20" x14ac:dyDescent="0.25">
      <c r="A613" s="5">
        <v>43980</v>
      </c>
      <c r="B613">
        <v>1.5129999999999999E-2</v>
      </c>
      <c r="C613">
        <v>1.5350000000000001E-2</v>
      </c>
      <c r="D613">
        <v>1.491E-2</v>
      </c>
      <c r="E613">
        <v>1.4999999999999999E-2</v>
      </c>
      <c r="F613">
        <v>499450730.10000002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-0.59090909090909283</v>
      </c>
      <c r="Q613">
        <f t="shared" si="990"/>
        <v>-295129976.87727368</v>
      </c>
      <c r="R613">
        <f t="shared" si="991"/>
        <v>25372315721.350536</v>
      </c>
      <c r="S613">
        <f t="shared" si="992"/>
        <v>253723.15721350536</v>
      </c>
      <c r="T613">
        <f t="shared" si="993"/>
        <v>253.72315721350535</v>
      </c>
    </row>
    <row r="614" spans="1:20" x14ac:dyDescent="0.25">
      <c r="A614" s="5">
        <v>43979</v>
      </c>
      <c r="B614">
        <v>1.4710000000000001E-2</v>
      </c>
      <c r="C614">
        <v>1.5180000000000001E-2</v>
      </c>
      <c r="D614">
        <v>1.4540000000000001E-2</v>
      </c>
      <c r="E614">
        <v>1.5140000000000001E-2</v>
      </c>
      <c r="F614">
        <v>516948824.60000002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0.87499999999999967</v>
      </c>
      <c r="Q614">
        <f t="shared" si="990"/>
        <v>452330221.52499986</v>
      </c>
      <c r="R614">
        <f t="shared" si="991"/>
        <v>25667445698.22781</v>
      </c>
      <c r="S614">
        <f t="shared" si="992"/>
        <v>256674.45698227809</v>
      </c>
      <c r="T614">
        <f t="shared" si="993"/>
        <v>256.67445698227812</v>
      </c>
    </row>
    <row r="615" spans="1:20" x14ac:dyDescent="0.25">
      <c r="A615" s="5">
        <v>43978</v>
      </c>
      <c r="B615">
        <v>1.457E-2</v>
      </c>
      <c r="C615">
        <v>1.4999999999999999E-2</v>
      </c>
      <c r="D615">
        <v>1.443E-2</v>
      </c>
      <c r="E615">
        <v>1.47E-2</v>
      </c>
      <c r="F615">
        <v>544223228.79999995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-5.2631578947369383E-2</v>
      </c>
      <c r="Q615">
        <f t="shared" si="990"/>
        <v>-28643327.831579469</v>
      </c>
      <c r="R615">
        <f t="shared" si="991"/>
        <v>25215115476.702808</v>
      </c>
      <c r="S615">
        <f t="shared" si="992"/>
        <v>252151.15476702809</v>
      </c>
      <c r="T615">
        <f t="shared" si="993"/>
        <v>252.15115476702809</v>
      </c>
    </row>
    <row r="616" spans="1:20" x14ac:dyDescent="0.25">
      <c r="A616" s="5">
        <v>43977</v>
      </c>
      <c r="B616">
        <v>1.472E-2</v>
      </c>
      <c r="C616">
        <v>1.4760000000000001E-2</v>
      </c>
      <c r="D616">
        <v>1.423E-2</v>
      </c>
      <c r="E616">
        <v>1.4579999999999999E-2</v>
      </c>
      <c r="F616">
        <v>467500686.19999999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0.32075471698112823</v>
      </c>
      <c r="Q616">
        <f t="shared" si="990"/>
        <v>149953050.29056424</v>
      </c>
      <c r="R616">
        <f t="shared" si="991"/>
        <v>25243758804.534389</v>
      </c>
      <c r="S616">
        <f t="shared" si="992"/>
        <v>252437.5880453439</v>
      </c>
      <c r="T616">
        <f t="shared" si="993"/>
        <v>252.43758804534392</v>
      </c>
    </row>
    <row r="617" spans="1:20" x14ac:dyDescent="0.25">
      <c r="A617" s="5">
        <v>43976</v>
      </c>
      <c r="B617">
        <v>1.421E-2</v>
      </c>
      <c r="C617">
        <v>1.4760000000000001E-2</v>
      </c>
      <c r="D617">
        <v>1.406E-2</v>
      </c>
      <c r="E617">
        <v>1.472E-2</v>
      </c>
      <c r="F617">
        <v>671037657.29999995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0.88571428571428557</v>
      </c>
      <c r="Q617">
        <f t="shared" si="990"/>
        <v>594347639.32285702</v>
      </c>
      <c r="R617">
        <f t="shared" si="991"/>
        <v>25093805754.243824</v>
      </c>
      <c r="S617">
        <f t="shared" si="992"/>
        <v>250938.05754243824</v>
      </c>
      <c r="T617">
        <f t="shared" si="993"/>
        <v>250.93805754243823</v>
      </c>
    </row>
    <row r="618" spans="1:20" x14ac:dyDescent="0.25">
      <c r="A618" s="5">
        <v>43975</v>
      </c>
      <c r="B618">
        <v>1.4959999999999999E-2</v>
      </c>
      <c r="C618">
        <v>1.5310000000000001E-2</v>
      </c>
      <c r="D618">
        <v>1.418E-2</v>
      </c>
      <c r="E618">
        <v>1.421E-2</v>
      </c>
      <c r="F618">
        <v>698411215.5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-0.94690265486725578</v>
      </c>
      <c r="Q618">
        <f t="shared" si="990"/>
        <v>-661327434.14601707</v>
      </c>
      <c r="R618">
        <f t="shared" si="991"/>
        <v>24499458114.920967</v>
      </c>
      <c r="S618">
        <f t="shared" si="992"/>
        <v>244994.58114920967</v>
      </c>
      <c r="T618">
        <f t="shared" si="993"/>
        <v>244.99458114920967</v>
      </c>
    </row>
    <row r="619" spans="1:20" x14ac:dyDescent="0.25">
      <c r="A619" s="5">
        <v>43974</v>
      </c>
      <c r="B619">
        <v>1.4840000000000001E-2</v>
      </c>
      <c r="C619">
        <v>1.5730000000000001E-2</v>
      </c>
      <c r="D619">
        <v>1.482E-2</v>
      </c>
      <c r="E619">
        <v>1.4959999999999999E-2</v>
      </c>
      <c r="F619">
        <v>785844138.70000005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-0.69230769230769373</v>
      </c>
      <c r="Q619">
        <f t="shared" si="990"/>
        <v>-544045942.17692423</v>
      </c>
      <c r="R619">
        <f t="shared" si="991"/>
        <v>25160785549.066982</v>
      </c>
      <c r="S619">
        <f t="shared" si="992"/>
        <v>251607.85549066981</v>
      </c>
      <c r="T619">
        <f t="shared" si="993"/>
        <v>251.60785549066981</v>
      </c>
    </row>
    <row r="620" spans="1:20" x14ac:dyDescent="0.25">
      <c r="A620" s="5">
        <v>43973</v>
      </c>
      <c r="B620">
        <v>1.422E-2</v>
      </c>
      <c r="C620">
        <v>1.5089999999999999E-2</v>
      </c>
      <c r="D620">
        <v>1.4080000000000001E-2</v>
      </c>
      <c r="E620">
        <v>1.4840000000000001E-2</v>
      </c>
      <c r="F620">
        <v>574051843.60000002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0.50495049504950729</v>
      </c>
      <c r="Q620">
        <f t="shared" si="990"/>
        <v>289867762.60990232</v>
      </c>
      <c r="R620">
        <f t="shared" si="991"/>
        <v>25704831491.243908</v>
      </c>
      <c r="S620">
        <f t="shared" si="992"/>
        <v>257048.31491243909</v>
      </c>
      <c r="T620">
        <f t="shared" si="993"/>
        <v>257.04831491243908</v>
      </c>
    </row>
    <row r="621" spans="1:20" x14ac:dyDescent="0.25">
      <c r="A621" s="5">
        <v>43972</v>
      </c>
      <c r="B621">
        <v>1.499E-2</v>
      </c>
      <c r="C621">
        <v>1.5089999999999999E-2</v>
      </c>
      <c r="D621">
        <v>1.383E-2</v>
      </c>
      <c r="E621">
        <v>1.421E-2</v>
      </c>
      <c r="F621">
        <v>780334525.39999998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-0.39682539682539614</v>
      </c>
      <c r="Q621">
        <f t="shared" si="990"/>
        <v>-309656557.69841218</v>
      </c>
      <c r="R621">
        <f t="shared" si="991"/>
        <v>25414963728.634007</v>
      </c>
      <c r="S621">
        <f t="shared" si="992"/>
        <v>254149.63728634006</v>
      </c>
      <c r="T621">
        <f t="shared" si="993"/>
        <v>254.14963728634007</v>
      </c>
    </row>
    <row r="622" spans="1:20" x14ac:dyDescent="0.25">
      <c r="A622" s="5">
        <v>43971</v>
      </c>
      <c r="B622">
        <v>1.553E-2</v>
      </c>
      <c r="C622">
        <v>1.555E-2</v>
      </c>
      <c r="D622">
        <v>1.4590000000000001E-2</v>
      </c>
      <c r="E622">
        <v>1.4999999999999999E-2</v>
      </c>
      <c r="F622">
        <v>823277279.10000002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-0.14583333333333476</v>
      </c>
      <c r="Q622">
        <f t="shared" si="990"/>
        <v>-120061269.86875118</v>
      </c>
      <c r="R622">
        <f t="shared" si="991"/>
        <v>25724620286.33242</v>
      </c>
      <c r="S622">
        <f t="shared" si="992"/>
        <v>257246.2028633242</v>
      </c>
      <c r="T622">
        <f t="shared" si="993"/>
        <v>257.24620286332419</v>
      </c>
    </row>
    <row r="623" spans="1:20" x14ac:dyDescent="0.25">
      <c r="A623" s="5">
        <v>43970</v>
      </c>
      <c r="B623">
        <v>1.537E-2</v>
      </c>
      <c r="C623">
        <v>1.5630000000000002E-2</v>
      </c>
      <c r="D623">
        <v>1.504E-2</v>
      </c>
      <c r="E623">
        <v>1.553E-2</v>
      </c>
      <c r="F623">
        <v>625472502.10000002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0.66101694915253972</v>
      </c>
      <c r="Q623">
        <f t="shared" si="990"/>
        <v>413447925.11694753</v>
      </c>
      <c r="R623">
        <f t="shared" si="991"/>
        <v>25844681556.201172</v>
      </c>
      <c r="S623">
        <f t="shared" si="992"/>
        <v>258446.81556201173</v>
      </c>
      <c r="T623">
        <f t="shared" si="993"/>
        <v>258.44681556201175</v>
      </c>
    </row>
    <row r="624" spans="1:20" x14ac:dyDescent="0.25">
      <c r="A624" s="5">
        <v>43969</v>
      </c>
      <c r="B624">
        <v>1.4999999999999999E-2</v>
      </c>
      <c r="C624">
        <v>1.559E-2</v>
      </c>
      <c r="D624">
        <v>1.498E-2</v>
      </c>
      <c r="E624">
        <v>1.537E-2</v>
      </c>
      <c r="F624">
        <v>639177656.39999998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0.27868852459016419</v>
      </c>
      <c r="Q624">
        <f t="shared" si="990"/>
        <v>178131478.0131149</v>
      </c>
      <c r="R624">
        <f t="shared" si="991"/>
        <v>25431233631.084225</v>
      </c>
      <c r="S624">
        <f t="shared" si="992"/>
        <v>254312.33631084225</v>
      </c>
      <c r="T624">
        <f t="shared" si="993"/>
        <v>254.31233631084226</v>
      </c>
    </row>
    <row r="625" spans="1:20" x14ac:dyDescent="0.25">
      <c r="A625" s="5">
        <v>43968</v>
      </c>
      <c r="B625">
        <v>1.4970000000000001E-2</v>
      </c>
      <c r="C625">
        <v>1.519E-2</v>
      </c>
      <c r="D625">
        <v>1.491E-2</v>
      </c>
      <c r="E625">
        <v>1.4999999999999999E-2</v>
      </c>
      <c r="F625">
        <v>488996761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-0.35714285714286026</v>
      </c>
      <c r="Q625">
        <f t="shared" si="990"/>
        <v>-174641700.35714439</v>
      </c>
      <c r="R625">
        <f t="shared" si="991"/>
        <v>25253102153.07111</v>
      </c>
      <c r="S625">
        <f t="shared" si="992"/>
        <v>252531.02153071109</v>
      </c>
      <c r="T625">
        <f t="shared" si="993"/>
        <v>252.53102153071109</v>
      </c>
    </row>
    <row r="626" spans="1:20" x14ac:dyDescent="0.25">
      <c r="A626" s="5">
        <v>43967</v>
      </c>
      <c r="B626">
        <v>1.4880000000000001E-2</v>
      </c>
      <c r="C626">
        <v>1.5129999999999999E-2</v>
      </c>
      <c r="D626">
        <v>1.478E-2</v>
      </c>
      <c r="E626">
        <v>1.4970000000000001E-2</v>
      </c>
      <c r="F626">
        <v>557205229.70000005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8.5714285714292224E-2</v>
      </c>
      <c r="Q626">
        <f t="shared" si="990"/>
        <v>47760448.260003634</v>
      </c>
      <c r="R626">
        <f t="shared" si="991"/>
        <v>25427743853.428253</v>
      </c>
      <c r="S626">
        <f t="shared" si="992"/>
        <v>254277.43853428253</v>
      </c>
      <c r="T626">
        <f t="shared" si="993"/>
        <v>254.27743853428254</v>
      </c>
    </row>
    <row r="627" spans="1:20" x14ac:dyDescent="0.25">
      <c r="A627" s="5">
        <v>43966</v>
      </c>
      <c r="B627">
        <v>1.5259999999999999E-2</v>
      </c>
      <c r="C627">
        <v>1.5350000000000001E-2</v>
      </c>
      <c r="D627">
        <v>1.456E-2</v>
      </c>
      <c r="E627">
        <v>1.4880000000000001E-2</v>
      </c>
      <c r="F627">
        <v>689783525.60000002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-0.18987341772151764</v>
      </c>
      <c r="Q627">
        <f t="shared" si="990"/>
        <v>-130971555.49366996</v>
      </c>
      <c r="R627">
        <f t="shared" si="991"/>
        <v>25379983405.168251</v>
      </c>
      <c r="S627">
        <f t="shared" si="992"/>
        <v>253799.8340516825</v>
      </c>
      <c r="T627">
        <f t="shared" si="993"/>
        <v>253.7998340516825</v>
      </c>
    </row>
    <row r="628" spans="1:20" x14ac:dyDescent="0.25">
      <c r="A628" s="5">
        <v>43965</v>
      </c>
      <c r="B628">
        <v>1.4999999999999999E-2</v>
      </c>
      <c r="C628">
        <v>1.538E-2</v>
      </c>
      <c r="D628">
        <v>1.4760000000000001E-2</v>
      </c>
      <c r="E628">
        <v>1.5270000000000001E-2</v>
      </c>
      <c r="F628">
        <v>769420000.70000005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0.6451612903225834</v>
      </c>
      <c r="Q628">
        <f t="shared" si="990"/>
        <v>496400000.45161504</v>
      </c>
      <c r="R628">
        <f t="shared" si="991"/>
        <v>25510954960.661922</v>
      </c>
      <c r="S628">
        <f t="shared" si="992"/>
        <v>255109.54960661923</v>
      </c>
      <c r="T628">
        <f t="shared" si="993"/>
        <v>255.10954960661923</v>
      </c>
    </row>
    <row r="629" spans="1:20" x14ac:dyDescent="0.25">
      <c r="A629" s="5">
        <v>43964</v>
      </c>
      <c r="B629">
        <v>1.455E-2</v>
      </c>
      <c r="C629">
        <v>1.541E-2</v>
      </c>
      <c r="D629">
        <v>1.4489999999999999E-2</v>
      </c>
      <c r="E629">
        <v>1.5010000000000001E-2</v>
      </c>
      <c r="F629">
        <v>732487794.5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0.13043478260869779</v>
      </c>
      <c r="Q629">
        <f t="shared" si="990"/>
        <v>95541886.239132002</v>
      </c>
      <c r="R629">
        <f t="shared" si="991"/>
        <v>25014554960.210308</v>
      </c>
      <c r="S629">
        <f t="shared" si="992"/>
        <v>250145.54960210307</v>
      </c>
      <c r="T629">
        <f t="shared" si="993"/>
        <v>250.14554960210307</v>
      </c>
    </row>
    <row r="630" spans="1:20" x14ac:dyDescent="0.25">
      <c r="A630" s="5">
        <v>43963</v>
      </c>
      <c r="B630">
        <v>1.3979999999999999E-2</v>
      </c>
      <c r="C630">
        <v>1.4999999999999999E-2</v>
      </c>
      <c r="D630">
        <v>1.393E-2</v>
      </c>
      <c r="E630">
        <v>1.455E-2</v>
      </c>
      <c r="F630">
        <v>1077838240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0.15887850467289885</v>
      </c>
      <c r="Q630">
        <f t="shared" si="990"/>
        <v>171245327.85046908</v>
      </c>
      <c r="R630">
        <f t="shared" si="991"/>
        <v>24919013073.971176</v>
      </c>
      <c r="S630">
        <f t="shared" si="992"/>
        <v>249190.13073971175</v>
      </c>
      <c r="T630">
        <f t="shared" si="993"/>
        <v>249.19013073971175</v>
      </c>
    </row>
    <row r="631" spans="1:20" x14ac:dyDescent="0.25">
      <c r="A631" s="5">
        <v>43962</v>
      </c>
      <c r="B631">
        <v>1.426E-2</v>
      </c>
      <c r="C631">
        <v>1.451E-2</v>
      </c>
      <c r="D631">
        <v>1.32E-2</v>
      </c>
      <c r="E631">
        <v>1.3979999999999999E-2</v>
      </c>
      <c r="F631">
        <v>1345749866.9000001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0.19083969465648734</v>
      </c>
      <c r="Q631">
        <f t="shared" si="990"/>
        <v>256822493.6832045</v>
      </c>
      <c r="R631">
        <f t="shared" si="991"/>
        <v>24747767746.120708</v>
      </c>
      <c r="S631">
        <f t="shared" si="992"/>
        <v>247477.67746120709</v>
      </c>
      <c r="T631">
        <f t="shared" si="993"/>
        <v>247.47767746120709</v>
      </c>
    </row>
    <row r="632" spans="1:20" x14ac:dyDescent="0.25">
      <c r="A632" s="5">
        <v>43961</v>
      </c>
      <c r="B632">
        <v>1.609E-2</v>
      </c>
      <c r="C632">
        <v>1.6109999999999999E-2</v>
      </c>
      <c r="D632">
        <v>1.2840000000000001E-2</v>
      </c>
      <c r="E632">
        <v>1.426E-2</v>
      </c>
      <c r="F632">
        <v>1789047015.9000001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-0.13149847094801223</v>
      </c>
      <c r="Q632">
        <f t="shared" si="990"/>
        <v>-235256947.04495415</v>
      </c>
      <c r="R632">
        <f t="shared" si="991"/>
        <v>24490945252.437504</v>
      </c>
      <c r="S632">
        <f t="shared" si="992"/>
        <v>244909.45252437502</v>
      </c>
      <c r="T632">
        <f t="shared" si="993"/>
        <v>244.90945252437501</v>
      </c>
    </row>
    <row r="633" spans="1:20" x14ac:dyDescent="0.25">
      <c r="A633" s="5">
        <v>43960</v>
      </c>
      <c r="B633">
        <v>1.627E-2</v>
      </c>
      <c r="C633">
        <v>1.66E-2</v>
      </c>
      <c r="D633">
        <v>1.6039999999999999E-2</v>
      </c>
      <c r="E633">
        <v>1.609E-2</v>
      </c>
      <c r="F633">
        <v>692630721.79999995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-0.82142857142856673</v>
      </c>
      <c r="Q633">
        <f t="shared" si="990"/>
        <v>-568946664.335711</v>
      </c>
      <c r="R633">
        <f t="shared" si="991"/>
        <v>24726202199.482456</v>
      </c>
      <c r="S633">
        <f t="shared" si="992"/>
        <v>247262.02199482455</v>
      </c>
      <c r="T633">
        <f t="shared" si="993"/>
        <v>247.26202199482455</v>
      </c>
    </row>
    <row r="634" spans="1:20" x14ac:dyDescent="0.25">
      <c r="A634" s="5">
        <v>43959</v>
      </c>
      <c r="B634">
        <v>1.6029999999999999E-2</v>
      </c>
      <c r="C634">
        <v>1.652E-2</v>
      </c>
      <c r="D634">
        <v>1.5890000000000001E-2</v>
      </c>
      <c r="E634">
        <v>1.627E-2</v>
      </c>
      <c r="F634">
        <v>935646951.60000002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0.2063492063492039</v>
      </c>
      <c r="Q634">
        <f t="shared" si="990"/>
        <v>193070005.885712</v>
      </c>
      <c r="R634">
        <f t="shared" si="991"/>
        <v>25295148863.818169</v>
      </c>
      <c r="S634">
        <f t="shared" si="992"/>
        <v>252951.48863818168</v>
      </c>
      <c r="T634">
        <f t="shared" si="993"/>
        <v>252.95148863818167</v>
      </c>
    </row>
    <row r="635" spans="1:20" x14ac:dyDescent="0.25">
      <c r="A635" s="5">
        <v>43958</v>
      </c>
      <c r="B635">
        <v>1.553E-2</v>
      </c>
      <c r="C635">
        <v>1.6219999999999998E-2</v>
      </c>
      <c r="D635">
        <v>1.5350000000000001E-2</v>
      </c>
      <c r="E635">
        <v>1.6029999999999999E-2</v>
      </c>
      <c r="F635">
        <v>1003227106.8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0.56321839080459835</v>
      </c>
      <c r="Q635">
        <f t="shared" si="990"/>
        <v>565035956.70344889</v>
      </c>
      <c r="R635">
        <f t="shared" si="991"/>
        <v>25102078857.932457</v>
      </c>
      <c r="S635">
        <f t="shared" si="992"/>
        <v>251020.78857932458</v>
      </c>
      <c r="T635">
        <f t="shared" si="993"/>
        <v>251.02078857932457</v>
      </c>
    </row>
    <row r="636" spans="1:20" x14ac:dyDescent="0.25">
      <c r="A636" s="5">
        <v>43957</v>
      </c>
      <c r="B636">
        <v>1.5900000000000001E-2</v>
      </c>
      <c r="C636">
        <v>1.627E-2</v>
      </c>
      <c r="D636">
        <v>1.5480000000000001E-2</v>
      </c>
      <c r="E636">
        <v>1.554E-2</v>
      </c>
      <c r="F636">
        <v>787004590.79999995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-0.84810126582278644</v>
      </c>
      <c r="Q636">
        <f t="shared" si="990"/>
        <v>-667459589.66582406</v>
      </c>
      <c r="R636">
        <f t="shared" si="991"/>
        <v>24537042901.229008</v>
      </c>
      <c r="S636">
        <f t="shared" si="992"/>
        <v>245370.42901229009</v>
      </c>
      <c r="T636">
        <f t="shared" si="993"/>
        <v>245.37042901229009</v>
      </c>
    </row>
    <row r="637" spans="1:20" x14ac:dyDescent="0.25">
      <c r="A637" s="5">
        <v>43956</v>
      </c>
      <c r="B637">
        <v>1.6219999999999998E-2</v>
      </c>
      <c r="C637">
        <v>1.669E-2</v>
      </c>
      <c r="D637">
        <v>1.5640000000000001E-2</v>
      </c>
      <c r="E637">
        <v>1.5900000000000001E-2</v>
      </c>
      <c r="F637">
        <v>1520675923.5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-0.50476190476190452</v>
      </c>
      <c r="Q637">
        <f t="shared" si="990"/>
        <v>-767579275.6714282</v>
      </c>
      <c r="R637">
        <f t="shared" si="991"/>
        <v>25204502490.894833</v>
      </c>
      <c r="S637">
        <f t="shared" si="992"/>
        <v>252045.02490894834</v>
      </c>
      <c r="T637">
        <f t="shared" si="993"/>
        <v>252.04502490894833</v>
      </c>
    </row>
    <row r="638" spans="1:20" x14ac:dyDescent="0.25">
      <c r="A638" s="5">
        <v>43955</v>
      </c>
      <c r="B638">
        <v>1.5980000000000001E-2</v>
      </c>
      <c r="C638">
        <v>1.6400000000000001E-2</v>
      </c>
      <c r="D638">
        <v>1.511E-2</v>
      </c>
      <c r="E638">
        <v>1.6230000000000001E-2</v>
      </c>
      <c r="F638">
        <v>1011849006.4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0.73643410852713198</v>
      </c>
      <c r="Q638">
        <f t="shared" si="990"/>
        <v>745160120.9922483</v>
      </c>
      <c r="R638">
        <f t="shared" si="991"/>
        <v>25972081766.566261</v>
      </c>
      <c r="S638">
        <f t="shared" si="992"/>
        <v>259720.81766566262</v>
      </c>
      <c r="T638">
        <f t="shared" si="993"/>
        <v>259.72081766566259</v>
      </c>
    </row>
    <row r="639" spans="1:20" x14ac:dyDescent="0.25">
      <c r="A639" s="5">
        <v>43954</v>
      </c>
      <c r="B639">
        <v>1.635E-2</v>
      </c>
      <c r="C639">
        <v>1.661E-2</v>
      </c>
      <c r="D639">
        <v>1.553E-2</v>
      </c>
      <c r="E639">
        <v>1.5990000000000001E-2</v>
      </c>
      <c r="F639">
        <v>719802374.89999998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-0.14814814814814703</v>
      </c>
      <c r="Q639">
        <f t="shared" si="990"/>
        <v>-106637388.87407327</v>
      </c>
      <c r="R639">
        <f t="shared" si="991"/>
        <v>25226921645.574013</v>
      </c>
      <c r="S639">
        <f t="shared" si="992"/>
        <v>252269.21645574013</v>
      </c>
      <c r="T639">
        <f t="shared" si="993"/>
        <v>252.26921645574012</v>
      </c>
    </row>
    <row r="640" spans="1:20" x14ac:dyDescent="0.25">
      <c r="A640" s="5">
        <v>43953</v>
      </c>
      <c r="B640">
        <v>1.5810000000000001E-2</v>
      </c>
      <c r="C640">
        <v>1.6410000000000001E-2</v>
      </c>
      <c r="D640">
        <v>1.567E-2</v>
      </c>
      <c r="E640">
        <v>1.635E-2</v>
      </c>
      <c r="F640">
        <v>570508836.70000005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0.83783783783783528</v>
      </c>
      <c r="Q640">
        <f t="shared" si="990"/>
        <v>477993890.2081067</v>
      </c>
      <c r="R640">
        <f t="shared" si="991"/>
        <v>25333559034.448086</v>
      </c>
      <c r="S640">
        <f t="shared" si="992"/>
        <v>253335.59034448085</v>
      </c>
      <c r="T640">
        <f t="shared" si="993"/>
        <v>253.33559034448086</v>
      </c>
    </row>
    <row r="641" spans="1:20" x14ac:dyDescent="0.25">
      <c r="A641" s="5">
        <v>43952</v>
      </c>
      <c r="B641">
        <v>1.5180000000000001E-2</v>
      </c>
      <c r="C641">
        <v>1.6379999999999999E-2</v>
      </c>
      <c r="D641">
        <v>1.5169999999999999E-2</v>
      </c>
      <c r="E641">
        <v>1.5810000000000001E-2</v>
      </c>
      <c r="F641">
        <v>883077394.20000005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5.7851239669424903E-2</v>
      </c>
      <c r="Q641">
        <f t="shared" si="990"/>
        <v>51087121.978515416</v>
      </c>
      <c r="R641">
        <f t="shared" si="991"/>
        <v>24855565144.239979</v>
      </c>
      <c r="S641">
        <f t="shared" si="992"/>
        <v>248555.6514423998</v>
      </c>
      <c r="T641">
        <f t="shared" si="993"/>
        <v>248.55565144239981</v>
      </c>
    </row>
    <row r="642" spans="1:20" x14ac:dyDescent="0.25">
      <c r="A642" s="5">
        <v>43951</v>
      </c>
      <c r="B642">
        <v>1.6230000000000001E-2</v>
      </c>
      <c r="C642">
        <v>1.6719999999999999E-2</v>
      </c>
      <c r="D642">
        <v>1.4930000000000001E-2</v>
      </c>
      <c r="E642">
        <v>1.519E-2</v>
      </c>
      <c r="F642">
        <v>1488454256.4000001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-0.70949720670391048</v>
      </c>
      <c r="Q642">
        <f t="shared" si="990"/>
        <v>-1056054137.2223462</v>
      </c>
      <c r="R642">
        <f t="shared" si="991"/>
        <v>24804478022.261463</v>
      </c>
      <c r="S642">
        <f t="shared" si="992"/>
        <v>248044.78022261465</v>
      </c>
      <c r="T642">
        <f t="shared" si="993"/>
        <v>248.04478022261463</v>
      </c>
    </row>
    <row r="643" spans="1:20" x14ac:dyDescent="0.25">
      <c r="A643" s="5">
        <v>43950</v>
      </c>
      <c r="B643">
        <v>1.5270000000000001E-2</v>
      </c>
      <c r="C643">
        <v>1.653E-2</v>
      </c>
      <c r="D643">
        <v>1.507E-2</v>
      </c>
      <c r="E643">
        <v>1.6240000000000001E-2</v>
      </c>
      <c r="F643">
        <v>1306997595.5999999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0.602739726027399</v>
      </c>
      <c r="Q643">
        <f t="shared" si="990"/>
        <v>787779372.69041324</v>
      </c>
      <c r="R643">
        <f t="shared" si="991"/>
        <v>25860532159.48381</v>
      </c>
      <c r="S643">
        <f t="shared" si="992"/>
        <v>258605.32159483811</v>
      </c>
      <c r="T643">
        <f t="shared" si="993"/>
        <v>258.60532159483813</v>
      </c>
    </row>
    <row r="644" spans="1:20" x14ac:dyDescent="0.25">
      <c r="A644" s="5">
        <v>43949</v>
      </c>
      <c r="B644">
        <v>1.452E-2</v>
      </c>
      <c r="C644">
        <v>1.536E-2</v>
      </c>
      <c r="D644">
        <v>1.43E-2</v>
      </c>
      <c r="E644">
        <v>1.528E-2</v>
      </c>
      <c r="F644">
        <v>690799647.60000002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0.8490566037735845</v>
      </c>
      <c r="Q644">
        <f t="shared" si="990"/>
        <v>586528002.679245</v>
      </c>
      <c r="R644">
        <f t="shared" si="991"/>
        <v>25072752786.793396</v>
      </c>
      <c r="S644">
        <f t="shared" si="992"/>
        <v>250727.52786793397</v>
      </c>
      <c r="T644">
        <f t="shared" si="993"/>
        <v>250.72752786793396</v>
      </c>
    </row>
    <row r="645" spans="1:20" x14ac:dyDescent="0.25">
      <c r="A645" s="5">
        <v>43948</v>
      </c>
      <c r="B645">
        <v>1.427E-2</v>
      </c>
      <c r="C645">
        <v>1.464E-2</v>
      </c>
      <c r="D645">
        <v>1.414E-2</v>
      </c>
      <c r="E645">
        <v>1.452E-2</v>
      </c>
      <c r="F645">
        <v>714855664.10000002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0.51999999999999913</v>
      </c>
      <c r="Q645">
        <f t="shared" si="990"/>
        <v>371724945.33199936</v>
      </c>
      <c r="R645">
        <f t="shared" si="991"/>
        <v>24486224784.114151</v>
      </c>
      <c r="S645">
        <f t="shared" si="992"/>
        <v>244862.24784114151</v>
      </c>
      <c r="T645">
        <f t="shared" si="993"/>
        <v>244.86224784114151</v>
      </c>
    </row>
    <row r="646" spans="1:20" x14ac:dyDescent="0.25">
      <c r="A646" s="5">
        <v>43947</v>
      </c>
      <c r="B646">
        <v>1.3950000000000001E-2</v>
      </c>
      <c r="C646">
        <v>1.43E-2</v>
      </c>
      <c r="D646">
        <v>1.383E-2</v>
      </c>
      <c r="E646">
        <v>1.426E-2</v>
      </c>
      <c r="F646">
        <v>441731882.10000002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0.82978723404255272</v>
      </c>
      <c r="Q646">
        <f t="shared" ref="Q646:Q709" si="995">F646*P646</f>
        <v>366543476.63617003</v>
      </c>
      <c r="R646">
        <f t="shared" ref="R646:R709" si="996">R647+Q646</f>
        <v>24114499838.78215</v>
      </c>
      <c r="S646">
        <f t="shared" ref="S646:S709" si="997">R646/100000</f>
        <v>241144.99838782151</v>
      </c>
      <c r="T646">
        <f t="shared" ref="T646:T709" si="998">S646/1000</f>
        <v>241.14499838782152</v>
      </c>
    </row>
    <row r="647" spans="1:20" x14ac:dyDescent="0.25">
      <c r="A647" s="5">
        <v>43946</v>
      </c>
      <c r="B647">
        <v>1.392E-2</v>
      </c>
      <c r="C647">
        <v>1.4279999999999999E-2</v>
      </c>
      <c r="D647">
        <v>1.3299999999999999E-2</v>
      </c>
      <c r="E647">
        <v>1.396E-2</v>
      </c>
      <c r="F647">
        <v>727507309.29999995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0.34693877551020591</v>
      </c>
      <c r="Q647">
        <f t="shared" si="995"/>
        <v>252400495.06326661</v>
      </c>
      <c r="R647">
        <f t="shared" si="996"/>
        <v>23747956362.145981</v>
      </c>
      <c r="S647">
        <f t="shared" si="997"/>
        <v>237479.56362145982</v>
      </c>
      <c r="T647">
        <f t="shared" si="998"/>
        <v>237.47956362145982</v>
      </c>
    </row>
    <row r="648" spans="1:20" x14ac:dyDescent="0.25">
      <c r="A648" s="5">
        <v>43945</v>
      </c>
      <c r="B648">
        <v>1.3610000000000001E-2</v>
      </c>
      <c r="C648">
        <v>1.4330000000000001E-2</v>
      </c>
      <c r="D648">
        <v>1.358E-2</v>
      </c>
      <c r="E648">
        <v>1.392E-2</v>
      </c>
      <c r="F648">
        <v>792195885.39999998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-9.3333333333334073E-2</v>
      </c>
      <c r="Q648">
        <f t="shared" si="995"/>
        <v>-73938282.637333915</v>
      </c>
      <c r="R648">
        <f t="shared" si="996"/>
        <v>23495555867.082714</v>
      </c>
      <c r="S648">
        <f t="shared" si="997"/>
        <v>234955.55867082713</v>
      </c>
      <c r="T648">
        <f t="shared" si="998"/>
        <v>234.95555867082712</v>
      </c>
    </row>
    <row r="649" spans="1:20" x14ac:dyDescent="0.25">
      <c r="A649" s="5">
        <v>43944</v>
      </c>
      <c r="B649">
        <v>1.298E-2</v>
      </c>
      <c r="C649">
        <v>1.3899999999999999E-2</v>
      </c>
      <c r="D649">
        <v>1.278E-2</v>
      </c>
      <c r="E649">
        <v>1.3610000000000001E-2</v>
      </c>
      <c r="F649">
        <v>775372242.29999995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0.48214285714285943</v>
      </c>
      <c r="Q649">
        <f t="shared" si="995"/>
        <v>373840188.25178748</v>
      </c>
      <c r="R649">
        <f t="shared" si="996"/>
        <v>23569494149.720047</v>
      </c>
      <c r="S649">
        <f t="shared" si="997"/>
        <v>235694.94149720046</v>
      </c>
      <c r="T649">
        <f t="shared" si="998"/>
        <v>235.69494149720046</v>
      </c>
    </row>
    <row r="650" spans="1:20" x14ac:dyDescent="0.25">
      <c r="A650" s="5">
        <v>43943</v>
      </c>
      <c r="B650">
        <v>1.2489999999999999E-2</v>
      </c>
      <c r="C650">
        <v>1.315E-2</v>
      </c>
      <c r="D650">
        <v>1.242E-2</v>
      </c>
      <c r="E650">
        <v>1.298E-2</v>
      </c>
      <c r="F650">
        <v>399365090.10000002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0.53424657534246556</v>
      </c>
      <c r="Q650">
        <f t="shared" si="995"/>
        <v>213359431.6972602</v>
      </c>
      <c r="R650">
        <f t="shared" si="996"/>
        <v>23195653961.468258</v>
      </c>
      <c r="S650">
        <f t="shared" si="997"/>
        <v>231956.53961468258</v>
      </c>
      <c r="T650">
        <f t="shared" si="998"/>
        <v>231.95653961468258</v>
      </c>
    </row>
    <row r="651" spans="1:20" x14ac:dyDescent="0.25">
      <c r="A651" s="5">
        <v>43942</v>
      </c>
      <c r="B651">
        <v>1.24E-2</v>
      </c>
      <c r="C651">
        <v>1.277E-2</v>
      </c>
      <c r="D651">
        <v>1.2290000000000001E-2</v>
      </c>
      <c r="E651">
        <v>1.2489999999999999E-2</v>
      </c>
      <c r="F651">
        <v>524975612.89999998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-0.16666666666667088</v>
      </c>
      <c r="Q651">
        <f t="shared" si="995"/>
        <v>-87495935.48333554</v>
      </c>
      <c r="R651">
        <f t="shared" si="996"/>
        <v>22982294529.770996</v>
      </c>
      <c r="S651">
        <f t="shared" si="997"/>
        <v>229822.94529770996</v>
      </c>
      <c r="T651">
        <f t="shared" si="998"/>
        <v>229.82294529770996</v>
      </c>
    </row>
    <row r="652" spans="1:20" x14ac:dyDescent="0.25">
      <c r="A652" s="5">
        <v>43941</v>
      </c>
      <c r="B652">
        <v>1.291E-2</v>
      </c>
      <c r="C652">
        <v>1.3180000000000001E-2</v>
      </c>
      <c r="D652">
        <v>1.222E-2</v>
      </c>
      <c r="E652">
        <v>1.24E-2</v>
      </c>
      <c r="F652">
        <v>789595347.29999995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-0.62500000000000111</v>
      </c>
      <c r="Q652">
        <f t="shared" si="995"/>
        <v>-493497092.06250083</v>
      </c>
      <c r="R652">
        <f t="shared" si="996"/>
        <v>23069790465.254333</v>
      </c>
      <c r="S652">
        <f t="shared" si="997"/>
        <v>230697.90465254334</v>
      </c>
      <c r="T652">
        <f t="shared" si="998"/>
        <v>230.69790465254334</v>
      </c>
    </row>
    <row r="653" spans="1:20" x14ac:dyDescent="0.25">
      <c r="A653" s="5">
        <v>43940</v>
      </c>
      <c r="B653">
        <v>1.34E-2</v>
      </c>
      <c r="C653">
        <v>1.342E-2</v>
      </c>
      <c r="D653">
        <v>1.277E-2</v>
      </c>
      <c r="E653">
        <v>1.29E-2</v>
      </c>
      <c r="F653">
        <v>525442831.19999999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-0.6</v>
      </c>
      <c r="Q653">
        <f t="shared" si="995"/>
        <v>-315265698.71999997</v>
      </c>
      <c r="R653">
        <f t="shared" si="996"/>
        <v>23563287557.316833</v>
      </c>
      <c r="S653">
        <f t="shared" si="997"/>
        <v>235632.87557316833</v>
      </c>
      <c r="T653">
        <f t="shared" si="998"/>
        <v>235.63287557316832</v>
      </c>
    </row>
    <row r="654" spans="1:20" x14ac:dyDescent="0.25">
      <c r="A654" s="5">
        <v>43939</v>
      </c>
      <c r="B654">
        <v>1.2880000000000001E-2</v>
      </c>
      <c r="C654">
        <v>1.3559999999999999E-2</v>
      </c>
      <c r="D654">
        <v>1.2829999999999999E-2</v>
      </c>
      <c r="E654">
        <v>1.3390000000000001E-2</v>
      </c>
      <c r="F654">
        <v>473900360.19999999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0.53424657534247033</v>
      </c>
      <c r="Q654">
        <f t="shared" si="995"/>
        <v>253179644.49041313</v>
      </c>
      <c r="R654">
        <f t="shared" si="996"/>
        <v>23878553256.036835</v>
      </c>
      <c r="S654">
        <f t="shared" si="997"/>
        <v>238785.53256036836</v>
      </c>
      <c r="T654">
        <f t="shared" si="998"/>
        <v>238.78553256036835</v>
      </c>
    </row>
    <row r="655" spans="1:20" x14ac:dyDescent="0.25">
      <c r="A655" s="5">
        <v>43938</v>
      </c>
      <c r="B655">
        <v>1.303E-2</v>
      </c>
      <c r="C655">
        <v>1.312E-2</v>
      </c>
      <c r="D655">
        <v>1.272E-2</v>
      </c>
      <c r="E655">
        <v>1.289E-2</v>
      </c>
      <c r="F655">
        <v>400276775.69999999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-0.1499999999999985</v>
      </c>
      <c r="Q655">
        <f t="shared" si="995"/>
        <v>-60041516.354999393</v>
      </c>
      <c r="R655">
        <f t="shared" si="996"/>
        <v>23625373611.546421</v>
      </c>
      <c r="S655">
        <f t="shared" si="997"/>
        <v>236253.73611546421</v>
      </c>
      <c r="T655">
        <f t="shared" si="998"/>
        <v>236.25373611546422</v>
      </c>
    </row>
    <row r="656" spans="1:20" x14ac:dyDescent="0.25">
      <c r="A656" s="5">
        <v>43937</v>
      </c>
      <c r="B656">
        <v>1.218E-2</v>
      </c>
      <c r="C656">
        <v>1.325E-2</v>
      </c>
      <c r="D656">
        <v>1.18E-2</v>
      </c>
      <c r="E656">
        <v>1.302E-2</v>
      </c>
      <c r="F656">
        <v>1053333712.5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0.68275862068965609</v>
      </c>
      <c r="Q656">
        <f t="shared" si="995"/>
        <v>719172672.67241478</v>
      </c>
      <c r="R656">
        <f t="shared" si="996"/>
        <v>23685415127.901421</v>
      </c>
      <c r="S656">
        <f t="shared" si="997"/>
        <v>236854.15127901422</v>
      </c>
      <c r="T656">
        <f t="shared" si="998"/>
        <v>236.85415127901422</v>
      </c>
    </row>
    <row r="657" spans="1:20" x14ac:dyDescent="0.25">
      <c r="A657" s="5">
        <v>43936</v>
      </c>
      <c r="B657">
        <v>1.2449999999999999E-2</v>
      </c>
      <c r="C657">
        <v>1.2619999999999999E-2</v>
      </c>
      <c r="D657">
        <v>1.213E-2</v>
      </c>
      <c r="E657">
        <v>1.2189999999999999E-2</v>
      </c>
      <c r="F657">
        <v>398815357.5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-0.75510204081632903</v>
      </c>
      <c r="Q657">
        <f t="shared" si="995"/>
        <v>-301146290.35714388</v>
      </c>
      <c r="R657">
        <f t="shared" si="996"/>
        <v>22966242455.229008</v>
      </c>
      <c r="S657">
        <f t="shared" si="997"/>
        <v>229662.42455229009</v>
      </c>
      <c r="T657">
        <f t="shared" si="998"/>
        <v>229.66242455229008</v>
      </c>
    </row>
    <row r="658" spans="1:20" x14ac:dyDescent="0.25">
      <c r="A658" s="5">
        <v>43935</v>
      </c>
      <c r="B658">
        <v>1.257E-2</v>
      </c>
      <c r="C658">
        <v>1.2800000000000001E-2</v>
      </c>
      <c r="D658">
        <v>1.239E-2</v>
      </c>
      <c r="E658">
        <v>1.2449999999999999E-2</v>
      </c>
      <c r="F658">
        <v>407937745.5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-0.70731707317073567</v>
      </c>
      <c r="Q658">
        <f t="shared" si="995"/>
        <v>-288541332.18292844</v>
      </c>
      <c r="R658">
        <f t="shared" si="996"/>
        <v>23267388745.586151</v>
      </c>
      <c r="S658">
        <f t="shared" si="997"/>
        <v>232673.88745586152</v>
      </c>
      <c r="T658">
        <f t="shared" si="998"/>
        <v>232.67388745586152</v>
      </c>
    </row>
    <row r="659" spans="1:20" x14ac:dyDescent="0.25">
      <c r="A659" s="5">
        <v>43934</v>
      </c>
      <c r="B659">
        <v>1.2659999999999999E-2</v>
      </c>
      <c r="C659">
        <v>1.269E-2</v>
      </c>
      <c r="D659">
        <v>1.2019999999999999E-2</v>
      </c>
      <c r="E659">
        <v>1.257E-2</v>
      </c>
      <c r="F659">
        <v>735685993.10000002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0.6417910447761187</v>
      </c>
      <c r="Q659">
        <f t="shared" si="995"/>
        <v>472156682.13880545</v>
      </c>
      <c r="R659">
        <f t="shared" si="996"/>
        <v>23555930077.769081</v>
      </c>
      <c r="S659">
        <f t="shared" si="997"/>
        <v>235559.30077769081</v>
      </c>
      <c r="T659">
        <f t="shared" si="998"/>
        <v>235.55930077769079</v>
      </c>
    </row>
    <row r="660" spans="1:20" x14ac:dyDescent="0.25">
      <c r="A660" s="5">
        <v>43933</v>
      </c>
      <c r="B660">
        <v>1.251E-2</v>
      </c>
      <c r="C660">
        <v>1.323E-2</v>
      </c>
      <c r="D660">
        <v>1.231E-2</v>
      </c>
      <c r="E660">
        <v>1.2659999999999999E-2</v>
      </c>
      <c r="F660">
        <v>548355825.89999998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-0.23913043478261009</v>
      </c>
      <c r="Q660">
        <f t="shared" si="995"/>
        <v>-131128567.06304424</v>
      </c>
      <c r="R660">
        <f t="shared" si="996"/>
        <v>23083773395.630276</v>
      </c>
      <c r="S660">
        <f t="shared" si="997"/>
        <v>230837.73395630275</v>
      </c>
      <c r="T660">
        <f t="shared" si="998"/>
        <v>230.83773395630274</v>
      </c>
    </row>
    <row r="661" spans="1:20" x14ac:dyDescent="0.25">
      <c r="A661" s="5">
        <v>43932</v>
      </c>
      <c r="B661">
        <v>1.2489999999999999E-2</v>
      </c>
      <c r="C661">
        <v>1.2829999999999999E-2</v>
      </c>
      <c r="D661">
        <v>1.2290000000000001E-2</v>
      </c>
      <c r="E661">
        <v>1.2500000000000001E-2</v>
      </c>
      <c r="F661">
        <v>528036725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-0.22222222222222007</v>
      </c>
      <c r="Q661">
        <f t="shared" si="995"/>
        <v>-117341494.44444332</v>
      </c>
      <c r="R661">
        <f t="shared" si="996"/>
        <v>23214901962.693321</v>
      </c>
      <c r="S661">
        <f t="shared" si="997"/>
        <v>232149.01962693321</v>
      </c>
      <c r="T661">
        <f t="shared" si="998"/>
        <v>232.14901962693321</v>
      </c>
    </row>
    <row r="662" spans="1:20" x14ac:dyDescent="0.25">
      <c r="A662" s="5">
        <v>43931</v>
      </c>
      <c r="B662">
        <v>1.3440000000000001E-2</v>
      </c>
      <c r="C662">
        <v>1.3520000000000001E-2</v>
      </c>
      <c r="D662">
        <v>1.201E-2</v>
      </c>
      <c r="E662">
        <v>1.248E-2</v>
      </c>
      <c r="F662">
        <v>838827038.29999995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-0.37748344370860976</v>
      </c>
      <c r="Q662">
        <f t="shared" si="995"/>
        <v>-316643319.09337789</v>
      </c>
      <c r="R662">
        <f t="shared" si="996"/>
        <v>23332243457.137764</v>
      </c>
      <c r="S662">
        <f t="shared" si="997"/>
        <v>233322.43457137764</v>
      </c>
      <c r="T662">
        <f t="shared" si="998"/>
        <v>233.32243457137764</v>
      </c>
    </row>
    <row r="663" spans="1:20" x14ac:dyDescent="0.25">
      <c r="A663" s="5">
        <v>43930</v>
      </c>
      <c r="B663">
        <v>1.376E-2</v>
      </c>
      <c r="C663">
        <v>1.3849999999999999E-2</v>
      </c>
      <c r="D663">
        <v>1.3180000000000001E-2</v>
      </c>
      <c r="E663">
        <v>1.345E-2</v>
      </c>
      <c r="F663">
        <v>497724341.5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-0.19402985074626888</v>
      </c>
      <c r="Q663">
        <f t="shared" si="995"/>
        <v>-96573379.694029957</v>
      </c>
      <c r="R663">
        <f t="shared" si="996"/>
        <v>23648886776.23114</v>
      </c>
      <c r="S663">
        <f t="shared" si="997"/>
        <v>236488.86776231139</v>
      </c>
      <c r="T663">
        <f t="shared" si="998"/>
        <v>236.4888677623114</v>
      </c>
    </row>
    <row r="664" spans="1:20" x14ac:dyDescent="0.25">
      <c r="A664" s="5">
        <v>43929</v>
      </c>
      <c r="B664">
        <v>1.3310000000000001E-2</v>
      </c>
      <c r="C664">
        <v>1.3820000000000001E-2</v>
      </c>
      <c r="D664">
        <v>1.32E-2</v>
      </c>
      <c r="E664">
        <v>1.376E-2</v>
      </c>
      <c r="F664">
        <v>714089367.5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0.80645161290322276</v>
      </c>
      <c r="Q664">
        <f t="shared" si="995"/>
        <v>575878522.17741716</v>
      </c>
      <c r="R664">
        <f t="shared" si="996"/>
        <v>23745460155.925171</v>
      </c>
      <c r="S664">
        <f t="shared" si="997"/>
        <v>237454.60155925172</v>
      </c>
      <c r="T664">
        <f t="shared" si="998"/>
        <v>237.45460155925173</v>
      </c>
    </row>
    <row r="665" spans="1:20" x14ac:dyDescent="0.25">
      <c r="A665" s="5">
        <v>43928</v>
      </c>
      <c r="B665">
        <v>1.374E-2</v>
      </c>
      <c r="C665">
        <v>1.4080000000000001E-2</v>
      </c>
      <c r="D665">
        <v>1.3100000000000001E-2</v>
      </c>
      <c r="E665">
        <v>1.3299999999999999E-2</v>
      </c>
      <c r="F665">
        <v>1087937201.2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-0.59183673469387998</v>
      </c>
      <c r="Q665">
        <f t="shared" si="995"/>
        <v>-643881200.71020675</v>
      </c>
      <c r="R665">
        <f t="shared" si="996"/>
        <v>23169581633.747753</v>
      </c>
      <c r="S665">
        <f t="shared" si="997"/>
        <v>231695.81633747753</v>
      </c>
      <c r="T665">
        <f t="shared" si="998"/>
        <v>231.69581633747754</v>
      </c>
    </row>
    <row r="666" spans="1:20" x14ac:dyDescent="0.25">
      <c r="A666" s="5">
        <v>43927</v>
      </c>
      <c r="B666">
        <v>1.2579999999999999E-2</v>
      </c>
      <c r="C666">
        <v>1.384E-2</v>
      </c>
      <c r="D666">
        <v>1.256E-2</v>
      </c>
      <c r="E666">
        <v>1.375E-2</v>
      </c>
      <c r="F666">
        <v>1277341392.2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0.85937500000000033</v>
      </c>
      <c r="Q666">
        <f t="shared" si="995"/>
        <v>1097715258.9218755</v>
      </c>
      <c r="R666">
        <f t="shared" si="996"/>
        <v>23813462834.457958</v>
      </c>
      <c r="S666">
        <f t="shared" si="997"/>
        <v>238134.62834457957</v>
      </c>
      <c r="T666">
        <f t="shared" si="998"/>
        <v>238.13462834457957</v>
      </c>
    </row>
    <row r="667" spans="1:20" x14ac:dyDescent="0.25">
      <c r="A667" s="5">
        <v>43926</v>
      </c>
      <c r="B667">
        <v>1.1979999999999999E-2</v>
      </c>
      <c r="C667">
        <v>1.281E-2</v>
      </c>
      <c r="D667">
        <v>1.1849999999999999E-2</v>
      </c>
      <c r="E667">
        <v>1.257E-2</v>
      </c>
      <c r="F667">
        <v>1097133069.8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0.49999999999999911</v>
      </c>
      <c r="Q667">
        <f t="shared" si="995"/>
        <v>548566534.89999902</v>
      </c>
      <c r="R667">
        <f t="shared" si="996"/>
        <v>22715747575.536083</v>
      </c>
      <c r="S667">
        <f t="shared" si="997"/>
        <v>227157.47575536082</v>
      </c>
      <c r="T667">
        <f t="shared" si="998"/>
        <v>227.15747575536082</v>
      </c>
    </row>
    <row r="668" spans="1:20" x14ac:dyDescent="0.25">
      <c r="A668" s="5">
        <v>43925</v>
      </c>
      <c r="B668">
        <v>1.193E-2</v>
      </c>
      <c r="C668">
        <v>1.223E-2</v>
      </c>
      <c r="D668">
        <v>1.172E-2</v>
      </c>
      <c r="E668">
        <v>1.197E-2</v>
      </c>
      <c r="F668">
        <v>615093518.10000002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-1.96078431372541E-2</v>
      </c>
      <c r="Q668">
        <f t="shared" si="995"/>
        <v>-12060657.217646565</v>
      </c>
      <c r="R668">
        <f t="shared" si="996"/>
        <v>22167181040.636086</v>
      </c>
      <c r="S668">
        <f t="shared" si="997"/>
        <v>221671.81040636086</v>
      </c>
      <c r="T668">
        <f t="shared" si="998"/>
        <v>221.67181040636086</v>
      </c>
    </row>
    <row r="669" spans="1:20" x14ac:dyDescent="0.25">
      <c r="A669" s="5">
        <v>43924</v>
      </c>
      <c r="B669">
        <v>1.1950000000000001E-2</v>
      </c>
      <c r="C669">
        <v>1.221E-2</v>
      </c>
      <c r="D669">
        <v>1.174E-2</v>
      </c>
      <c r="E669">
        <v>1.1939999999999999E-2</v>
      </c>
      <c r="F669">
        <v>603413300.5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-0.14893617021277097</v>
      </c>
      <c r="Q669">
        <f t="shared" si="995"/>
        <v>-89870066.031917915</v>
      </c>
      <c r="R669">
        <f t="shared" si="996"/>
        <v>22179241697.853733</v>
      </c>
      <c r="S669">
        <f t="shared" si="997"/>
        <v>221792.41697853734</v>
      </c>
      <c r="T669">
        <f t="shared" si="998"/>
        <v>221.79241697853735</v>
      </c>
    </row>
    <row r="670" spans="1:20" x14ac:dyDescent="0.25">
      <c r="A670" s="5">
        <v>43923</v>
      </c>
      <c r="B670">
        <v>1.157E-2</v>
      </c>
      <c r="C670">
        <v>1.2579999999999999E-2</v>
      </c>
      <c r="D670">
        <v>1.149E-2</v>
      </c>
      <c r="E670">
        <v>1.196E-2</v>
      </c>
      <c r="F670">
        <v>782637330.20000005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-0.13761467889908185</v>
      </c>
      <c r="Q670">
        <f t="shared" si="995"/>
        <v>-107702384.8899077</v>
      </c>
      <c r="R670">
        <f t="shared" si="996"/>
        <v>22269111763.885651</v>
      </c>
      <c r="S670">
        <f t="shared" si="997"/>
        <v>222691.11763885649</v>
      </c>
      <c r="T670">
        <f t="shared" si="998"/>
        <v>222.6911176388565</v>
      </c>
    </row>
    <row r="671" spans="1:20" x14ac:dyDescent="0.25">
      <c r="A671" s="5">
        <v>43922</v>
      </c>
      <c r="B671">
        <v>1.158E-2</v>
      </c>
      <c r="C671">
        <v>1.1650000000000001E-2</v>
      </c>
      <c r="D671">
        <v>1.1129999999999999E-2</v>
      </c>
      <c r="E671">
        <v>1.158E-2</v>
      </c>
      <c r="F671">
        <v>535744796.89999998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0.73076923076922906</v>
      </c>
      <c r="Q671">
        <f t="shared" si="995"/>
        <v>391505813.11922985</v>
      </c>
      <c r="R671">
        <f t="shared" si="996"/>
        <v>22376814148.775558</v>
      </c>
      <c r="S671">
        <f t="shared" si="997"/>
        <v>223768.14148775558</v>
      </c>
      <c r="T671">
        <f t="shared" si="998"/>
        <v>223.76814148775557</v>
      </c>
    </row>
    <row r="672" spans="1:20" x14ac:dyDescent="0.25">
      <c r="A672" s="5">
        <v>43921</v>
      </c>
      <c r="B672">
        <v>1.146E-2</v>
      </c>
      <c r="C672">
        <v>1.1769999999999999E-2</v>
      </c>
      <c r="D672">
        <v>1.1350000000000001E-2</v>
      </c>
      <c r="E672">
        <v>1.157E-2</v>
      </c>
      <c r="F672">
        <v>485594597.39999998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4.7619047619049983E-2</v>
      </c>
      <c r="Q672">
        <f t="shared" si="995"/>
        <v>23123552.257144004</v>
      </c>
      <c r="R672">
        <f t="shared" si="996"/>
        <v>21985308335.65633</v>
      </c>
      <c r="S672">
        <f t="shared" si="997"/>
        <v>219853.08335656329</v>
      </c>
      <c r="T672">
        <f t="shared" si="998"/>
        <v>219.8530833565633</v>
      </c>
    </row>
    <row r="673" spans="1:20" x14ac:dyDescent="0.25">
      <c r="A673" s="5">
        <v>43920</v>
      </c>
      <c r="B673">
        <v>1.0659999999999999E-2</v>
      </c>
      <c r="C673">
        <v>1.183E-2</v>
      </c>
      <c r="D673">
        <v>1.0630000000000001E-2</v>
      </c>
      <c r="E673">
        <v>1.145E-2</v>
      </c>
      <c r="F673">
        <v>603891455.79999995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0.36666666666666631</v>
      </c>
      <c r="Q673">
        <f t="shared" si="995"/>
        <v>221426867.12666643</v>
      </c>
      <c r="R673">
        <f t="shared" si="996"/>
        <v>21962184783.399185</v>
      </c>
      <c r="S673">
        <f t="shared" si="997"/>
        <v>219621.84783399187</v>
      </c>
      <c r="T673">
        <f t="shared" si="998"/>
        <v>219.62184783399186</v>
      </c>
    </row>
    <row r="674" spans="1:20" x14ac:dyDescent="0.25">
      <c r="A674" s="5">
        <v>43919</v>
      </c>
      <c r="B674">
        <v>1.14E-2</v>
      </c>
      <c r="C674">
        <v>1.145E-2</v>
      </c>
      <c r="D674">
        <v>1.0659999999999999E-2</v>
      </c>
      <c r="E674">
        <v>1.0659999999999999E-2</v>
      </c>
      <c r="F674">
        <v>492938809.39999998</v>
      </c>
      <c r="G674">
        <v>0</v>
      </c>
      <c r="L674" t="s">
        <v>8</v>
      </c>
      <c r="M674" t="s">
        <v>8</v>
      </c>
      <c r="N674" t="s">
        <v>8</v>
      </c>
      <c r="P674">
        <f t="shared" si="994"/>
        <v>-1</v>
      </c>
      <c r="Q674">
        <f t="shared" si="995"/>
        <v>-492938809.39999998</v>
      </c>
      <c r="R674">
        <f t="shared" si="996"/>
        <v>21740757916.272518</v>
      </c>
      <c r="S674">
        <f t="shared" si="997"/>
        <v>217407.57916272519</v>
      </c>
      <c r="T674">
        <f t="shared" si="998"/>
        <v>217.4075791627252</v>
      </c>
    </row>
    <row r="675" spans="1:20" x14ac:dyDescent="0.25">
      <c r="A675" s="5">
        <v>43918</v>
      </c>
      <c r="B675">
        <v>1.12E-2</v>
      </c>
      <c r="C675">
        <v>1.15E-2</v>
      </c>
      <c r="D675">
        <v>1.072E-2</v>
      </c>
      <c r="E675">
        <v>1.1390000000000001E-2</v>
      </c>
      <c r="F675">
        <v>723775916.5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0.71794871794872039</v>
      </c>
      <c r="Q675">
        <f t="shared" si="995"/>
        <v>519633991.3333351</v>
      </c>
      <c r="R675">
        <f t="shared" si="996"/>
        <v>22233696725.67252</v>
      </c>
      <c r="S675">
        <f t="shared" si="997"/>
        <v>222336.96725672518</v>
      </c>
      <c r="T675">
        <f t="shared" si="998"/>
        <v>222.33696725672519</v>
      </c>
    </row>
    <row r="676" spans="1:20" x14ac:dyDescent="0.25">
      <c r="A676" s="5">
        <v>43917</v>
      </c>
      <c r="B676">
        <v>1.1950000000000001E-2</v>
      </c>
      <c r="C676">
        <v>1.21E-2</v>
      </c>
      <c r="D676">
        <v>1.095E-2</v>
      </c>
      <c r="E676">
        <v>1.1209999999999999E-2</v>
      </c>
      <c r="F676">
        <v>628892755.60000002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-0.54782608695652202</v>
      </c>
      <c r="Q676">
        <f t="shared" si="995"/>
        <v>-344523857.41565233</v>
      </c>
      <c r="R676">
        <f t="shared" si="996"/>
        <v>21714062734.339184</v>
      </c>
      <c r="S676">
        <f t="shared" si="997"/>
        <v>217140.62734339182</v>
      </c>
      <c r="T676">
        <f t="shared" si="998"/>
        <v>217.14062734339183</v>
      </c>
    </row>
    <row r="677" spans="1:20" x14ac:dyDescent="0.25">
      <c r="A677" s="5">
        <v>43916</v>
      </c>
      <c r="B677">
        <v>1.1379999999999999E-2</v>
      </c>
      <c r="C677">
        <v>1.2030000000000001E-2</v>
      </c>
      <c r="D677">
        <v>1.125E-2</v>
      </c>
      <c r="E677">
        <v>1.196E-2</v>
      </c>
      <c r="F677">
        <v>672326599.89999998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0.82051282051281915</v>
      </c>
      <c r="Q677">
        <f t="shared" si="995"/>
        <v>551652594.78974271</v>
      </c>
      <c r="R677">
        <f t="shared" si="996"/>
        <v>22058586591.754837</v>
      </c>
      <c r="S677">
        <f t="shared" si="997"/>
        <v>220585.86591754836</v>
      </c>
      <c r="T677">
        <f t="shared" si="998"/>
        <v>220.58586591754838</v>
      </c>
    </row>
    <row r="678" spans="1:20" x14ac:dyDescent="0.25">
      <c r="A678" s="5">
        <v>43915</v>
      </c>
      <c r="B678">
        <v>1.149E-2</v>
      </c>
      <c r="C678">
        <v>1.18E-2</v>
      </c>
      <c r="D678">
        <v>1.102E-2</v>
      </c>
      <c r="E678">
        <v>1.1390000000000001E-2</v>
      </c>
      <c r="F678">
        <v>727462671.89999998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-5.1282051282049226E-2</v>
      </c>
      <c r="Q678">
        <f t="shared" si="995"/>
        <v>-37305778.046152346</v>
      </c>
      <c r="R678">
        <f t="shared" si="996"/>
        <v>21506933996.965096</v>
      </c>
      <c r="S678">
        <f t="shared" si="997"/>
        <v>215069.33996965096</v>
      </c>
      <c r="T678">
        <f t="shared" si="998"/>
        <v>215.06933996965097</v>
      </c>
    </row>
    <row r="679" spans="1:20" x14ac:dyDescent="0.25">
      <c r="A679" s="5">
        <v>43914</v>
      </c>
      <c r="B679">
        <v>1.136E-2</v>
      </c>
      <c r="C679">
        <v>1.17E-2</v>
      </c>
      <c r="D679">
        <v>1.1129999999999999E-2</v>
      </c>
      <c r="E679">
        <v>1.1509999999999999E-2</v>
      </c>
      <c r="F679">
        <v>871001869.29999995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0.33333333333333132</v>
      </c>
      <c r="Q679">
        <f t="shared" si="995"/>
        <v>290333956.43333155</v>
      </c>
      <c r="R679">
        <f t="shared" si="996"/>
        <v>21544239775.01125</v>
      </c>
      <c r="S679">
        <f t="shared" si="997"/>
        <v>215442.39775011249</v>
      </c>
      <c r="T679">
        <f t="shared" si="998"/>
        <v>215.44239775011249</v>
      </c>
    </row>
    <row r="680" spans="1:20" x14ac:dyDescent="0.25">
      <c r="A680" s="5">
        <v>43913</v>
      </c>
      <c r="B680">
        <v>1.0279999999999999E-2</v>
      </c>
      <c r="C680">
        <v>1.153E-2</v>
      </c>
      <c r="D680">
        <v>1.0070000000000001E-2</v>
      </c>
      <c r="E680">
        <v>1.137E-2</v>
      </c>
      <c r="F680">
        <v>883898512.29999995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0.78082191780821852</v>
      </c>
      <c r="Q680">
        <f t="shared" si="995"/>
        <v>690167331.52191722</v>
      </c>
      <c r="R680">
        <f t="shared" si="996"/>
        <v>21253905818.577919</v>
      </c>
      <c r="S680">
        <f t="shared" si="997"/>
        <v>212539.0581857792</v>
      </c>
      <c r="T680">
        <f t="shared" si="998"/>
        <v>212.5390581857792</v>
      </c>
    </row>
    <row r="681" spans="1:20" x14ac:dyDescent="0.25">
      <c r="A681" s="5">
        <v>43912</v>
      </c>
      <c r="B681">
        <v>1.124E-2</v>
      </c>
      <c r="C681">
        <v>1.163E-2</v>
      </c>
      <c r="D681">
        <v>1.0160000000000001E-2</v>
      </c>
      <c r="E681">
        <v>1.03E-2</v>
      </c>
      <c r="F681">
        <v>694215725.60000002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-0.80952380952381009</v>
      </c>
      <c r="Q681">
        <f t="shared" si="995"/>
        <v>-561984158.81904805</v>
      </c>
      <c r="R681">
        <f t="shared" si="996"/>
        <v>20563738487.056004</v>
      </c>
      <c r="S681">
        <f t="shared" si="997"/>
        <v>205637.38487056002</v>
      </c>
      <c r="T681">
        <f t="shared" si="998"/>
        <v>205.63738487056003</v>
      </c>
    </row>
    <row r="682" spans="1:20" x14ac:dyDescent="0.25">
      <c r="A682" s="5">
        <v>43911</v>
      </c>
      <c r="B682">
        <v>1.1270000000000001E-2</v>
      </c>
      <c r="C682">
        <v>1.1650000000000001E-2</v>
      </c>
      <c r="D682">
        <v>1.065E-2</v>
      </c>
      <c r="E682">
        <v>1.123E-2</v>
      </c>
      <c r="F682">
        <v>905427179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0.16000000000000028</v>
      </c>
      <c r="Q682">
        <f t="shared" si="995"/>
        <v>144868348.64000025</v>
      </c>
      <c r="R682">
        <f t="shared" si="996"/>
        <v>21125722645.875053</v>
      </c>
      <c r="S682">
        <f t="shared" si="997"/>
        <v>211257.22645875052</v>
      </c>
      <c r="T682">
        <f t="shared" si="998"/>
        <v>211.25722645875052</v>
      </c>
    </row>
    <row r="683" spans="1:20" x14ac:dyDescent="0.25">
      <c r="A683" s="5">
        <v>43910</v>
      </c>
      <c r="B683">
        <v>1.162E-2</v>
      </c>
      <c r="C683">
        <v>1.277E-2</v>
      </c>
      <c r="D683">
        <v>1.022E-2</v>
      </c>
      <c r="E683">
        <v>1.1270000000000001E-2</v>
      </c>
      <c r="F683">
        <v>1430543872.5999999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-0.17647058823529371</v>
      </c>
      <c r="Q683">
        <f t="shared" si="995"/>
        <v>-252448918.69411704</v>
      </c>
      <c r="R683">
        <f t="shared" si="996"/>
        <v>20980854297.235054</v>
      </c>
      <c r="S683">
        <f t="shared" si="997"/>
        <v>209808.54297235055</v>
      </c>
      <c r="T683">
        <f t="shared" si="998"/>
        <v>209.80854297235055</v>
      </c>
    </row>
    <row r="684" spans="1:20" x14ac:dyDescent="0.25">
      <c r="A684" s="5">
        <v>43909</v>
      </c>
      <c r="B684">
        <v>1.023E-2</v>
      </c>
      <c r="C684">
        <v>1.2200000000000001E-2</v>
      </c>
      <c r="D684">
        <v>1.0070000000000001E-2</v>
      </c>
      <c r="E684">
        <v>1.163E-2</v>
      </c>
      <c r="F684">
        <v>1231609708.3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0.46478873239436519</v>
      </c>
      <c r="Q684">
        <f t="shared" si="995"/>
        <v>572438315.12535083</v>
      </c>
      <c r="R684">
        <f t="shared" si="996"/>
        <v>21233303215.929173</v>
      </c>
      <c r="S684">
        <f t="shared" si="997"/>
        <v>212333.03215929173</v>
      </c>
      <c r="T684">
        <f t="shared" si="998"/>
        <v>212.33303215929172</v>
      </c>
    </row>
    <row r="685" spans="1:20" x14ac:dyDescent="0.25">
      <c r="A685" s="5">
        <v>43908</v>
      </c>
      <c r="B685">
        <v>1.001E-2</v>
      </c>
      <c r="C685">
        <v>1.025E-2</v>
      </c>
      <c r="D685">
        <v>9.5999999999999992E-3</v>
      </c>
      <c r="E685">
        <v>1.022E-2</v>
      </c>
      <c r="F685">
        <v>711959803.5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0.90769230769230624</v>
      </c>
      <c r="Q685">
        <f t="shared" si="995"/>
        <v>646240437.02307594</v>
      </c>
      <c r="R685">
        <f t="shared" si="996"/>
        <v>20660864900.803822</v>
      </c>
      <c r="S685">
        <f t="shared" si="997"/>
        <v>206608.64900803822</v>
      </c>
      <c r="T685">
        <f t="shared" si="998"/>
        <v>206.60864900803821</v>
      </c>
    </row>
    <row r="686" spans="1:20" x14ac:dyDescent="0.25">
      <c r="A686" s="5">
        <v>43907</v>
      </c>
      <c r="B686">
        <v>9.6200000000000001E-3</v>
      </c>
      <c r="C686">
        <v>1.0359999999999999E-2</v>
      </c>
      <c r="D686">
        <v>9.4699999999999993E-3</v>
      </c>
      <c r="E686">
        <v>1.0019999999999999E-2</v>
      </c>
      <c r="F686">
        <v>926080810.5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0.23595505617977536</v>
      </c>
      <c r="Q686">
        <f t="shared" si="995"/>
        <v>218513449.6685394</v>
      </c>
      <c r="R686">
        <f t="shared" si="996"/>
        <v>20014624463.780746</v>
      </c>
      <c r="S686">
        <f t="shared" si="997"/>
        <v>200146.24463780745</v>
      </c>
      <c r="T686">
        <f t="shared" si="998"/>
        <v>200.14624463780746</v>
      </c>
    </row>
    <row r="687" spans="1:20" x14ac:dyDescent="0.25">
      <c r="A687" s="5">
        <v>43906</v>
      </c>
      <c r="B687">
        <v>1.026E-2</v>
      </c>
      <c r="C687">
        <v>1.0359999999999999E-2</v>
      </c>
      <c r="D687">
        <v>8.5100000000000002E-3</v>
      </c>
      <c r="E687">
        <v>9.6100000000000005E-3</v>
      </c>
      <c r="F687">
        <v>1640653245.5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0.18918918918919</v>
      </c>
      <c r="Q687">
        <f t="shared" si="995"/>
        <v>310393857.25675809</v>
      </c>
      <c r="R687">
        <f t="shared" si="996"/>
        <v>19796111014.112206</v>
      </c>
      <c r="S687">
        <f t="shared" si="997"/>
        <v>197961.11014112204</v>
      </c>
      <c r="T687">
        <f t="shared" si="998"/>
        <v>197.96111014112205</v>
      </c>
    </row>
    <row r="688" spans="1:20" x14ac:dyDescent="0.25">
      <c r="A688" s="5">
        <v>43905</v>
      </c>
      <c r="B688">
        <v>9.7199999999999995E-3</v>
      </c>
      <c r="C688">
        <v>1.111E-2</v>
      </c>
      <c r="D688">
        <v>9.5999999999999992E-3</v>
      </c>
      <c r="E688">
        <v>1.026E-2</v>
      </c>
      <c r="F688">
        <v>979403292.79999995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-0.12582781456953582</v>
      </c>
      <c r="Q688">
        <f t="shared" si="995"/>
        <v>-123236175.91523118</v>
      </c>
      <c r="R688">
        <f t="shared" si="996"/>
        <v>19485717156.855446</v>
      </c>
      <c r="S688">
        <f t="shared" si="997"/>
        <v>194857.17156855445</v>
      </c>
      <c r="T688">
        <f t="shared" si="998"/>
        <v>194.85717156855443</v>
      </c>
    </row>
    <row r="689" spans="1:20" x14ac:dyDescent="0.25">
      <c r="A689" s="5">
        <v>43904</v>
      </c>
      <c r="B689">
        <v>1.0279999999999999E-2</v>
      </c>
      <c r="C689">
        <v>1.057E-2</v>
      </c>
      <c r="D689">
        <v>9.5399999999999999E-3</v>
      </c>
      <c r="E689">
        <v>9.7300000000000008E-3</v>
      </c>
      <c r="F689">
        <v>1167094658.7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-0.6310679611650466</v>
      </c>
      <c r="Q689">
        <f t="shared" si="995"/>
        <v>-736516046.75242496</v>
      </c>
      <c r="R689">
        <f t="shared" si="996"/>
        <v>19608953332.770676</v>
      </c>
      <c r="S689">
        <f t="shared" si="997"/>
        <v>196089.53332770677</v>
      </c>
      <c r="T689">
        <f t="shared" si="998"/>
        <v>196.08953332770676</v>
      </c>
    </row>
    <row r="690" spans="1:20" x14ac:dyDescent="0.25">
      <c r="A690" s="5">
        <v>43903</v>
      </c>
      <c r="B690">
        <v>8.4100000000000008E-3</v>
      </c>
      <c r="C690">
        <v>1.093E-2</v>
      </c>
      <c r="D690">
        <v>6.8399999999999997E-3</v>
      </c>
      <c r="E690">
        <v>1.0290000000000001E-2</v>
      </c>
      <c r="F690">
        <v>5093172940.3999996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0.68704156479217615</v>
      </c>
      <c r="Q690">
        <f t="shared" si="995"/>
        <v>3499221506.7295847</v>
      </c>
      <c r="R690">
        <f t="shared" si="996"/>
        <v>20345469379.523102</v>
      </c>
      <c r="S690">
        <f t="shared" si="997"/>
        <v>203454.69379523103</v>
      </c>
      <c r="T690">
        <f t="shared" si="998"/>
        <v>203.45469379523104</v>
      </c>
    </row>
    <row r="691" spans="1:20" x14ac:dyDescent="0.25">
      <c r="A691" s="5">
        <v>43902</v>
      </c>
      <c r="B691">
        <v>1.49E-2</v>
      </c>
      <c r="C691">
        <v>1.495E-2</v>
      </c>
      <c r="D691">
        <v>8.0499999999999999E-3</v>
      </c>
      <c r="E691">
        <v>8.4100000000000008E-3</v>
      </c>
      <c r="F691">
        <v>3212166926.3000002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-0.89565217391304319</v>
      </c>
      <c r="Q691">
        <f t="shared" si="995"/>
        <v>-2876984290.5121732</v>
      </c>
      <c r="R691">
        <f t="shared" si="996"/>
        <v>16846247872.793518</v>
      </c>
      <c r="S691">
        <f t="shared" si="997"/>
        <v>168462.47872793517</v>
      </c>
      <c r="T691">
        <f t="shared" si="998"/>
        <v>168.46247872793518</v>
      </c>
    </row>
    <row r="692" spans="1:20" x14ac:dyDescent="0.25">
      <c r="A692" s="5">
        <v>43901</v>
      </c>
      <c r="B692">
        <v>1.5089999999999999E-2</v>
      </c>
      <c r="C692">
        <v>1.529E-2</v>
      </c>
      <c r="D692">
        <v>1.4109999999999999E-2</v>
      </c>
      <c r="E692">
        <v>1.489E-2</v>
      </c>
      <c r="F692">
        <v>601301901.10000002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0.32203389830508616</v>
      </c>
      <c r="Q692">
        <f t="shared" si="995"/>
        <v>193639595.26949239</v>
      </c>
      <c r="R692">
        <f t="shared" si="996"/>
        <v>19723232163.305691</v>
      </c>
      <c r="S692">
        <f t="shared" si="997"/>
        <v>197232.32163305691</v>
      </c>
      <c r="T692">
        <f t="shared" si="998"/>
        <v>197.2323216330569</v>
      </c>
    </row>
    <row r="693" spans="1:20" x14ac:dyDescent="0.25">
      <c r="A693" s="5">
        <v>43900</v>
      </c>
      <c r="B693">
        <v>1.503E-2</v>
      </c>
      <c r="C693">
        <v>1.536E-2</v>
      </c>
      <c r="D693">
        <v>1.461E-2</v>
      </c>
      <c r="E693">
        <v>1.508E-2</v>
      </c>
      <c r="F693">
        <v>643206840.20000005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0.25333333333333202</v>
      </c>
      <c r="Q693">
        <f t="shared" si="995"/>
        <v>162945732.85066584</v>
      </c>
      <c r="R693">
        <f t="shared" si="996"/>
        <v>19529592568.036198</v>
      </c>
      <c r="S693">
        <f t="shared" si="997"/>
        <v>195295.92568036198</v>
      </c>
      <c r="T693">
        <f t="shared" si="998"/>
        <v>195.29592568036199</v>
      </c>
    </row>
    <row r="694" spans="1:20" x14ac:dyDescent="0.25">
      <c r="A694" s="5">
        <v>43899</v>
      </c>
      <c r="B694">
        <v>1.465E-2</v>
      </c>
      <c r="C694">
        <v>1.5339999999999999E-2</v>
      </c>
      <c r="D694">
        <v>1.4019999999999999E-2</v>
      </c>
      <c r="E694">
        <v>1.504E-2</v>
      </c>
      <c r="F694">
        <v>1312390184.7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0.54545454545454553</v>
      </c>
      <c r="Q694">
        <f t="shared" si="995"/>
        <v>715849191.65454555</v>
      </c>
      <c r="R694">
        <f t="shared" si="996"/>
        <v>19366646835.185532</v>
      </c>
      <c r="S694">
        <f t="shared" si="997"/>
        <v>193666.46835185532</v>
      </c>
      <c r="T694">
        <f t="shared" si="998"/>
        <v>193.66646835185531</v>
      </c>
    </row>
    <row r="695" spans="1:20" x14ac:dyDescent="0.25">
      <c r="A695" s="5">
        <v>43898</v>
      </c>
      <c r="B695">
        <v>1.6990000000000002E-2</v>
      </c>
      <c r="C695">
        <v>1.6990000000000002E-2</v>
      </c>
      <c r="D695">
        <v>1.443E-2</v>
      </c>
      <c r="E695">
        <v>1.465E-2</v>
      </c>
      <c r="F695">
        <v>1126909244.5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-0.82812500000000033</v>
      </c>
      <c r="Q695">
        <f t="shared" si="995"/>
        <v>-933221718.10156286</v>
      </c>
      <c r="R695">
        <f t="shared" si="996"/>
        <v>18650797643.530987</v>
      </c>
      <c r="S695">
        <f t="shared" si="997"/>
        <v>186507.97643530986</v>
      </c>
      <c r="T695">
        <f t="shared" si="998"/>
        <v>186.50797643530987</v>
      </c>
    </row>
    <row r="696" spans="1:20" x14ac:dyDescent="0.25">
      <c r="A696" s="5">
        <v>43897</v>
      </c>
      <c r="B696">
        <v>1.8339999999999999E-2</v>
      </c>
      <c r="C696">
        <v>1.8360000000000001E-2</v>
      </c>
      <c r="D696">
        <v>1.643E-2</v>
      </c>
      <c r="E696">
        <v>1.6990000000000002E-2</v>
      </c>
      <c r="F696">
        <v>742721433.79999995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-0.41968911917098328</v>
      </c>
      <c r="Q696">
        <f t="shared" si="995"/>
        <v>-311712104.34093177</v>
      </c>
      <c r="R696">
        <f t="shared" si="996"/>
        <v>19584019361.632549</v>
      </c>
      <c r="S696">
        <f t="shared" si="997"/>
        <v>195840.1936163255</v>
      </c>
      <c r="T696">
        <f t="shared" si="998"/>
        <v>195.84019361632551</v>
      </c>
    </row>
    <row r="697" spans="1:20" x14ac:dyDescent="0.25">
      <c r="A697" s="5">
        <v>43896</v>
      </c>
      <c r="B697">
        <v>1.789E-2</v>
      </c>
      <c r="C697">
        <v>1.8380000000000001E-2</v>
      </c>
      <c r="D697">
        <v>1.7850000000000001E-2</v>
      </c>
      <c r="E697">
        <v>1.8329999999999999E-2</v>
      </c>
      <c r="F697">
        <v>487472127.80000001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0.8113207547169754</v>
      </c>
      <c r="Q697">
        <f t="shared" si="995"/>
        <v>395496254.6301859</v>
      </c>
      <c r="R697">
        <f t="shared" si="996"/>
        <v>19895731465.97348</v>
      </c>
      <c r="S697">
        <f t="shared" si="997"/>
        <v>198957.31465973481</v>
      </c>
      <c r="T697">
        <f t="shared" si="998"/>
        <v>198.95731465973481</v>
      </c>
    </row>
    <row r="698" spans="1:20" x14ac:dyDescent="0.25">
      <c r="A698" s="5">
        <v>43895</v>
      </c>
      <c r="B698">
        <v>1.7749999999999998E-2</v>
      </c>
      <c r="C698">
        <v>1.8339999999999999E-2</v>
      </c>
      <c r="D698">
        <v>1.7729999999999999E-2</v>
      </c>
      <c r="E698">
        <v>1.789E-2</v>
      </c>
      <c r="F698">
        <v>884641939.20000005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-0.47540983606557191</v>
      </c>
      <c r="Q698">
        <f t="shared" si="995"/>
        <v>-420567479.29180163</v>
      </c>
      <c r="R698">
        <f t="shared" si="996"/>
        <v>19500235211.343296</v>
      </c>
      <c r="S698">
        <f t="shared" si="997"/>
        <v>195002.35211343295</v>
      </c>
      <c r="T698">
        <f t="shared" si="998"/>
        <v>195.00235211343295</v>
      </c>
    </row>
    <row r="699" spans="1:20" x14ac:dyDescent="0.25">
      <c r="A699" s="5">
        <v>43894</v>
      </c>
      <c r="B699">
        <v>1.7219999999999999E-2</v>
      </c>
      <c r="C699">
        <v>1.7829999999999999E-2</v>
      </c>
      <c r="D699">
        <v>1.6990000000000002E-2</v>
      </c>
      <c r="E699">
        <v>1.7739999999999999E-2</v>
      </c>
      <c r="F699">
        <v>622143058.60000002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0.78571428571428537</v>
      </c>
      <c r="Q699">
        <f t="shared" si="995"/>
        <v>488826688.8999998</v>
      </c>
      <c r="R699">
        <f t="shared" si="996"/>
        <v>19920802690.635098</v>
      </c>
      <c r="S699">
        <f t="shared" si="997"/>
        <v>199208.02690635098</v>
      </c>
      <c r="T699">
        <f t="shared" si="998"/>
        <v>199.20802690635097</v>
      </c>
    </row>
    <row r="700" spans="1:20" x14ac:dyDescent="0.25">
      <c r="A700" s="5">
        <v>43893</v>
      </c>
      <c r="B700">
        <v>1.7600000000000001E-2</v>
      </c>
      <c r="C700">
        <v>1.7600000000000001E-2</v>
      </c>
      <c r="D700">
        <v>1.6879999999999999E-2</v>
      </c>
      <c r="E700">
        <v>1.7229999999999999E-2</v>
      </c>
      <c r="F700">
        <v>636342338.60000002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-2.7777777777781391E-2</v>
      </c>
      <c r="Q700">
        <f t="shared" si="995"/>
        <v>-17676176.072224524</v>
      </c>
      <c r="R700">
        <f t="shared" si="996"/>
        <v>19431976001.735096</v>
      </c>
      <c r="S700">
        <f t="shared" si="997"/>
        <v>194319.76001735096</v>
      </c>
      <c r="T700">
        <f t="shared" si="998"/>
        <v>194.31976001735094</v>
      </c>
    </row>
    <row r="701" spans="1:20" x14ac:dyDescent="0.25">
      <c r="A701" s="5">
        <v>43892</v>
      </c>
      <c r="B701">
        <v>1.643E-2</v>
      </c>
      <c r="C701">
        <v>1.7850000000000001E-2</v>
      </c>
      <c r="D701">
        <v>1.6379999999999999E-2</v>
      </c>
      <c r="E701">
        <v>1.7590000000000001E-2</v>
      </c>
      <c r="F701">
        <v>770327372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0.64625850340136137</v>
      </c>
      <c r="Q701">
        <f t="shared" si="995"/>
        <v>497830614.55782378</v>
      </c>
      <c r="R701">
        <f t="shared" si="996"/>
        <v>19449652177.80732</v>
      </c>
      <c r="S701">
        <f t="shared" si="997"/>
        <v>194496.52177807319</v>
      </c>
      <c r="T701">
        <f t="shared" si="998"/>
        <v>194.4965217780732</v>
      </c>
    </row>
    <row r="702" spans="1:20" x14ac:dyDescent="0.25">
      <c r="A702" s="5">
        <v>43891</v>
      </c>
      <c r="B702">
        <v>1.6469999999999999E-2</v>
      </c>
      <c r="C702">
        <v>1.711E-2</v>
      </c>
      <c r="D702">
        <v>1.6109999999999999E-2</v>
      </c>
      <c r="E702">
        <v>1.643E-2</v>
      </c>
      <c r="F702">
        <v>625702401.10000002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-0.35999999999999888</v>
      </c>
      <c r="Q702">
        <f t="shared" si="995"/>
        <v>-225252864.39599931</v>
      </c>
      <c r="R702">
        <f t="shared" si="996"/>
        <v>18951821563.249496</v>
      </c>
      <c r="S702">
        <f t="shared" si="997"/>
        <v>189518.21563249498</v>
      </c>
      <c r="T702">
        <f t="shared" si="998"/>
        <v>189.51821563249499</v>
      </c>
    </row>
    <row r="703" spans="1:20" x14ac:dyDescent="0.25">
      <c r="A703" s="5">
        <v>43890</v>
      </c>
      <c r="B703">
        <v>1.7100000000000001E-2</v>
      </c>
      <c r="C703">
        <v>1.7420000000000001E-2</v>
      </c>
      <c r="D703">
        <v>1.6449999999999999E-2</v>
      </c>
      <c r="E703">
        <v>1.6480000000000002E-2</v>
      </c>
      <c r="F703">
        <v>625004760.10000002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-0.93814432989690277</v>
      </c>
      <c r="Q703">
        <f t="shared" si="995"/>
        <v>-586344671.84638906</v>
      </c>
      <c r="R703">
        <f t="shared" si="996"/>
        <v>19177074427.645496</v>
      </c>
      <c r="S703">
        <f t="shared" si="997"/>
        <v>191770.74427645496</v>
      </c>
      <c r="T703">
        <f t="shared" si="998"/>
        <v>191.77074427645496</v>
      </c>
    </row>
    <row r="704" spans="1:20" x14ac:dyDescent="0.25">
      <c r="A704" s="5">
        <v>43889</v>
      </c>
      <c r="B704">
        <v>1.7010000000000001E-2</v>
      </c>
      <c r="C704">
        <v>1.7399999999999999E-2</v>
      </c>
      <c r="D704">
        <v>1.6070000000000001E-2</v>
      </c>
      <c r="E704">
        <v>1.7100000000000001E-2</v>
      </c>
      <c r="F704">
        <v>872755611.5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0.54887218045112984</v>
      </c>
      <c r="Q704">
        <f t="shared" si="995"/>
        <v>479031275.48496419</v>
      </c>
      <c r="R704">
        <f t="shared" si="996"/>
        <v>19763419099.491886</v>
      </c>
      <c r="S704">
        <f t="shared" si="997"/>
        <v>197634.19099491887</v>
      </c>
      <c r="T704">
        <f t="shared" si="998"/>
        <v>197.63419099491887</v>
      </c>
    </row>
    <row r="705" spans="1:20" x14ac:dyDescent="0.25">
      <c r="A705" s="5">
        <v>43888</v>
      </c>
      <c r="B705">
        <v>1.636E-2</v>
      </c>
      <c r="C705">
        <v>1.7579999999999998E-2</v>
      </c>
      <c r="D705">
        <v>1.583E-2</v>
      </c>
      <c r="E705">
        <v>1.7010000000000001E-2</v>
      </c>
      <c r="F705">
        <v>1193160713.0999999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0.34857142857143059</v>
      </c>
      <c r="Q705">
        <f t="shared" si="995"/>
        <v>415901734.28057379</v>
      </c>
      <c r="R705">
        <f t="shared" si="996"/>
        <v>19284387824.006924</v>
      </c>
      <c r="S705">
        <f t="shared" si="997"/>
        <v>192843.87824006923</v>
      </c>
      <c r="T705">
        <f t="shared" si="998"/>
        <v>192.84387824006922</v>
      </c>
    </row>
    <row r="706" spans="1:20" x14ac:dyDescent="0.25">
      <c r="A706" s="5">
        <v>43887</v>
      </c>
      <c r="B706">
        <v>1.891E-2</v>
      </c>
      <c r="C706">
        <v>1.9199999999999998E-2</v>
      </c>
      <c r="D706">
        <v>1.558E-2</v>
      </c>
      <c r="E706">
        <v>1.636E-2</v>
      </c>
      <c r="F706">
        <v>2179337891.0999999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-0.56906077348066308</v>
      </c>
      <c r="Q706">
        <f t="shared" si="995"/>
        <v>-1240175705.9850831</v>
      </c>
      <c r="R706">
        <f t="shared" si="996"/>
        <v>18868486089.726349</v>
      </c>
      <c r="S706">
        <f t="shared" si="997"/>
        <v>188684.86089726348</v>
      </c>
      <c r="T706">
        <f t="shared" si="998"/>
        <v>188.68486089726349</v>
      </c>
    </row>
    <row r="707" spans="1:20" x14ac:dyDescent="0.25">
      <c r="A707" s="5">
        <v>43886</v>
      </c>
      <c r="B707">
        <v>1.9869999999999999E-2</v>
      </c>
      <c r="C707">
        <v>1.9959999999999999E-2</v>
      </c>
      <c r="D707">
        <v>1.8679999999999999E-2</v>
      </c>
      <c r="E707">
        <v>1.891E-2</v>
      </c>
      <c r="F707">
        <v>1034176708.8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-0.64062499999999833</v>
      </c>
      <c r="Q707">
        <f t="shared" si="995"/>
        <v>-662519454.07499826</v>
      </c>
      <c r="R707">
        <f t="shared" si="996"/>
        <v>20108661795.711433</v>
      </c>
      <c r="S707">
        <f t="shared" si="997"/>
        <v>201086.61795711433</v>
      </c>
      <c r="T707">
        <f t="shared" si="998"/>
        <v>201.08661795711433</v>
      </c>
    </row>
    <row r="708" spans="1:20" x14ac:dyDescent="0.25">
      <c r="A708" s="5">
        <v>43885</v>
      </c>
      <c r="B708">
        <v>2.1329999999999998E-2</v>
      </c>
      <c r="C708">
        <v>2.1360000000000001E-2</v>
      </c>
      <c r="D708">
        <v>1.9140000000000001E-2</v>
      </c>
      <c r="E708">
        <v>1.9879999999999998E-2</v>
      </c>
      <c r="F708">
        <v>987515851.39999998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-0.33333333333333542</v>
      </c>
      <c r="Q708">
        <f t="shared" si="995"/>
        <v>-329171950.46666873</v>
      </c>
      <c r="R708">
        <f t="shared" si="996"/>
        <v>20771181249.78643</v>
      </c>
      <c r="S708">
        <f t="shared" si="997"/>
        <v>207711.8124978643</v>
      </c>
      <c r="T708">
        <f t="shared" si="998"/>
        <v>207.71181249786432</v>
      </c>
    </row>
    <row r="709" spans="1:20" x14ac:dyDescent="0.25">
      <c r="A709" s="5">
        <v>43884</v>
      </c>
      <c r="B709">
        <v>2.002E-2</v>
      </c>
      <c r="C709">
        <v>2.1420000000000002E-2</v>
      </c>
      <c r="D709">
        <v>0.02</v>
      </c>
      <c r="E709">
        <v>2.1329999999999998E-2</v>
      </c>
      <c r="F709">
        <v>707531031.29999995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0.87323943661971382</v>
      </c>
      <c r="Q709">
        <f t="shared" si="995"/>
        <v>617843999.16337705</v>
      </c>
      <c r="R709">
        <f t="shared" si="996"/>
        <v>21100353200.253098</v>
      </c>
      <c r="S709">
        <f t="shared" si="997"/>
        <v>211003.53200253096</v>
      </c>
      <c r="T709">
        <f t="shared" si="998"/>
        <v>211.00353200253096</v>
      </c>
    </row>
    <row r="710" spans="1:20" x14ac:dyDescent="0.25">
      <c r="A710" s="5">
        <v>43883</v>
      </c>
      <c r="B710">
        <v>2.0160000000000001E-2</v>
      </c>
      <c r="C710">
        <v>2.0279999999999999E-2</v>
      </c>
      <c r="D710">
        <v>1.9650000000000001E-2</v>
      </c>
      <c r="E710">
        <v>2.002E-2</v>
      </c>
      <c r="F710">
        <v>566580345.89999998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0.17460317460317337</v>
      </c>
      <c r="Q710">
        <f t="shared" ref="Q710:Q766" si="1000">F710*P710</f>
        <v>98926727.061904058</v>
      </c>
      <c r="R710">
        <f t="shared" ref="R710:R766" si="1001">R711+Q710</f>
        <v>20482509201.089722</v>
      </c>
      <c r="S710">
        <f t="shared" ref="S710:S766" si="1002">R710/100000</f>
        <v>204825.09201089721</v>
      </c>
      <c r="T710">
        <f t="shared" ref="T710:T766" si="1003">S710/1000</f>
        <v>204.82509201089721</v>
      </c>
    </row>
    <row r="711" spans="1:20" x14ac:dyDescent="0.25">
      <c r="A711" s="5">
        <v>43882</v>
      </c>
      <c r="B711">
        <v>1.9789999999999999E-2</v>
      </c>
      <c r="C711">
        <v>2.0570000000000001E-2</v>
      </c>
      <c r="D711">
        <v>1.9609999999999999E-2</v>
      </c>
      <c r="E711">
        <v>2.0160000000000001E-2</v>
      </c>
      <c r="F711">
        <v>907403544.89999998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0.14583333333333423</v>
      </c>
      <c r="Q711">
        <f t="shared" si="1000"/>
        <v>132329683.63125081</v>
      </c>
      <c r="R711">
        <f t="shared" si="1001"/>
        <v>20383582474.027817</v>
      </c>
      <c r="S711">
        <f t="shared" si="1002"/>
        <v>203835.82474027816</v>
      </c>
      <c r="T711">
        <f t="shared" si="1003"/>
        <v>203.83582474027816</v>
      </c>
    </row>
    <row r="712" spans="1:20" x14ac:dyDescent="0.25">
      <c r="A712" s="5">
        <v>43881</v>
      </c>
      <c r="B712">
        <v>2.017E-2</v>
      </c>
      <c r="C712">
        <v>2.0570000000000001E-2</v>
      </c>
      <c r="D712">
        <v>1.8800000000000001E-2</v>
      </c>
      <c r="E712">
        <v>1.9800000000000002E-2</v>
      </c>
      <c r="F712">
        <v>1347837675.3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0.12994350282485928</v>
      </c>
      <c r="Q712">
        <f t="shared" si="1000"/>
        <v>175142748.76779732</v>
      </c>
      <c r="R712">
        <f t="shared" si="1001"/>
        <v>20251252790.396564</v>
      </c>
      <c r="S712">
        <f t="shared" si="1002"/>
        <v>202512.52790396565</v>
      </c>
      <c r="T712">
        <f t="shared" si="1003"/>
        <v>202.51252790396563</v>
      </c>
    </row>
    <row r="713" spans="1:20" x14ac:dyDescent="0.25">
      <c r="A713" s="5">
        <v>43880</v>
      </c>
      <c r="B713">
        <v>2.2620000000000001E-2</v>
      </c>
      <c r="C713">
        <v>2.2890000000000001E-2</v>
      </c>
      <c r="D713">
        <v>1.95E-2</v>
      </c>
      <c r="E713">
        <v>2.0199999999999999E-2</v>
      </c>
      <c r="F713">
        <v>1206968818.4000001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-0.58702064896755213</v>
      </c>
      <c r="Q713">
        <f t="shared" si="1000"/>
        <v>-708515619.06076765</v>
      </c>
      <c r="R713">
        <f t="shared" si="1001"/>
        <v>20076110041.628769</v>
      </c>
      <c r="S713">
        <f t="shared" si="1002"/>
        <v>200761.10041628769</v>
      </c>
      <c r="T713">
        <f t="shared" si="1003"/>
        <v>200.76110041628769</v>
      </c>
    </row>
    <row r="714" spans="1:20" x14ac:dyDescent="0.25">
      <c r="A714" s="5">
        <v>43879</v>
      </c>
      <c r="B714">
        <v>2.179E-2</v>
      </c>
      <c r="C714">
        <v>2.2960000000000001E-2</v>
      </c>
      <c r="D714">
        <v>2.0449999999999999E-2</v>
      </c>
      <c r="E714">
        <v>2.2620000000000001E-2</v>
      </c>
      <c r="F714">
        <v>1746752067.5999999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0.72908366533864555</v>
      </c>
      <c r="Q714">
        <f t="shared" si="1000"/>
        <v>1273528399.8836656</v>
      </c>
      <c r="R714">
        <f t="shared" si="1001"/>
        <v>20784625660.689537</v>
      </c>
      <c r="S714">
        <f t="shared" si="1002"/>
        <v>207846.25660689536</v>
      </c>
      <c r="T714">
        <f t="shared" si="1003"/>
        <v>207.84625660689537</v>
      </c>
    </row>
    <row r="715" spans="1:20" x14ac:dyDescent="0.25">
      <c r="A715" s="5">
        <v>43878</v>
      </c>
      <c r="B715">
        <v>2.2239999999999999E-2</v>
      </c>
      <c r="C715">
        <v>2.2499999999999999E-2</v>
      </c>
      <c r="D715">
        <v>2.0049999999999998E-2</v>
      </c>
      <c r="E715">
        <v>2.179E-2</v>
      </c>
      <c r="F715">
        <v>1933778422.9000001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0.42040816326530728</v>
      </c>
      <c r="Q715">
        <f t="shared" si="1000"/>
        <v>812976234.93347168</v>
      </c>
      <c r="R715">
        <f t="shared" si="1001"/>
        <v>19511097260.80587</v>
      </c>
      <c r="S715">
        <f t="shared" si="1002"/>
        <v>195110.97260805871</v>
      </c>
      <c r="T715">
        <f t="shared" si="1003"/>
        <v>195.11097260805872</v>
      </c>
    </row>
    <row r="716" spans="1:20" x14ac:dyDescent="0.25">
      <c r="A716" s="5">
        <v>43877</v>
      </c>
      <c r="B716">
        <v>2.3619999999999999E-2</v>
      </c>
      <c r="C716">
        <v>2.477E-2</v>
      </c>
      <c r="D716">
        <v>2.0080000000000001E-2</v>
      </c>
      <c r="E716">
        <v>2.223E-2</v>
      </c>
      <c r="F716">
        <v>2358512828.6999998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-8.3155650319829744E-2</v>
      </c>
      <c r="Q716">
        <f t="shared" si="1000"/>
        <v>-196123668.05820969</v>
      </c>
      <c r="R716">
        <f t="shared" si="1001"/>
        <v>18698121025.872398</v>
      </c>
      <c r="S716">
        <f t="shared" si="1002"/>
        <v>186981.21025872399</v>
      </c>
      <c r="T716">
        <f t="shared" si="1003"/>
        <v>186.98121025872399</v>
      </c>
    </row>
    <row r="717" spans="1:20" x14ac:dyDescent="0.25">
      <c r="A717" s="5">
        <v>43876</v>
      </c>
      <c r="B717">
        <v>2.6370000000000001E-2</v>
      </c>
      <c r="C717">
        <v>2.6599999999999999E-2</v>
      </c>
      <c r="D717">
        <v>2.274E-2</v>
      </c>
      <c r="E717">
        <v>2.3640000000000001E-2</v>
      </c>
      <c r="F717">
        <v>1846870061.5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-0.53367875647668306</v>
      </c>
      <c r="Q717">
        <f t="shared" si="1000"/>
        <v>-985635317.79533517</v>
      </c>
      <c r="R717">
        <f t="shared" si="1001"/>
        <v>18894244693.930607</v>
      </c>
      <c r="S717">
        <f t="shared" si="1002"/>
        <v>188942.44693930607</v>
      </c>
      <c r="T717">
        <f t="shared" si="1003"/>
        <v>188.94244693930608</v>
      </c>
    </row>
    <row r="718" spans="1:20" x14ac:dyDescent="0.25">
      <c r="A718" s="5">
        <v>43875</v>
      </c>
      <c r="B718">
        <v>2.392E-2</v>
      </c>
      <c r="C718">
        <v>2.6919999999999999E-2</v>
      </c>
      <c r="D718">
        <v>2.3699999999999999E-2</v>
      </c>
      <c r="E718">
        <v>2.639E-2</v>
      </c>
      <c r="F718">
        <v>1879334030.4000001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0.67080745341614967</v>
      </c>
      <c r="Q718">
        <f t="shared" si="1000"/>
        <v>1260671275.0509329</v>
      </c>
      <c r="R718">
        <f t="shared" si="1001"/>
        <v>19879880011.725941</v>
      </c>
      <c r="S718">
        <f t="shared" si="1002"/>
        <v>198798.80011725941</v>
      </c>
      <c r="T718">
        <f t="shared" si="1003"/>
        <v>198.79880011725942</v>
      </c>
    </row>
    <row r="719" spans="1:20" x14ac:dyDescent="0.25">
      <c r="A719" s="5">
        <v>43874</v>
      </c>
      <c r="B719">
        <v>2.392E-2</v>
      </c>
      <c r="C719">
        <v>2.5870000000000001E-2</v>
      </c>
      <c r="D719">
        <v>2.2259999999999999E-2</v>
      </c>
      <c r="E719">
        <v>2.3910000000000001E-2</v>
      </c>
      <c r="F719">
        <v>2294028267.8000002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-8.5872576177284651E-2</v>
      </c>
      <c r="Q719">
        <f t="shared" si="1000"/>
        <v>-196994117.17949986</v>
      </c>
      <c r="R719">
        <f t="shared" si="1001"/>
        <v>18619208736.675007</v>
      </c>
      <c r="S719">
        <f t="shared" si="1002"/>
        <v>186192.08736675006</v>
      </c>
      <c r="T719">
        <f t="shared" si="1003"/>
        <v>186.19208736675006</v>
      </c>
    </row>
    <row r="720" spans="1:20" x14ac:dyDescent="0.25">
      <c r="A720" s="5">
        <v>43873</v>
      </c>
      <c r="B720">
        <v>2.273E-2</v>
      </c>
      <c r="C720">
        <v>2.4279999999999999E-2</v>
      </c>
      <c r="D720">
        <v>2.273E-2</v>
      </c>
      <c r="E720">
        <v>2.393E-2</v>
      </c>
      <c r="F720">
        <v>1235816650.3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0.54838709677419384</v>
      </c>
      <c r="Q720">
        <f t="shared" si="1000"/>
        <v>677705905.00322616</v>
      </c>
      <c r="R720">
        <f t="shared" si="1001"/>
        <v>18816202853.854507</v>
      </c>
      <c r="S720">
        <f t="shared" si="1002"/>
        <v>188162.02853854507</v>
      </c>
      <c r="T720">
        <f t="shared" si="1003"/>
        <v>188.16202853854506</v>
      </c>
    </row>
    <row r="721" spans="1:20" x14ac:dyDescent="0.25">
      <c r="A721" s="5">
        <v>43872</v>
      </c>
      <c r="B721">
        <v>2.215E-2</v>
      </c>
      <c r="C721">
        <v>2.3E-2</v>
      </c>
      <c r="D721">
        <v>2.1430000000000001E-2</v>
      </c>
      <c r="E721">
        <v>2.2720000000000001E-2</v>
      </c>
      <c r="F721">
        <v>916278325.29999995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0.64331210191082899</v>
      </c>
      <c r="Q721">
        <f t="shared" si="1000"/>
        <v>589452935.38407731</v>
      </c>
      <c r="R721">
        <f t="shared" si="1001"/>
        <v>18138496948.85128</v>
      </c>
      <c r="S721">
        <f t="shared" si="1002"/>
        <v>181384.96948851281</v>
      </c>
      <c r="T721">
        <f t="shared" si="1003"/>
        <v>181.38496948851281</v>
      </c>
    </row>
    <row r="722" spans="1:20" x14ac:dyDescent="0.25">
      <c r="A722" s="5">
        <v>43871</v>
      </c>
      <c r="B722">
        <v>2.2079999999999999E-2</v>
      </c>
      <c r="C722">
        <v>2.2450000000000001E-2</v>
      </c>
      <c r="D722">
        <v>2.0879999999999999E-2</v>
      </c>
      <c r="E722">
        <v>2.2159999999999999E-2</v>
      </c>
      <c r="F722">
        <v>1003603855.6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0.63057324840764117</v>
      </c>
      <c r="Q722">
        <f t="shared" si="1000"/>
        <v>632845743.3401252</v>
      </c>
      <c r="R722">
        <f t="shared" si="1001"/>
        <v>17549044013.467201</v>
      </c>
      <c r="S722">
        <f t="shared" si="1002"/>
        <v>175490.44013467201</v>
      </c>
      <c r="T722">
        <f t="shared" si="1003"/>
        <v>175.49044013467201</v>
      </c>
    </row>
    <row r="723" spans="1:20" x14ac:dyDescent="0.25">
      <c r="A723" s="5">
        <v>43870</v>
      </c>
      <c r="B723">
        <v>2.179E-2</v>
      </c>
      <c r="C723">
        <v>2.2720000000000001E-2</v>
      </c>
      <c r="D723">
        <v>2.1309999999999999E-2</v>
      </c>
      <c r="E723">
        <v>2.206E-2</v>
      </c>
      <c r="F723">
        <v>872889180.29999995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6.382978723404234E-2</v>
      </c>
      <c r="Q723">
        <f t="shared" si="1000"/>
        <v>55716330.657446623</v>
      </c>
      <c r="R723">
        <f t="shared" si="1001"/>
        <v>16916198270.127075</v>
      </c>
      <c r="S723">
        <f t="shared" si="1002"/>
        <v>169161.98270127075</v>
      </c>
      <c r="T723">
        <f t="shared" si="1003"/>
        <v>169.16198270127074</v>
      </c>
    </row>
    <row r="724" spans="1:20" x14ac:dyDescent="0.25">
      <c r="A724" s="5">
        <v>43869</v>
      </c>
      <c r="B724">
        <v>2.2040000000000001E-2</v>
      </c>
      <c r="C724">
        <v>2.249E-2</v>
      </c>
      <c r="D724">
        <v>2.0250000000000001E-2</v>
      </c>
      <c r="E724">
        <v>2.179E-2</v>
      </c>
      <c r="F724">
        <v>1233418242.5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0.37500000000000039</v>
      </c>
      <c r="Q724">
        <f t="shared" si="1000"/>
        <v>462531840.93750048</v>
      </c>
      <c r="R724">
        <f t="shared" si="1001"/>
        <v>16860481939.469629</v>
      </c>
      <c r="S724">
        <f t="shared" si="1002"/>
        <v>168604.8193946963</v>
      </c>
      <c r="T724">
        <f t="shared" si="1003"/>
        <v>168.60481939469631</v>
      </c>
    </row>
    <row r="725" spans="1:20" x14ac:dyDescent="0.25">
      <c r="A725" s="5">
        <v>43868</v>
      </c>
      <c r="B725">
        <v>2.2700000000000001E-2</v>
      </c>
      <c r="C725">
        <v>2.385E-2</v>
      </c>
      <c r="D725">
        <v>2.1229999999999999E-2</v>
      </c>
      <c r="E725">
        <v>2.2040000000000001E-2</v>
      </c>
      <c r="F725">
        <v>1907737719.5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-0.38167938931297601</v>
      </c>
      <c r="Q725">
        <f t="shared" si="1000"/>
        <v>-728144167.74808955</v>
      </c>
      <c r="R725">
        <f t="shared" si="1001"/>
        <v>16397950098.532129</v>
      </c>
      <c r="S725">
        <f t="shared" si="1002"/>
        <v>163979.5009853213</v>
      </c>
      <c r="T725">
        <f t="shared" si="1003"/>
        <v>163.97950098532129</v>
      </c>
    </row>
    <row r="726" spans="1:20" x14ac:dyDescent="0.25">
      <c r="A726" s="5">
        <v>43867</v>
      </c>
      <c r="B726">
        <v>2.0760000000000001E-2</v>
      </c>
      <c r="C726">
        <v>2.35E-2</v>
      </c>
      <c r="D726">
        <v>1.985E-2</v>
      </c>
      <c r="E726">
        <v>2.2710000000000001E-2</v>
      </c>
      <c r="F726">
        <v>2709398463.5999999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0.56712328767123343</v>
      </c>
      <c r="Q726">
        <f t="shared" si="1000"/>
        <v>1536562964.2882206</v>
      </c>
      <c r="R726">
        <f t="shared" si="1001"/>
        <v>17126094266.280218</v>
      </c>
      <c r="S726">
        <f t="shared" si="1002"/>
        <v>171260.94266280218</v>
      </c>
      <c r="T726">
        <f t="shared" si="1003"/>
        <v>171.26094266280217</v>
      </c>
    </row>
    <row r="727" spans="1:20" x14ac:dyDescent="0.25">
      <c r="A727" s="5">
        <v>43866</v>
      </c>
      <c r="B727">
        <v>1.9259999999999999E-2</v>
      </c>
      <c r="C727">
        <v>2.0830000000000001E-2</v>
      </c>
      <c r="D727">
        <v>1.9220000000000001E-2</v>
      </c>
      <c r="E727">
        <v>2.0760000000000001E-2</v>
      </c>
      <c r="F727">
        <v>1388539126.5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0.91304347826086885</v>
      </c>
      <c r="Q727">
        <f t="shared" si="1000"/>
        <v>1267796593.7608685</v>
      </c>
      <c r="R727">
        <f t="shared" si="1001"/>
        <v>15589531301.991997</v>
      </c>
      <c r="S727">
        <f t="shared" si="1002"/>
        <v>155895.31301991997</v>
      </c>
      <c r="T727">
        <f t="shared" si="1003"/>
        <v>155.89531301991997</v>
      </c>
    </row>
    <row r="728" spans="1:20" x14ac:dyDescent="0.25">
      <c r="A728" s="5">
        <v>43865</v>
      </c>
      <c r="B728">
        <v>1.9189999999999999E-2</v>
      </c>
      <c r="C728">
        <v>1.9519999999999999E-2</v>
      </c>
      <c r="D728">
        <v>1.8409999999999999E-2</v>
      </c>
      <c r="E728">
        <v>1.925E-2</v>
      </c>
      <c r="F728">
        <v>985113744.89999998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0.51351351351351449</v>
      </c>
      <c r="Q728">
        <f t="shared" si="1000"/>
        <v>505869220.35405499</v>
      </c>
      <c r="R728">
        <f t="shared" si="1001"/>
        <v>14321734708.231129</v>
      </c>
      <c r="S728">
        <f t="shared" si="1002"/>
        <v>143217.34708231129</v>
      </c>
      <c r="T728">
        <f t="shared" si="1003"/>
        <v>143.21734708231128</v>
      </c>
    </row>
    <row r="729" spans="1:20" x14ac:dyDescent="0.25">
      <c r="A729" s="5">
        <v>43864</v>
      </c>
      <c r="B729">
        <v>1.9089999999999999E-2</v>
      </c>
      <c r="C729">
        <v>1.9720000000000001E-2</v>
      </c>
      <c r="D729">
        <v>1.8839999999999999E-2</v>
      </c>
      <c r="E729">
        <v>1.9199999999999998E-2</v>
      </c>
      <c r="F729">
        <v>964252905.89999998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-0.18181818181818576</v>
      </c>
      <c r="Q729">
        <f t="shared" si="1000"/>
        <v>-175318710.16364017</v>
      </c>
      <c r="R729">
        <f t="shared" si="1001"/>
        <v>13815865487.877073</v>
      </c>
      <c r="S729">
        <f t="shared" si="1002"/>
        <v>138158.65487877073</v>
      </c>
      <c r="T729">
        <f t="shared" si="1003"/>
        <v>138.15865487877073</v>
      </c>
    </row>
    <row r="730" spans="1:20" x14ac:dyDescent="0.25">
      <c r="A730" s="5">
        <v>43863</v>
      </c>
      <c r="B730">
        <v>1.907E-2</v>
      </c>
      <c r="C730">
        <v>1.9869999999999999E-2</v>
      </c>
      <c r="D730">
        <v>1.8530000000000001E-2</v>
      </c>
      <c r="E730">
        <v>1.9089999999999999E-2</v>
      </c>
      <c r="F730">
        <v>1269537376.7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-0.16417910447761333</v>
      </c>
      <c r="Q730">
        <f t="shared" si="1000"/>
        <v>-208431509.60746446</v>
      </c>
      <c r="R730">
        <f t="shared" si="1001"/>
        <v>13991184198.040714</v>
      </c>
      <c r="S730">
        <f t="shared" si="1002"/>
        <v>139911.84198040713</v>
      </c>
      <c r="T730">
        <f t="shared" si="1003"/>
        <v>139.91184198040713</v>
      </c>
    </row>
    <row r="731" spans="1:20" x14ac:dyDescent="0.25">
      <c r="A731" s="5">
        <v>43862</v>
      </c>
      <c r="B731">
        <v>1.866E-2</v>
      </c>
      <c r="C731">
        <v>1.9109999999999999E-2</v>
      </c>
      <c r="D731">
        <v>1.8370000000000001E-2</v>
      </c>
      <c r="E731">
        <v>1.907E-2</v>
      </c>
      <c r="F731">
        <v>769852434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0.89189189189189599</v>
      </c>
      <c r="Q731">
        <f t="shared" si="1000"/>
        <v>686625143.83784103</v>
      </c>
      <c r="R731">
        <f t="shared" si="1001"/>
        <v>14199615707.648178</v>
      </c>
      <c r="S731">
        <f t="shared" si="1002"/>
        <v>141996.15707648179</v>
      </c>
      <c r="T731">
        <f t="shared" si="1003"/>
        <v>141.99615707648178</v>
      </c>
    </row>
    <row r="732" spans="1:20" x14ac:dyDescent="0.25">
      <c r="A732" s="5">
        <v>43861</v>
      </c>
      <c r="B732">
        <v>1.95E-2</v>
      </c>
      <c r="C732">
        <v>1.9810000000000001E-2</v>
      </c>
      <c r="D732">
        <v>1.814E-2</v>
      </c>
      <c r="E732">
        <v>1.8669999999999999E-2</v>
      </c>
      <c r="F732">
        <v>1340769811.4000001</v>
      </c>
      <c r="G732">
        <v>0</v>
      </c>
      <c r="L732" t="s">
        <v>7</v>
      </c>
      <c r="M732" t="s">
        <v>8</v>
      </c>
      <c r="N732" t="s">
        <v>8</v>
      </c>
      <c r="P732">
        <f t="shared" si="999"/>
        <v>-0.36526946107784575</v>
      </c>
      <c r="Q732">
        <f t="shared" si="1000"/>
        <v>-489742266.43952292</v>
      </c>
      <c r="R732">
        <f t="shared" si="1001"/>
        <v>13512990563.810337</v>
      </c>
      <c r="S732">
        <f t="shared" si="1002"/>
        <v>135129.90563810337</v>
      </c>
      <c r="T732">
        <f t="shared" si="1003"/>
        <v>135.12990563810337</v>
      </c>
    </row>
    <row r="733" spans="1:20" x14ac:dyDescent="0.25">
      <c r="A733" s="5">
        <v>43860</v>
      </c>
      <c r="B733">
        <v>1.864E-2</v>
      </c>
      <c r="C733">
        <v>1.983E-2</v>
      </c>
      <c r="D733">
        <v>1.78E-2</v>
      </c>
      <c r="E733">
        <v>1.95E-2</v>
      </c>
      <c r="F733">
        <v>1290335193.9000001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0.67487684729064001</v>
      </c>
      <c r="Q733">
        <f t="shared" si="1000"/>
        <v>870817347.60738873</v>
      </c>
      <c r="R733">
        <f t="shared" si="1001"/>
        <v>14002732830.249861</v>
      </c>
      <c r="S733">
        <f t="shared" si="1002"/>
        <v>140027.32830249862</v>
      </c>
      <c r="T733">
        <f t="shared" si="1003"/>
        <v>140.0273283024986</v>
      </c>
    </row>
    <row r="734" spans="1:20" x14ac:dyDescent="0.25">
      <c r="A734" s="5">
        <v>43859</v>
      </c>
      <c r="B734">
        <v>1.8610000000000002E-2</v>
      </c>
      <c r="C734">
        <v>1.9800000000000002E-2</v>
      </c>
      <c r="D734">
        <v>1.848E-2</v>
      </c>
      <c r="E734">
        <v>1.866E-2</v>
      </c>
      <c r="F734">
        <v>1492650059.7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-0.72727272727272818</v>
      </c>
      <c r="Q734">
        <f t="shared" si="1000"/>
        <v>-1085563679.7818196</v>
      </c>
      <c r="R734">
        <f t="shared" si="1001"/>
        <v>13131915482.642471</v>
      </c>
      <c r="S734">
        <f t="shared" si="1002"/>
        <v>131319.15482642472</v>
      </c>
      <c r="T734">
        <f t="shared" si="1003"/>
        <v>131.31915482642472</v>
      </c>
    </row>
    <row r="735" spans="1:20" x14ac:dyDescent="0.25">
      <c r="A735" s="5">
        <v>43858</v>
      </c>
      <c r="B735">
        <v>1.7129999999999999E-2</v>
      </c>
      <c r="C735">
        <v>1.899E-2</v>
      </c>
      <c r="D735">
        <v>1.712E-2</v>
      </c>
      <c r="E735">
        <v>1.8599999999999998E-2</v>
      </c>
      <c r="F735">
        <v>1918311363.3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0.5828877005347578</v>
      </c>
      <c r="Q735">
        <f t="shared" si="1000"/>
        <v>1118160099.4636333</v>
      </c>
      <c r="R735">
        <f t="shared" si="1001"/>
        <v>14217479162.424292</v>
      </c>
      <c r="S735">
        <f t="shared" si="1002"/>
        <v>142174.79162424291</v>
      </c>
      <c r="T735">
        <f t="shared" si="1003"/>
        <v>142.17479162424291</v>
      </c>
    </row>
    <row r="736" spans="1:20" x14ac:dyDescent="0.25">
      <c r="A736" s="5">
        <v>43857</v>
      </c>
      <c r="B736">
        <v>1.685E-2</v>
      </c>
      <c r="C736">
        <v>1.7309999999999999E-2</v>
      </c>
      <c r="D736">
        <v>1.6740000000000001E-2</v>
      </c>
      <c r="E736">
        <v>1.7129999999999999E-2</v>
      </c>
      <c r="F736">
        <v>854468669.20000005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0.36842105263157765</v>
      </c>
      <c r="Q736">
        <f t="shared" si="1000"/>
        <v>314804246.54736733</v>
      </c>
      <c r="R736">
        <f t="shared" si="1001"/>
        <v>13099319062.960659</v>
      </c>
      <c r="S736">
        <f t="shared" si="1002"/>
        <v>130993.19062960659</v>
      </c>
      <c r="T736">
        <f t="shared" si="1003"/>
        <v>130.99319062960657</v>
      </c>
    </row>
    <row r="737" spans="1:20" x14ac:dyDescent="0.25">
      <c r="A737" s="5">
        <v>43856</v>
      </c>
      <c r="B737">
        <v>1.6119999999999999E-2</v>
      </c>
      <c r="C737">
        <v>1.6879999999999999E-2</v>
      </c>
      <c r="D737">
        <v>1.602E-2</v>
      </c>
      <c r="E737">
        <v>1.6840000000000001E-2</v>
      </c>
      <c r="F737">
        <v>736682258.79999995</v>
      </c>
      <c r="G737">
        <v>0</v>
      </c>
      <c r="L737" t="s">
        <v>7</v>
      </c>
      <c r="M737" t="s">
        <v>8</v>
      </c>
      <c r="N737" t="s">
        <v>8</v>
      </c>
      <c r="P737">
        <f t="shared" si="999"/>
        <v>0.90697674418605023</v>
      </c>
      <c r="Q737">
        <f t="shared" si="1000"/>
        <v>668153676.5860492</v>
      </c>
      <c r="R737">
        <f t="shared" si="1001"/>
        <v>12784514816.413292</v>
      </c>
      <c r="S737">
        <f t="shared" si="1002"/>
        <v>127845.14816413292</v>
      </c>
      <c r="T737">
        <f t="shared" si="1003"/>
        <v>127.84514816413292</v>
      </c>
    </row>
    <row r="738" spans="1:20" x14ac:dyDescent="0.25">
      <c r="A738" s="5">
        <v>43855</v>
      </c>
      <c r="B738">
        <v>1.6379999999999999E-2</v>
      </c>
      <c r="C738">
        <v>1.6400000000000001E-2</v>
      </c>
      <c r="D738">
        <v>1.5939999999999999E-2</v>
      </c>
      <c r="E738">
        <v>1.6129999999999999E-2</v>
      </c>
      <c r="F738">
        <v>426377061.19999999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-0.17391304347826808</v>
      </c>
      <c r="Q738">
        <f t="shared" si="1000"/>
        <v>-74152532.382611766</v>
      </c>
      <c r="R738">
        <f t="shared" si="1001"/>
        <v>12116361139.827242</v>
      </c>
      <c r="S738">
        <f t="shared" si="1002"/>
        <v>121163.61139827242</v>
      </c>
      <c r="T738">
        <f t="shared" si="1003"/>
        <v>121.16361139827242</v>
      </c>
    </row>
    <row r="739" spans="1:20" x14ac:dyDescent="0.25">
      <c r="A739" s="5">
        <v>43854</v>
      </c>
      <c r="B739">
        <v>1.627E-2</v>
      </c>
      <c r="C739">
        <v>1.6629999999999999E-2</v>
      </c>
      <c r="D739">
        <v>1.5650000000000001E-2</v>
      </c>
      <c r="E739">
        <v>1.6389999999999998E-2</v>
      </c>
      <c r="F739">
        <v>649429122.79999995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0.51020408163265085</v>
      </c>
      <c r="Q739">
        <f t="shared" si="1000"/>
        <v>331341389.18367201</v>
      </c>
      <c r="R739">
        <f t="shared" si="1001"/>
        <v>12190513672.209854</v>
      </c>
      <c r="S739">
        <f t="shared" si="1002"/>
        <v>121905.13672209854</v>
      </c>
      <c r="T739">
        <f t="shared" si="1003"/>
        <v>121.90513672209855</v>
      </c>
    </row>
    <row r="740" spans="1:20" x14ac:dyDescent="0.25">
      <c r="A740" s="5">
        <v>43853</v>
      </c>
      <c r="B740">
        <v>1.7430000000000001E-2</v>
      </c>
      <c r="C740">
        <v>1.745E-2</v>
      </c>
      <c r="D740">
        <v>1.593E-2</v>
      </c>
      <c r="E740">
        <v>1.6279999999999999E-2</v>
      </c>
      <c r="F740">
        <v>775978855.5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-0.53947368421052699</v>
      </c>
      <c r="Q740">
        <f t="shared" si="1000"/>
        <v>-418620172.04605317</v>
      </c>
      <c r="R740">
        <f t="shared" si="1001"/>
        <v>11859172283.026182</v>
      </c>
      <c r="S740">
        <f t="shared" si="1002"/>
        <v>118591.72283026182</v>
      </c>
      <c r="T740">
        <f t="shared" si="1003"/>
        <v>118.59172283026182</v>
      </c>
    </row>
    <row r="741" spans="1:20" x14ac:dyDescent="0.25">
      <c r="A741" s="5">
        <v>43852</v>
      </c>
      <c r="B741">
        <v>1.7330000000000002E-2</v>
      </c>
      <c r="C741">
        <v>1.754E-2</v>
      </c>
      <c r="D741">
        <v>1.7049999999999999E-2</v>
      </c>
      <c r="E741">
        <v>1.7430000000000001E-2</v>
      </c>
      <c r="F741">
        <v>475911554.89999998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0.55102040816327025</v>
      </c>
      <c r="Q741">
        <f t="shared" si="1000"/>
        <v>262236979.23061457</v>
      </c>
      <c r="R741">
        <f t="shared" si="1001"/>
        <v>12277792455.072235</v>
      </c>
      <c r="S741">
        <f t="shared" si="1002"/>
        <v>122777.92455072235</v>
      </c>
      <c r="T741">
        <f t="shared" si="1003"/>
        <v>122.77792455072235</v>
      </c>
    </row>
    <row r="742" spans="1:20" x14ac:dyDescent="0.25">
      <c r="A742" s="5">
        <v>43851</v>
      </c>
      <c r="B742">
        <v>1.661E-2</v>
      </c>
      <c r="C742">
        <v>1.737E-2</v>
      </c>
      <c r="D742">
        <v>1.651E-2</v>
      </c>
      <c r="E742">
        <v>1.7319999999999999E-2</v>
      </c>
      <c r="F742">
        <v>634150240.5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0.88372093023255471</v>
      </c>
      <c r="Q742">
        <f t="shared" si="1000"/>
        <v>560411840.44185829</v>
      </c>
      <c r="R742">
        <f t="shared" si="1001"/>
        <v>12015555475.841621</v>
      </c>
      <c r="S742">
        <f t="shared" si="1002"/>
        <v>120155.55475841621</v>
      </c>
      <c r="T742">
        <f t="shared" si="1003"/>
        <v>120.15555475841622</v>
      </c>
    </row>
    <row r="743" spans="1:20" x14ac:dyDescent="0.25">
      <c r="A743" s="5">
        <v>43850</v>
      </c>
      <c r="B743">
        <v>1.6650000000000002E-2</v>
      </c>
      <c r="C743">
        <v>1.677E-2</v>
      </c>
      <c r="D743">
        <v>1.6109999999999999E-2</v>
      </c>
      <c r="E743">
        <v>1.661E-2</v>
      </c>
      <c r="F743">
        <v>533654324.19999999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0.51515151515151447</v>
      </c>
      <c r="Q743">
        <f t="shared" si="1000"/>
        <v>274912833.67878753</v>
      </c>
      <c r="R743">
        <f t="shared" si="1001"/>
        <v>11455143635.399763</v>
      </c>
      <c r="S743">
        <f t="shared" si="1002"/>
        <v>114551.43635399763</v>
      </c>
      <c r="T743">
        <f t="shared" si="1003"/>
        <v>114.55143635399763</v>
      </c>
    </row>
    <row r="744" spans="1:20" x14ac:dyDescent="0.25">
      <c r="A744" s="5">
        <v>43849</v>
      </c>
      <c r="B744">
        <v>1.7670000000000002E-2</v>
      </c>
      <c r="C744">
        <v>1.8120000000000001E-2</v>
      </c>
      <c r="D744">
        <v>1.6E-2</v>
      </c>
      <c r="E744">
        <v>1.6650000000000002E-2</v>
      </c>
      <c r="F744">
        <v>1137962952.5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-0.38679245283018759</v>
      </c>
      <c r="Q744">
        <f t="shared" si="1000"/>
        <v>-440155481.62735724</v>
      </c>
      <c r="R744">
        <f t="shared" si="1001"/>
        <v>11180230801.720976</v>
      </c>
      <c r="S744">
        <f t="shared" si="1002"/>
        <v>111802.30801720975</v>
      </c>
      <c r="T744">
        <f t="shared" si="1003"/>
        <v>111.80230801720975</v>
      </c>
    </row>
    <row r="745" spans="1:20" x14ac:dyDescent="0.25">
      <c r="A745" s="5">
        <v>43848</v>
      </c>
      <c r="B745">
        <v>1.7569999999999999E-2</v>
      </c>
      <c r="C745">
        <v>1.8180000000000002E-2</v>
      </c>
      <c r="D745">
        <v>1.719E-2</v>
      </c>
      <c r="E745">
        <v>1.7659999999999999E-2</v>
      </c>
      <c r="F745">
        <v>825434145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-5.0505050505055389E-2</v>
      </c>
      <c r="Q745">
        <f t="shared" si="1000"/>
        <v>-41688593.181822211</v>
      </c>
      <c r="R745">
        <f t="shared" si="1001"/>
        <v>11620386283.348333</v>
      </c>
      <c r="S745">
        <f t="shared" si="1002"/>
        <v>116203.86283348333</v>
      </c>
      <c r="T745">
        <f t="shared" si="1003"/>
        <v>116.20386283348333</v>
      </c>
    </row>
    <row r="746" spans="1:20" x14ac:dyDescent="0.25">
      <c r="A746" s="5">
        <v>43847</v>
      </c>
      <c r="B746">
        <v>1.7340000000000001E-2</v>
      </c>
      <c r="C746">
        <v>1.814E-2</v>
      </c>
      <c r="D746">
        <v>1.6920000000000001E-2</v>
      </c>
      <c r="E746">
        <v>1.7579999999999998E-2</v>
      </c>
      <c r="F746">
        <v>1322734377.0999999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8.1967213114750831E-2</v>
      </c>
      <c r="Q746">
        <f t="shared" si="1000"/>
        <v>108420850.58196288</v>
      </c>
      <c r="R746">
        <f t="shared" si="1001"/>
        <v>11662074876.530155</v>
      </c>
      <c r="S746">
        <f t="shared" si="1002"/>
        <v>116620.74876530156</v>
      </c>
      <c r="T746">
        <f t="shared" si="1003"/>
        <v>116.62074876530156</v>
      </c>
    </row>
    <row r="747" spans="1:20" x14ac:dyDescent="0.25">
      <c r="A747" s="5">
        <v>43846</v>
      </c>
      <c r="B747">
        <v>1.7299999999999999E-2</v>
      </c>
      <c r="C747">
        <v>1.746E-2</v>
      </c>
      <c r="D747">
        <v>1.6060000000000001E-2</v>
      </c>
      <c r="E747">
        <v>1.7340000000000001E-2</v>
      </c>
      <c r="F747">
        <v>1095424710.5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0.8285714285714304</v>
      </c>
      <c r="Q747">
        <f t="shared" si="1000"/>
        <v>907637617.27143061</v>
      </c>
      <c r="R747">
        <f t="shared" si="1001"/>
        <v>11553654025.948193</v>
      </c>
      <c r="S747">
        <f t="shared" si="1002"/>
        <v>115536.54025948193</v>
      </c>
      <c r="T747">
        <f t="shared" si="1003"/>
        <v>115.53654025948194</v>
      </c>
    </row>
    <row r="748" spans="1:20" x14ac:dyDescent="0.25">
      <c r="A748" s="5">
        <v>43845</v>
      </c>
      <c r="B748">
        <v>1.6760000000000001E-2</v>
      </c>
      <c r="C748">
        <v>1.8239999999999999E-2</v>
      </c>
      <c r="D748">
        <v>1.609E-2</v>
      </c>
      <c r="E748">
        <v>1.729E-2</v>
      </c>
      <c r="F748">
        <v>1724069081.5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0.11627906976744201</v>
      </c>
      <c r="Q748">
        <f t="shared" si="1000"/>
        <v>200473149.01162818</v>
      </c>
      <c r="R748">
        <f t="shared" si="1001"/>
        <v>10646016408.676762</v>
      </c>
      <c r="S748">
        <f t="shared" si="1002"/>
        <v>106460.16408676762</v>
      </c>
      <c r="T748">
        <f t="shared" si="1003"/>
        <v>106.46016408676762</v>
      </c>
    </row>
    <row r="749" spans="1:20" x14ac:dyDescent="0.25">
      <c r="A749" s="5">
        <v>43844</v>
      </c>
      <c r="B749">
        <v>1.464E-2</v>
      </c>
      <c r="C749">
        <v>1.7219999999999999E-2</v>
      </c>
      <c r="D749">
        <v>1.4630000000000001E-2</v>
      </c>
      <c r="E749">
        <v>1.677E-2</v>
      </c>
      <c r="F749">
        <v>2057816124.2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0.65250965250965309</v>
      </c>
      <c r="Q749">
        <f t="shared" si="1000"/>
        <v>1342744884.1305032</v>
      </c>
      <c r="R749">
        <f t="shared" si="1001"/>
        <v>10445543259.665133</v>
      </c>
      <c r="S749">
        <f t="shared" si="1002"/>
        <v>104455.43259665133</v>
      </c>
      <c r="T749">
        <f t="shared" si="1003"/>
        <v>104.45543259665133</v>
      </c>
    </row>
    <row r="750" spans="1:20" x14ac:dyDescent="0.25">
      <c r="A750" s="5">
        <v>43843</v>
      </c>
      <c r="B750">
        <v>1.504E-2</v>
      </c>
      <c r="C750">
        <v>1.5089999999999999E-2</v>
      </c>
      <c r="D750">
        <v>1.4540000000000001E-2</v>
      </c>
      <c r="E750">
        <v>1.464E-2</v>
      </c>
      <c r="F750">
        <v>822171645.89999998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-0.63636363636363746</v>
      </c>
      <c r="Q750">
        <f t="shared" si="1000"/>
        <v>-523200138.30000091</v>
      </c>
      <c r="R750">
        <f t="shared" si="1001"/>
        <v>9102798375.5346298</v>
      </c>
      <c r="S750">
        <f t="shared" si="1002"/>
        <v>91027.9837553463</v>
      </c>
      <c r="T750">
        <f t="shared" si="1003"/>
        <v>91.027983755346298</v>
      </c>
    </row>
    <row r="751" spans="1:20" x14ac:dyDescent="0.25">
      <c r="A751" s="5">
        <v>43842</v>
      </c>
      <c r="B751">
        <v>1.46E-2</v>
      </c>
      <c r="C751">
        <v>1.5100000000000001E-2</v>
      </c>
      <c r="D751">
        <v>1.4409999999999999E-2</v>
      </c>
      <c r="E751">
        <v>1.503E-2</v>
      </c>
      <c r="F751">
        <v>873939962.29999995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0.79710144927536097</v>
      </c>
      <c r="Q751">
        <f t="shared" si="1000"/>
        <v>696618810.52898431</v>
      </c>
      <c r="R751">
        <f t="shared" si="1001"/>
        <v>9625998513.834631</v>
      </c>
      <c r="S751">
        <f t="shared" si="1002"/>
        <v>96259.98513834631</v>
      </c>
      <c r="T751">
        <f t="shared" si="1003"/>
        <v>96.259985138346309</v>
      </c>
    </row>
    <row r="752" spans="1:20" x14ac:dyDescent="0.25">
      <c r="A752" s="5">
        <v>43841</v>
      </c>
      <c r="B752">
        <v>1.469E-2</v>
      </c>
      <c r="C752">
        <v>1.508E-2</v>
      </c>
      <c r="D752">
        <v>1.447E-2</v>
      </c>
      <c r="E752">
        <v>1.46E-2</v>
      </c>
      <c r="F752">
        <v>1485156856.0999999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-0.57377049180327855</v>
      </c>
      <c r="Q752">
        <f t="shared" si="1000"/>
        <v>-852139179.72950792</v>
      </c>
      <c r="R752">
        <f t="shared" si="1001"/>
        <v>8929379703.3056469</v>
      </c>
      <c r="S752">
        <f t="shared" si="1002"/>
        <v>89293.797033056471</v>
      </c>
      <c r="T752">
        <f t="shared" si="1003"/>
        <v>89.293797033056478</v>
      </c>
    </row>
    <row r="753" spans="1:20" x14ac:dyDescent="0.25">
      <c r="A753" s="5">
        <v>43840</v>
      </c>
      <c r="B753">
        <v>1.3990000000000001E-2</v>
      </c>
      <c r="C753">
        <v>1.486E-2</v>
      </c>
      <c r="D753">
        <v>1.3650000000000001E-2</v>
      </c>
      <c r="E753">
        <v>1.469E-2</v>
      </c>
      <c r="F753">
        <v>1307533772.8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0.71900826446280974</v>
      </c>
      <c r="Q753">
        <f t="shared" si="1000"/>
        <v>940127588.70743775</v>
      </c>
      <c r="R753">
        <f t="shared" si="1001"/>
        <v>9781518883.0351543</v>
      </c>
      <c r="S753">
        <f t="shared" si="1002"/>
        <v>97815.188830351544</v>
      </c>
      <c r="T753">
        <f t="shared" si="1003"/>
        <v>97.815188830351545</v>
      </c>
    </row>
    <row r="754" spans="1:20" x14ac:dyDescent="0.25">
      <c r="A754" s="5">
        <v>43839</v>
      </c>
      <c r="B754">
        <v>1.4019999999999999E-2</v>
      </c>
      <c r="C754">
        <v>1.413E-2</v>
      </c>
      <c r="D754">
        <v>1.374E-2</v>
      </c>
      <c r="E754">
        <v>1.3979999999999999E-2</v>
      </c>
      <c r="F754">
        <v>789247544.5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0.23076923076922598</v>
      </c>
      <c r="Q754">
        <f t="shared" si="1000"/>
        <v>182134048.73076546</v>
      </c>
      <c r="R754">
        <f t="shared" si="1001"/>
        <v>8841391294.3277168</v>
      </c>
      <c r="S754">
        <f t="shared" si="1002"/>
        <v>88413.912943277173</v>
      </c>
      <c r="T754">
        <f t="shared" si="1003"/>
        <v>88.413912943277168</v>
      </c>
    </row>
    <row r="755" spans="1:20" x14ac:dyDescent="0.25">
      <c r="A755" s="5">
        <v>43838</v>
      </c>
      <c r="B755">
        <v>1.434E-2</v>
      </c>
      <c r="C755">
        <v>1.4659999999999999E-2</v>
      </c>
      <c r="D755">
        <v>1.38E-2</v>
      </c>
      <c r="E755">
        <v>1.4019999999999999E-2</v>
      </c>
      <c r="F755">
        <v>1659716356.4000001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-0.48837209302325629</v>
      </c>
      <c r="Q755">
        <f t="shared" si="1000"/>
        <v>-810559150.80000079</v>
      </c>
      <c r="R755">
        <f t="shared" si="1001"/>
        <v>8659257245.5969505</v>
      </c>
      <c r="S755">
        <f t="shared" si="1002"/>
        <v>86592.572455969508</v>
      </c>
      <c r="T755">
        <f t="shared" si="1003"/>
        <v>86.592572455969503</v>
      </c>
    </row>
    <row r="756" spans="1:20" x14ac:dyDescent="0.25">
      <c r="A756" s="5">
        <v>43837</v>
      </c>
      <c r="B756">
        <v>1.4710000000000001E-2</v>
      </c>
      <c r="C756">
        <v>1.4829999999999999E-2</v>
      </c>
      <c r="D756">
        <v>1.406E-2</v>
      </c>
      <c r="E756">
        <v>1.434E-2</v>
      </c>
      <c r="F756">
        <v>1597105399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-0.27272727272727065</v>
      </c>
      <c r="Q756">
        <f t="shared" si="1000"/>
        <v>-435574199.72726941</v>
      </c>
      <c r="R756">
        <f t="shared" si="1001"/>
        <v>9469816396.3969517</v>
      </c>
      <c r="S756">
        <f t="shared" si="1002"/>
        <v>94698.16396396952</v>
      </c>
      <c r="T756">
        <f t="shared" si="1003"/>
        <v>94.69816396396952</v>
      </c>
    </row>
    <row r="757" spans="1:20" x14ac:dyDescent="0.25">
      <c r="A757" s="5">
        <v>43836</v>
      </c>
      <c r="B757">
        <v>1.353E-2</v>
      </c>
      <c r="C757">
        <v>1.473E-2</v>
      </c>
      <c r="D757">
        <v>1.349E-2</v>
      </c>
      <c r="E757">
        <v>1.472E-2</v>
      </c>
      <c r="F757">
        <v>1965216042.5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0.98387096774193616</v>
      </c>
      <c r="Q757">
        <f t="shared" si="1000"/>
        <v>1933519009.556453</v>
      </c>
      <c r="R757">
        <f t="shared" si="1001"/>
        <v>9905390596.1242218</v>
      </c>
      <c r="S757">
        <f t="shared" si="1002"/>
        <v>99053.905961242213</v>
      </c>
      <c r="T757">
        <f t="shared" si="1003"/>
        <v>99.053905961242208</v>
      </c>
    </row>
    <row r="758" spans="1:20" x14ac:dyDescent="0.25">
      <c r="A758" s="5">
        <v>43835</v>
      </c>
      <c r="B758">
        <v>1.345E-2</v>
      </c>
      <c r="C758">
        <v>1.387E-2</v>
      </c>
      <c r="D758">
        <v>1.3429999999999999E-2</v>
      </c>
      <c r="E758">
        <v>1.353E-2</v>
      </c>
      <c r="F758">
        <v>1332595241.3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-0.54545454545454153</v>
      </c>
      <c r="Q758">
        <f t="shared" si="1000"/>
        <v>-726870131.61817658</v>
      </c>
      <c r="R758">
        <f t="shared" si="1001"/>
        <v>7971871586.5677691</v>
      </c>
      <c r="S758">
        <f t="shared" si="1002"/>
        <v>79718.715865677688</v>
      </c>
      <c r="T758">
        <f t="shared" si="1003"/>
        <v>79.718715865677694</v>
      </c>
    </row>
    <row r="759" spans="1:20" x14ac:dyDescent="0.25">
      <c r="A759" s="5">
        <v>43834</v>
      </c>
      <c r="B759">
        <v>1.3440000000000001E-2</v>
      </c>
      <c r="C759">
        <v>1.35E-2</v>
      </c>
      <c r="D759">
        <v>1.323E-2</v>
      </c>
      <c r="E759">
        <v>1.3440000000000001E-2</v>
      </c>
      <c r="F759">
        <v>986385998.89999998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0.5555555555555598</v>
      </c>
      <c r="Q759">
        <f t="shared" si="1000"/>
        <v>547992221.61111534</v>
      </c>
      <c r="R759">
        <f t="shared" si="1001"/>
        <v>8698741718.1859455</v>
      </c>
      <c r="S759">
        <f t="shared" si="1002"/>
        <v>86987.417181859462</v>
      </c>
      <c r="T759">
        <f t="shared" si="1003"/>
        <v>86.987417181859456</v>
      </c>
    </row>
    <row r="760" spans="1:20" x14ac:dyDescent="0.25">
      <c r="A760" s="5">
        <v>43833</v>
      </c>
      <c r="B760">
        <v>1.285E-2</v>
      </c>
      <c r="C760">
        <v>1.355E-2</v>
      </c>
      <c r="D760">
        <v>1.269E-2</v>
      </c>
      <c r="E760">
        <v>1.3440000000000001E-2</v>
      </c>
      <c r="F760">
        <v>2395033418.9000001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0.74418604651163012</v>
      </c>
      <c r="Q760">
        <f t="shared" si="1000"/>
        <v>1782350451.2744241</v>
      </c>
      <c r="R760">
        <f t="shared" si="1001"/>
        <v>8150749496.574831</v>
      </c>
      <c r="S760">
        <f t="shared" si="1002"/>
        <v>81507.494965748308</v>
      </c>
      <c r="T760">
        <f t="shared" si="1003"/>
        <v>81.507494965748307</v>
      </c>
    </row>
    <row r="761" spans="1:20" x14ac:dyDescent="0.25">
      <c r="A761" s="5">
        <v>43832</v>
      </c>
      <c r="B761">
        <v>1.321E-2</v>
      </c>
      <c r="C761">
        <v>1.323E-2</v>
      </c>
      <c r="D761">
        <v>1.278E-2</v>
      </c>
      <c r="E761">
        <v>1.2840000000000001E-2</v>
      </c>
      <c r="F761">
        <v>1330291795.5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-0.73333333333332917</v>
      </c>
      <c r="Q761">
        <f t="shared" si="1000"/>
        <v>-975547316.69999444</v>
      </c>
      <c r="R761">
        <f t="shared" si="1001"/>
        <v>6368399045.3004065</v>
      </c>
      <c r="S761">
        <f t="shared" si="1002"/>
        <v>63683.990453004066</v>
      </c>
      <c r="T761">
        <f t="shared" si="1003"/>
        <v>63.683990453004064</v>
      </c>
    </row>
    <row r="762" spans="1:20" x14ac:dyDescent="0.25">
      <c r="A762" s="5">
        <v>43831</v>
      </c>
      <c r="B762">
        <v>1.3299999999999999E-2</v>
      </c>
      <c r="C762">
        <v>1.342E-2</v>
      </c>
      <c r="D762">
        <v>1.315E-2</v>
      </c>
      <c r="E762">
        <v>1.3220000000000001E-2</v>
      </c>
      <c r="F762">
        <v>945976772.70000005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-0.48148148148147579</v>
      </c>
      <c r="Q762">
        <f t="shared" si="1000"/>
        <v>-455470297.96666133</v>
      </c>
      <c r="R762">
        <f t="shared" si="1001"/>
        <v>7343946362.0004005</v>
      </c>
      <c r="S762">
        <f t="shared" si="1002"/>
        <v>73439.463620004011</v>
      </c>
      <c r="T762">
        <f t="shared" si="1003"/>
        <v>73.439463620004005</v>
      </c>
    </row>
    <row r="763" spans="1:20" x14ac:dyDescent="0.25">
      <c r="A763" s="5">
        <v>43830</v>
      </c>
      <c r="B763">
        <v>1.3299999999999999E-2</v>
      </c>
      <c r="C763">
        <v>1.353E-2</v>
      </c>
      <c r="D763">
        <v>1.311E-2</v>
      </c>
      <c r="E763">
        <v>1.3299999999999999E-2</v>
      </c>
      <c r="F763">
        <v>1341920312.5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-9.5238095238099563E-2</v>
      </c>
      <c r="Q763">
        <f t="shared" si="1000"/>
        <v>-127801934.52381533</v>
      </c>
      <c r="R763">
        <f t="shared" si="1001"/>
        <v>7799416659.967062</v>
      </c>
      <c r="S763">
        <f t="shared" si="1002"/>
        <v>77994.166599670614</v>
      </c>
      <c r="T763">
        <f t="shared" si="1003"/>
        <v>77.994166599670621</v>
      </c>
    </row>
    <row r="764" spans="1:20" x14ac:dyDescent="0.25">
      <c r="A764" s="5">
        <v>43829</v>
      </c>
      <c r="B764">
        <v>1.371E-2</v>
      </c>
      <c r="C764">
        <v>1.396E-2</v>
      </c>
      <c r="D764">
        <v>1.3220000000000001E-2</v>
      </c>
      <c r="E764">
        <v>1.3299999999999999E-2</v>
      </c>
      <c r="F764">
        <v>1352917748.9000001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-0.78378378378378766</v>
      </c>
      <c r="Q764">
        <f t="shared" si="1000"/>
        <v>-1060394992.3810863</v>
      </c>
      <c r="R764">
        <f t="shared" si="1001"/>
        <v>7927218594.4908772</v>
      </c>
      <c r="S764">
        <f t="shared" si="1002"/>
        <v>79272.185944908779</v>
      </c>
      <c r="T764">
        <f t="shared" si="1003"/>
        <v>79.272185944908784</v>
      </c>
    </row>
    <row r="765" spans="1:20" x14ac:dyDescent="0.25">
      <c r="A765" s="5">
        <v>43828</v>
      </c>
      <c r="B765">
        <v>1.3469999999999999E-2</v>
      </c>
      <c r="C765">
        <v>1.3860000000000001E-2</v>
      </c>
      <c r="D765">
        <v>1.3339999999999999E-2</v>
      </c>
      <c r="E765">
        <v>1.37E-2</v>
      </c>
      <c r="F765">
        <v>1482808343.3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0.38461538461538464</v>
      </c>
      <c r="Q765">
        <f t="shared" si="1000"/>
        <v>570310901.26923072</v>
      </c>
      <c r="R765">
        <f t="shared" si="1001"/>
        <v>8987613586.8719635</v>
      </c>
      <c r="S765">
        <f t="shared" si="1002"/>
        <v>89876.135868719633</v>
      </c>
      <c r="T765">
        <f t="shared" si="1003"/>
        <v>89.876135868719629</v>
      </c>
    </row>
    <row r="766" spans="1:20" x14ac:dyDescent="0.25">
      <c r="A766" s="5">
        <v>43827</v>
      </c>
      <c r="B766">
        <v>1.323E-2</v>
      </c>
      <c r="C766">
        <v>1.375E-2</v>
      </c>
      <c r="D766">
        <v>1.321E-2</v>
      </c>
      <c r="E766">
        <v>1.3480000000000001E-2</v>
      </c>
      <c r="F766">
        <v>1524124838.8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3.2124508814385283E-15</v>
      </c>
      <c r="Q766">
        <f t="shared" si="1000"/>
        <v>4.8961761818254147E-6</v>
      </c>
      <c r="R766">
        <f t="shared" si="1001"/>
        <v>8417302685.6027336</v>
      </c>
      <c r="S766">
        <f t="shared" si="1002"/>
        <v>84173.02685602734</v>
      </c>
      <c r="T766">
        <f t="shared" si="1003"/>
        <v>84.173026856027334</v>
      </c>
    </row>
    <row r="767" spans="1:20" x14ac:dyDescent="0.25">
      <c r="A767" s="5">
        <v>43826</v>
      </c>
      <c r="B767">
        <v>1.3339999999999999E-2</v>
      </c>
      <c r="C767">
        <v>1.34E-2</v>
      </c>
      <c r="D767">
        <v>1.3010000000000001E-2</v>
      </c>
      <c r="E767">
        <v>1.323E-2</v>
      </c>
      <c r="F767">
        <v>1091339931.2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0.12820512820512753</v>
      </c>
      <c r="Q767">
        <f t="shared" ref="Q767:Q830" si="1005">F767*P767</f>
        <v>139915375.79487106</v>
      </c>
      <c r="R767">
        <f t="shared" ref="R767:R830" si="1006">R768+Q767</f>
        <v>8417302685.6027288</v>
      </c>
      <c r="S767">
        <f t="shared" ref="S767:S830" si="1007">R767/100000</f>
        <v>84173.026856027282</v>
      </c>
      <c r="T767">
        <f t="shared" ref="T767:T830" si="1008">S767/1000</f>
        <v>84.173026856027278</v>
      </c>
    </row>
    <row r="768" spans="1:20" x14ac:dyDescent="0.25">
      <c r="A768" s="5">
        <v>43825</v>
      </c>
      <c r="B768">
        <v>1.32E-2</v>
      </c>
      <c r="C768">
        <v>1.387E-2</v>
      </c>
      <c r="D768">
        <v>1.315E-2</v>
      </c>
      <c r="E768">
        <v>1.3350000000000001E-2</v>
      </c>
      <c r="F768">
        <v>1916174264.4000001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-0.44444444444444309</v>
      </c>
      <c r="Q768">
        <f t="shared" si="1005"/>
        <v>-851633006.39999747</v>
      </c>
      <c r="R768">
        <f t="shared" si="1006"/>
        <v>8277387309.8078575</v>
      </c>
      <c r="S768">
        <f t="shared" si="1007"/>
        <v>82773.873098078577</v>
      </c>
      <c r="T768">
        <f t="shared" si="1008"/>
        <v>82.773873098078582</v>
      </c>
    </row>
    <row r="769" spans="1:20" x14ac:dyDescent="0.25">
      <c r="A769" s="5">
        <v>43824</v>
      </c>
      <c r="B769">
        <v>1.353E-2</v>
      </c>
      <c r="C769">
        <v>1.3610000000000001E-2</v>
      </c>
      <c r="D769">
        <v>1.2970000000000001E-2</v>
      </c>
      <c r="E769">
        <v>1.321E-2</v>
      </c>
      <c r="F769">
        <v>1136437396.4000001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-0.25000000000000339</v>
      </c>
      <c r="Q769">
        <f t="shared" si="1005"/>
        <v>-284109349.1000039</v>
      </c>
      <c r="R769">
        <f t="shared" si="1006"/>
        <v>9129020316.2078552</v>
      </c>
      <c r="S769">
        <f t="shared" si="1007"/>
        <v>91290.203162078556</v>
      </c>
      <c r="T769">
        <f t="shared" si="1008"/>
        <v>91.290203162078555</v>
      </c>
    </row>
    <row r="770" spans="1:20" x14ac:dyDescent="0.25">
      <c r="A770" s="5">
        <v>43823</v>
      </c>
      <c r="B770">
        <v>1.3780000000000001E-2</v>
      </c>
      <c r="C770">
        <v>1.383E-2</v>
      </c>
      <c r="D770">
        <v>1.3129999999999999E-2</v>
      </c>
      <c r="E770">
        <v>1.354E-2</v>
      </c>
      <c r="F770">
        <v>1692945000.5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0.17142857142857165</v>
      </c>
      <c r="Q770">
        <f t="shared" si="1005"/>
        <v>290219142.9428575</v>
      </c>
      <c r="R770">
        <f t="shared" si="1006"/>
        <v>9413129665.3078594</v>
      </c>
      <c r="S770">
        <f t="shared" si="1007"/>
        <v>94131.296653078592</v>
      </c>
      <c r="T770">
        <f t="shared" si="1008"/>
        <v>94.131296653078593</v>
      </c>
    </row>
    <row r="771" spans="1:20" x14ac:dyDescent="0.25">
      <c r="A771" s="5">
        <v>43822</v>
      </c>
      <c r="B771">
        <v>1.4880000000000001E-2</v>
      </c>
      <c r="C771">
        <v>1.5270000000000001E-2</v>
      </c>
      <c r="D771">
        <v>1.363E-2</v>
      </c>
      <c r="E771">
        <v>1.3780000000000001E-2</v>
      </c>
      <c r="F771">
        <v>1699001504.9000001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-0.81707317073170638</v>
      </c>
      <c r="Q771">
        <f t="shared" si="1005"/>
        <v>-1388208546.6865838</v>
      </c>
      <c r="R771">
        <f t="shared" si="1006"/>
        <v>9122910522.3650017</v>
      </c>
      <c r="S771">
        <f t="shared" si="1007"/>
        <v>91229.105223650011</v>
      </c>
      <c r="T771">
        <f t="shared" si="1008"/>
        <v>91.229105223650009</v>
      </c>
    </row>
    <row r="772" spans="1:20" x14ac:dyDescent="0.25">
      <c r="A772" s="5">
        <v>43821</v>
      </c>
      <c r="B772">
        <v>1.3509999999999999E-2</v>
      </c>
      <c r="C772">
        <v>1.499E-2</v>
      </c>
      <c r="D772">
        <v>1.35E-2</v>
      </c>
      <c r="E772">
        <v>1.489E-2</v>
      </c>
      <c r="F772">
        <v>1930492653.7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0.86577181208053777</v>
      </c>
      <c r="Q772">
        <f t="shared" si="1005"/>
        <v>1671366123.0020151</v>
      </c>
      <c r="R772">
        <f t="shared" si="1006"/>
        <v>10511119069.051586</v>
      </c>
      <c r="S772">
        <f t="shared" si="1007"/>
        <v>105111.19069051587</v>
      </c>
      <c r="T772">
        <f t="shared" si="1008"/>
        <v>105.11119069051587</v>
      </c>
    </row>
    <row r="773" spans="1:20" x14ac:dyDescent="0.25">
      <c r="A773" s="5">
        <v>43820</v>
      </c>
      <c r="B773">
        <v>1.337E-2</v>
      </c>
      <c r="C773">
        <v>1.3520000000000001E-2</v>
      </c>
      <c r="D773">
        <v>1.3220000000000001E-2</v>
      </c>
      <c r="E773">
        <v>1.3520000000000001E-2</v>
      </c>
      <c r="F773">
        <v>1310223341.7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1</v>
      </c>
      <c r="Q773">
        <f t="shared" si="1005"/>
        <v>1310223341.7</v>
      </c>
      <c r="R773">
        <f t="shared" si="1006"/>
        <v>8839752946.049572</v>
      </c>
      <c r="S773">
        <f t="shared" si="1007"/>
        <v>88397.529460495716</v>
      </c>
      <c r="T773">
        <f t="shared" si="1008"/>
        <v>88.397529460495718</v>
      </c>
    </row>
    <row r="774" spans="1:20" x14ac:dyDescent="0.25">
      <c r="A774" s="5">
        <v>43819</v>
      </c>
      <c r="B774">
        <v>1.2970000000000001E-2</v>
      </c>
      <c r="C774">
        <v>1.3520000000000001E-2</v>
      </c>
      <c r="D774">
        <v>1.281E-2</v>
      </c>
      <c r="E774">
        <v>1.336E-2</v>
      </c>
      <c r="F774">
        <v>706377654.10000002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0.54929577464788648</v>
      </c>
      <c r="Q774">
        <f t="shared" si="1005"/>
        <v>388010260.70281631</v>
      </c>
      <c r="R774">
        <f t="shared" si="1006"/>
        <v>7529529604.3495722</v>
      </c>
      <c r="S774">
        <f t="shared" si="1007"/>
        <v>75295.29604349572</v>
      </c>
      <c r="T774">
        <f t="shared" si="1008"/>
        <v>75.295296043495725</v>
      </c>
    </row>
    <row r="775" spans="1:20" x14ac:dyDescent="0.25">
      <c r="A775" s="5">
        <v>43818</v>
      </c>
      <c r="B775">
        <v>1.337E-2</v>
      </c>
      <c r="C775">
        <v>1.3480000000000001E-2</v>
      </c>
      <c r="D775">
        <v>1.265E-2</v>
      </c>
      <c r="E775">
        <v>1.2970000000000001E-2</v>
      </c>
      <c r="F775">
        <v>1159948161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-0.2289156626506012</v>
      </c>
      <c r="Q775">
        <f t="shared" si="1005"/>
        <v>-265530301.91566125</v>
      </c>
      <c r="R775">
        <f t="shared" si="1006"/>
        <v>7141519343.6467562</v>
      </c>
      <c r="S775">
        <f t="shared" si="1007"/>
        <v>71415.193436467569</v>
      </c>
      <c r="T775">
        <f t="shared" si="1008"/>
        <v>71.415193436467575</v>
      </c>
    </row>
    <row r="776" spans="1:20" x14ac:dyDescent="0.25">
      <c r="A776" s="5">
        <v>43817</v>
      </c>
      <c r="B776">
        <v>1.244E-2</v>
      </c>
      <c r="C776">
        <v>1.366E-2</v>
      </c>
      <c r="D776">
        <v>1.206E-2</v>
      </c>
      <c r="E776">
        <v>1.336E-2</v>
      </c>
      <c r="F776">
        <v>1710462416.5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0.62500000000000022</v>
      </c>
      <c r="Q776">
        <f t="shared" si="1005"/>
        <v>1069039010.3125004</v>
      </c>
      <c r="R776">
        <f t="shared" si="1006"/>
        <v>7407049645.562417</v>
      </c>
      <c r="S776">
        <f t="shared" si="1007"/>
        <v>74070.496455624176</v>
      </c>
      <c r="T776">
        <f t="shared" si="1008"/>
        <v>74.07049645562418</v>
      </c>
    </row>
    <row r="777" spans="1:20" x14ac:dyDescent="0.25">
      <c r="A777" s="5">
        <v>43816</v>
      </c>
      <c r="B777">
        <v>1.34E-2</v>
      </c>
      <c r="C777">
        <v>1.34E-2</v>
      </c>
      <c r="D777">
        <v>1.218E-2</v>
      </c>
      <c r="E777">
        <v>1.2449999999999999E-2</v>
      </c>
      <c r="F777">
        <v>1333267490.2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-0.55737704918032904</v>
      </c>
      <c r="Q777">
        <f t="shared" si="1005"/>
        <v>-743132699.45573926</v>
      </c>
      <c r="R777">
        <f t="shared" si="1006"/>
        <v>6338010635.249917</v>
      </c>
      <c r="S777">
        <f t="shared" si="1007"/>
        <v>63380.10635249917</v>
      </c>
      <c r="T777">
        <f t="shared" si="1008"/>
        <v>63.380106352499169</v>
      </c>
    </row>
    <row r="778" spans="1:20" x14ac:dyDescent="0.25">
      <c r="A778" s="5">
        <v>43815</v>
      </c>
      <c r="B778">
        <v>1.3950000000000001E-2</v>
      </c>
      <c r="C778">
        <v>1.396E-2</v>
      </c>
      <c r="D778">
        <v>1.308E-2</v>
      </c>
      <c r="E778">
        <v>1.34E-2</v>
      </c>
      <c r="F778">
        <v>1825656154.9000001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-0.27272727272727132</v>
      </c>
      <c r="Q778">
        <f t="shared" si="1005"/>
        <v>-497906224.0636338</v>
      </c>
      <c r="R778">
        <f t="shared" si="1006"/>
        <v>7081143334.7056561</v>
      </c>
      <c r="S778">
        <f t="shared" si="1007"/>
        <v>70811.433347056562</v>
      </c>
      <c r="T778">
        <f t="shared" si="1008"/>
        <v>70.811433347056564</v>
      </c>
    </row>
    <row r="779" spans="1:20" x14ac:dyDescent="0.25">
      <c r="A779" s="5">
        <v>43814</v>
      </c>
      <c r="B779">
        <v>1.3820000000000001E-2</v>
      </c>
      <c r="C779">
        <v>1.421E-2</v>
      </c>
      <c r="D779">
        <v>1.372E-2</v>
      </c>
      <c r="E779">
        <v>1.3950000000000001E-2</v>
      </c>
      <c r="F779">
        <v>1118377703.5999999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-6.1224489795915764E-2</v>
      </c>
      <c r="Q779">
        <f t="shared" si="1005"/>
        <v>-68472104.302037895</v>
      </c>
      <c r="R779">
        <f t="shared" si="1006"/>
        <v>7579049558.76929</v>
      </c>
      <c r="S779">
        <f t="shared" si="1007"/>
        <v>75790.495587692902</v>
      </c>
      <c r="T779">
        <f t="shared" si="1008"/>
        <v>75.790495587692902</v>
      </c>
    </row>
    <row r="780" spans="1:20" x14ac:dyDescent="0.25">
      <c r="A780" s="5">
        <v>43813</v>
      </c>
      <c r="B780">
        <v>1.4069999999999999E-2</v>
      </c>
      <c r="C780">
        <v>1.4800000000000001E-2</v>
      </c>
      <c r="D780">
        <v>1.376E-2</v>
      </c>
      <c r="E780">
        <v>1.383E-2</v>
      </c>
      <c r="F780">
        <v>1259477310.4000001</v>
      </c>
      <c r="G780">
        <v>0</v>
      </c>
      <c r="L780" t="s">
        <v>8</v>
      </c>
      <c r="M780" t="s">
        <v>7</v>
      </c>
      <c r="N780" t="s">
        <v>7</v>
      </c>
      <c r="P780">
        <f t="shared" si="1004"/>
        <v>-0.86538461538461431</v>
      </c>
      <c r="Q780">
        <f t="shared" si="1005"/>
        <v>-1089932287.8461525</v>
      </c>
      <c r="R780">
        <f t="shared" si="1006"/>
        <v>7647521663.0713282</v>
      </c>
      <c r="S780">
        <f t="shared" si="1007"/>
        <v>76475.216630713287</v>
      </c>
      <c r="T780">
        <f t="shared" si="1008"/>
        <v>76.475216630713291</v>
      </c>
    </row>
    <row r="781" spans="1:20" x14ac:dyDescent="0.25">
      <c r="A781" s="5">
        <v>43812</v>
      </c>
      <c r="B781">
        <v>1.3769999999999999E-2</v>
      </c>
      <c r="C781">
        <v>1.427E-2</v>
      </c>
      <c r="D781">
        <v>1.363E-2</v>
      </c>
      <c r="E781">
        <v>1.4069999999999999E-2</v>
      </c>
      <c r="F781">
        <v>888281095.29999995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0.37499999999999828</v>
      </c>
      <c r="Q781">
        <f t="shared" si="1005"/>
        <v>333105410.73749846</v>
      </c>
      <c r="R781">
        <f t="shared" si="1006"/>
        <v>8737453950.9174805</v>
      </c>
      <c r="S781">
        <f t="shared" si="1007"/>
        <v>87374.539509174807</v>
      </c>
      <c r="T781">
        <f t="shared" si="1008"/>
        <v>87.374539509174809</v>
      </c>
    </row>
    <row r="782" spans="1:20" x14ac:dyDescent="0.25">
      <c r="A782" s="5">
        <v>43811</v>
      </c>
      <c r="B782">
        <v>1.4160000000000001E-2</v>
      </c>
      <c r="C782">
        <v>1.4250000000000001E-2</v>
      </c>
      <c r="D782">
        <v>1.3259999999999999E-2</v>
      </c>
      <c r="E782">
        <v>1.3769999999999999E-2</v>
      </c>
      <c r="F782">
        <v>861131841.60000002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3.0303030303029027E-2</v>
      </c>
      <c r="Q782">
        <f t="shared" si="1005"/>
        <v>26094904.290907994</v>
      </c>
      <c r="R782">
        <f t="shared" si="1006"/>
        <v>8404348540.1799812</v>
      </c>
      <c r="S782">
        <f t="shared" si="1007"/>
        <v>84043.485401799815</v>
      </c>
      <c r="T782">
        <f t="shared" si="1008"/>
        <v>84.043485401799813</v>
      </c>
    </row>
    <row r="783" spans="1:20" x14ac:dyDescent="0.25">
      <c r="A783" s="5">
        <v>43810</v>
      </c>
      <c r="B783">
        <v>1.4120000000000001E-2</v>
      </c>
      <c r="C783">
        <v>1.4290000000000001E-2</v>
      </c>
      <c r="D783">
        <v>1.3950000000000001E-2</v>
      </c>
      <c r="E783">
        <v>1.4160000000000001E-2</v>
      </c>
      <c r="F783">
        <v>443222628.39999998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0.23529411764705943</v>
      </c>
      <c r="Q783">
        <f t="shared" si="1005"/>
        <v>104287677.2705885</v>
      </c>
      <c r="R783">
        <f t="shared" si="1006"/>
        <v>8378253635.8890734</v>
      </c>
      <c r="S783">
        <f t="shared" si="1007"/>
        <v>83782.536358890735</v>
      </c>
      <c r="T783">
        <f t="shared" si="1008"/>
        <v>83.782536358890738</v>
      </c>
    </row>
    <row r="784" spans="1:20" x14ac:dyDescent="0.25">
      <c r="A784" s="5">
        <v>43809</v>
      </c>
      <c r="B784">
        <v>1.438E-2</v>
      </c>
      <c r="C784">
        <v>1.4409999999999999E-2</v>
      </c>
      <c r="D784">
        <v>1.3950000000000001E-2</v>
      </c>
      <c r="E784">
        <v>1.4120000000000001E-2</v>
      </c>
      <c r="F784">
        <v>676245315.39999998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-0.26086956521738902</v>
      </c>
      <c r="Q784">
        <f t="shared" si="1005"/>
        <v>-176411821.40869409</v>
      </c>
      <c r="R784">
        <f t="shared" si="1006"/>
        <v>8273965958.6184845</v>
      </c>
      <c r="S784">
        <f t="shared" si="1007"/>
        <v>82739.659586184847</v>
      </c>
      <c r="T784">
        <f t="shared" si="1008"/>
        <v>82.739659586184843</v>
      </c>
    </row>
    <row r="785" spans="1:20" x14ac:dyDescent="0.25">
      <c r="A785" s="5">
        <v>43808</v>
      </c>
      <c r="B785">
        <v>1.461E-2</v>
      </c>
      <c r="C785">
        <v>1.47E-2</v>
      </c>
      <c r="D785">
        <v>1.421E-2</v>
      </c>
      <c r="E785">
        <v>1.438E-2</v>
      </c>
      <c r="F785">
        <v>564668204.70000005</v>
      </c>
      <c r="G785">
        <v>0</v>
      </c>
      <c r="L785" t="s">
        <v>7</v>
      </c>
      <c r="M785" t="s">
        <v>8</v>
      </c>
      <c r="N785" t="s">
        <v>7</v>
      </c>
      <c r="P785">
        <f t="shared" si="1004"/>
        <v>-0.30612244897959051</v>
      </c>
      <c r="Q785">
        <f t="shared" si="1005"/>
        <v>-172857613.68367273</v>
      </c>
      <c r="R785">
        <f t="shared" si="1006"/>
        <v>8450377780.0271788</v>
      </c>
      <c r="S785">
        <f t="shared" si="1007"/>
        <v>84503.777800271782</v>
      </c>
      <c r="T785">
        <f t="shared" si="1008"/>
        <v>84.503777800271777</v>
      </c>
    </row>
    <row r="786" spans="1:20" x14ac:dyDescent="0.25">
      <c r="A786" s="5">
        <v>43807</v>
      </c>
      <c r="B786">
        <v>1.4489999999999999E-2</v>
      </c>
      <c r="C786">
        <v>1.472E-2</v>
      </c>
      <c r="D786">
        <v>1.431E-2</v>
      </c>
      <c r="E786">
        <v>1.461E-2</v>
      </c>
      <c r="F786">
        <v>582402238.60000002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0.46341463414633877</v>
      </c>
      <c r="Q786">
        <f t="shared" si="1005"/>
        <v>269893720.3268277</v>
      </c>
      <c r="R786">
        <f t="shared" si="1006"/>
        <v>8623235393.7108517</v>
      </c>
      <c r="S786">
        <f t="shared" si="1007"/>
        <v>86232.353937108521</v>
      </c>
      <c r="T786">
        <f t="shared" si="1008"/>
        <v>86.232353937108527</v>
      </c>
    </row>
    <row r="787" spans="1:20" x14ac:dyDescent="0.25">
      <c r="A787" s="5">
        <v>43806</v>
      </c>
      <c r="B787">
        <v>1.468E-2</v>
      </c>
      <c r="C787">
        <v>1.4880000000000001E-2</v>
      </c>
      <c r="D787">
        <v>1.444E-2</v>
      </c>
      <c r="E787">
        <v>1.448E-2</v>
      </c>
      <c r="F787">
        <v>587611470.60000002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-0.81818181818181823</v>
      </c>
      <c r="Q787">
        <f t="shared" si="1005"/>
        <v>-480773021.40000004</v>
      </c>
      <c r="R787">
        <f t="shared" si="1006"/>
        <v>8353341673.3840237</v>
      </c>
      <c r="S787">
        <f t="shared" si="1007"/>
        <v>83533.416733840233</v>
      </c>
      <c r="T787">
        <f t="shared" si="1008"/>
        <v>83.533416733840227</v>
      </c>
    </row>
    <row r="788" spans="1:20" x14ac:dyDescent="0.25">
      <c r="A788" s="5">
        <v>43805</v>
      </c>
      <c r="B788">
        <v>1.4489999999999999E-2</v>
      </c>
      <c r="C788">
        <v>1.4789999999999999E-2</v>
      </c>
      <c r="D788">
        <v>1.4279999999999999E-2</v>
      </c>
      <c r="E788">
        <v>1.468E-2</v>
      </c>
      <c r="F788">
        <v>805181928.79999995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0.56862745098039613</v>
      </c>
      <c r="Q788">
        <f t="shared" si="1005"/>
        <v>457848547.74902278</v>
      </c>
      <c r="R788">
        <f t="shared" si="1006"/>
        <v>8834114694.7840233</v>
      </c>
      <c r="S788">
        <f t="shared" si="1007"/>
        <v>88341.146947840229</v>
      </c>
      <c r="T788">
        <f t="shared" si="1008"/>
        <v>88.34114694784023</v>
      </c>
    </row>
    <row r="789" spans="1:20" x14ac:dyDescent="0.25">
      <c r="A789" s="5">
        <v>43804</v>
      </c>
      <c r="B789">
        <v>1.426E-2</v>
      </c>
      <c r="C789">
        <v>1.469E-2</v>
      </c>
      <c r="D789">
        <v>1.4160000000000001E-2</v>
      </c>
      <c r="E789">
        <v>1.4489999999999999E-2</v>
      </c>
      <c r="F789">
        <v>796587559.60000002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0.24528301886792145</v>
      </c>
      <c r="Q789">
        <f t="shared" si="1005"/>
        <v>195389401.4113183</v>
      </c>
      <c r="R789">
        <f t="shared" si="1006"/>
        <v>8376266147.0349998</v>
      </c>
      <c r="S789">
        <f t="shared" si="1007"/>
        <v>83762.661470349994</v>
      </c>
      <c r="T789">
        <f t="shared" si="1008"/>
        <v>83.762661470349997</v>
      </c>
    </row>
    <row r="790" spans="1:20" x14ac:dyDescent="0.25">
      <c r="A790" s="5">
        <v>43803</v>
      </c>
      <c r="B790">
        <v>1.5169999999999999E-2</v>
      </c>
      <c r="C790">
        <v>1.5180000000000001E-2</v>
      </c>
      <c r="D790">
        <v>1.4019999999999999E-2</v>
      </c>
      <c r="E790">
        <v>1.426E-2</v>
      </c>
      <c r="F790">
        <v>956347315.39999998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-0.58620689655172353</v>
      </c>
      <c r="Q790">
        <f t="shared" si="1005"/>
        <v>-560617391.78620625</v>
      </c>
      <c r="R790">
        <f t="shared" si="1006"/>
        <v>8180876745.6236811</v>
      </c>
      <c r="S790">
        <f t="shared" si="1007"/>
        <v>81808.767456236805</v>
      </c>
      <c r="T790">
        <f t="shared" si="1008"/>
        <v>81.808767456236808</v>
      </c>
    </row>
    <row r="791" spans="1:20" x14ac:dyDescent="0.25">
      <c r="A791" s="5">
        <v>43802</v>
      </c>
      <c r="B791">
        <v>1.52E-2</v>
      </c>
      <c r="C791">
        <v>1.555E-2</v>
      </c>
      <c r="D791">
        <v>1.5129999999999999E-2</v>
      </c>
      <c r="E791">
        <v>1.519E-2</v>
      </c>
      <c r="F791">
        <v>289790028.89999998</v>
      </c>
      <c r="G791">
        <v>0</v>
      </c>
      <c r="L791" t="s">
        <v>8</v>
      </c>
      <c r="M791" t="s">
        <v>8</v>
      </c>
      <c r="N791" t="s">
        <v>7</v>
      </c>
      <c r="P791">
        <f t="shared" si="1004"/>
        <v>-0.71428571428570953</v>
      </c>
      <c r="Q791">
        <f t="shared" si="1005"/>
        <v>-206992877.7857129</v>
      </c>
      <c r="R791">
        <f t="shared" si="1006"/>
        <v>8741494137.4098873</v>
      </c>
      <c r="S791">
        <f t="shared" si="1007"/>
        <v>87414.941374098868</v>
      </c>
      <c r="T791">
        <f t="shared" si="1008"/>
        <v>87.414941374098873</v>
      </c>
    </row>
    <row r="792" spans="1:20" x14ac:dyDescent="0.25">
      <c r="A792" s="5">
        <v>43801</v>
      </c>
      <c r="B792">
        <v>1.592E-2</v>
      </c>
      <c r="C792">
        <v>1.6029999999999999E-2</v>
      </c>
      <c r="D792">
        <v>1.5089999999999999E-2</v>
      </c>
      <c r="E792">
        <v>1.521E-2</v>
      </c>
      <c r="F792">
        <v>369389333.39999998</v>
      </c>
      <c r="G792">
        <v>0</v>
      </c>
      <c r="L792" t="s">
        <v>8</v>
      </c>
      <c r="M792" t="s">
        <v>8</v>
      </c>
      <c r="N792" t="s">
        <v>7</v>
      </c>
      <c r="P792">
        <f t="shared" si="1004"/>
        <v>-0.74468085106382909</v>
      </c>
      <c r="Q792">
        <f t="shared" si="1005"/>
        <v>-275077163.17021251</v>
      </c>
      <c r="R792">
        <f t="shared" si="1006"/>
        <v>8948487015.1956005</v>
      </c>
      <c r="S792">
        <f t="shared" si="1007"/>
        <v>89484.870151955998</v>
      </c>
      <c r="T792">
        <f t="shared" si="1008"/>
        <v>89.484870151956002</v>
      </c>
    </row>
    <row r="793" spans="1:20" x14ac:dyDescent="0.25">
      <c r="A793" s="5">
        <v>43800</v>
      </c>
      <c r="B793">
        <v>1.5480000000000001E-2</v>
      </c>
      <c r="C793">
        <v>1.6129999999999999E-2</v>
      </c>
      <c r="D793">
        <v>1.499E-2</v>
      </c>
      <c r="E793">
        <v>1.5910000000000001E-2</v>
      </c>
      <c r="F793">
        <v>577150091.20000005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0.61403508771930138</v>
      </c>
      <c r="Q793">
        <f t="shared" si="1005"/>
        <v>354390406.87719482</v>
      </c>
      <c r="R793">
        <f t="shared" si="1006"/>
        <v>9223564178.3658123</v>
      </c>
      <c r="S793">
        <f t="shared" si="1007"/>
        <v>92235.641783658124</v>
      </c>
      <c r="T793">
        <f t="shared" si="1008"/>
        <v>92.235641783658124</v>
      </c>
    </row>
    <row r="794" spans="1:20" x14ac:dyDescent="0.25">
      <c r="A794" s="5">
        <v>43799</v>
      </c>
      <c r="B794">
        <v>1.6129999999999999E-2</v>
      </c>
      <c r="C794">
        <v>1.618E-2</v>
      </c>
      <c r="D794">
        <v>1.5259999999999999E-2</v>
      </c>
      <c r="E794">
        <v>1.5480000000000001E-2</v>
      </c>
      <c r="F794">
        <v>393741522.19999999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-0.52173913043477982</v>
      </c>
      <c r="Q794">
        <f t="shared" si="1005"/>
        <v>-205430359.40869454</v>
      </c>
      <c r="R794">
        <f t="shared" si="1006"/>
        <v>8869173771.4886169</v>
      </c>
      <c r="S794">
        <f t="shared" si="1007"/>
        <v>88691.737714886171</v>
      </c>
      <c r="T794">
        <f t="shared" si="1008"/>
        <v>88.691737714886173</v>
      </c>
    </row>
    <row r="795" spans="1:20" x14ac:dyDescent="0.25">
      <c r="A795" s="5">
        <v>43798</v>
      </c>
      <c r="B795">
        <v>1.5800000000000002E-2</v>
      </c>
      <c r="C795">
        <v>1.635E-2</v>
      </c>
      <c r="D795">
        <v>1.5730000000000001E-2</v>
      </c>
      <c r="E795">
        <v>1.6140000000000002E-2</v>
      </c>
      <c r="F795">
        <v>438650022.60000002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0.32258064516129448</v>
      </c>
      <c r="Q795">
        <f t="shared" si="1005"/>
        <v>141500007.29032442</v>
      </c>
      <c r="R795">
        <f t="shared" si="1006"/>
        <v>9074604130.8973122</v>
      </c>
      <c r="S795">
        <f t="shared" si="1007"/>
        <v>90746.041308973116</v>
      </c>
      <c r="T795">
        <f t="shared" si="1008"/>
        <v>90.746041308973119</v>
      </c>
    </row>
    <row r="796" spans="1:20" x14ac:dyDescent="0.25">
      <c r="A796" s="5">
        <v>43797</v>
      </c>
      <c r="B796">
        <v>1.6070000000000001E-2</v>
      </c>
      <c r="C796">
        <v>1.6279999999999999E-2</v>
      </c>
      <c r="D796">
        <v>1.5610000000000001E-2</v>
      </c>
      <c r="E796">
        <v>1.5800000000000002E-2</v>
      </c>
      <c r="F796">
        <v>474043520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-0.43283582089551853</v>
      </c>
      <c r="Q796">
        <f t="shared" si="1005"/>
        <v>-205183016.11940116</v>
      </c>
      <c r="R796">
        <f t="shared" si="1006"/>
        <v>8933104123.606987</v>
      </c>
      <c r="S796">
        <f t="shared" si="1007"/>
        <v>89331.041236069868</v>
      </c>
      <c r="T796">
        <f t="shared" si="1008"/>
        <v>89.331041236069865</v>
      </c>
    </row>
    <row r="797" spans="1:20" x14ac:dyDescent="0.25">
      <c r="A797" s="5">
        <v>43796</v>
      </c>
      <c r="B797">
        <v>1.528E-2</v>
      </c>
      <c r="C797">
        <v>1.643E-2</v>
      </c>
      <c r="D797">
        <v>1.4370000000000001E-2</v>
      </c>
      <c r="E797">
        <v>1.6070000000000001E-2</v>
      </c>
      <c r="F797">
        <v>1116968987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0.65048543689320448</v>
      </c>
      <c r="Q797">
        <f t="shared" si="1005"/>
        <v>726572059.50485504</v>
      </c>
      <c r="R797">
        <f t="shared" si="1006"/>
        <v>9138287139.7263889</v>
      </c>
      <c r="S797">
        <f t="shared" si="1007"/>
        <v>91382.871397263894</v>
      </c>
      <c r="T797">
        <f t="shared" si="1008"/>
        <v>91.382871397263898</v>
      </c>
    </row>
    <row r="798" spans="1:20" x14ac:dyDescent="0.25">
      <c r="A798" s="5">
        <v>43795</v>
      </c>
      <c r="B798">
        <v>1.418E-2</v>
      </c>
      <c r="C798">
        <v>1.545E-2</v>
      </c>
      <c r="D798">
        <v>1.4019999999999999E-2</v>
      </c>
      <c r="E798">
        <v>1.528E-2</v>
      </c>
      <c r="F798">
        <v>831547196.89999998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0.7622377622377623</v>
      </c>
      <c r="Q798">
        <f t="shared" si="1005"/>
        <v>633836674.56013989</v>
      </c>
      <c r="R798">
        <f t="shared" si="1006"/>
        <v>8411715080.2215338</v>
      </c>
      <c r="S798">
        <f t="shared" si="1007"/>
        <v>84117.150802215343</v>
      </c>
      <c r="T798">
        <f t="shared" si="1008"/>
        <v>84.117150802215349</v>
      </c>
    </row>
    <row r="799" spans="1:20" x14ac:dyDescent="0.25">
      <c r="A799" s="5">
        <v>43794</v>
      </c>
      <c r="B799">
        <v>1.37E-2</v>
      </c>
      <c r="C799">
        <v>1.474E-2</v>
      </c>
      <c r="D799">
        <v>1.2970000000000001E-2</v>
      </c>
      <c r="E799">
        <v>1.418E-2</v>
      </c>
      <c r="F799">
        <v>1023411768.1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0.36723163841807904</v>
      </c>
      <c r="Q799">
        <f t="shared" si="1005"/>
        <v>375829180.3757062</v>
      </c>
      <c r="R799">
        <f t="shared" si="1006"/>
        <v>7777878405.6613941</v>
      </c>
      <c r="S799">
        <f t="shared" si="1007"/>
        <v>77778.784056613935</v>
      </c>
      <c r="T799">
        <f t="shared" si="1008"/>
        <v>77.778784056613929</v>
      </c>
    </row>
    <row r="800" spans="1:20" x14ac:dyDescent="0.25">
      <c r="A800" s="5">
        <v>43793</v>
      </c>
      <c r="B800">
        <v>1.504E-2</v>
      </c>
      <c r="C800">
        <v>1.5180000000000001E-2</v>
      </c>
      <c r="D800">
        <v>1.357E-2</v>
      </c>
      <c r="E800">
        <v>1.37E-2</v>
      </c>
      <c r="F800">
        <v>705534601.20000005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-0.83850931677018647</v>
      </c>
      <c r="Q800">
        <f t="shared" si="1005"/>
        <v>-591597336.40993798</v>
      </c>
      <c r="R800">
        <f t="shared" si="1006"/>
        <v>7402049225.2856874</v>
      </c>
      <c r="S800">
        <f t="shared" si="1007"/>
        <v>74020.492252856871</v>
      </c>
      <c r="T800">
        <f t="shared" si="1008"/>
        <v>74.020492252856869</v>
      </c>
    </row>
    <row r="801" spans="1:20" x14ac:dyDescent="0.25">
      <c r="A801" s="5">
        <v>43792</v>
      </c>
      <c r="B801">
        <v>1.438E-2</v>
      </c>
      <c r="C801">
        <v>1.506E-2</v>
      </c>
      <c r="D801">
        <v>1.393E-2</v>
      </c>
      <c r="E801">
        <v>1.503E-2</v>
      </c>
      <c r="F801">
        <v>607691921.29999995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0.94690265486725578</v>
      </c>
      <c r="Q801">
        <f t="shared" si="1005"/>
        <v>575425093.62035346</v>
      </c>
      <c r="R801">
        <f t="shared" si="1006"/>
        <v>7993646561.6956253</v>
      </c>
      <c r="S801">
        <f t="shared" si="1007"/>
        <v>79936.465616956251</v>
      </c>
      <c r="T801">
        <f t="shared" si="1008"/>
        <v>79.936465616956255</v>
      </c>
    </row>
    <row r="802" spans="1:20" x14ac:dyDescent="0.25">
      <c r="A802" s="5">
        <v>43791</v>
      </c>
      <c r="B802">
        <v>1.5389999999999999E-2</v>
      </c>
      <c r="C802">
        <v>1.559E-2</v>
      </c>
      <c r="D802">
        <v>1.3220000000000001E-2</v>
      </c>
      <c r="E802">
        <v>1.439E-2</v>
      </c>
      <c r="F802">
        <v>1349371704.5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-1.2658227848101488E-2</v>
      </c>
      <c r="Q802">
        <f t="shared" si="1005"/>
        <v>-17080654.487342071</v>
      </c>
      <c r="R802">
        <f t="shared" si="1006"/>
        <v>7418221468.0752716</v>
      </c>
      <c r="S802">
        <f t="shared" si="1007"/>
        <v>74182.214680752717</v>
      </c>
      <c r="T802">
        <f t="shared" si="1008"/>
        <v>74.182214680752722</v>
      </c>
    </row>
    <row r="803" spans="1:20" x14ac:dyDescent="0.25">
      <c r="A803" s="5">
        <v>43790</v>
      </c>
      <c r="B803">
        <v>1.6549999999999999E-2</v>
      </c>
      <c r="C803">
        <v>1.6639999999999999E-2</v>
      </c>
      <c r="D803">
        <v>1.455E-2</v>
      </c>
      <c r="E803">
        <v>1.5389999999999999E-2</v>
      </c>
      <c r="F803">
        <v>810190128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-0.19617224880382825</v>
      </c>
      <c r="Q803">
        <f t="shared" si="1005"/>
        <v>-158936819.36842147</v>
      </c>
      <c r="R803">
        <f t="shared" si="1006"/>
        <v>7435302122.5626135</v>
      </c>
      <c r="S803">
        <f t="shared" si="1007"/>
        <v>74353.021225626129</v>
      </c>
      <c r="T803">
        <f t="shared" si="1008"/>
        <v>74.353021225626122</v>
      </c>
    </row>
    <row r="804" spans="1:20" x14ac:dyDescent="0.25">
      <c r="A804" s="5">
        <v>43789</v>
      </c>
      <c r="B804">
        <v>1.6959999999999999E-2</v>
      </c>
      <c r="C804">
        <v>1.7100000000000001E-2</v>
      </c>
      <c r="D804">
        <v>1.6379999999999999E-2</v>
      </c>
      <c r="E804">
        <v>1.6549999999999999E-2</v>
      </c>
      <c r="F804">
        <v>520547876.5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-0.52777777777777901</v>
      </c>
      <c r="Q804">
        <f t="shared" si="1005"/>
        <v>-274733601.48611176</v>
      </c>
      <c r="R804">
        <f t="shared" si="1006"/>
        <v>7594238941.931035</v>
      </c>
      <c r="S804">
        <f t="shared" si="1007"/>
        <v>75942.389419310348</v>
      </c>
      <c r="T804">
        <f t="shared" si="1008"/>
        <v>75.942389419310345</v>
      </c>
    </row>
    <row r="805" spans="1:20" x14ac:dyDescent="0.25">
      <c r="A805" s="5">
        <v>43788</v>
      </c>
      <c r="B805">
        <v>1.7149999999999999E-2</v>
      </c>
      <c r="C805">
        <v>1.7229999999999999E-2</v>
      </c>
      <c r="D805">
        <v>1.6310000000000002E-2</v>
      </c>
      <c r="E805">
        <v>1.695E-2</v>
      </c>
      <c r="F805">
        <v>653693856.60000002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0.39130434782608731</v>
      </c>
      <c r="Q805">
        <f t="shared" si="1005"/>
        <v>255793248.23478284</v>
      </c>
      <c r="R805">
        <f t="shared" si="1006"/>
        <v>7868972543.4171467</v>
      </c>
      <c r="S805">
        <f t="shared" si="1007"/>
        <v>78689.725434171472</v>
      </c>
      <c r="T805">
        <f t="shared" si="1008"/>
        <v>78.689725434171478</v>
      </c>
    </row>
    <row r="806" spans="1:20" x14ac:dyDescent="0.25">
      <c r="A806" s="5">
        <v>43787</v>
      </c>
      <c r="B806">
        <v>1.8749999999999999E-2</v>
      </c>
      <c r="C806">
        <v>1.8759999999999999E-2</v>
      </c>
      <c r="D806">
        <v>1.668E-2</v>
      </c>
      <c r="E806">
        <v>1.7149999999999999E-2</v>
      </c>
      <c r="F806">
        <v>707326585.89999998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-0.54807692307692446</v>
      </c>
      <c r="Q806">
        <f t="shared" si="1005"/>
        <v>-387669378.81057787</v>
      </c>
      <c r="R806">
        <f t="shared" si="1006"/>
        <v>7613179295.1823635</v>
      </c>
      <c r="S806">
        <f t="shared" si="1007"/>
        <v>76131.792951823634</v>
      </c>
      <c r="T806">
        <f t="shared" si="1008"/>
        <v>76.131792951823641</v>
      </c>
    </row>
    <row r="807" spans="1:20" x14ac:dyDescent="0.25">
      <c r="A807" s="5">
        <v>43786</v>
      </c>
      <c r="B807">
        <v>1.8669999999999999E-2</v>
      </c>
      <c r="C807">
        <v>1.898E-2</v>
      </c>
      <c r="D807">
        <v>1.822E-2</v>
      </c>
      <c r="E807">
        <v>1.874E-2</v>
      </c>
      <c r="F807">
        <v>393661234.39999998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0.36842105263157748</v>
      </c>
      <c r="Q807">
        <f t="shared" si="1005"/>
        <v>145033086.35789415</v>
      </c>
      <c r="R807">
        <f t="shared" si="1006"/>
        <v>8000848673.9929419</v>
      </c>
      <c r="S807">
        <f t="shared" si="1007"/>
        <v>80008.486739929416</v>
      </c>
      <c r="T807">
        <f t="shared" si="1008"/>
        <v>80.00848673992941</v>
      </c>
    </row>
    <row r="808" spans="1:20" x14ac:dyDescent="0.25">
      <c r="A808" s="5">
        <v>43785</v>
      </c>
      <c r="B808">
        <v>1.8589999999999999E-2</v>
      </c>
      <c r="C808">
        <v>1.881E-2</v>
      </c>
      <c r="D808">
        <v>1.8450000000000001E-2</v>
      </c>
      <c r="E808">
        <v>1.866E-2</v>
      </c>
      <c r="F808">
        <v>366244960.80000001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0.16666666666666025</v>
      </c>
      <c r="Q808">
        <f t="shared" si="1005"/>
        <v>61040826.79999765</v>
      </c>
      <c r="R808">
        <f t="shared" si="1006"/>
        <v>7855815587.6350479</v>
      </c>
      <c r="S808">
        <f t="shared" si="1007"/>
        <v>78558.155876350473</v>
      </c>
      <c r="T808">
        <f t="shared" si="1008"/>
        <v>78.558155876350469</v>
      </c>
    </row>
    <row r="809" spans="1:20" x14ac:dyDescent="0.25">
      <c r="A809" s="5">
        <v>43784</v>
      </c>
      <c r="B809">
        <v>1.9400000000000001E-2</v>
      </c>
      <c r="C809">
        <v>1.967E-2</v>
      </c>
      <c r="D809">
        <v>1.8190000000000001E-2</v>
      </c>
      <c r="E809">
        <v>1.8579999999999999E-2</v>
      </c>
      <c r="F809">
        <v>677321078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-0.47297297297297525</v>
      </c>
      <c r="Q809">
        <f t="shared" si="1005"/>
        <v>-320354563.91892046</v>
      </c>
      <c r="R809">
        <f t="shared" si="1006"/>
        <v>7794774760.8350506</v>
      </c>
      <c r="S809">
        <f t="shared" si="1007"/>
        <v>77947.747608350503</v>
      </c>
      <c r="T809">
        <f t="shared" si="1008"/>
        <v>77.947747608350497</v>
      </c>
    </row>
    <row r="810" spans="1:20" x14ac:dyDescent="0.25">
      <c r="A810" s="5">
        <v>43783</v>
      </c>
      <c r="B810">
        <v>2.0119999999999999E-2</v>
      </c>
      <c r="C810">
        <v>2.0219999999999998E-2</v>
      </c>
      <c r="D810">
        <v>1.89E-2</v>
      </c>
      <c r="E810">
        <v>1.941E-2</v>
      </c>
      <c r="F810">
        <v>684147622</v>
      </c>
      <c r="G810">
        <v>0</v>
      </c>
      <c r="L810" t="s">
        <v>8</v>
      </c>
      <c r="M810" t="s">
        <v>7</v>
      </c>
      <c r="N810" t="s">
        <v>8</v>
      </c>
      <c r="P810">
        <f t="shared" si="1004"/>
        <v>-0.22727272727272621</v>
      </c>
      <c r="Q810">
        <f t="shared" si="1005"/>
        <v>-155488095.90909019</v>
      </c>
      <c r="R810">
        <f t="shared" si="1006"/>
        <v>8115129324.7539711</v>
      </c>
      <c r="S810">
        <f t="shared" si="1007"/>
        <v>81151.29324753971</v>
      </c>
      <c r="T810">
        <f t="shared" si="1008"/>
        <v>81.151293247539712</v>
      </c>
    </row>
    <row r="811" spans="1:20" x14ac:dyDescent="0.25">
      <c r="A811" s="5">
        <v>43782</v>
      </c>
      <c r="B811">
        <v>1.968E-2</v>
      </c>
      <c r="C811">
        <v>2.0209999999999999E-2</v>
      </c>
      <c r="D811">
        <v>1.9259999999999999E-2</v>
      </c>
      <c r="E811">
        <v>2.0119999999999999E-2</v>
      </c>
      <c r="F811">
        <v>647116662.20000005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0.81052631578947398</v>
      </c>
      <c r="Q811">
        <f t="shared" si="1005"/>
        <v>524505084.09894758</v>
      </c>
      <c r="R811">
        <f t="shared" si="1006"/>
        <v>8270617420.6630611</v>
      </c>
      <c r="S811">
        <f t="shared" si="1007"/>
        <v>82706.174206630618</v>
      </c>
      <c r="T811">
        <f t="shared" si="1008"/>
        <v>82.706174206630621</v>
      </c>
    </row>
    <row r="812" spans="1:20" x14ac:dyDescent="0.25">
      <c r="A812" s="5">
        <v>43781</v>
      </c>
      <c r="B812">
        <v>1.9089999999999999E-2</v>
      </c>
      <c r="C812">
        <v>1.983E-2</v>
      </c>
      <c r="D812">
        <v>1.8970000000000001E-2</v>
      </c>
      <c r="E812">
        <v>1.968E-2</v>
      </c>
      <c r="F812">
        <v>803165561.29999995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0.65116279069767236</v>
      </c>
      <c r="Q812">
        <f t="shared" si="1005"/>
        <v>522991528.28837043</v>
      </c>
      <c r="R812">
        <f t="shared" si="1006"/>
        <v>7746112336.5641136</v>
      </c>
      <c r="S812">
        <f t="shared" si="1007"/>
        <v>77461.123365641135</v>
      </c>
      <c r="T812">
        <f t="shared" si="1008"/>
        <v>77.461123365641129</v>
      </c>
    </row>
    <row r="813" spans="1:20" x14ac:dyDescent="0.25">
      <c r="A813" s="5">
        <v>43780</v>
      </c>
      <c r="B813">
        <v>1.934E-2</v>
      </c>
      <c r="C813">
        <v>1.9369999999999998E-2</v>
      </c>
      <c r="D813">
        <v>1.865E-2</v>
      </c>
      <c r="E813">
        <v>1.9089999999999999E-2</v>
      </c>
      <c r="F813">
        <v>567485926.60000002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0.22222222222222329</v>
      </c>
      <c r="Q813">
        <f t="shared" si="1005"/>
        <v>126107983.6888895</v>
      </c>
      <c r="R813">
        <f t="shared" si="1006"/>
        <v>7223120808.2757435</v>
      </c>
      <c r="S813">
        <f t="shared" si="1007"/>
        <v>72231.208082757439</v>
      </c>
      <c r="T813">
        <f t="shared" si="1008"/>
        <v>72.231208082757433</v>
      </c>
    </row>
    <row r="814" spans="1:20" x14ac:dyDescent="0.25">
      <c r="A814" s="5">
        <v>43779</v>
      </c>
      <c r="B814">
        <v>1.8950000000000002E-2</v>
      </c>
      <c r="C814">
        <v>1.985E-2</v>
      </c>
      <c r="D814">
        <v>1.8870000000000001E-2</v>
      </c>
      <c r="E814">
        <v>1.934E-2</v>
      </c>
      <c r="F814">
        <v>609861904.5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-4.0816326530614198E-2</v>
      </c>
      <c r="Q814">
        <f t="shared" si="1005"/>
        <v>-24892322.632654253</v>
      </c>
      <c r="R814">
        <f t="shared" si="1006"/>
        <v>7097012824.586854</v>
      </c>
      <c r="S814">
        <f t="shared" si="1007"/>
        <v>70970.128245868545</v>
      </c>
      <c r="T814">
        <f t="shared" si="1008"/>
        <v>70.970128245868551</v>
      </c>
    </row>
    <row r="815" spans="1:20" x14ac:dyDescent="0.25">
      <c r="A815" s="5">
        <v>43778</v>
      </c>
      <c r="B815">
        <v>1.8749999999999999E-2</v>
      </c>
      <c r="C815">
        <v>1.9120000000000002E-2</v>
      </c>
      <c r="D815">
        <v>1.8700000000000001E-2</v>
      </c>
      <c r="E815">
        <v>1.8939999999999999E-2</v>
      </c>
      <c r="F815">
        <v>372103249.80000001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0.14285714285712869</v>
      </c>
      <c r="Q815">
        <f t="shared" si="1005"/>
        <v>53157607.114280447</v>
      </c>
      <c r="R815">
        <f t="shared" si="1006"/>
        <v>7121905147.2195082</v>
      </c>
      <c r="S815">
        <f t="shared" si="1007"/>
        <v>71219.051472195075</v>
      </c>
      <c r="T815">
        <f t="shared" si="1008"/>
        <v>71.219051472195076</v>
      </c>
    </row>
    <row r="816" spans="1:20" x14ac:dyDescent="0.25">
      <c r="A816" s="5">
        <v>43777</v>
      </c>
      <c r="B816">
        <v>1.95E-2</v>
      </c>
      <c r="C816">
        <v>1.975E-2</v>
      </c>
      <c r="D816">
        <v>1.8360000000000001E-2</v>
      </c>
      <c r="E816">
        <v>1.8759999999999999E-2</v>
      </c>
      <c r="F816">
        <v>714745312.5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-0.42446043165467928</v>
      </c>
      <c r="Q816">
        <f t="shared" si="1005"/>
        <v>-303381103.86690861</v>
      </c>
      <c r="R816">
        <f t="shared" si="1006"/>
        <v>7068747540.1052275</v>
      </c>
      <c r="S816">
        <f t="shared" si="1007"/>
        <v>70687.475401052274</v>
      </c>
      <c r="T816">
        <f t="shared" si="1008"/>
        <v>70.687475401052268</v>
      </c>
    </row>
    <row r="817" spans="1:20" x14ac:dyDescent="0.25">
      <c r="A817" s="5">
        <v>43776</v>
      </c>
      <c r="B817">
        <v>2.0140000000000002E-2</v>
      </c>
      <c r="C817">
        <v>2.018E-2</v>
      </c>
      <c r="D817">
        <v>1.891E-2</v>
      </c>
      <c r="E817">
        <v>1.951E-2</v>
      </c>
      <c r="F817">
        <v>752675826.70000005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-5.5118110236220944E-2</v>
      </c>
      <c r="Q817">
        <f t="shared" si="1005"/>
        <v>-41486069.188189335</v>
      </c>
      <c r="R817">
        <f t="shared" si="1006"/>
        <v>7372128643.9721365</v>
      </c>
      <c r="S817">
        <f t="shared" si="1007"/>
        <v>73721.286439721371</v>
      </c>
      <c r="T817">
        <f t="shared" si="1008"/>
        <v>73.721286439721368</v>
      </c>
    </row>
    <row r="818" spans="1:20" x14ac:dyDescent="0.25">
      <c r="A818" s="5">
        <v>43775</v>
      </c>
      <c r="B818">
        <v>1.975E-2</v>
      </c>
      <c r="C818">
        <v>2.077E-2</v>
      </c>
      <c r="D818">
        <v>1.9570000000000001E-2</v>
      </c>
      <c r="E818">
        <v>2.0129999999999999E-2</v>
      </c>
      <c r="F818">
        <v>910078675.29999995</v>
      </c>
      <c r="G818">
        <v>0</v>
      </c>
      <c r="L818" t="s">
        <v>8</v>
      </c>
      <c r="M818" t="s">
        <v>7</v>
      </c>
      <c r="N818" t="s">
        <v>8</v>
      </c>
      <c r="P818">
        <f t="shared" si="1004"/>
        <v>-6.6666666666669747E-2</v>
      </c>
      <c r="Q818">
        <f t="shared" si="1005"/>
        <v>-60671911.686669469</v>
      </c>
      <c r="R818">
        <f t="shared" si="1006"/>
        <v>7413614713.160326</v>
      </c>
      <c r="S818">
        <f t="shared" si="1007"/>
        <v>74136.147131603255</v>
      </c>
      <c r="T818">
        <f t="shared" si="1008"/>
        <v>74.136147131603252</v>
      </c>
    </row>
    <row r="819" spans="1:20" x14ac:dyDescent="0.25">
      <c r="A819" s="5">
        <v>43774</v>
      </c>
      <c r="B819">
        <v>1.9789999999999999E-2</v>
      </c>
      <c r="C819">
        <v>2.0049999999999998E-2</v>
      </c>
      <c r="D819">
        <v>1.9279999999999999E-2</v>
      </c>
      <c r="E819">
        <v>1.975E-2</v>
      </c>
      <c r="F819">
        <v>662033588.79999995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0.22077922077922535</v>
      </c>
      <c r="Q819">
        <f t="shared" si="1005"/>
        <v>146163259.86493808</v>
      </c>
      <c r="R819">
        <f t="shared" si="1006"/>
        <v>7474286624.8469954</v>
      </c>
      <c r="S819">
        <f t="shared" si="1007"/>
        <v>74742.86624846996</v>
      </c>
      <c r="T819">
        <f t="shared" si="1008"/>
        <v>74.742866248469966</v>
      </c>
    </row>
    <row r="820" spans="1:20" x14ac:dyDescent="0.25">
      <c r="A820" s="5">
        <v>43773</v>
      </c>
      <c r="B820">
        <v>1.9640000000000001E-2</v>
      </c>
      <c r="C820">
        <v>2.0140000000000002E-2</v>
      </c>
      <c r="D820">
        <v>1.8450000000000001E-2</v>
      </c>
      <c r="E820">
        <v>1.9800000000000002E-2</v>
      </c>
      <c r="F820">
        <v>913791526.60000002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0.59763313609467461</v>
      </c>
      <c r="Q820">
        <f t="shared" si="1005"/>
        <v>546112095.77869833</v>
      </c>
      <c r="R820">
        <f t="shared" si="1006"/>
        <v>7328123364.9820576</v>
      </c>
      <c r="S820">
        <f t="shared" si="1007"/>
        <v>73281.23364982057</v>
      </c>
      <c r="T820">
        <f t="shared" si="1008"/>
        <v>73.281233649820564</v>
      </c>
    </row>
    <row r="821" spans="1:20" x14ac:dyDescent="0.25">
      <c r="A821" s="5">
        <v>43772</v>
      </c>
      <c r="B821">
        <v>1.9879999999999998E-2</v>
      </c>
      <c r="C821">
        <v>2.0080000000000001E-2</v>
      </c>
      <c r="D821">
        <v>1.9230000000000001E-2</v>
      </c>
      <c r="E821">
        <v>1.9640000000000001E-2</v>
      </c>
      <c r="F821">
        <v>418451816.10000002</v>
      </c>
      <c r="G821">
        <v>0</v>
      </c>
      <c r="L821" t="s">
        <v>7</v>
      </c>
      <c r="M821" t="s">
        <v>7</v>
      </c>
      <c r="N821" t="s">
        <v>8</v>
      </c>
      <c r="P821">
        <f t="shared" si="1004"/>
        <v>-3.529411764705738E-2</v>
      </c>
      <c r="Q821">
        <f t="shared" si="1005"/>
        <v>-14768887.627058221</v>
      </c>
      <c r="R821">
        <f t="shared" si="1006"/>
        <v>6782011269.2033596</v>
      </c>
      <c r="S821">
        <f t="shared" si="1007"/>
        <v>67820.112692033596</v>
      </c>
      <c r="T821">
        <f t="shared" si="1008"/>
        <v>67.820112692033589</v>
      </c>
    </row>
    <row r="822" spans="1:20" x14ac:dyDescent="0.25">
      <c r="A822" s="5">
        <v>43771</v>
      </c>
      <c r="B822">
        <v>1.9609999999999999E-2</v>
      </c>
      <c r="C822">
        <v>2.017E-2</v>
      </c>
      <c r="D822">
        <v>1.958E-2</v>
      </c>
      <c r="E822">
        <v>1.9879999999999998E-2</v>
      </c>
      <c r="F822">
        <v>538788164.89999998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1.6949152542366303E-2</v>
      </c>
      <c r="Q822">
        <f t="shared" si="1005"/>
        <v>9132002.7949117087</v>
      </c>
      <c r="R822">
        <f t="shared" si="1006"/>
        <v>6796780156.8304176</v>
      </c>
      <c r="S822">
        <f t="shared" si="1007"/>
        <v>67967.801568304174</v>
      </c>
      <c r="T822">
        <f t="shared" si="1008"/>
        <v>67.967801568304168</v>
      </c>
    </row>
    <row r="823" spans="1:20" x14ac:dyDescent="0.25">
      <c r="A823" s="5">
        <v>43770</v>
      </c>
      <c r="B823">
        <v>1.976E-2</v>
      </c>
      <c r="C823">
        <v>2.009E-2</v>
      </c>
      <c r="D823">
        <v>1.9199999999999998E-2</v>
      </c>
      <c r="E823">
        <v>1.9619999999999999E-2</v>
      </c>
      <c r="F823">
        <v>619659331.20000005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-5.6179775280900367E-2</v>
      </c>
      <c r="Q823">
        <f t="shared" si="1005"/>
        <v>-34812321.977529019</v>
      </c>
      <c r="R823">
        <f t="shared" si="1006"/>
        <v>6787648154.0355062</v>
      </c>
      <c r="S823">
        <f t="shared" si="1007"/>
        <v>67876.48154035506</v>
      </c>
      <c r="T823">
        <f t="shared" si="1008"/>
        <v>67.876481540355059</v>
      </c>
    </row>
    <row r="824" spans="1:20" x14ac:dyDescent="0.25">
      <c r="A824" s="5">
        <v>43769</v>
      </c>
      <c r="B824">
        <v>1.9949999999999999E-2</v>
      </c>
      <c r="C824">
        <v>2.052E-2</v>
      </c>
      <c r="D824">
        <v>1.9029999999999998E-2</v>
      </c>
      <c r="E824">
        <v>1.9740000000000001E-2</v>
      </c>
      <c r="F824">
        <v>1232635628.0999999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-4.6979865771810111E-2</v>
      </c>
      <c r="Q824">
        <f t="shared" si="1005"/>
        <v>-57909056.353688844</v>
      </c>
      <c r="R824">
        <f t="shared" si="1006"/>
        <v>6822460476.0130348</v>
      </c>
      <c r="S824">
        <f t="shared" si="1007"/>
        <v>68224.604760130343</v>
      </c>
      <c r="T824">
        <f t="shared" si="1008"/>
        <v>68.224604760130347</v>
      </c>
    </row>
    <row r="825" spans="1:20" x14ac:dyDescent="0.25">
      <c r="A825" s="5">
        <v>43768</v>
      </c>
      <c r="B825">
        <v>2.1940000000000001E-2</v>
      </c>
      <c r="C825">
        <v>2.2950000000000002E-2</v>
      </c>
      <c r="D825">
        <v>1.9730000000000001E-2</v>
      </c>
      <c r="E825">
        <v>1.9949999999999999E-2</v>
      </c>
      <c r="F825">
        <v>2153270911.5</v>
      </c>
      <c r="G825">
        <v>0</v>
      </c>
      <c r="L825" t="s">
        <v>8</v>
      </c>
      <c r="M825" t="s">
        <v>8</v>
      </c>
      <c r="N825" t="s">
        <v>8</v>
      </c>
      <c r="P825">
        <f t="shared" si="1004"/>
        <v>-0.86335403726708204</v>
      </c>
      <c r="Q825">
        <f t="shared" si="1005"/>
        <v>-1859035134.7732947</v>
      </c>
      <c r="R825">
        <f t="shared" si="1006"/>
        <v>6880369532.366724</v>
      </c>
      <c r="S825">
        <f t="shared" si="1007"/>
        <v>68803.695323667242</v>
      </c>
      <c r="T825">
        <f t="shared" si="1008"/>
        <v>68.803695323667242</v>
      </c>
    </row>
    <row r="826" spans="1:20" x14ac:dyDescent="0.25">
      <c r="A826" s="5">
        <v>43767</v>
      </c>
      <c r="B826">
        <v>1.9970000000000002E-2</v>
      </c>
      <c r="C826">
        <v>2.2579999999999999E-2</v>
      </c>
      <c r="D826">
        <v>1.9879999999999998E-2</v>
      </c>
      <c r="E826">
        <v>2.1940000000000001E-2</v>
      </c>
      <c r="F826">
        <v>2428311336.4000001</v>
      </c>
      <c r="G826">
        <v>0</v>
      </c>
      <c r="L826" t="s">
        <v>8</v>
      </c>
      <c r="M826" t="s">
        <v>8</v>
      </c>
      <c r="N826" t="s">
        <v>8</v>
      </c>
      <c r="P826">
        <f t="shared" si="1004"/>
        <v>0.52592592592592746</v>
      </c>
      <c r="Q826">
        <f t="shared" si="1005"/>
        <v>1277111888.0325963</v>
      </c>
      <c r="R826">
        <f t="shared" si="1006"/>
        <v>8739404667.1400185</v>
      </c>
      <c r="S826">
        <f t="shared" si="1007"/>
        <v>87394.046671400181</v>
      </c>
      <c r="T826">
        <f t="shared" si="1008"/>
        <v>87.394046671400176</v>
      </c>
    </row>
    <row r="827" spans="1:20" x14ac:dyDescent="0.25">
      <c r="A827" s="5">
        <v>43766</v>
      </c>
      <c r="B827">
        <v>1.9089999999999999E-2</v>
      </c>
      <c r="C827">
        <v>2.215E-2</v>
      </c>
      <c r="D827">
        <v>1.9089999999999999E-2</v>
      </c>
      <c r="E827">
        <v>1.9980000000000001E-2</v>
      </c>
      <c r="F827">
        <v>3511370419.9000001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-0.41830065359477003</v>
      </c>
      <c r="Q827">
        <f t="shared" si="1005"/>
        <v>-1468808541.6575122</v>
      </c>
      <c r="R827">
        <f t="shared" si="1006"/>
        <v>7462292779.1074219</v>
      </c>
      <c r="S827">
        <f t="shared" si="1007"/>
        <v>74622.927791074224</v>
      </c>
      <c r="T827">
        <f t="shared" si="1008"/>
        <v>74.622927791074218</v>
      </c>
    </row>
    <row r="828" spans="1:20" x14ac:dyDescent="0.25">
      <c r="A828" s="5">
        <v>43765</v>
      </c>
      <c r="B828">
        <v>1.6580000000000001E-2</v>
      </c>
      <c r="C828">
        <v>1.9859999999999999E-2</v>
      </c>
      <c r="D828">
        <v>1.6109999999999999E-2</v>
      </c>
      <c r="E828">
        <v>1.9099999999999999E-2</v>
      </c>
      <c r="F828">
        <v>2591727152.9000001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0.59466666666666657</v>
      </c>
      <c r="Q828">
        <f t="shared" si="1005"/>
        <v>1541213746.9245331</v>
      </c>
      <c r="R828">
        <f t="shared" si="1006"/>
        <v>8931101320.7649345</v>
      </c>
      <c r="S828">
        <f t="shared" si="1007"/>
        <v>89311.013207649346</v>
      </c>
      <c r="T828">
        <f t="shared" si="1008"/>
        <v>89.311013207649353</v>
      </c>
    </row>
    <row r="829" spans="1:20" x14ac:dyDescent="0.25">
      <c r="A829" s="5">
        <v>43764</v>
      </c>
      <c r="B829">
        <v>1.7639999999999999E-2</v>
      </c>
      <c r="C829">
        <v>1.8319999999999999E-2</v>
      </c>
      <c r="D829">
        <v>1.576E-2</v>
      </c>
      <c r="E829">
        <v>1.6590000000000001E-2</v>
      </c>
      <c r="F829">
        <v>1698836799.9000001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-0.35156249999999928</v>
      </c>
      <c r="Q829">
        <f t="shared" si="1005"/>
        <v>-597247312.46484256</v>
      </c>
      <c r="R829">
        <f t="shared" si="1006"/>
        <v>7389887573.8404016</v>
      </c>
      <c r="S829">
        <f t="shared" si="1007"/>
        <v>73898.875738404022</v>
      </c>
      <c r="T829">
        <f t="shared" si="1008"/>
        <v>73.898875738404016</v>
      </c>
    </row>
    <row r="830" spans="1:20" x14ac:dyDescent="0.25">
      <c r="A830" s="5">
        <v>43763</v>
      </c>
      <c r="B830">
        <v>1.516E-2</v>
      </c>
      <c r="C830">
        <v>1.7739999999999999E-2</v>
      </c>
      <c r="D830">
        <v>1.4959999999999999E-2</v>
      </c>
      <c r="E830">
        <v>1.7639999999999999E-2</v>
      </c>
      <c r="F830">
        <v>1478772669.5999999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0.92805755395683498</v>
      </c>
      <c r="Q830">
        <f t="shared" si="1005"/>
        <v>1372386146.6071949</v>
      </c>
      <c r="R830">
        <f t="shared" si="1006"/>
        <v>7987134886.3052444</v>
      </c>
      <c r="S830">
        <f t="shared" si="1007"/>
        <v>79871.348863052452</v>
      </c>
      <c r="T830">
        <f t="shared" si="1008"/>
        <v>79.871348863052447</v>
      </c>
    </row>
    <row r="831" spans="1:20" x14ac:dyDescent="0.25">
      <c r="A831" s="5">
        <v>43762</v>
      </c>
      <c r="B831">
        <v>1.434E-2</v>
      </c>
      <c r="C831">
        <v>1.538E-2</v>
      </c>
      <c r="D831">
        <v>1.4189999999999999E-2</v>
      </c>
      <c r="E831">
        <v>1.516E-2</v>
      </c>
      <c r="F831">
        <v>578018591.89999998</v>
      </c>
      <c r="G831">
        <v>0</v>
      </c>
      <c r="L831" t="s">
        <v>8</v>
      </c>
      <c r="M831" t="s">
        <v>7</v>
      </c>
      <c r="N831" t="s">
        <v>8</v>
      </c>
      <c r="P831">
        <f t="shared" ref="P831:P894" si="1009">IF(C831=D831,0,((E831-D831)-(C831-E831))/(C831-D831))</f>
        <v>0.63025210084033667</v>
      </c>
      <c r="Q831">
        <f t="shared" ref="Q831:Q894" si="1010">F831*P831</f>
        <v>364297431.86974818</v>
      </c>
      <c r="R831">
        <f t="shared" ref="R831:R894" si="1011">R832+Q831</f>
        <v>6614748739.6980495</v>
      </c>
      <c r="S831">
        <f t="shared" ref="S831:S894" si="1012">R831/100000</f>
        <v>66147.48739698049</v>
      </c>
      <c r="T831">
        <f t="shared" ref="T831:T894" si="1013">S831/1000</f>
        <v>66.147487396980495</v>
      </c>
    </row>
    <row r="832" spans="1:20" x14ac:dyDescent="0.25">
      <c r="A832" s="5">
        <v>43761</v>
      </c>
      <c r="B832">
        <v>1.511E-2</v>
      </c>
      <c r="C832">
        <v>1.5169999999999999E-2</v>
      </c>
      <c r="D832">
        <v>1.3639999999999999E-2</v>
      </c>
      <c r="E832">
        <v>1.435E-2</v>
      </c>
      <c r="F832">
        <v>546138570.10000002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-7.1895424836600635E-2</v>
      </c>
      <c r="Q832">
        <f t="shared" si="1010"/>
        <v>-39264864.516993098</v>
      </c>
      <c r="R832">
        <f t="shared" si="1011"/>
        <v>6250451307.8283014</v>
      </c>
      <c r="S832">
        <f t="shared" si="1012"/>
        <v>62504.513078283017</v>
      </c>
      <c r="T832">
        <f t="shared" si="1013"/>
        <v>62.504513078283019</v>
      </c>
    </row>
    <row r="833" spans="1:20" x14ac:dyDescent="0.25">
      <c r="A833" s="5">
        <v>43760</v>
      </c>
      <c r="B833">
        <v>1.55E-2</v>
      </c>
      <c r="C833">
        <v>1.5650000000000001E-2</v>
      </c>
      <c r="D833">
        <v>1.504E-2</v>
      </c>
      <c r="E833">
        <v>1.512E-2</v>
      </c>
      <c r="F833">
        <v>295908785.5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-0.73770491803278671</v>
      </c>
      <c r="Q833">
        <f t="shared" si="1010"/>
        <v>-218293366.35245895</v>
      </c>
      <c r="R833">
        <f t="shared" si="1011"/>
        <v>6289716172.345295</v>
      </c>
      <c r="S833">
        <f t="shared" si="1012"/>
        <v>62897.161723452948</v>
      </c>
      <c r="T833">
        <f t="shared" si="1013"/>
        <v>62.897161723452946</v>
      </c>
    </row>
    <row r="834" spans="1:20" x14ac:dyDescent="0.25">
      <c r="A834" s="5">
        <v>43759</v>
      </c>
      <c r="B834">
        <v>1.549E-2</v>
      </c>
      <c r="C834">
        <v>1.5699999999999999E-2</v>
      </c>
      <c r="D834">
        <v>1.5299999999999999E-2</v>
      </c>
      <c r="E834">
        <v>1.55E-2</v>
      </c>
      <c r="F834">
        <v>435447766.89999998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4.3368086899420248E-15</v>
      </c>
      <c r="Q834">
        <f t="shared" si="1010"/>
        <v>1.8884536595077691E-6</v>
      </c>
      <c r="R834">
        <f t="shared" si="1011"/>
        <v>6508009538.6977539</v>
      </c>
      <c r="S834">
        <f t="shared" si="1012"/>
        <v>65080.09538697754</v>
      </c>
      <c r="T834">
        <f t="shared" si="1013"/>
        <v>65.080095386977547</v>
      </c>
    </row>
    <row r="835" spans="1:20" x14ac:dyDescent="0.25">
      <c r="A835" s="5">
        <v>43758</v>
      </c>
      <c r="B835">
        <v>1.5469999999999999E-2</v>
      </c>
      <c r="C835">
        <v>1.558E-2</v>
      </c>
      <c r="D835">
        <v>1.5010000000000001E-2</v>
      </c>
      <c r="E835">
        <v>1.55E-2</v>
      </c>
      <c r="F835">
        <v>521334542.80000001</v>
      </c>
      <c r="G835">
        <v>0</v>
      </c>
      <c r="L835" t="s">
        <v>8</v>
      </c>
      <c r="M835" t="s">
        <v>7</v>
      </c>
      <c r="N835" t="s">
        <v>8</v>
      </c>
      <c r="P835">
        <f t="shared" si="1009"/>
        <v>0.71929824561403399</v>
      </c>
      <c r="Q835">
        <f t="shared" si="1010"/>
        <v>374995022.01403451</v>
      </c>
      <c r="R835">
        <f t="shared" si="1011"/>
        <v>6508009538.697752</v>
      </c>
      <c r="S835">
        <f t="shared" si="1012"/>
        <v>65080.095386977519</v>
      </c>
      <c r="T835">
        <f t="shared" si="1013"/>
        <v>65.080095386977519</v>
      </c>
    </row>
    <row r="836" spans="1:20" x14ac:dyDescent="0.25">
      <c r="A836" s="5">
        <v>43757</v>
      </c>
      <c r="B836">
        <v>1.537E-2</v>
      </c>
      <c r="C836">
        <v>1.5779999999999999E-2</v>
      </c>
      <c r="D836">
        <v>1.5129999999999999E-2</v>
      </c>
      <c r="E836">
        <v>1.5480000000000001E-2</v>
      </c>
      <c r="F836">
        <v>807207172.5</v>
      </c>
      <c r="G836">
        <v>0</v>
      </c>
      <c r="L836" t="s">
        <v>8</v>
      </c>
      <c r="M836" t="s">
        <v>7</v>
      </c>
      <c r="N836" t="s">
        <v>8</v>
      </c>
      <c r="P836">
        <f t="shared" si="1009"/>
        <v>7.6923076923081854E-2</v>
      </c>
      <c r="Q836">
        <f t="shared" si="1010"/>
        <v>62092859.423080906</v>
      </c>
      <c r="R836">
        <f t="shared" si="1011"/>
        <v>6133014516.6837177</v>
      </c>
      <c r="S836">
        <f t="shared" si="1012"/>
        <v>61330.145166837174</v>
      </c>
      <c r="T836">
        <f t="shared" si="1013"/>
        <v>61.330145166837177</v>
      </c>
    </row>
    <row r="837" spans="1:20" x14ac:dyDescent="0.25">
      <c r="A837" s="5">
        <v>43756</v>
      </c>
      <c r="B837">
        <v>1.536E-2</v>
      </c>
      <c r="C837">
        <v>1.5559999999999999E-2</v>
      </c>
      <c r="D837">
        <v>1.4590000000000001E-2</v>
      </c>
      <c r="E837">
        <v>1.536E-2</v>
      </c>
      <c r="F837">
        <v>859678851.10000002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0.58762886597938335</v>
      </c>
      <c r="Q837">
        <f t="shared" si="1010"/>
        <v>505172108.37835217</v>
      </c>
      <c r="R837">
        <f t="shared" si="1011"/>
        <v>6070921657.2606373</v>
      </c>
      <c r="S837">
        <f t="shared" si="1012"/>
        <v>60709.216572606376</v>
      </c>
      <c r="T837">
        <f t="shared" si="1013"/>
        <v>60.709216572606373</v>
      </c>
    </row>
    <row r="838" spans="1:20" x14ac:dyDescent="0.25">
      <c r="A838" s="5">
        <v>43755</v>
      </c>
      <c r="B838">
        <v>1.5180000000000001E-2</v>
      </c>
      <c r="C838">
        <v>1.5429999999999999E-2</v>
      </c>
      <c r="D838">
        <v>1.4489999999999999E-2</v>
      </c>
      <c r="E838">
        <v>1.536E-2</v>
      </c>
      <c r="F838">
        <v>958420369.29999995</v>
      </c>
      <c r="G838">
        <v>0</v>
      </c>
      <c r="L838" t="s">
        <v>7</v>
      </c>
      <c r="M838" t="s">
        <v>7</v>
      </c>
      <c r="N838" t="s">
        <v>8</v>
      </c>
      <c r="P838">
        <f t="shared" si="1009"/>
        <v>0.85106382978723638</v>
      </c>
      <c r="Q838">
        <f t="shared" si="1010"/>
        <v>815676910.04255545</v>
      </c>
      <c r="R838">
        <f t="shared" si="1011"/>
        <v>5565749548.8822851</v>
      </c>
      <c r="S838">
        <f t="shared" si="1012"/>
        <v>55657.495488822853</v>
      </c>
      <c r="T838">
        <f t="shared" si="1013"/>
        <v>55.657495488822853</v>
      </c>
    </row>
    <row r="839" spans="1:20" x14ac:dyDescent="0.25">
      <c r="A839" s="5">
        <v>43754</v>
      </c>
      <c r="B839">
        <v>1.5650000000000001E-2</v>
      </c>
      <c r="C839">
        <v>1.5820000000000001E-2</v>
      </c>
      <c r="D839">
        <v>1.452E-2</v>
      </c>
      <c r="E839">
        <v>1.5180000000000001E-2</v>
      </c>
      <c r="F839">
        <v>816605583.79999995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1.5384615384616083E-2</v>
      </c>
      <c r="Q839">
        <f t="shared" si="1010"/>
        <v>12563162.827692878</v>
      </c>
      <c r="R839">
        <f t="shared" si="1011"/>
        <v>4750072638.8397293</v>
      </c>
      <c r="S839">
        <f t="shared" si="1012"/>
        <v>47500.726388397292</v>
      </c>
      <c r="T839">
        <f t="shared" si="1013"/>
        <v>47.50072638839729</v>
      </c>
    </row>
    <row r="840" spans="1:20" x14ac:dyDescent="0.25">
      <c r="A840" s="5">
        <v>43753</v>
      </c>
      <c r="B840">
        <v>1.6670000000000001E-2</v>
      </c>
      <c r="C840">
        <v>1.6809999999999999E-2</v>
      </c>
      <c r="D840">
        <v>1.542E-2</v>
      </c>
      <c r="E840">
        <v>1.566E-2</v>
      </c>
      <c r="F840">
        <v>977730892.29999995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-0.65467625899280457</v>
      </c>
      <c r="Q840">
        <f t="shared" si="1010"/>
        <v>-640097202.87266064</v>
      </c>
      <c r="R840">
        <f t="shared" si="1011"/>
        <v>4737509476.0120363</v>
      </c>
      <c r="S840">
        <f t="shared" si="1012"/>
        <v>47375.094760120366</v>
      </c>
      <c r="T840">
        <f t="shared" si="1013"/>
        <v>47.375094760120369</v>
      </c>
    </row>
    <row r="841" spans="1:20" x14ac:dyDescent="0.25">
      <c r="A841" s="5">
        <v>43752</v>
      </c>
      <c r="B841">
        <v>1.6049999999999998E-2</v>
      </c>
      <c r="C841">
        <v>1.6709999999999999E-2</v>
      </c>
      <c r="D841">
        <v>1.5970000000000002E-2</v>
      </c>
      <c r="E841">
        <v>1.6670000000000001E-2</v>
      </c>
      <c r="F841">
        <v>728141851.39999998</v>
      </c>
      <c r="G841">
        <v>0</v>
      </c>
      <c r="L841" t="s">
        <v>8</v>
      </c>
      <c r="M841" t="s">
        <v>8</v>
      </c>
      <c r="N841" t="s">
        <v>8</v>
      </c>
      <c r="P841">
        <f t="shared" si="1009"/>
        <v>0.89189189189189599</v>
      </c>
      <c r="Q841">
        <f t="shared" si="1010"/>
        <v>649423813.41081381</v>
      </c>
      <c r="R841">
        <f t="shared" si="1011"/>
        <v>5377606678.884697</v>
      </c>
      <c r="S841">
        <f t="shared" si="1012"/>
        <v>53776.066788846969</v>
      </c>
      <c r="T841">
        <f t="shared" si="1013"/>
        <v>53.776066788846968</v>
      </c>
    </row>
    <row r="842" spans="1:20" x14ac:dyDescent="0.25">
      <c r="A842" s="5">
        <v>43751</v>
      </c>
      <c r="B842">
        <v>1.566E-2</v>
      </c>
      <c r="C842">
        <v>1.635E-2</v>
      </c>
      <c r="D842">
        <v>1.559E-2</v>
      </c>
      <c r="E842">
        <v>1.6060000000000001E-2</v>
      </c>
      <c r="F842">
        <v>750126142.60000002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0.23684210526316185</v>
      </c>
      <c r="Q842">
        <f t="shared" si="1010"/>
        <v>177661454.82631877</v>
      </c>
      <c r="R842">
        <f t="shared" si="1011"/>
        <v>4728182865.4738827</v>
      </c>
      <c r="S842">
        <f t="shared" si="1012"/>
        <v>47281.828654738827</v>
      </c>
      <c r="T842">
        <f t="shared" si="1013"/>
        <v>47.281828654738824</v>
      </c>
    </row>
    <row r="843" spans="1:20" x14ac:dyDescent="0.25">
      <c r="A843" s="5">
        <v>43750</v>
      </c>
      <c r="B843">
        <v>1.5820000000000001E-2</v>
      </c>
      <c r="C843">
        <v>1.6119999999999999E-2</v>
      </c>
      <c r="D843">
        <v>1.5599999999999999E-2</v>
      </c>
      <c r="E843">
        <v>1.566E-2</v>
      </c>
      <c r="F843">
        <v>612798610.89999998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-0.76923076923076517</v>
      </c>
      <c r="Q843">
        <f t="shared" si="1010"/>
        <v>-471383546.84615135</v>
      </c>
      <c r="R843">
        <f t="shared" si="1011"/>
        <v>4550521410.6475639</v>
      </c>
      <c r="S843">
        <f t="shared" si="1012"/>
        <v>45505.214106475636</v>
      </c>
      <c r="T843">
        <f t="shared" si="1013"/>
        <v>45.505214106475634</v>
      </c>
    </row>
    <row r="844" spans="1:20" x14ac:dyDescent="0.25">
      <c r="A844" s="5">
        <v>43749</v>
      </c>
      <c r="B844">
        <v>1.6219999999999998E-2</v>
      </c>
      <c r="C844">
        <v>1.6719999999999999E-2</v>
      </c>
      <c r="D844">
        <v>1.554E-2</v>
      </c>
      <c r="E844">
        <v>1.5820000000000001E-2</v>
      </c>
      <c r="F844">
        <v>1127397039.0999999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-0.52542372881355759</v>
      </c>
      <c r="Q844">
        <f t="shared" si="1010"/>
        <v>-592361156.13728619</v>
      </c>
      <c r="R844">
        <f t="shared" si="1011"/>
        <v>5021904957.4937153</v>
      </c>
      <c r="S844">
        <f t="shared" si="1012"/>
        <v>50219.049574937155</v>
      </c>
      <c r="T844">
        <f t="shared" si="1013"/>
        <v>50.219049574937152</v>
      </c>
    </row>
    <row r="845" spans="1:20" x14ac:dyDescent="0.25">
      <c r="A845" s="5">
        <v>43748</v>
      </c>
      <c r="B845">
        <v>1.6899999999999998E-2</v>
      </c>
      <c r="C845">
        <v>1.7010000000000001E-2</v>
      </c>
      <c r="D845">
        <v>1.5949999999999999E-2</v>
      </c>
      <c r="E845">
        <v>1.6230000000000001E-2</v>
      </c>
      <c r="F845">
        <v>944639880.10000002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-0.47169811320754346</v>
      </c>
      <c r="Q845">
        <f t="shared" si="1010"/>
        <v>-445584849.10377008</v>
      </c>
      <c r="R845">
        <f t="shared" si="1011"/>
        <v>5614266113.6310015</v>
      </c>
      <c r="S845">
        <f t="shared" si="1012"/>
        <v>56142.661136310016</v>
      </c>
      <c r="T845">
        <f t="shared" si="1013"/>
        <v>56.142661136310018</v>
      </c>
    </row>
    <row r="846" spans="1:20" x14ac:dyDescent="0.25">
      <c r="A846" s="5">
        <v>43747</v>
      </c>
      <c r="B846">
        <v>1.6910000000000001E-2</v>
      </c>
      <c r="C846">
        <v>1.7500000000000002E-2</v>
      </c>
      <c r="D846">
        <v>1.6480000000000002E-2</v>
      </c>
      <c r="E846">
        <v>1.6899999999999998E-2</v>
      </c>
      <c r="F846">
        <v>1083469426.8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-0.17647058823530051</v>
      </c>
      <c r="Q846">
        <f t="shared" si="1010"/>
        <v>-191200487.08235985</v>
      </c>
      <c r="R846">
        <f t="shared" si="1011"/>
        <v>6059850962.7347717</v>
      </c>
      <c r="S846">
        <f t="shared" si="1012"/>
        <v>60598.509627347717</v>
      </c>
      <c r="T846">
        <f t="shared" si="1013"/>
        <v>60.598509627347717</v>
      </c>
    </row>
    <row r="847" spans="1:20" x14ac:dyDescent="0.25">
      <c r="A847" s="5">
        <v>43746</v>
      </c>
      <c r="B847">
        <v>1.6230000000000001E-2</v>
      </c>
      <c r="C847">
        <v>1.7149999999999999E-2</v>
      </c>
      <c r="D847">
        <v>1.5810000000000001E-2</v>
      </c>
      <c r="E847">
        <v>1.6920000000000001E-2</v>
      </c>
      <c r="F847">
        <v>1268688983.2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0.65671641791045077</v>
      </c>
      <c r="Q847">
        <f t="shared" si="1010"/>
        <v>833168884.48955607</v>
      </c>
      <c r="R847">
        <f t="shared" si="1011"/>
        <v>6251051449.817132</v>
      </c>
      <c r="S847">
        <f t="shared" si="1012"/>
        <v>62510.514498171317</v>
      </c>
      <c r="T847">
        <f t="shared" si="1013"/>
        <v>62.510514498171318</v>
      </c>
    </row>
    <row r="848" spans="1:20" x14ac:dyDescent="0.25">
      <c r="A848" s="5">
        <v>43745</v>
      </c>
      <c r="B848">
        <v>1.4500000000000001E-2</v>
      </c>
      <c r="C848">
        <v>1.652E-2</v>
      </c>
      <c r="D848">
        <v>1.4330000000000001E-2</v>
      </c>
      <c r="E848">
        <v>1.6219999999999998E-2</v>
      </c>
      <c r="F848">
        <v>1531385796.4000001</v>
      </c>
      <c r="G848">
        <v>0</v>
      </c>
      <c r="L848" t="s">
        <v>8</v>
      </c>
      <c r="M848" t="s">
        <v>8</v>
      </c>
      <c r="N848" t="s">
        <v>8</v>
      </c>
      <c r="P848">
        <f t="shared" si="1009"/>
        <v>0.72602739726027232</v>
      </c>
      <c r="Q848">
        <f t="shared" si="1010"/>
        <v>1111828043.9616413</v>
      </c>
      <c r="R848">
        <f t="shared" si="1011"/>
        <v>5417882565.3275757</v>
      </c>
      <c r="S848">
        <f t="shared" si="1012"/>
        <v>54178.825653275759</v>
      </c>
      <c r="T848">
        <f t="shared" si="1013"/>
        <v>54.178825653275759</v>
      </c>
    </row>
    <row r="849" spans="1:20" x14ac:dyDescent="0.25">
      <c r="A849" s="5">
        <v>43744</v>
      </c>
      <c r="B849">
        <v>1.507E-2</v>
      </c>
      <c r="C849">
        <v>1.54E-2</v>
      </c>
      <c r="D849">
        <v>1.44E-2</v>
      </c>
      <c r="E849">
        <v>1.4500000000000001E-2</v>
      </c>
      <c r="F849">
        <v>1355146386.4000001</v>
      </c>
      <c r="G849">
        <v>0</v>
      </c>
      <c r="L849" t="s">
        <v>8</v>
      </c>
      <c r="M849" t="s">
        <v>8</v>
      </c>
      <c r="N849" t="s">
        <v>8</v>
      </c>
      <c r="P849">
        <f t="shared" si="1009"/>
        <v>-0.79999999999999793</v>
      </c>
      <c r="Q849">
        <f t="shared" si="1010"/>
        <v>-1084117109.1199973</v>
      </c>
      <c r="R849">
        <f t="shared" si="1011"/>
        <v>4306054521.3659344</v>
      </c>
      <c r="S849">
        <f t="shared" si="1012"/>
        <v>43060.545213659345</v>
      </c>
      <c r="T849">
        <f t="shared" si="1013"/>
        <v>43.060545213659346</v>
      </c>
    </row>
    <row r="850" spans="1:20" x14ac:dyDescent="0.25">
      <c r="A850" s="5">
        <v>43743</v>
      </c>
      <c r="B850">
        <v>1.4540000000000001E-2</v>
      </c>
      <c r="C850">
        <v>1.5089999999999999E-2</v>
      </c>
      <c r="D850">
        <v>1.434E-2</v>
      </c>
      <c r="E850">
        <v>1.508E-2</v>
      </c>
      <c r="F850">
        <v>940710051.70000005</v>
      </c>
      <c r="G850">
        <v>0</v>
      </c>
      <c r="L850" t="s">
        <v>8</v>
      </c>
      <c r="M850" t="s">
        <v>8</v>
      </c>
      <c r="N850" t="s">
        <v>8</v>
      </c>
      <c r="P850">
        <f t="shared" si="1009"/>
        <v>0.97333333333333438</v>
      </c>
      <c r="Q850">
        <f t="shared" si="1010"/>
        <v>915624450.32133436</v>
      </c>
      <c r="R850">
        <f t="shared" si="1011"/>
        <v>5390171630.4859314</v>
      </c>
      <c r="S850">
        <f t="shared" si="1012"/>
        <v>53901.716304859314</v>
      </c>
      <c r="T850">
        <f t="shared" si="1013"/>
        <v>53.901716304859313</v>
      </c>
    </row>
    <row r="851" spans="1:20" x14ac:dyDescent="0.25">
      <c r="A851" s="5">
        <v>43742</v>
      </c>
      <c r="B851">
        <v>1.4290000000000001E-2</v>
      </c>
      <c r="C851">
        <v>1.478E-2</v>
      </c>
      <c r="D851">
        <v>1.3939999999999999E-2</v>
      </c>
      <c r="E851">
        <v>1.4540000000000001E-2</v>
      </c>
      <c r="F851">
        <v>1026532226.1</v>
      </c>
      <c r="G851">
        <v>0</v>
      </c>
      <c r="L851" t="s">
        <v>8</v>
      </c>
      <c r="M851" t="s">
        <v>8</v>
      </c>
      <c r="N851" t="s">
        <v>8</v>
      </c>
      <c r="P851">
        <f t="shared" si="1009"/>
        <v>0.42857142857143155</v>
      </c>
      <c r="Q851">
        <f t="shared" si="1010"/>
        <v>439942382.61428881</v>
      </c>
      <c r="R851">
        <f t="shared" si="1011"/>
        <v>4474547180.1645966</v>
      </c>
      <c r="S851">
        <f t="shared" si="1012"/>
        <v>44745.471801645966</v>
      </c>
      <c r="T851">
        <f t="shared" si="1013"/>
        <v>44.745471801645969</v>
      </c>
    </row>
    <row r="852" spans="1:20" x14ac:dyDescent="0.25">
      <c r="A852" s="5">
        <v>43741</v>
      </c>
      <c r="B852">
        <v>1.438E-2</v>
      </c>
      <c r="C852">
        <v>1.444E-2</v>
      </c>
      <c r="D852">
        <v>1.3899999999999999E-2</v>
      </c>
      <c r="E852">
        <v>1.4279999999999999E-2</v>
      </c>
      <c r="F852">
        <v>628131980.70000005</v>
      </c>
      <c r="G852">
        <v>0</v>
      </c>
      <c r="L852" t="s">
        <v>7</v>
      </c>
      <c r="M852" t="s">
        <v>8</v>
      </c>
      <c r="N852" t="s">
        <v>8</v>
      </c>
      <c r="P852">
        <f t="shared" si="1009"/>
        <v>0.40740740740740644</v>
      </c>
      <c r="Q852">
        <f t="shared" si="1010"/>
        <v>255905621.76666608</v>
      </c>
      <c r="R852">
        <f t="shared" si="1011"/>
        <v>4034604797.5503073</v>
      </c>
      <c r="S852">
        <f t="shared" si="1012"/>
        <v>40346.047975503076</v>
      </c>
      <c r="T852">
        <f t="shared" si="1013"/>
        <v>40.346047975503076</v>
      </c>
    </row>
    <row r="853" spans="1:20" x14ac:dyDescent="0.25">
      <c r="A853" s="5">
        <v>43740</v>
      </c>
      <c r="B853">
        <v>1.3939999999999999E-2</v>
      </c>
      <c r="C853">
        <v>1.443E-2</v>
      </c>
      <c r="D853">
        <v>1.366E-2</v>
      </c>
      <c r="E853">
        <v>1.438E-2</v>
      </c>
      <c r="F853">
        <v>686074037</v>
      </c>
      <c r="G853">
        <v>0</v>
      </c>
      <c r="L853" t="s">
        <v>7</v>
      </c>
      <c r="M853" t="s">
        <v>8</v>
      </c>
      <c r="N853" t="s">
        <v>8</v>
      </c>
      <c r="P853">
        <f t="shared" si="1009"/>
        <v>0.87012987012987086</v>
      </c>
      <c r="Q853">
        <f t="shared" si="1010"/>
        <v>596973512.71428621</v>
      </c>
      <c r="R853">
        <f t="shared" si="1011"/>
        <v>3778699175.7836413</v>
      </c>
      <c r="S853">
        <f t="shared" si="1012"/>
        <v>37786.991757836411</v>
      </c>
      <c r="T853">
        <f t="shared" si="1013"/>
        <v>37.786991757836411</v>
      </c>
    </row>
    <row r="854" spans="1:20" x14ac:dyDescent="0.25">
      <c r="A854" s="5">
        <v>43739</v>
      </c>
      <c r="B854">
        <v>1.453E-2</v>
      </c>
      <c r="C854">
        <v>1.4880000000000001E-2</v>
      </c>
      <c r="D854">
        <v>1.3729999999999999E-2</v>
      </c>
      <c r="E854">
        <v>1.3939999999999999E-2</v>
      </c>
      <c r="F854">
        <v>918372658.5</v>
      </c>
      <c r="G854">
        <v>0</v>
      </c>
      <c r="L854" t="s">
        <v>7</v>
      </c>
      <c r="M854" t="s">
        <v>8</v>
      </c>
      <c r="N854" t="s">
        <v>8</v>
      </c>
      <c r="P854">
        <f t="shared" si="1009"/>
        <v>-0.63478260869565251</v>
      </c>
      <c r="Q854">
        <f t="shared" si="1010"/>
        <v>-582966991.91739166</v>
      </c>
      <c r="R854">
        <f t="shared" si="1011"/>
        <v>3181725663.069355</v>
      </c>
      <c r="S854">
        <f t="shared" si="1012"/>
        <v>31817.256630693551</v>
      </c>
      <c r="T854">
        <f t="shared" si="1013"/>
        <v>31.817256630693553</v>
      </c>
    </row>
    <row r="855" spans="1:20" x14ac:dyDescent="0.25">
      <c r="A855" s="5">
        <v>43738</v>
      </c>
      <c r="B855">
        <v>1.328E-2</v>
      </c>
      <c r="C855">
        <v>1.5100000000000001E-2</v>
      </c>
      <c r="D855">
        <v>1.282E-2</v>
      </c>
      <c r="E855">
        <v>1.453E-2</v>
      </c>
      <c r="F855">
        <v>1312183096.8</v>
      </c>
      <c r="G855">
        <v>0</v>
      </c>
      <c r="L855" t="s">
        <v>8</v>
      </c>
      <c r="M855" t="s">
        <v>8</v>
      </c>
      <c r="N855" t="s">
        <v>8</v>
      </c>
      <c r="P855">
        <f t="shared" si="1009"/>
        <v>0.49999999999999922</v>
      </c>
      <c r="Q855">
        <f t="shared" si="1010"/>
        <v>656091548.3999989</v>
      </c>
      <c r="R855">
        <f t="shared" si="1011"/>
        <v>3764692654.9867468</v>
      </c>
      <c r="S855">
        <f t="shared" si="1012"/>
        <v>37646.926549867465</v>
      </c>
      <c r="T855">
        <f t="shared" si="1013"/>
        <v>37.646926549867466</v>
      </c>
    </row>
    <row r="856" spans="1:20" x14ac:dyDescent="0.25">
      <c r="A856" s="5">
        <v>43737</v>
      </c>
      <c r="B856">
        <v>1.357E-2</v>
      </c>
      <c r="C856">
        <v>1.3639999999999999E-2</v>
      </c>
      <c r="D856">
        <v>1.2749999999999999E-2</v>
      </c>
      <c r="E856">
        <v>1.3270000000000001E-2</v>
      </c>
      <c r="F856">
        <v>637623805.5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0.16853932584269948</v>
      </c>
      <c r="Q856">
        <f t="shared" si="1010"/>
        <v>107464686.32022654</v>
      </c>
      <c r="R856">
        <f t="shared" si="1011"/>
        <v>3108601106.5867476</v>
      </c>
      <c r="S856">
        <f t="shared" si="1012"/>
        <v>31086.011065867475</v>
      </c>
      <c r="T856">
        <f t="shared" si="1013"/>
        <v>31.086011065867474</v>
      </c>
    </row>
    <row r="857" spans="1:20" x14ac:dyDescent="0.25">
      <c r="A857" s="5">
        <v>43736</v>
      </c>
      <c r="B857">
        <v>1.3610000000000001E-2</v>
      </c>
      <c r="C857">
        <v>1.376E-2</v>
      </c>
      <c r="D857">
        <v>1.321E-2</v>
      </c>
      <c r="E857">
        <v>1.357E-2</v>
      </c>
      <c r="F857">
        <v>565963686.89999998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0.30909090909091219</v>
      </c>
      <c r="Q857">
        <f t="shared" si="1010"/>
        <v>174934230.4963654</v>
      </c>
      <c r="R857">
        <f t="shared" si="1011"/>
        <v>3001136420.266521</v>
      </c>
      <c r="S857">
        <f t="shared" si="1012"/>
        <v>30011.364202665209</v>
      </c>
      <c r="T857">
        <f t="shared" si="1013"/>
        <v>30.011364202665209</v>
      </c>
    </row>
    <row r="858" spans="1:20" x14ac:dyDescent="0.25">
      <c r="A858" s="5">
        <v>43735</v>
      </c>
      <c r="B858">
        <v>1.2760000000000001E-2</v>
      </c>
      <c r="C858">
        <v>1.3899999999999999E-2</v>
      </c>
      <c r="D858">
        <v>1.26E-2</v>
      </c>
      <c r="E858">
        <v>1.3610000000000001E-2</v>
      </c>
      <c r="F858">
        <v>1032408452.2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0.55384615384615565</v>
      </c>
      <c r="Q858">
        <f t="shared" si="1010"/>
        <v>571795450.4492327</v>
      </c>
      <c r="R858">
        <f t="shared" si="1011"/>
        <v>2826202189.7701554</v>
      </c>
      <c r="S858">
        <f t="shared" si="1012"/>
        <v>28262.021897701554</v>
      </c>
      <c r="T858">
        <f t="shared" si="1013"/>
        <v>28.262021897701555</v>
      </c>
    </row>
    <row r="859" spans="1:20" x14ac:dyDescent="0.25">
      <c r="A859" s="5">
        <v>43734</v>
      </c>
      <c r="B859">
        <v>1.316E-2</v>
      </c>
      <c r="C859">
        <v>1.357E-2</v>
      </c>
      <c r="D859">
        <v>1.2030000000000001E-2</v>
      </c>
      <c r="E859">
        <v>1.2749999999999999E-2</v>
      </c>
      <c r="F859">
        <v>1318666326.9000001</v>
      </c>
      <c r="G859">
        <v>0</v>
      </c>
      <c r="L859" t="s">
        <v>7</v>
      </c>
      <c r="M859" t="s">
        <v>8</v>
      </c>
      <c r="N859" t="s">
        <v>7</v>
      </c>
      <c r="P859">
        <f t="shared" si="1009"/>
        <v>-6.4935064935066802E-2</v>
      </c>
      <c r="Q859">
        <f t="shared" si="1010"/>
        <v>-85627683.564937532</v>
      </c>
      <c r="R859">
        <f t="shared" si="1011"/>
        <v>2254406739.3209229</v>
      </c>
      <c r="S859">
        <f t="shared" si="1012"/>
        <v>22544.067393209229</v>
      </c>
      <c r="T859">
        <f t="shared" si="1013"/>
        <v>22.544067393209229</v>
      </c>
    </row>
    <row r="860" spans="1:20" x14ac:dyDescent="0.25">
      <c r="A860" s="5">
        <v>43733</v>
      </c>
      <c r="B860">
        <v>1.255E-2</v>
      </c>
      <c r="C860">
        <v>1.359E-2</v>
      </c>
      <c r="D860">
        <v>1.223E-2</v>
      </c>
      <c r="E860">
        <v>1.316E-2</v>
      </c>
      <c r="F860">
        <v>1535554696.5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0.36764705882352972</v>
      </c>
      <c r="Q860">
        <f t="shared" si="1010"/>
        <v>564542167.83088279</v>
      </c>
      <c r="R860">
        <f t="shared" si="1011"/>
        <v>2340034422.8858604</v>
      </c>
      <c r="S860">
        <f t="shared" si="1012"/>
        <v>23400.344228858605</v>
      </c>
      <c r="T860">
        <f t="shared" si="1013"/>
        <v>23.400344228858604</v>
      </c>
    </row>
    <row r="861" spans="1:20" x14ac:dyDescent="0.25">
      <c r="A861" s="5">
        <v>43732</v>
      </c>
      <c r="B861">
        <v>1.5959999999999998E-2</v>
      </c>
      <c r="C861">
        <v>1.6289999999999999E-2</v>
      </c>
      <c r="D861">
        <v>1.12E-2</v>
      </c>
      <c r="E861">
        <v>1.255E-2</v>
      </c>
      <c r="F861">
        <v>2906256887.5999999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-0.46954813359528458</v>
      </c>
      <c r="Q861">
        <f t="shared" si="1010"/>
        <v>-1364627497.3210206</v>
      </c>
      <c r="R861">
        <f t="shared" si="1011"/>
        <v>1775492255.0549774</v>
      </c>
      <c r="S861">
        <f t="shared" si="1012"/>
        <v>17754.922550549774</v>
      </c>
      <c r="T861">
        <f t="shared" si="1013"/>
        <v>17.754922550549775</v>
      </c>
    </row>
    <row r="862" spans="1:20" x14ac:dyDescent="0.25">
      <c r="A862" s="5">
        <v>43731</v>
      </c>
      <c r="B862">
        <v>1.6809999999999999E-2</v>
      </c>
      <c r="C862">
        <v>1.711E-2</v>
      </c>
      <c r="D862">
        <v>1.5820000000000001E-2</v>
      </c>
      <c r="E862">
        <v>1.5959999999999998E-2</v>
      </c>
      <c r="F862">
        <v>1572171491.8</v>
      </c>
      <c r="G862">
        <v>0</v>
      </c>
      <c r="L862" t="s">
        <v>7</v>
      </c>
      <c r="M862" t="s">
        <v>8</v>
      </c>
      <c r="N862" t="s">
        <v>7</v>
      </c>
      <c r="P862">
        <f t="shared" si="1009"/>
        <v>-0.78294573643411192</v>
      </c>
      <c r="Q862">
        <f t="shared" si="1010"/>
        <v>-1230924966.4480672</v>
      </c>
      <c r="R862">
        <f t="shared" si="1011"/>
        <v>3140119752.375998</v>
      </c>
      <c r="S862">
        <f t="shared" si="1012"/>
        <v>31401.19752375998</v>
      </c>
      <c r="T862">
        <f t="shared" si="1013"/>
        <v>31.401197523759979</v>
      </c>
    </row>
    <row r="863" spans="1:20" x14ac:dyDescent="0.25">
      <c r="A863" s="5">
        <v>43730</v>
      </c>
      <c r="B863">
        <v>1.813E-2</v>
      </c>
      <c r="C863">
        <v>1.813E-2</v>
      </c>
      <c r="D863">
        <v>1.6420000000000001E-2</v>
      </c>
      <c r="E863">
        <v>1.6809999999999999E-2</v>
      </c>
      <c r="F863">
        <v>1387450883.3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-0.54385964912280926</v>
      </c>
      <c r="Q863">
        <f t="shared" si="1010"/>
        <v>-754578550.5666697</v>
      </c>
      <c r="R863">
        <f t="shared" si="1011"/>
        <v>4371044718.8240652</v>
      </c>
      <c r="S863">
        <f t="shared" si="1012"/>
        <v>43710.447188240651</v>
      </c>
      <c r="T863">
        <f t="shared" si="1013"/>
        <v>43.71044718824065</v>
      </c>
    </row>
    <row r="864" spans="1:20" x14ac:dyDescent="0.25">
      <c r="A864" s="5">
        <v>43729</v>
      </c>
      <c r="B864">
        <v>1.7389999999999999E-2</v>
      </c>
      <c r="C864">
        <v>1.8689999999999998E-2</v>
      </c>
      <c r="D864">
        <v>1.712E-2</v>
      </c>
      <c r="E864">
        <v>1.8120000000000001E-2</v>
      </c>
      <c r="F864">
        <v>1305791400.8</v>
      </c>
      <c r="G864">
        <v>0</v>
      </c>
      <c r="L864" t="s">
        <v>8</v>
      </c>
      <c r="M864" t="s">
        <v>8</v>
      </c>
      <c r="N864" t="s">
        <v>7</v>
      </c>
      <c r="P864">
        <f t="shared" si="1009"/>
        <v>0.27388535031847372</v>
      </c>
      <c r="Q864">
        <f t="shared" si="1010"/>
        <v>357637135.2509585</v>
      </c>
      <c r="R864">
        <f t="shared" si="1011"/>
        <v>5125623269.3907347</v>
      </c>
      <c r="S864">
        <f t="shared" si="1012"/>
        <v>51256.232693907346</v>
      </c>
      <c r="T864">
        <f t="shared" si="1013"/>
        <v>51.256232693907343</v>
      </c>
    </row>
    <row r="865" spans="1:20" x14ac:dyDescent="0.25">
      <c r="A865" s="5">
        <v>43728</v>
      </c>
      <c r="B865">
        <v>1.7569999999999999E-2</v>
      </c>
      <c r="C865">
        <v>1.7639999999999999E-2</v>
      </c>
      <c r="D865">
        <v>1.6930000000000001E-2</v>
      </c>
      <c r="E865">
        <v>1.7399999999999999E-2</v>
      </c>
      <c r="F865">
        <v>1435718732.9000001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0.32394366197182811</v>
      </c>
      <c r="Q865">
        <f t="shared" si="1010"/>
        <v>465091983.89717901</v>
      </c>
      <c r="R865">
        <f t="shared" si="1011"/>
        <v>4767986134.1397762</v>
      </c>
      <c r="S865">
        <f t="shared" si="1012"/>
        <v>47679.861341397766</v>
      </c>
      <c r="T865">
        <f t="shared" si="1013"/>
        <v>47.679861341397768</v>
      </c>
    </row>
    <row r="866" spans="1:20" x14ac:dyDescent="0.25">
      <c r="A866" s="5">
        <v>43727</v>
      </c>
      <c r="B866">
        <v>1.7899999999999999E-2</v>
      </c>
      <c r="C866">
        <v>1.7930000000000001E-2</v>
      </c>
      <c r="D866">
        <v>1.6400000000000001E-2</v>
      </c>
      <c r="E866">
        <v>1.7559999999999999E-2</v>
      </c>
      <c r="F866">
        <v>1574022246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0.51633986928104281</v>
      </c>
      <c r="Q866">
        <f t="shared" si="1010"/>
        <v>812730440.74509335</v>
      </c>
      <c r="R866">
        <f t="shared" si="1011"/>
        <v>4302894150.2425976</v>
      </c>
      <c r="S866">
        <f t="shared" si="1012"/>
        <v>43028.941502425972</v>
      </c>
      <c r="T866">
        <f t="shared" si="1013"/>
        <v>43.028941502425972</v>
      </c>
    </row>
    <row r="867" spans="1:20" x14ac:dyDescent="0.25">
      <c r="A867" s="5">
        <v>43726</v>
      </c>
      <c r="B867">
        <v>1.668E-2</v>
      </c>
      <c r="C867">
        <v>1.8579999999999999E-2</v>
      </c>
      <c r="D867">
        <v>1.6670000000000001E-2</v>
      </c>
      <c r="E867">
        <v>1.7899999999999999E-2</v>
      </c>
      <c r="F867">
        <v>1570737958.3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0.28795811518324549</v>
      </c>
      <c r="Q867">
        <f t="shared" si="1010"/>
        <v>452306741.91884726</v>
      </c>
      <c r="R867">
        <f t="shared" si="1011"/>
        <v>3490163709.4975042</v>
      </c>
      <c r="S867">
        <f t="shared" si="1012"/>
        <v>34901.637094975042</v>
      </c>
      <c r="T867">
        <f t="shared" si="1013"/>
        <v>34.901637094975044</v>
      </c>
    </row>
    <row r="868" spans="1:20" x14ac:dyDescent="0.25">
      <c r="A868" s="5">
        <v>43725</v>
      </c>
      <c r="B868">
        <v>1.566E-2</v>
      </c>
      <c r="C868">
        <v>1.7500000000000002E-2</v>
      </c>
      <c r="D868">
        <v>1.5630000000000002E-2</v>
      </c>
      <c r="E868">
        <v>1.668E-2</v>
      </c>
      <c r="F868">
        <v>1507693977.0999999</v>
      </c>
      <c r="G868">
        <v>0</v>
      </c>
      <c r="L868" t="s">
        <v>8</v>
      </c>
      <c r="M868" t="s">
        <v>8</v>
      </c>
      <c r="N868" t="s">
        <v>7</v>
      </c>
      <c r="P868">
        <f t="shared" si="1009"/>
        <v>0.1229946524064158</v>
      </c>
      <c r="Q868">
        <f t="shared" si="1010"/>
        <v>185438296.64866111</v>
      </c>
      <c r="R868">
        <f t="shared" si="1011"/>
        <v>3037856967.5786572</v>
      </c>
      <c r="S868">
        <f t="shared" si="1012"/>
        <v>30378.56967578657</v>
      </c>
      <c r="T868">
        <f t="shared" si="1013"/>
        <v>30.378569675786569</v>
      </c>
    </row>
    <row r="869" spans="1:20" x14ac:dyDescent="0.25">
      <c r="A869" s="5">
        <v>43724</v>
      </c>
      <c r="B869">
        <v>1.5520000000000001E-2</v>
      </c>
      <c r="C869">
        <v>1.5779999999999999E-2</v>
      </c>
      <c r="D869">
        <v>1.5270000000000001E-2</v>
      </c>
      <c r="E869">
        <v>1.5650000000000001E-2</v>
      </c>
      <c r="F869">
        <v>1083783712.2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0.49019607843137802</v>
      </c>
      <c r="Q869">
        <f t="shared" si="1010"/>
        <v>531266525.58824128</v>
      </c>
      <c r="R869">
        <f t="shared" si="1011"/>
        <v>2852418670.929996</v>
      </c>
      <c r="S869">
        <f t="shared" si="1012"/>
        <v>28524.18670929996</v>
      </c>
      <c r="T869">
        <f t="shared" si="1013"/>
        <v>28.524186709299961</v>
      </c>
    </row>
    <row r="870" spans="1:20" x14ac:dyDescent="0.25">
      <c r="A870" s="5">
        <v>43723</v>
      </c>
      <c r="B870">
        <v>1.5769999999999999E-2</v>
      </c>
      <c r="C870">
        <v>1.5939999999999999E-2</v>
      </c>
      <c r="D870">
        <v>1.537E-2</v>
      </c>
      <c r="E870">
        <v>1.5520000000000001E-2</v>
      </c>
      <c r="F870">
        <v>1369231480.2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-0.47368421052631227</v>
      </c>
      <c r="Q870">
        <f t="shared" si="1010"/>
        <v>-648583332.72631097</v>
      </c>
      <c r="R870">
        <f t="shared" si="1011"/>
        <v>2321152145.3417549</v>
      </c>
      <c r="S870">
        <f t="shared" si="1012"/>
        <v>23211.52145341755</v>
      </c>
      <c r="T870">
        <f t="shared" si="1013"/>
        <v>23.21152145341755</v>
      </c>
    </row>
    <row r="871" spans="1:20" x14ac:dyDescent="0.25">
      <c r="A871" s="5">
        <v>43722</v>
      </c>
      <c r="B871">
        <v>1.5509999999999999E-2</v>
      </c>
      <c r="C871">
        <v>1.592E-2</v>
      </c>
      <c r="D871">
        <v>1.516E-2</v>
      </c>
      <c r="E871">
        <v>1.5769999999999999E-2</v>
      </c>
      <c r="F871">
        <v>1538577328.9000001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0.60526315789473484</v>
      </c>
      <c r="Q871">
        <f t="shared" si="1010"/>
        <v>931244172.75526011</v>
      </c>
      <c r="R871">
        <f t="shared" si="1011"/>
        <v>2969735478.0680661</v>
      </c>
      <c r="S871">
        <f t="shared" si="1012"/>
        <v>29697.35478068066</v>
      </c>
      <c r="T871">
        <f t="shared" si="1013"/>
        <v>29.697354780680659</v>
      </c>
    </row>
    <row r="872" spans="1:20" x14ac:dyDescent="0.25">
      <c r="A872" s="5">
        <v>43721</v>
      </c>
      <c r="B872">
        <v>1.4829999999999999E-2</v>
      </c>
      <c r="C872">
        <v>1.5610000000000001E-2</v>
      </c>
      <c r="D872">
        <v>1.4659999999999999E-2</v>
      </c>
      <c r="E872">
        <v>1.5509999999999999E-2</v>
      </c>
      <c r="F872">
        <v>1504038148.0999999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0.78947368421052422</v>
      </c>
      <c r="Q872">
        <f t="shared" si="1010"/>
        <v>1187398537.973681</v>
      </c>
      <c r="R872">
        <f t="shared" si="1011"/>
        <v>2038491305.3128059</v>
      </c>
      <c r="S872">
        <f t="shared" si="1012"/>
        <v>20384.913053128061</v>
      </c>
      <c r="T872">
        <f t="shared" si="1013"/>
        <v>20.384913053128059</v>
      </c>
    </row>
    <row r="873" spans="1:20" x14ac:dyDescent="0.25">
      <c r="A873" s="5">
        <v>43720</v>
      </c>
      <c r="B873">
        <v>1.4919999999999999E-2</v>
      </c>
      <c r="C873">
        <v>1.4970000000000001E-2</v>
      </c>
      <c r="D873">
        <v>1.4409999999999999E-2</v>
      </c>
      <c r="E873">
        <v>1.4829999999999999E-2</v>
      </c>
      <c r="F873">
        <v>1405194979.5999999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0.49999999999999689</v>
      </c>
      <c r="Q873">
        <f t="shared" si="1010"/>
        <v>702597489.79999554</v>
      </c>
      <c r="R873">
        <f t="shared" si="1011"/>
        <v>851092767.33912492</v>
      </c>
      <c r="S873">
        <f t="shared" si="1012"/>
        <v>8510.9276733912484</v>
      </c>
      <c r="T873">
        <f t="shared" si="1013"/>
        <v>8.5109276733912491</v>
      </c>
    </row>
    <row r="874" spans="1:20" x14ac:dyDescent="0.25">
      <c r="A874" s="5">
        <v>43719</v>
      </c>
      <c r="B874">
        <v>1.5610000000000001E-2</v>
      </c>
      <c r="C874">
        <v>1.576E-2</v>
      </c>
      <c r="D874">
        <v>1.477E-2</v>
      </c>
      <c r="E874">
        <v>1.4919999999999999E-2</v>
      </c>
      <c r="F874">
        <v>1447651005.0999999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-0.69696969696969868</v>
      </c>
      <c r="Q874">
        <f t="shared" si="1010"/>
        <v>-1008968882.3424267</v>
      </c>
      <c r="R874">
        <f t="shared" si="1011"/>
        <v>148495277.53912938</v>
      </c>
      <c r="S874">
        <f t="shared" si="1012"/>
        <v>1484.9527753912937</v>
      </c>
      <c r="T874">
        <f t="shared" si="1013"/>
        <v>1.4849527753912937</v>
      </c>
    </row>
    <row r="875" spans="1:20" x14ac:dyDescent="0.25">
      <c r="A875" s="5">
        <v>43718</v>
      </c>
      <c r="B875">
        <v>1.5630000000000002E-2</v>
      </c>
      <c r="C875">
        <v>1.617E-2</v>
      </c>
      <c r="D875">
        <v>1.5339999999999999E-2</v>
      </c>
      <c r="E875">
        <v>1.5610000000000001E-2</v>
      </c>
      <c r="F875">
        <v>1777180191.4000001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-0.34939759036144374</v>
      </c>
      <c r="Q875">
        <f t="shared" si="1010"/>
        <v>-620942476.5132494</v>
      </c>
      <c r="R875">
        <f t="shared" si="1011"/>
        <v>1157464159.881556</v>
      </c>
      <c r="S875">
        <f t="shared" si="1012"/>
        <v>11574.64159881556</v>
      </c>
      <c r="T875">
        <f t="shared" si="1013"/>
        <v>11.57464159881556</v>
      </c>
    </row>
    <row r="876" spans="1:20" x14ac:dyDescent="0.25">
      <c r="A876" s="5">
        <v>43717</v>
      </c>
      <c r="B876">
        <v>1.5740000000000001E-2</v>
      </c>
      <c r="C876">
        <v>1.6109999999999999E-2</v>
      </c>
      <c r="D876">
        <v>1.511E-2</v>
      </c>
      <c r="E876">
        <v>1.5640000000000001E-2</v>
      </c>
      <c r="F876">
        <v>2729680522.5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6.0000000000002808E-2</v>
      </c>
      <c r="Q876">
        <f t="shared" si="1010"/>
        <v>163780831.35000765</v>
      </c>
      <c r="R876">
        <f t="shared" si="1011"/>
        <v>1778406636.3948054</v>
      </c>
      <c r="S876">
        <f t="shared" si="1012"/>
        <v>17784.066363948055</v>
      </c>
      <c r="T876">
        <f t="shared" si="1013"/>
        <v>17.784066363948057</v>
      </c>
    </row>
    <row r="877" spans="1:20" x14ac:dyDescent="0.25">
      <c r="A877" s="5">
        <v>43716</v>
      </c>
      <c r="B877">
        <v>1.536E-2</v>
      </c>
      <c r="C877">
        <v>1.617E-2</v>
      </c>
      <c r="D877">
        <v>1.5129999999999999E-2</v>
      </c>
      <c r="E877">
        <v>1.576E-2</v>
      </c>
      <c r="F877">
        <v>655914843.60000002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0.21153846153846106</v>
      </c>
      <c r="Q877">
        <f t="shared" si="1010"/>
        <v>138751216.91538432</v>
      </c>
      <c r="R877">
        <f t="shared" si="1011"/>
        <v>1614625805.0447977</v>
      </c>
      <c r="S877">
        <f t="shared" si="1012"/>
        <v>16146.258050447977</v>
      </c>
      <c r="T877">
        <f t="shared" si="1013"/>
        <v>16.146258050447976</v>
      </c>
    </row>
    <row r="878" spans="1:20" x14ac:dyDescent="0.25">
      <c r="A878" s="5">
        <v>43715</v>
      </c>
      <c r="B878">
        <v>1.4149999999999999E-2</v>
      </c>
      <c r="C878">
        <v>1.5699999999999999E-2</v>
      </c>
      <c r="D878">
        <v>1.414E-2</v>
      </c>
      <c r="E878">
        <v>1.536E-2</v>
      </c>
      <c r="F878">
        <v>401855374.69999999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0.56410256410256598</v>
      </c>
      <c r="Q878">
        <f t="shared" si="1010"/>
        <v>226687647.26666743</v>
      </c>
      <c r="R878">
        <f t="shared" si="1011"/>
        <v>1475874588.1294134</v>
      </c>
      <c r="S878">
        <f t="shared" si="1012"/>
        <v>14758.745881294133</v>
      </c>
      <c r="T878">
        <f t="shared" si="1013"/>
        <v>14.758745881294134</v>
      </c>
    </row>
    <row r="879" spans="1:20" x14ac:dyDescent="0.25">
      <c r="A879" s="5">
        <v>43714</v>
      </c>
      <c r="B879">
        <v>1.498E-2</v>
      </c>
      <c r="C879">
        <v>1.512E-2</v>
      </c>
      <c r="D879">
        <v>1.388E-2</v>
      </c>
      <c r="E879">
        <v>1.4160000000000001E-2</v>
      </c>
      <c r="F879">
        <v>523594399.10000002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-0.54838709677419228</v>
      </c>
      <c r="Q879">
        <f t="shared" si="1010"/>
        <v>-287132412.40967679</v>
      </c>
      <c r="R879">
        <f t="shared" si="1011"/>
        <v>1249186940.862746</v>
      </c>
      <c r="S879">
        <f t="shared" si="1012"/>
        <v>12491.869408627461</v>
      </c>
      <c r="T879">
        <f t="shared" si="1013"/>
        <v>12.49186940862746</v>
      </c>
    </row>
    <row r="880" spans="1:20" x14ac:dyDescent="0.25">
      <c r="A880" s="5">
        <v>43713</v>
      </c>
      <c r="B880">
        <v>1.553E-2</v>
      </c>
      <c r="C880">
        <v>1.5570000000000001E-2</v>
      </c>
      <c r="D880">
        <v>1.423E-2</v>
      </c>
      <c r="E880">
        <v>1.498E-2</v>
      </c>
      <c r="F880">
        <v>389452194.60000002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0.1194029850746271</v>
      </c>
      <c r="Q880">
        <f t="shared" si="1010"/>
        <v>46501754.579104573</v>
      </c>
      <c r="R880">
        <f t="shared" si="1011"/>
        <v>1536319353.2724228</v>
      </c>
      <c r="S880">
        <f t="shared" si="1012"/>
        <v>15363.193532724228</v>
      </c>
      <c r="T880">
        <f t="shared" si="1013"/>
        <v>15.363193532724228</v>
      </c>
    </row>
    <row r="881" spans="1:20" x14ac:dyDescent="0.25">
      <c r="A881" s="5">
        <v>43712</v>
      </c>
      <c r="B881">
        <v>1.5879999999999998E-2</v>
      </c>
      <c r="C881">
        <v>1.5910000000000001E-2</v>
      </c>
      <c r="D881">
        <v>1.541E-2</v>
      </c>
      <c r="E881">
        <v>1.553E-2</v>
      </c>
      <c r="F881">
        <v>309402731.30000001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-0.51999999999999913</v>
      </c>
      <c r="Q881">
        <f t="shared" si="1010"/>
        <v>-160889420.27599972</v>
      </c>
      <c r="R881">
        <f t="shared" si="1011"/>
        <v>1489817598.6933181</v>
      </c>
      <c r="S881">
        <f t="shared" si="1012"/>
        <v>14898.175986933182</v>
      </c>
      <c r="T881">
        <f t="shared" si="1013"/>
        <v>14.898175986933182</v>
      </c>
    </row>
    <row r="882" spans="1:20" x14ac:dyDescent="0.25">
      <c r="A882" s="5">
        <v>43711</v>
      </c>
      <c r="B882">
        <v>1.5890000000000001E-2</v>
      </c>
      <c r="C882">
        <v>1.618E-2</v>
      </c>
      <c r="D882">
        <v>1.566E-2</v>
      </c>
      <c r="E882">
        <v>1.5879999999999998E-2</v>
      </c>
      <c r="F882">
        <v>313514316.80000001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-0.15384615384616104</v>
      </c>
      <c r="Q882">
        <f t="shared" si="1010"/>
        <v>-48232971.815386876</v>
      </c>
      <c r="R882">
        <f t="shared" si="1011"/>
        <v>1650707018.9693179</v>
      </c>
      <c r="S882">
        <f t="shared" si="1012"/>
        <v>16507.070189693179</v>
      </c>
      <c r="T882">
        <f t="shared" si="1013"/>
        <v>16.507070189693177</v>
      </c>
    </row>
    <row r="883" spans="1:20" x14ac:dyDescent="0.25">
      <c r="A883" s="5">
        <v>43710</v>
      </c>
      <c r="B883">
        <v>1.55E-2</v>
      </c>
      <c r="C883">
        <v>1.6199999999999999E-2</v>
      </c>
      <c r="D883">
        <v>1.5169999999999999E-2</v>
      </c>
      <c r="E883">
        <v>1.5890000000000001E-2</v>
      </c>
      <c r="F883">
        <v>364183724.89999998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0.39805825242718856</v>
      </c>
      <c r="Q883">
        <f t="shared" si="1010"/>
        <v>144966337.09611797</v>
      </c>
      <c r="R883">
        <f t="shared" si="1011"/>
        <v>1698939990.7847047</v>
      </c>
      <c r="S883">
        <f t="shared" si="1012"/>
        <v>16989.399907847048</v>
      </c>
      <c r="T883">
        <f t="shared" si="1013"/>
        <v>16.989399907847048</v>
      </c>
    </row>
    <row r="884" spans="1:20" x14ac:dyDescent="0.25">
      <c r="A884" s="5">
        <v>43709</v>
      </c>
      <c r="B884">
        <v>1.5480000000000001E-2</v>
      </c>
      <c r="C884">
        <v>1.5689999999999999E-2</v>
      </c>
      <c r="D884">
        <v>1.532E-2</v>
      </c>
      <c r="E884">
        <v>1.55E-2</v>
      </c>
      <c r="F884">
        <v>187153913.30000001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-2.7027027027026012E-2</v>
      </c>
      <c r="Q884">
        <f t="shared" si="1010"/>
        <v>-5058213.8729727836</v>
      </c>
      <c r="R884">
        <f t="shared" si="1011"/>
        <v>1553973653.6885867</v>
      </c>
      <c r="S884">
        <f t="shared" si="1012"/>
        <v>15539.736536885866</v>
      </c>
      <c r="T884">
        <f t="shared" si="1013"/>
        <v>15.539736536885867</v>
      </c>
    </row>
    <row r="885" spans="1:20" x14ac:dyDescent="0.25">
      <c r="A885" s="5">
        <v>43708</v>
      </c>
      <c r="B885">
        <v>1.555E-2</v>
      </c>
      <c r="C885">
        <v>1.566E-2</v>
      </c>
      <c r="D885">
        <v>1.5100000000000001E-2</v>
      </c>
      <c r="E885">
        <v>1.5480000000000001E-2</v>
      </c>
      <c r="F885">
        <v>249449199.69999999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0.35714285714285826</v>
      </c>
      <c r="Q885">
        <f t="shared" si="1010"/>
        <v>89088999.892857417</v>
      </c>
      <c r="R885">
        <f t="shared" si="1011"/>
        <v>1559031867.5615594</v>
      </c>
      <c r="S885">
        <f t="shared" si="1012"/>
        <v>15590.318675615594</v>
      </c>
      <c r="T885">
        <f t="shared" si="1013"/>
        <v>15.590318675615594</v>
      </c>
    </row>
    <row r="886" spans="1:20" x14ac:dyDescent="0.25">
      <c r="A886" s="5">
        <v>43707</v>
      </c>
      <c r="B886">
        <v>1.5480000000000001E-2</v>
      </c>
      <c r="C886">
        <v>1.5769999999999999E-2</v>
      </c>
      <c r="D886">
        <v>1.516E-2</v>
      </c>
      <c r="E886">
        <v>1.555E-2</v>
      </c>
      <c r="F886">
        <v>287227024.39999998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0.27868852459016419</v>
      </c>
      <c r="Q886">
        <f t="shared" si="1010"/>
        <v>80046875.652459085</v>
      </c>
      <c r="R886">
        <f t="shared" si="1011"/>
        <v>1469942867.6687021</v>
      </c>
      <c r="S886">
        <f t="shared" si="1012"/>
        <v>14699.428676687021</v>
      </c>
      <c r="T886">
        <f t="shared" si="1013"/>
        <v>14.69942867668702</v>
      </c>
    </row>
    <row r="887" spans="1:20" x14ac:dyDescent="0.25">
      <c r="A887" s="5">
        <v>43706</v>
      </c>
      <c r="B887">
        <v>1.6E-2</v>
      </c>
      <c r="C887">
        <v>1.6E-2</v>
      </c>
      <c r="D887">
        <v>1.5049999999999999E-2</v>
      </c>
      <c r="E887">
        <v>1.5469999999999999E-2</v>
      </c>
      <c r="F887">
        <v>470419436.69999999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-0.11578947368421114</v>
      </c>
      <c r="Q887">
        <f t="shared" si="1010"/>
        <v>-54469618.986316077</v>
      </c>
      <c r="R887">
        <f t="shared" si="1011"/>
        <v>1389895992.016243</v>
      </c>
      <c r="S887">
        <f t="shared" si="1012"/>
        <v>13898.95992016243</v>
      </c>
      <c r="T887">
        <f t="shared" si="1013"/>
        <v>13.898959920162429</v>
      </c>
    </row>
    <row r="888" spans="1:20" x14ac:dyDescent="0.25">
      <c r="A888" s="5">
        <v>43705</v>
      </c>
      <c r="B888">
        <v>1.762E-2</v>
      </c>
      <c r="C888">
        <v>1.7659999999999999E-2</v>
      </c>
      <c r="D888">
        <v>1.5350000000000001E-2</v>
      </c>
      <c r="E888">
        <v>1.5990000000000001E-2</v>
      </c>
      <c r="F888">
        <v>457255337.39999998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-0.44588744588744539</v>
      </c>
      <c r="Q888">
        <f t="shared" si="1010"/>
        <v>-203884414.51168808</v>
      </c>
      <c r="R888">
        <f t="shared" si="1011"/>
        <v>1444365611.0025589</v>
      </c>
      <c r="S888">
        <f t="shared" si="1012"/>
        <v>14443.656110025589</v>
      </c>
      <c r="T888">
        <f t="shared" si="1013"/>
        <v>14.443656110025589</v>
      </c>
    </row>
    <row r="889" spans="1:20" x14ac:dyDescent="0.25">
      <c r="A889" s="5">
        <v>43704</v>
      </c>
      <c r="B889">
        <v>1.7690000000000001E-2</v>
      </c>
      <c r="C889">
        <v>1.7729999999999999E-2</v>
      </c>
      <c r="D889">
        <v>1.7270000000000001E-2</v>
      </c>
      <c r="E889">
        <v>1.762E-2</v>
      </c>
      <c r="F889">
        <v>268370735.80000001</v>
      </c>
      <c r="G889">
        <v>0</v>
      </c>
      <c r="L889" t="s">
        <v>8</v>
      </c>
      <c r="M889" t="s">
        <v>7</v>
      </c>
      <c r="N889" t="s">
        <v>7</v>
      </c>
      <c r="P889">
        <f t="shared" si="1009"/>
        <v>0.52173913043478559</v>
      </c>
      <c r="Q889">
        <f t="shared" si="1010"/>
        <v>140019514.3304356</v>
      </c>
      <c r="R889">
        <f t="shared" si="1011"/>
        <v>1648250025.5142469</v>
      </c>
      <c r="S889">
        <f t="shared" si="1012"/>
        <v>16482.50025514247</v>
      </c>
      <c r="T889">
        <f t="shared" si="1013"/>
        <v>16.482500255142469</v>
      </c>
    </row>
    <row r="890" spans="1:20" x14ac:dyDescent="0.25">
      <c r="A890" s="5">
        <v>43703</v>
      </c>
      <c r="B890">
        <v>1.745E-2</v>
      </c>
      <c r="C890">
        <v>1.8010000000000002E-2</v>
      </c>
      <c r="D890">
        <v>1.7399999999999999E-2</v>
      </c>
      <c r="E890">
        <v>1.7680000000000001E-2</v>
      </c>
      <c r="F890">
        <v>368679336.30000001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-8.1967213114750373E-2</v>
      </c>
      <c r="Q890">
        <f t="shared" si="1010"/>
        <v>-30219617.729506824</v>
      </c>
      <c r="R890">
        <f t="shared" si="1011"/>
        <v>1508230511.1838114</v>
      </c>
      <c r="S890">
        <f t="shared" si="1012"/>
        <v>15082.305111838114</v>
      </c>
      <c r="T890">
        <f t="shared" si="1013"/>
        <v>15.082305111838114</v>
      </c>
    </row>
    <row r="891" spans="1:20" x14ac:dyDescent="0.25">
      <c r="A891" s="5">
        <v>43702</v>
      </c>
      <c r="B891">
        <v>1.7739999999999999E-2</v>
      </c>
      <c r="C891">
        <v>1.8280000000000001E-2</v>
      </c>
      <c r="D891">
        <v>1.7430000000000001E-2</v>
      </c>
      <c r="E891">
        <v>1.7440000000000001E-2</v>
      </c>
      <c r="F891">
        <v>313808777.10000002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-0.97647058823529509</v>
      </c>
      <c r="Q891">
        <f t="shared" si="1010"/>
        <v>-306425041.1682356</v>
      </c>
      <c r="R891">
        <f t="shared" si="1011"/>
        <v>1538450128.9133182</v>
      </c>
      <c r="S891">
        <f t="shared" si="1012"/>
        <v>15384.501289133181</v>
      </c>
      <c r="T891">
        <f t="shared" si="1013"/>
        <v>15.384501289133182</v>
      </c>
    </row>
    <row r="892" spans="1:20" x14ac:dyDescent="0.25">
      <c r="A892" s="5">
        <v>43701</v>
      </c>
      <c r="B892">
        <v>1.7999999999999999E-2</v>
      </c>
      <c r="C892">
        <v>1.8190000000000001E-2</v>
      </c>
      <c r="D892">
        <v>1.7330000000000002E-2</v>
      </c>
      <c r="E892">
        <v>1.7739999999999999E-2</v>
      </c>
      <c r="F892">
        <v>282860004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-4.6511627906982933E-2</v>
      </c>
      <c r="Q892">
        <f t="shared" si="1010"/>
        <v>-13156279.255815703</v>
      </c>
      <c r="R892">
        <f t="shared" si="1011"/>
        <v>1844875170.0815537</v>
      </c>
      <c r="S892">
        <f t="shared" si="1012"/>
        <v>18448.751700815537</v>
      </c>
      <c r="T892">
        <f t="shared" si="1013"/>
        <v>18.448751700815539</v>
      </c>
    </row>
    <row r="893" spans="1:20" x14ac:dyDescent="0.25">
      <c r="A893" s="5">
        <v>43700</v>
      </c>
      <c r="B893">
        <v>1.7350000000000001E-2</v>
      </c>
      <c r="C893">
        <v>1.8370000000000001E-2</v>
      </c>
      <c r="D893">
        <v>1.7309999999999999E-2</v>
      </c>
      <c r="E893">
        <v>1.7999999999999999E-2</v>
      </c>
      <c r="F893">
        <v>358513882.39999998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0.30188679245282718</v>
      </c>
      <c r="Q893">
        <f t="shared" si="1010"/>
        <v>108230606.00754608</v>
      </c>
      <c r="R893">
        <f t="shared" si="1011"/>
        <v>1858031449.3373694</v>
      </c>
      <c r="S893">
        <f t="shared" si="1012"/>
        <v>18580.314493373695</v>
      </c>
      <c r="T893">
        <f t="shared" si="1013"/>
        <v>18.580314493373695</v>
      </c>
    </row>
    <row r="894" spans="1:20" x14ac:dyDescent="0.25">
      <c r="A894" s="5">
        <v>43699</v>
      </c>
      <c r="B894">
        <v>1.678E-2</v>
      </c>
      <c r="C894">
        <v>1.8020000000000001E-2</v>
      </c>
      <c r="D894">
        <v>1.6629999999999999E-2</v>
      </c>
      <c r="E894">
        <v>1.7340000000000001E-2</v>
      </c>
      <c r="F894">
        <v>433045727.30000001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2.158273381295122E-2</v>
      </c>
      <c r="Q894">
        <f t="shared" si="1010"/>
        <v>9346310.6611517631</v>
      </c>
      <c r="R894">
        <f t="shared" si="1011"/>
        <v>1749800843.3298233</v>
      </c>
      <c r="S894">
        <f t="shared" si="1012"/>
        <v>17498.008433298233</v>
      </c>
      <c r="T894">
        <f t="shared" si="1013"/>
        <v>17.498008433298232</v>
      </c>
    </row>
    <row r="895" spans="1:20" x14ac:dyDescent="0.25">
      <c r="A895" s="5">
        <v>43698</v>
      </c>
      <c r="B895">
        <v>1.755E-2</v>
      </c>
      <c r="C895">
        <v>1.7579999999999998E-2</v>
      </c>
      <c r="D895">
        <v>1.634E-2</v>
      </c>
      <c r="E895">
        <v>1.6799999999999999E-2</v>
      </c>
      <c r="F895">
        <v>345877073.30000001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-0.25806451612903336</v>
      </c>
      <c r="Q895">
        <f t="shared" ref="Q895:Q958" si="1015">F895*P895</f>
        <v>-89258599.561290711</v>
      </c>
      <c r="R895">
        <f t="shared" ref="R895:R958" si="1016">R896+Q895</f>
        <v>1740454532.6686716</v>
      </c>
      <c r="S895">
        <f t="shared" ref="S895:S958" si="1017">R895/100000</f>
        <v>17404.545326686715</v>
      </c>
      <c r="T895">
        <f t="shared" ref="T895:T958" si="1018">S895/1000</f>
        <v>17.404545326686716</v>
      </c>
    </row>
    <row r="896" spans="1:20" x14ac:dyDescent="0.25">
      <c r="A896" s="5">
        <v>43697</v>
      </c>
      <c r="B896">
        <v>1.7989999999999999E-2</v>
      </c>
      <c r="C896">
        <v>1.8020000000000001E-2</v>
      </c>
      <c r="D896">
        <v>1.7260000000000001E-2</v>
      </c>
      <c r="E896">
        <v>1.7559999999999999E-2</v>
      </c>
      <c r="F896">
        <v>272954887.80000001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-0.21052631578947872</v>
      </c>
      <c r="Q896">
        <f t="shared" si="1015"/>
        <v>-57464186.905264534</v>
      </c>
      <c r="R896">
        <f t="shared" si="1016"/>
        <v>1829713132.2299623</v>
      </c>
      <c r="S896">
        <f t="shared" si="1017"/>
        <v>18297.131322299625</v>
      </c>
      <c r="T896">
        <f t="shared" si="1018"/>
        <v>18.297131322299624</v>
      </c>
    </row>
    <row r="897" spans="1:20" x14ac:dyDescent="0.25">
      <c r="A897" s="5">
        <v>43696</v>
      </c>
      <c r="B897">
        <v>1.7780000000000001E-2</v>
      </c>
      <c r="C897">
        <v>1.831E-2</v>
      </c>
      <c r="D897">
        <v>1.7579999999999998E-2</v>
      </c>
      <c r="E897">
        <v>1.797E-2</v>
      </c>
      <c r="F897">
        <v>372479183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6.8493150684933335E-2</v>
      </c>
      <c r="Q897">
        <f t="shared" si="1015"/>
        <v>25512272.808219858</v>
      </c>
      <c r="R897">
        <f t="shared" si="1016"/>
        <v>1887177319.135227</v>
      </c>
      <c r="S897">
        <f t="shared" si="1017"/>
        <v>18871.773191352269</v>
      </c>
      <c r="T897">
        <f t="shared" si="1018"/>
        <v>18.871773191352268</v>
      </c>
    </row>
    <row r="898" spans="1:20" x14ac:dyDescent="0.25">
      <c r="A898" s="5">
        <v>43695</v>
      </c>
      <c r="B898">
        <v>1.6910000000000001E-2</v>
      </c>
      <c r="C898">
        <v>1.8319999999999999E-2</v>
      </c>
      <c r="D898">
        <v>1.6709999999999999E-2</v>
      </c>
      <c r="E898">
        <v>1.7770000000000001E-2</v>
      </c>
      <c r="F898">
        <v>405046809.60000002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0.31677018633540582</v>
      </c>
      <c r="Q898">
        <f t="shared" si="1015"/>
        <v>128306753.35155365</v>
      </c>
      <c r="R898">
        <f t="shared" si="1016"/>
        <v>1861665046.3270071</v>
      </c>
      <c r="S898">
        <f t="shared" si="1017"/>
        <v>18616.650463270071</v>
      </c>
      <c r="T898">
        <f t="shared" si="1018"/>
        <v>18.616650463270069</v>
      </c>
    </row>
    <row r="899" spans="1:20" x14ac:dyDescent="0.25">
      <c r="A899" s="5">
        <v>43694</v>
      </c>
      <c r="B899">
        <v>1.6879999999999999E-2</v>
      </c>
      <c r="C899">
        <v>1.7500000000000002E-2</v>
      </c>
      <c r="D899">
        <v>1.6660000000000001E-2</v>
      </c>
      <c r="E899">
        <v>1.6910000000000001E-2</v>
      </c>
      <c r="F899">
        <v>325396399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-0.40476190476190455</v>
      </c>
      <c r="Q899">
        <f t="shared" si="1015"/>
        <v>-131708066.26190469</v>
      </c>
      <c r="R899">
        <f t="shared" si="1016"/>
        <v>1733358292.9754534</v>
      </c>
      <c r="S899">
        <f t="shared" si="1017"/>
        <v>17333.582929754535</v>
      </c>
      <c r="T899">
        <f t="shared" si="1018"/>
        <v>17.333582929754535</v>
      </c>
    </row>
    <row r="900" spans="1:20" x14ac:dyDescent="0.25">
      <c r="A900" s="5">
        <v>43693</v>
      </c>
      <c r="B900">
        <v>1.7520000000000001E-2</v>
      </c>
      <c r="C900">
        <v>1.7649999999999999E-2</v>
      </c>
      <c r="D900">
        <v>1.644E-2</v>
      </c>
      <c r="E900">
        <v>1.6879999999999999E-2</v>
      </c>
      <c r="F900">
        <v>616687889.29999995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-0.27272727272727326</v>
      </c>
      <c r="Q900">
        <f t="shared" si="1015"/>
        <v>-168187606.17272758</v>
      </c>
      <c r="R900">
        <f t="shared" si="1016"/>
        <v>1865066359.2373581</v>
      </c>
      <c r="S900">
        <f t="shared" si="1017"/>
        <v>18650.663592373581</v>
      </c>
      <c r="T900">
        <f t="shared" si="1018"/>
        <v>18.650663592373583</v>
      </c>
    </row>
    <row r="901" spans="1:20" x14ac:dyDescent="0.25">
      <c r="A901" s="5">
        <v>43692</v>
      </c>
      <c r="B901">
        <v>1.7770000000000001E-2</v>
      </c>
      <c r="C901">
        <v>1.8149999999999999E-2</v>
      </c>
      <c r="D901">
        <v>1.6910000000000001E-2</v>
      </c>
      <c r="E901">
        <v>1.753E-2</v>
      </c>
      <c r="F901">
        <v>472907754.80000001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0</v>
      </c>
      <c r="Q901">
        <f t="shared" si="1015"/>
        <v>0</v>
      </c>
      <c r="R901">
        <f t="shared" si="1016"/>
        <v>2033253965.4100857</v>
      </c>
      <c r="S901">
        <f t="shared" si="1017"/>
        <v>20332.539654100856</v>
      </c>
      <c r="T901">
        <f t="shared" si="1018"/>
        <v>20.332539654100856</v>
      </c>
    </row>
    <row r="902" spans="1:20" x14ac:dyDescent="0.25">
      <c r="A902" s="5">
        <v>43691</v>
      </c>
      <c r="B902">
        <v>2.0500000000000001E-2</v>
      </c>
      <c r="C902">
        <v>2.0549999999999999E-2</v>
      </c>
      <c r="D902">
        <v>1.7510000000000001E-2</v>
      </c>
      <c r="E902">
        <v>1.7780000000000001E-2</v>
      </c>
      <c r="F902">
        <v>541547250.20000005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-0.82236842105263186</v>
      </c>
      <c r="Q902">
        <f t="shared" si="1015"/>
        <v>-445351357.07236862</v>
      </c>
      <c r="R902">
        <f t="shared" si="1016"/>
        <v>2033253965.4100857</v>
      </c>
      <c r="S902">
        <f t="shared" si="1017"/>
        <v>20332.539654100856</v>
      </c>
      <c r="T902">
        <f t="shared" si="1018"/>
        <v>20.332539654100856</v>
      </c>
    </row>
    <row r="903" spans="1:20" x14ac:dyDescent="0.25">
      <c r="A903" s="5">
        <v>43690</v>
      </c>
      <c r="B903">
        <v>2.07E-2</v>
      </c>
      <c r="C903">
        <v>2.0789999999999999E-2</v>
      </c>
      <c r="D903">
        <v>2.002E-2</v>
      </c>
      <c r="E903">
        <v>2.0500000000000001E-2</v>
      </c>
      <c r="F903">
        <v>342922578.60000002</v>
      </c>
      <c r="G903">
        <v>0</v>
      </c>
      <c r="L903" t="s">
        <v>8</v>
      </c>
      <c r="M903" t="s">
        <v>7</v>
      </c>
      <c r="N903" t="s">
        <v>7</v>
      </c>
      <c r="P903">
        <f t="shared" si="1014"/>
        <v>0.24675324675325028</v>
      </c>
      <c r="Q903">
        <f t="shared" si="1015"/>
        <v>84617259.654546663</v>
      </c>
      <c r="R903">
        <f t="shared" si="1016"/>
        <v>2478605322.4824543</v>
      </c>
      <c r="S903">
        <f t="shared" si="1017"/>
        <v>24786.053224824544</v>
      </c>
      <c r="T903">
        <f t="shared" si="1018"/>
        <v>24.786053224824542</v>
      </c>
    </row>
    <row r="904" spans="1:20" x14ac:dyDescent="0.25">
      <c r="A904" s="5">
        <v>43689</v>
      </c>
      <c r="B904">
        <v>2.0750000000000001E-2</v>
      </c>
      <c r="C904">
        <v>2.1219999999999999E-2</v>
      </c>
      <c r="D904">
        <v>2.0299999999999999E-2</v>
      </c>
      <c r="E904">
        <v>2.07E-2</v>
      </c>
      <c r="F904">
        <v>410090994.10000002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-0.13043478260869401</v>
      </c>
      <c r="Q904">
        <f t="shared" si="1015"/>
        <v>-53490129.665216722</v>
      </c>
      <c r="R904">
        <f t="shared" si="1016"/>
        <v>2393988062.8279076</v>
      </c>
      <c r="S904">
        <f t="shared" si="1017"/>
        <v>23939.880628279076</v>
      </c>
      <c r="T904">
        <f t="shared" si="1018"/>
        <v>23.939880628279077</v>
      </c>
    </row>
    <row r="905" spans="1:20" x14ac:dyDescent="0.25">
      <c r="A905" s="5">
        <v>43688</v>
      </c>
      <c r="B905">
        <v>2.0449999999999999E-2</v>
      </c>
      <c r="C905">
        <v>2.1149999999999999E-2</v>
      </c>
      <c r="D905">
        <v>1.993E-2</v>
      </c>
      <c r="E905">
        <v>2.0709999999999999E-2</v>
      </c>
      <c r="F905">
        <v>401173088.39999998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0.27868852459016419</v>
      </c>
      <c r="Q905">
        <f t="shared" si="1015"/>
        <v>111802336.11147551</v>
      </c>
      <c r="R905">
        <f t="shared" si="1016"/>
        <v>2447478192.4931245</v>
      </c>
      <c r="S905">
        <f t="shared" si="1017"/>
        <v>24474.781924931245</v>
      </c>
      <c r="T905">
        <f t="shared" si="1018"/>
        <v>24.474781924931246</v>
      </c>
    </row>
    <row r="906" spans="1:20" x14ac:dyDescent="0.25">
      <c r="A906" s="5">
        <v>43687</v>
      </c>
      <c r="B906">
        <v>1.9820000000000001E-2</v>
      </c>
      <c r="C906">
        <v>2.0760000000000001E-2</v>
      </c>
      <c r="D906">
        <v>1.9210000000000001E-2</v>
      </c>
      <c r="E906">
        <v>2.0469999999999999E-2</v>
      </c>
      <c r="F906">
        <v>497124101.89999998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0.62580645161290038</v>
      </c>
      <c r="Q906">
        <f t="shared" si="1015"/>
        <v>311103470.22128892</v>
      </c>
      <c r="R906">
        <f t="shared" si="1016"/>
        <v>2335675856.381649</v>
      </c>
      <c r="S906">
        <f t="shared" si="1017"/>
        <v>23356.758563816489</v>
      </c>
      <c r="T906">
        <f t="shared" si="1018"/>
        <v>23.356758563816488</v>
      </c>
    </row>
    <row r="907" spans="1:20" x14ac:dyDescent="0.25">
      <c r="A907" s="5">
        <v>43686</v>
      </c>
      <c r="B907">
        <v>2.197E-2</v>
      </c>
      <c r="C907">
        <v>2.2079999999999999E-2</v>
      </c>
      <c r="D907">
        <v>1.932E-2</v>
      </c>
      <c r="E907">
        <v>1.9820000000000001E-2</v>
      </c>
      <c r="F907">
        <v>477029050.19999999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-0.63768115942028936</v>
      </c>
      <c r="Q907">
        <f t="shared" si="1015"/>
        <v>-304192437.80869544</v>
      </c>
      <c r="R907">
        <f t="shared" si="1016"/>
        <v>2024572386.1603603</v>
      </c>
      <c r="S907">
        <f t="shared" si="1017"/>
        <v>20245.723861603605</v>
      </c>
      <c r="T907">
        <f t="shared" si="1018"/>
        <v>20.245723861603604</v>
      </c>
    </row>
    <row r="908" spans="1:20" x14ac:dyDescent="0.25">
      <c r="A908" s="5">
        <v>43685</v>
      </c>
      <c r="B908">
        <v>2.164E-2</v>
      </c>
      <c r="C908">
        <v>2.2370000000000001E-2</v>
      </c>
      <c r="D908">
        <v>2.1569999999999999E-2</v>
      </c>
      <c r="E908">
        <v>2.196E-2</v>
      </c>
      <c r="F908">
        <v>469347590.19999999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-2.4999999999998915E-2</v>
      </c>
      <c r="Q908">
        <f t="shared" si="1015"/>
        <v>-11733689.75499949</v>
      </c>
      <c r="R908">
        <f t="shared" si="1016"/>
        <v>2328764823.9690557</v>
      </c>
      <c r="S908">
        <f t="shared" si="1017"/>
        <v>23287.648239690556</v>
      </c>
      <c r="T908">
        <f t="shared" si="1018"/>
        <v>23.287648239690554</v>
      </c>
    </row>
    <row r="909" spans="1:20" x14ac:dyDescent="0.25">
      <c r="A909" s="5">
        <v>43684</v>
      </c>
      <c r="B909">
        <v>2.172E-2</v>
      </c>
      <c r="C909">
        <v>2.2159999999999999E-2</v>
      </c>
      <c r="D909">
        <v>2.145E-2</v>
      </c>
      <c r="E909">
        <v>2.163E-2</v>
      </c>
      <c r="F909">
        <v>462913789.60000002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-0.49295774647887353</v>
      </c>
      <c r="Q909">
        <f t="shared" si="1015"/>
        <v>-228196938.53521141</v>
      </c>
      <c r="R909">
        <f t="shared" si="1016"/>
        <v>2340498513.7240553</v>
      </c>
      <c r="S909">
        <f t="shared" si="1017"/>
        <v>23404.985137240554</v>
      </c>
      <c r="T909">
        <f t="shared" si="1018"/>
        <v>23.404985137240555</v>
      </c>
    </row>
    <row r="910" spans="1:20" x14ac:dyDescent="0.25">
      <c r="A910" s="5">
        <v>43683</v>
      </c>
      <c r="B910">
        <v>2.291E-2</v>
      </c>
      <c r="C910">
        <v>2.299E-2</v>
      </c>
      <c r="D910">
        <v>2.1499999999999998E-2</v>
      </c>
      <c r="E910">
        <v>2.1729999999999999E-2</v>
      </c>
      <c r="F910">
        <v>598566799.89999998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-0.6912751677852339</v>
      </c>
      <c r="Q910">
        <f t="shared" si="1015"/>
        <v>-413774365.03154302</v>
      </c>
      <c r="R910">
        <f t="shared" si="1016"/>
        <v>2568695452.2592669</v>
      </c>
      <c r="S910">
        <f t="shared" si="1017"/>
        <v>25686.954522592667</v>
      </c>
      <c r="T910">
        <f t="shared" si="1018"/>
        <v>25.686954522592668</v>
      </c>
    </row>
    <row r="911" spans="1:20" x14ac:dyDescent="0.25">
      <c r="A911" s="5">
        <v>43682</v>
      </c>
      <c r="B911">
        <v>2.2290000000000001E-2</v>
      </c>
      <c r="C911">
        <v>2.3439999999999999E-2</v>
      </c>
      <c r="D911">
        <v>2.2040000000000001E-2</v>
      </c>
      <c r="E911">
        <v>2.29E-2</v>
      </c>
      <c r="F911">
        <v>646974465.39999998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0.22857142857142942</v>
      </c>
      <c r="Q911">
        <f t="shared" si="1015"/>
        <v>147879877.80571485</v>
      </c>
      <c r="R911">
        <f t="shared" si="1016"/>
        <v>2982469817.2908096</v>
      </c>
      <c r="S911">
        <f t="shared" si="1017"/>
        <v>29824.698172908098</v>
      </c>
      <c r="T911">
        <f t="shared" si="1018"/>
        <v>29.824698172908096</v>
      </c>
    </row>
    <row r="912" spans="1:20" x14ac:dyDescent="0.25">
      <c r="A912" s="5">
        <v>43681</v>
      </c>
      <c r="B912">
        <v>2.1829999999999999E-2</v>
      </c>
      <c r="C912">
        <v>2.281E-2</v>
      </c>
      <c r="D912">
        <v>2.1329999999999998E-2</v>
      </c>
      <c r="E912">
        <v>2.2290000000000001E-2</v>
      </c>
      <c r="F912">
        <v>414198521.80000001</v>
      </c>
      <c r="G912">
        <v>0</v>
      </c>
      <c r="L912" t="s">
        <v>8</v>
      </c>
      <c r="M912" t="s">
        <v>7</v>
      </c>
      <c r="N912" t="s">
        <v>7</v>
      </c>
      <c r="P912">
        <f t="shared" si="1014"/>
        <v>0.29729729729729881</v>
      </c>
      <c r="Q912">
        <f t="shared" si="1015"/>
        <v>123140101.07567631</v>
      </c>
      <c r="R912">
        <f t="shared" si="1016"/>
        <v>2834589939.4850945</v>
      </c>
      <c r="S912">
        <f t="shared" si="1017"/>
        <v>28345.899394850945</v>
      </c>
      <c r="T912">
        <f t="shared" si="1018"/>
        <v>28.345899394850946</v>
      </c>
    </row>
    <row r="913" spans="1:20" x14ac:dyDescent="0.25">
      <c r="A913" s="5">
        <v>43680</v>
      </c>
      <c r="B913">
        <v>2.1729999999999999E-2</v>
      </c>
      <c r="C913">
        <v>2.196E-2</v>
      </c>
      <c r="D913">
        <v>2.1530000000000001E-2</v>
      </c>
      <c r="E913">
        <v>2.1829999999999999E-2</v>
      </c>
      <c r="F913">
        <v>240215016.09999999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0.39534883720929442</v>
      </c>
      <c r="Q913">
        <f t="shared" si="1015"/>
        <v>94968727.295346931</v>
      </c>
      <c r="R913">
        <f t="shared" si="1016"/>
        <v>2711449838.4094181</v>
      </c>
      <c r="S913">
        <f t="shared" si="1017"/>
        <v>27114.498384094182</v>
      </c>
      <c r="T913">
        <f t="shared" si="1018"/>
        <v>27.114498384094183</v>
      </c>
    </row>
    <row r="914" spans="1:20" x14ac:dyDescent="0.25">
      <c r="A914" s="5">
        <v>43679</v>
      </c>
      <c r="B914">
        <v>2.2120000000000001E-2</v>
      </c>
      <c r="C914">
        <v>2.2200000000000001E-2</v>
      </c>
      <c r="D914">
        <v>2.1409999999999998E-2</v>
      </c>
      <c r="E914">
        <v>2.172E-2</v>
      </c>
      <c r="F914">
        <v>347535803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-0.21518987341772086</v>
      </c>
      <c r="Q914">
        <f t="shared" si="1015"/>
        <v>-74786185.455695972</v>
      </c>
      <c r="R914">
        <f t="shared" si="1016"/>
        <v>2616481111.1140714</v>
      </c>
      <c r="S914">
        <f t="shared" si="1017"/>
        <v>26164.811111140712</v>
      </c>
      <c r="T914">
        <f t="shared" si="1018"/>
        <v>26.164811111140711</v>
      </c>
    </row>
    <row r="915" spans="1:20" x14ac:dyDescent="0.25">
      <c r="A915" s="5">
        <v>43678</v>
      </c>
      <c r="B915">
        <v>2.24E-2</v>
      </c>
      <c r="C915">
        <v>2.2509999999999999E-2</v>
      </c>
      <c r="D915">
        <v>2.1770000000000001E-2</v>
      </c>
      <c r="E915">
        <v>2.2110000000000001E-2</v>
      </c>
      <c r="F915">
        <v>256654172.09999999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-8.1081081081078046E-2</v>
      </c>
      <c r="Q915">
        <f t="shared" si="1015"/>
        <v>-20809797.737837058</v>
      </c>
      <c r="R915">
        <f t="shared" si="1016"/>
        <v>2691267296.5697675</v>
      </c>
      <c r="S915">
        <f t="shared" si="1017"/>
        <v>26912.672965697675</v>
      </c>
      <c r="T915">
        <f t="shared" si="1018"/>
        <v>26.912672965697674</v>
      </c>
    </row>
    <row r="916" spans="1:20" x14ac:dyDescent="0.25">
      <c r="A916" s="5">
        <v>43677</v>
      </c>
      <c r="B916">
        <v>2.206E-2</v>
      </c>
      <c r="C916">
        <v>2.266E-2</v>
      </c>
      <c r="D916">
        <v>2.2040000000000001E-2</v>
      </c>
      <c r="E916">
        <v>2.24E-2</v>
      </c>
      <c r="F916">
        <v>197103935.80000001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0.16129032258064444</v>
      </c>
      <c r="Q916">
        <f t="shared" si="1015"/>
        <v>31790957.387096632</v>
      </c>
      <c r="R916">
        <f t="shared" si="1016"/>
        <v>2712077094.3076043</v>
      </c>
      <c r="S916">
        <f t="shared" si="1017"/>
        <v>27120.770943076044</v>
      </c>
      <c r="T916">
        <f t="shared" si="1018"/>
        <v>27.120770943076046</v>
      </c>
    </row>
    <row r="917" spans="1:20" x14ac:dyDescent="0.25">
      <c r="A917" s="5">
        <v>43676</v>
      </c>
      <c r="B917">
        <v>2.1989999999999999E-2</v>
      </c>
      <c r="C917">
        <v>2.2360000000000001E-2</v>
      </c>
      <c r="D917">
        <v>2.164E-2</v>
      </c>
      <c r="E917">
        <v>2.2069999999999999E-2</v>
      </c>
      <c r="F917">
        <v>165048373.90000001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0.19444444444444084</v>
      </c>
      <c r="Q917">
        <f t="shared" si="1015"/>
        <v>32092739.369443849</v>
      </c>
      <c r="R917">
        <f t="shared" si="1016"/>
        <v>2680286136.9205079</v>
      </c>
      <c r="S917">
        <f t="shared" si="1017"/>
        <v>26802.861369205079</v>
      </c>
      <c r="T917">
        <f t="shared" si="1018"/>
        <v>26.802861369205079</v>
      </c>
    </row>
    <row r="918" spans="1:20" x14ac:dyDescent="0.25">
      <c r="A918" s="5">
        <v>43675</v>
      </c>
      <c r="B918">
        <v>2.2339999999999999E-2</v>
      </c>
      <c r="C918">
        <v>2.2749999999999999E-2</v>
      </c>
      <c r="D918">
        <v>2.172E-2</v>
      </c>
      <c r="E918">
        <v>2.2009999999999998E-2</v>
      </c>
      <c r="F918">
        <v>248400369.19999999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-0.43689320388349767</v>
      </c>
      <c r="Q918">
        <f t="shared" si="1015"/>
        <v>-108524433.14563169</v>
      </c>
      <c r="R918">
        <f t="shared" si="1016"/>
        <v>2648193397.551064</v>
      </c>
      <c r="S918">
        <f t="shared" si="1017"/>
        <v>26481.933975510641</v>
      </c>
      <c r="T918">
        <f t="shared" si="1018"/>
        <v>26.481933975510643</v>
      </c>
    </row>
    <row r="919" spans="1:20" x14ac:dyDescent="0.25">
      <c r="A919" s="5">
        <v>43674</v>
      </c>
      <c r="B919">
        <v>2.1930000000000002E-2</v>
      </c>
      <c r="C919">
        <v>2.2759999999999999E-2</v>
      </c>
      <c r="D919">
        <v>2.1250000000000002E-2</v>
      </c>
      <c r="E919">
        <v>2.2329999999999999E-2</v>
      </c>
      <c r="F919">
        <v>348785357.69999999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0.43046357615893965</v>
      </c>
      <c r="Q919">
        <f t="shared" si="1015"/>
        <v>150139392.38741696</v>
      </c>
      <c r="R919">
        <f t="shared" si="1016"/>
        <v>2756717830.6966958</v>
      </c>
      <c r="S919">
        <f t="shared" si="1017"/>
        <v>27567.178306966958</v>
      </c>
      <c r="T919">
        <f t="shared" si="1018"/>
        <v>27.567178306966959</v>
      </c>
    </row>
    <row r="920" spans="1:20" x14ac:dyDescent="0.25">
      <c r="A920" s="5">
        <v>43673</v>
      </c>
      <c r="B920">
        <v>2.3109999999999999E-2</v>
      </c>
      <c r="C920">
        <v>2.3740000000000001E-2</v>
      </c>
      <c r="D920">
        <v>2.1600000000000001E-2</v>
      </c>
      <c r="E920">
        <v>2.196E-2</v>
      </c>
      <c r="F920">
        <v>363611916.89999998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-0.66355140186915951</v>
      </c>
      <c r="Q920">
        <f t="shared" si="1015"/>
        <v>-241275197.19532731</v>
      </c>
      <c r="R920">
        <f t="shared" si="1016"/>
        <v>2606578438.309279</v>
      </c>
      <c r="S920">
        <f t="shared" si="1017"/>
        <v>26065.784383092789</v>
      </c>
      <c r="T920">
        <f t="shared" si="1018"/>
        <v>26.06578438309279</v>
      </c>
    </row>
    <row r="921" spans="1:20" x14ac:dyDescent="0.25">
      <c r="A921" s="5">
        <v>43672</v>
      </c>
      <c r="B921">
        <v>2.2970000000000001E-2</v>
      </c>
      <c r="C921">
        <v>2.3480000000000001E-2</v>
      </c>
      <c r="D921">
        <v>2.223E-2</v>
      </c>
      <c r="E921">
        <v>2.3109999999999999E-2</v>
      </c>
      <c r="F921">
        <v>319942273.89999998</v>
      </c>
      <c r="G921">
        <v>0</v>
      </c>
      <c r="L921" t="s">
        <v>7</v>
      </c>
      <c r="M921" t="s">
        <v>7</v>
      </c>
      <c r="N921" t="s">
        <v>7</v>
      </c>
      <c r="P921">
        <f t="shared" si="1014"/>
        <v>0.40799999999999687</v>
      </c>
      <c r="Q921">
        <f t="shared" si="1015"/>
        <v>130536447.75119899</v>
      </c>
      <c r="R921">
        <f t="shared" si="1016"/>
        <v>2847853635.5046062</v>
      </c>
      <c r="S921">
        <f t="shared" si="1017"/>
        <v>28478.536355046064</v>
      </c>
      <c r="T921">
        <f t="shared" si="1018"/>
        <v>28.478536355046064</v>
      </c>
    </row>
    <row r="922" spans="1:20" x14ac:dyDescent="0.25">
      <c r="A922" s="5">
        <v>43671</v>
      </c>
      <c r="B922">
        <v>2.3720000000000001E-2</v>
      </c>
      <c r="C922">
        <v>2.4469999999999999E-2</v>
      </c>
      <c r="D922">
        <v>2.264E-2</v>
      </c>
      <c r="E922">
        <v>2.2970000000000001E-2</v>
      </c>
      <c r="F922">
        <v>533845644.10000002</v>
      </c>
      <c r="G922">
        <v>0</v>
      </c>
      <c r="L922" t="s">
        <v>7</v>
      </c>
      <c r="M922" t="s">
        <v>7</v>
      </c>
      <c r="N922" t="s">
        <v>7</v>
      </c>
      <c r="P922">
        <f t="shared" si="1014"/>
        <v>-0.63934426229508112</v>
      </c>
      <c r="Q922">
        <f t="shared" si="1015"/>
        <v>-341311149.50655693</v>
      </c>
      <c r="R922">
        <f t="shared" si="1016"/>
        <v>2717317187.7534075</v>
      </c>
      <c r="S922">
        <f t="shared" si="1017"/>
        <v>27173.171877534074</v>
      </c>
      <c r="T922">
        <f t="shared" si="1018"/>
        <v>27.173171877534074</v>
      </c>
    </row>
    <row r="923" spans="1:20" x14ac:dyDescent="0.25">
      <c r="A923" s="5">
        <v>43670</v>
      </c>
      <c r="B923">
        <v>2.4199999999999999E-2</v>
      </c>
      <c r="C923">
        <v>2.4740000000000002E-2</v>
      </c>
      <c r="D923">
        <v>2.257E-2</v>
      </c>
      <c r="E923">
        <v>2.3740000000000001E-2</v>
      </c>
      <c r="F923">
        <v>986107438.79999995</v>
      </c>
      <c r="G923">
        <v>0</v>
      </c>
      <c r="L923" t="s">
        <v>8</v>
      </c>
      <c r="M923" t="s">
        <v>7</v>
      </c>
      <c r="N923" t="s">
        <v>7</v>
      </c>
      <c r="P923">
        <f t="shared" si="1014"/>
        <v>7.8341013824884731E-2</v>
      </c>
      <c r="Q923">
        <f t="shared" si="1015"/>
        <v>77252656.49585247</v>
      </c>
      <c r="R923">
        <f t="shared" si="1016"/>
        <v>3058628337.2599645</v>
      </c>
      <c r="S923">
        <f t="shared" si="1017"/>
        <v>30586.283372599646</v>
      </c>
      <c r="T923">
        <f t="shared" si="1018"/>
        <v>30.586283372599645</v>
      </c>
    </row>
    <row r="924" spans="1:20" x14ac:dyDescent="0.25">
      <c r="A924" s="5">
        <v>43669</v>
      </c>
      <c r="B924">
        <v>2.6610000000000002E-2</v>
      </c>
      <c r="C924">
        <v>2.6929999999999999E-2</v>
      </c>
      <c r="D924">
        <v>2.1899999999999999E-2</v>
      </c>
      <c r="E924">
        <v>2.4209999999999999E-2</v>
      </c>
      <c r="F924">
        <v>2040269728.9000001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-8.1510934393638296E-2</v>
      </c>
      <c r="Q924">
        <f t="shared" si="1015"/>
        <v>-166304292.01769409</v>
      </c>
      <c r="R924">
        <f t="shared" si="1016"/>
        <v>2981375680.764112</v>
      </c>
      <c r="S924">
        <f t="shared" si="1017"/>
        <v>29813.756807641119</v>
      </c>
      <c r="T924">
        <f t="shared" si="1018"/>
        <v>29.81375680764112</v>
      </c>
    </row>
    <row r="925" spans="1:20" x14ac:dyDescent="0.25">
      <c r="A925" s="5">
        <v>43668</v>
      </c>
      <c r="B925">
        <v>2.9170000000000001E-2</v>
      </c>
      <c r="C925">
        <v>2.9989999999999999E-2</v>
      </c>
      <c r="D925">
        <v>2.6069999999999999E-2</v>
      </c>
      <c r="E925">
        <v>2.6610000000000002E-2</v>
      </c>
      <c r="F925">
        <v>621366754.79999995</v>
      </c>
      <c r="G925">
        <v>0</v>
      </c>
      <c r="L925" t="s">
        <v>7</v>
      </c>
      <c r="M925" t="s">
        <v>8</v>
      </c>
      <c r="N925" t="s">
        <v>8</v>
      </c>
      <c r="P925">
        <f t="shared" si="1014"/>
        <v>-0.72448979591836615</v>
      </c>
      <c r="Q925">
        <f t="shared" si="1015"/>
        <v>-450173873.37550944</v>
      </c>
      <c r="R925">
        <f t="shared" si="1016"/>
        <v>3147679972.781806</v>
      </c>
      <c r="S925">
        <f t="shared" si="1017"/>
        <v>31476.799727818059</v>
      </c>
      <c r="T925">
        <f t="shared" si="1018"/>
        <v>31.476799727818058</v>
      </c>
    </row>
    <row r="926" spans="1:20" x14ac:dyDescent="0.25">
      <c r="A926" s="5">
        <v>43667</v>
      </c>
      <c r="B926">
        <v>2.9000000000000001E-2</v>
      </c>
      <c r="C926">
        <v>2.9819999999999999E-2</v>
      </c>
      <c r="D926">
        <v>2.7E-2</v>
      </c>
      <c r="E926">
        <v>2.9159999999999998E-2</v>
      </c>
      <c r="F926">
        <v>458348549.10000002</v>
      </c>
      <c r="G926">
        <v>0</v>
      </c>
      <c r="L926" t="s">
        <v>7</v>
      </c>
      <c r="M926" t="s">
        <v>8</v>
      </c>
      <c r="N926" t="s">
        <v>8</v>
      </c>
      <c r="P926">
        <f t="shared" si="1014"/>
        <v>0.5319148936170206</v>
      </c>
      <c r="Q926">
        <f t="shared" si="1015"/>
        <v>243802419.73404226</v>
      </c>
      <c r="R926">
        <f t="shared" si="1016"/>
        <v>3597853846.1573153</v>
      </c>
      <c r="S926">
        <f t="shared" si="1017"/>
        <v>35978.538461573153</v>
      </c>
      <c r="T926">
        <f t="shared" si="1018"/>
        <v>35.978538461573152</v>
      </c>
    </row>
    <row r="927" spans="1:20" x14ac:dyDescent="0.25">
      <c r="A927" s="5">
        <v>43666</v>
      </c>
      <c r="B927">
        <v>2.8039999999999999E-2</v>
      </c>
      <c r="C927">
        <v>3.0620000000000001E-2</v>
      </c>
      <c r="D927">
        <v>2.7539999999999999E-2</v>
      </c>
      <c r="E927">
        <v>2.8989999999999998E-2</v>
      </c>
      <c r="F927">
        <v>614087392.70000005</v>
      </c>
      <c r="G927">
        <v>0</v>
      </c>
      <c r="L927" t="s">
        <v>8</v>
      </c>
      <c r="M927" t="s">
        <v>8</v>
      </c>
      <c r="N927" t="s">
        <v>8</v>
      </c>
      <c r="P927">
        <f t="shared" si="1014"/>
        <v>-5.8441558441559384E-2</v>
      </c>
      <c r="Q927">
        <f t="shared" si="1015"/>
        <v>-35888224.248701878</v>
      </c>
      <c r="R927">
        <f t="shared" si="1016"/>
        <v>3354051426.4232731</v>
      </c>
      <c r="S927">
        <f t="shared" si="1017"/>
        <v>33540.514264232734</v>
      </c>
      <c r="T927">
        <f t="shared" si="1018"/>
        <v>33.540514264232733</v>
      </c>
    </row>
    <row r="928" spans="1:20" x14ac:dyDescent="0.25">
      <c r="A928" s="5">
        <v>43665</v>
      </c>
      <c r="B928">
        <v>2.5600000000000001E-2</v>
      </c>
      <c r="C928">
        <v>2.8070000000000001E-2</v>
      </c>
      <c r="D928">
        <v>2.47E-2</v>
      </c>
      <c r="E928">
        <v>2.8060000000000002E-2</v>
      </c>
      <c r="F928">
        <v>562253926.79999995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0.99406528189911003</v>
      </c>
      <c r="Q928">
        <f t="shared" si="1015"/>
        <v>558917108.24332356</v>
      </c>
      <c r="R928">
        <f t="shared" si="1016"/>
        <v>3389939650.6719751</v>
      </c>
      <c r="S928">
        <f t="shared" si="1017"/>
        <v>33899.39650671975</v>
      </c>
      <c r="T928">
        <f t="shared" si="1018"/>
        <v>33.899396506719746</v>
      </c>
    </row>
    <row r="929" spans="1:20" x14ac:dyDescent="0.25">
      <c r="A929" s="5">
        <v>43664</v>
      </c>
      <c r="B929">
        <v>2.2759999999999999E-2</v>
      </c>
      <c r="C929">
        <v>2.6089999999999999E-2</v>
      </c>
      <c r="D929">
        <v>2.2210000000000001E-2</v>
      </c>
      <c r="E929">
        <v>2.5590000000000002E-2</v>
      </c>
      <c r="F929">
        <v>565772211.29999995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0.74226804123711487</v>
      </c>
      <c r="Q929">
        <f t="shared" si="1015"/>
        <v>419954631.06804204</v>
      </c>
      <c r="R929">
        <f t="shared" si="1016"/>
        <v>2831022542.4286518</v>
      </c>
      <c r="S929">
        <f t="shared" si="1017"/>
        <v>28310.225424286516</v>
      </c>
      <c r="T929">
        <f t="shared" si="1018"/>
        <v>28.310225424286518</v>
      </c>
    </row>
    <row r="930" spans="1:20" x14ac:dyDescent="0.25">
      <c r="A930" s="5">
        <v>43663</v>
      </c>
      <c r="B930">
        <v>2.095E-2</v>
      </c>
      <c r="C930">
        <v>2.3900000000000001E-2</v>
      </c>
      <c r="D930">
        <v>2.034E-2</v>
      </c>
      <c r="E930">
        <v>2.2780000000000002E-2</v>
      </c>
      <c r="F930">
        <v>603355249.39999998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0.37078651685393299</v>
      </c>
      <c r="Q930">
        <f t="shared" si="1015"/>
        <v>223715991.35056204</v>
      </c>
      <c r="R930">
        <f t="shared" si="1016"/>
        <v>2411067911.3606095</v>
      </c>
      <c r="S930">
        <f t="shared" si="1017"/>
        <v>24110.679113606097</v>
      </c>
      <c r="T930">
        <f t="shared" si="1018"/>
        <v>24.110679113606096</v>
      </c>
    </row>
    <row r="931" spans="1:20" x14ac:dyDescent="0.25">
      <c r="A931" s="5">
        <v>43662</v>
      </c>
      <c r="B931">
        <v>2.521E-2</v>
      </c>
      <c r="C931">
        <v>2.5600000000000001E-2</v>
      </c>
      <c r="D931">
        <v>2.06E-2</v>
      </c>
      <c r="E931">
        <v>2.095E-2</v>
      </c>
      <c r="F931">
        <v>701878804.10000002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-0.86000000000000021</v>
      </c>
      <c r="Q931">
        <f t="shared" si="1015"/>
        <v>-603615771.52600014</v>
      </c>
      <c r="R931">
        <f t="shared" si="1016"/>
        <v>2187351920.0100474</v>
      </c>
      <c r="S931">
        <f t="shared" si="1017"/>
        <v>21873.519200100476</v>
      </c>
      <c r="T931">
        <f t="shared" si="1018"/>
        <v>21.873519200100475</v>
      </c>
    </row>
    <row r="932" spans="1:20" x14ac:dyDescent="0.25">
      <c r="A932" s="5">
        <v>43661</v>
      </c>
      <c r="B932">
        <v>2.5149999999999999E-2</v>
      </c>
      <c r="C932">
        <v>2.5770000000000001E-2</v>
      </c>
      <c r="D932">
        <v>2.367E-2</v>
      </c>
      <c r="E932">
        <v>2.5219999999999999E-2</v>
      </c>
      <c r="F932">
        <v>522586220.19999999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0.47619047619047472</v>
      </c>
      <c r="Q932">
        <f t="shared" si="1015"/>
        <v>248850581.04761827</v>
      </c>
      <c r="R932">
        <f t="shared" si="1016"/>
        <v>2790967691.5360475</v>
      </c>
      <c r="S932">
        <f t="shared" si="1017"/>
        <v>27909.676915360473</v>
      </c>
      <c r="T932">
        <f t="shared" si="1018"/>
        <v>27.909676915360471</v>
      </c>
    </row>
    <row r="933" spans="1:20" x14ac:dyDescent="0.25">
      <c r="A933" s="5">
        <v>43660</v>
      </c>
      <c r="B933">
        <v>2.8379999999999999E-2</v>
      </c>
      <c r="C933">
        <v>2.9329999999999998E-2</v>
      </c>
      <c r="D933">
        <v>2.4879999999999999E-2</v>
      </c>
      <c r="E933">
        <v>2.5159999999999998E-2</v>
      </c>
      <c r="F933">
        <v>441526047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-0.8741573033707869</v>
      </c>
      <c r="Q933">
        <f t="shared" si="1015"/>
        <v>-385963218.61348331</v>
      </c>
      <c r="R933">
        <f t="shared" si="1016"/>
        <v>2542117110.4884291</v>
      </c>
      <c r="S933">
        <f t="shared" si="1017"/>
        <v>25421.171104884292</v>
      </c>
      <c r="T933">
        <f t="shared" si="1018"/>
        <v>25.421171104884291</v>
      </c>
    </row>
    <row r="934" spans="1:20" x14ac:dyDescent="0.25">
      <c r="A934" s="5">
        <v>43659</v>
      </c>
      <c r="B934">
        <v>2.9440000000000001E-2</v>
      </c>
      <c r="C934">
        <v>2.955E-2</v>
      </c>
      <c r="D934">
        <v>2.7470000000000001E-2</v>
      </c>
      <c r="E934">
        <v>2.8379999999999999E-2</v>
      </c>
      <c r="F934">
        <v>237186848.90000001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-0.12500000000000167</v>
      </c>
      <c r="Q934">
        <f t="shared" si="1015"/>
        <v>-29648356.112500396</v>
      </c>
      <c r="R934">
        <f t="shared" si="1016"/>
        <v>2928080329.1019125</v>
      </c>
      <c r="S934">
        <f t="shared" si="1017"/>
        <v>29280.803291019125</v>
      </c>
      <c r="T934">
        <f t="shared" si="1018"/>
        <v>29.280803291019126</v>
      </c>
    </row>
    <row r="935" spans="1:20" x14ac:dyDescent="0.25">
      <c r="A935" s="5">
        <v>43658</v>
      </c>
      <c r="B935">
        <v>2.7879999999999999E-2</v>
      </c>
      <c r="C935">
        <v>2.9659999999999999E-2</v>
      </c>
      <c r="D935">
        <v>2.7609999999999999E-2</v>
      </c>
      <c r="E935">
        <v>2.9420000000000002E-2</v>
      </c>
      <c r="F935">
        <v>344054096.10000002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0.76585365853658816</v>
      </c>
      <c r="Q935">
        <f t="shared" si="1015"/>
        <v>263495088.2326839</v>
      </c>
      <c r="R935">
        <f t="shared" si="1016"/>
        <v>2957728685.2144127</v>
      </c>
      <c r="S935">
        <f t="shared" si="1017"/>
        <v>29577.286852144127</v>
      </c>
      <c r="T935">
        <f t="shared" si="1018"/>
        <v>29.577286852144127</v>
      </c>
    </row>
    <row r="936" spans="1:20" x14ac:dyDescent="0.25">
      <c r="A936" s="5">
        <v>43657</v>
      </c>
      <c r="B936">
        <v>3.2059999999999998E-2</v>
      </c>
      <c r="C936">
        <v>3.2059999999999998E-2</v>
      </c>
      <c r="D936">
        <v>2.6849999999999999E-2</v>
      </c>
      <c r="E936">
        <v>2.792E-2</v>
      </c>
      <c r="F936">
        <v>707404598.89999998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-0.58925143953934678</v>
      </c>
      <c r="Q936">
        <f t="shared" si="1015"/>
        <v>-416839178.23857921</v>
      </c>
      <c r="R936">
        <f t="shared" si="1016"/>
        <v>2694233596.9817286</v>
      </c>
      <c r="S936">
        <f t="shared" si="1017"/>
        <v>26942.335969817286</v>
      </c>
      <c r="T936">
        <f t="shared" si="1018"/>
        <v>26.942335969817286</v>
      </c>
    </row>
    <row r="937" spans="1:20" x14ac:dyDescent="0.25">
      <c r="A937" s="5">
        <v>43656</v>
      </c>
      <c r="B937">
        <v>3.422E-2</v>
      </c>
      <c r="C937">
        <v>3.449E-2</v>
      </c>
      <c r="D937">
        <v>3.1019999999999999E-2</v>
      </c>
      <c r="E937">
        <v>3.2079999999999997E-2</v>
      </c>
      <c r="F937">
        <v>499515462.60000002</v>
      </c>
      <c r="G937">
        <v>0</v>
      </c>
      <c r="L937" t="s">
        <v>7</v>
      </c>
      <c r="M937" t="s">
        <v>7</v>
      </c>
      <c r="N937" t="s">
        <v>8</v>
      </c>
      <c r="P937">
        <f t="shared" si="1014"/>
        <v>-0.38904899135446791</v>
      </c>
      <c r="Q937">
        <f t="shared" si="1015"/>
        <v>-194335986.89049044</v>
      </c>
      <c r="R937">
        <f t="shared" si="1016"/>
        <v>3111072775.2203078</v>
      </c>
      <c r="S937">
        <f t="shared" si="1017"/>
        <v>31110.727752203078</v>
      </c>
      <c r="T937">
        <f t="shared" si="1018"/>
        <v>31.110727752203079</v>
      </c>
    </row>
    <row r="938" spans="1:20" x14ac:dyDescent="0.25">
      <c r="A938" s="5">
        <v>43655</v>
      </c>
      <c r="B938">
        <v>3.3869999999999997E-2</v>
      </c>
      <c r="C938">
        <v>3.5000000000000003E-2</v>
      </c>
      <c r="D938">
        <v>3.3500000000000002E-2</v>
      </c>
      <c r="E938">
        <v>3.4209999999999997E-2</v>
      </c>
      <c r="F938">
        <v>450276328.89999998</v>
      </c>
      <c r="G938">
        <v>0</v>
      </c>
      <c r="L938" t="s">
        <v>8</v>
      </c>
      <c r="M938" t="s">
        <v>7</v>
      </c>
      <c r="N938" t="s">
        <v>8</v>
      </c>
      <c r="P938">
        <f t="shared" si="1014"/>
        <v>-5.3333333333340366E-2</v>
      </c>
      <c r="Q938">
        <f t="shared" si="1015"/>
        <v>-24014737.541336499</v>
      </c>
      <c r="R938">
        <f t="shared" si="1016"/>
        <v>3305408762.1107984</v>
      </c>
      <c r="S938">
        <f t="shared" si="1017"/>
        <v>33054.087621107981</v>
      </c>
      <c r="T938">
        <f t="shared" si="1018"/>
        <v>33.054087621107982</v>
      </c>
    </row>
    <row r="939" spans="1:20" x14ac:dyDescent="0.25">
      <c r="A939" s="5">
        <v>43654</v>
      </c>
      <c r="B939">
        <v>3.4639999999999997E-2</v>
      </c>
      <c r="C939">
        <v>3.5409999999999997E-2</v>
      </c>
      <c r="D939">
        <v>3.3270000000000001E-2</v>
      </c>
      <c r="E939">
        <v>3.3860000000000001E-2</v>
      </c>
      <c r="F939">
        <v>647801024.5</v>
      </c>
      <c r="G939">
        <v>0</v>
      </c>
      <c r="L939" t="s">
        <v>8</v>
      </c>
      <c r="M939" t="s">
        <v>7</v>
      </c>
      <c r="N939" t="s">
        <v>8</v>
      </c>
      <c r="P939">
        <f t="shared" si="1014"/>
        <v>-0.44859813084112027</v>
      </c>
      <c r="Q939">
        <f t="shared" si="1015"/>
        <v>-290602328.74766278</v>
      </c>
      <c r="R939">
        <f t="shared" si="1016"/>
        <v>3329423499.6521349</v>
      </c>
      <c r="S939">
        <f t="shared" si="1017"/>
        <v>33294.234996521351</v>
      </c>
      <c r="T939">
        <f t="shared" si="1018"/>
        <v>33.294234996521354</v>
      </c>
    </row>
    <row r="940" spans="1:20" x14ac:dyDescent="0.25">
      <c r="A940" s="5">
        <v>43653</v>
      </c>
      <c r="B940">
        <v>3.2129999999999999E-2</v>
      </c>
      <c r="C940">
        <v>3.5490000000000001E-2</v>
      </c>
      <c r="D940">
        <v>3.1899999999999998E-2</v>
      </c>
      <c r="E940">
        <v>3.4639999999999997E-2</v>
      </c>
      <c r="F940">
        <v>718544812.89999998</v>
      </c>
      <c r="G940">
        <v>0</v>
      </c>
      <c r="L940" t="s">
        <v>8</v>
      </c>
      <c r="M940" t="s">
        <v>7</v>
      </c>
      <c r="N940" t="s">
        <v>8</v>
      </c>
      <c r="P940">
        <f t="shared" si="1014"/>
        <v>0.52646239554317387</v>
      </c>
      <c r="Q940">
        <f t="shared" si="1015"/>
        <v>378286823.50445563</v>
      </c>
      <c r="R940">
        <f t="shared" si="1016"/>
        <v>3620025828.3997974</v>
      </c>
      <c r="S940">
        <f t="shared" si="1017"/>
        <v>36200.258283997973</v>
      </c>
      <c r="T940">
        <f t="shared" si="1018"/>
        <v>36.200258283997975</v>
      </c>
    </row>
    <row r="941" spans="1:20" x14ac:dyDescent="0.25">
      <c r="A941" s="5">
        <v>43652</v>
      </c>
      <c r="B941">
        <v>3.1859999999999999E-2</v>
      </c>
      <c r="C941">
        <v>3.2930000000000001E-2</v>
      </c>
      <c r="D941">
        <v>3.168E-2</v>
      </c>
      <c r="E941">
        <v>3.2140000000000002E-2</v>
      </c>
      <c r="F941">
        <v>479665201.80000001</v>
      </c>
      <c r="G941">
        <v>0</v>
      </c>
      <c r="L941" t="s">
        <v>8</v>
      </c>
      <c r="M941" t="s">
        <v>7</v>
      </c>
      <c r="N941" t="s">
        <v>8</v>
      </c>
      <c r="P941">
        <f t="shared" si="1014"/>
        <v>-0.26399999999999735</v>
      </c>
      <c r="Q941">
        <f t="shared" si="1015"/>
        <v>-126631613.27519873</v>
      </c>
      <c r="R941">
        <f t="shared" si="1016"/>
        <v>3241739004.8953419</v>
      </c>
      <c r="S941">
        <f t="shared" si="1017"/>
        <v>32417.390048953417</v>
      </c>
      <c r="T941">
        <f t="shared" si="1018"/>
        <v>32.417390048953415</v>
      </c>
    </row>
    <row r="942" spans="1:20" x14ac:dyDescent="0.25">
      <c r="A942" s="5">
        <v>43651</v>
      </c>
      <c r="B942">
        <v>3.1320000000000001E-2</v>
      </c>
      <c r="C942">
        <v>3.2280000000000003E-2</v>
      </c>
      <c r="D942">
        <v>3.0929999999999999E-2</v>
      </c>
      <c r="E942">
        <v>3.1890000000000002E-2</v>
      </c>
      <c r="F942">
        <v>530853142.19999999</v>
      </c>
      <c r="G942">
        <v>0</v>
      </c>
      <c r="L942" t="s">
        <v>8</v>
      </c>
      <c r="M942" t="s">
        <v>7</v>
      </c>
      <c r="N942" t="s">
        <v>8</v>
      </c>
      <c r="P942">
        <f t="shared" si="1014"/>
        <v>0.42222222222222178</v>
      </c>
      <c r="Q942">
        <f t="shared" si="1015"/>
        <v>224137993.3733331</v>
      </c>
      <c r="R942">
        <f t="shared" si="1016"/>
        <v>3368370618.1705408</v>
      </c>
      <c r="S942">
        <f t="shared" si="1017"/>
        <v>33683.706181705405</v>
      </c>
      <c r="T942">
        <f t="shared" si="1018"/>
        <v>33.683706181705404</v>
      </c>
    </row>
    <row r="943" spans="1:20" x14ac:dyDescent="0.25">
      <c r="A943" s="5">
        <v>43650</v>
      </c>
      <c r="B943">
        <v>3.2750000000000001E-2</v>
      </c>
      <c r="C943">
        <v>3.2849999999999997E-2</v>
      </c>
      <c r="D943">
        <v>3.1E-2</v>
      </c>
      <c r="E943">
        <v>3.1329999999999997E-2</v>
      </c>
      <c r="F943">
        <v>569401547.10000002</v>
      </c>
      <c r="G943">
        <v>0</v>
      </c>
      <c r="L943" t="s">
        <v>8</v>
      </c>
      <c r="M943" t="s">
        <v>7</v>
      </c>
      <c r="N943" t="s">
        <v>8</v>
      </c>
      <c r="P943">
        <f t="shared" si="1014"/>
        <v>-0.643243243243246</v>
      </c>
      <c r="Q943">
        <f t="shared" si="1015"/>
        <v>-366263697.86432588</v>
      </c>
      <c r="R943">
        <f t="shared" si="1016"/>
        <v>3144232624.7972078</v>
      </c>
      <c r="S943">
        <f t="shared" si="1017"/>
        <v>31442.32624797208</v>
      </c>
      <c r="T943">
        <f t="shared" si="1018"/>
        <v>31.44232624797208</v>
      </c>
    </row>
    <row r="944" spans="1:20" x14ac:dyDescent="0.25">
      <c r="A944" s="5">
        <v>43649</v>
      </c>
      <c r="B944">
        <v>3.1940000000000003E-2</v>
      </c>
      <c r="C944">
        <v>3.2870000000000003E-2</v>
      </c>
      <c r="D944">
        <v>3.1629999999999998E-2</v>
      </c>
      <c r="E944">
        <v>3.2759999999999997E-2</v>
      </c>
      <c r="F944">
        <v>542126282.20000005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0.82258064516128149</v>
      </c>
      <c r="Q944">
        <f t="shared" si="1015"/>
        <v>445942586.970963</v>
      </c>
      <c r="R944">
        <f t="shared" si="1016"/>
        <v>3510496322.6615338</v>
      </c>
      <c r="S944">
        <f t="shared" si="1017"/>
        <v>35104.963226615335</v>
      </c>
      <c r="T944">
        <f t="shared" si="1018"/>
        <v>35.104963226615332</v>
      </c>
    </row>
    <row r="945" spans="1:20" x14ac:dyDescent="0.25">
      <c r="A945" s="5">
        <v>43648</v>
      </c>
      <c r="B945">
        <v>3.2649999999999998E-2</v>
      </c>
      <c r="C945">
        <v>3.2980000000000002E-2</v>
      </c>
      <c r="D945">
        <v>3.0429999999999999E-2</v>
      </c>
      <c r="E945">
        <v>3.1910000000000001E-2</v>
      </c>
      <c r="F945">
        <v>701088474.70000005</v>
      </c>
      <c r="G945">
        <v>0</v>
      </c>
      <c r="L945" t="s">
        <v>7</v>
      </c>
      <c r="M945" t="s">
        <v>7</v>
      </c>
      <c r="N945" t="s">
        <v>8</v>
      </c>
      <c r="P945">
        <f t="shared" si="1014"/>
        <v>0.16078431372549021</v>
      </c>
      <c r="Q945">
        <f t="shared" si="1015"/>
        <v>112724029.26549022</v>
      </c>
      <c r="R945">
        <f t="shared" si="1016"/>
        <v>3064553735.6905708</v>
      </c>
      <c r="S945">
        <f t="shared" si="1017"/>
        <v>30645.537356905708</v>
      </c>
      <c r="T945">
        <f t="shared" si="1018"/>
        <v>30.645537356905709</v>
      </c>
    </row>
    <row r="946" spans="1:20" x14ac:dyDescent="0.25">
      <c r="A946" s="5">
        <v>43647</v>
      </c>
      <c r="B946">
        <v>3.1989999999999998E-2</v>
      </c>
      <c r="C946">
        <v>3.3509999999999998E-2</v>
      </c>
      <c r="D946">
        <v>3.0859999999999999E-2</v>
      </c>
      <c r="E946">
        <v>3.2649999999999998E-2</v>
      </c>
      <c r="F946">
        <v>768163244.89999998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0.35094339622641524</v>
      </c>
      <c r="Q946">
        <f t="shared" si="1015"/>
        <v>269581818.02150953</v>
      </c>
      <c r="R946">
        <f t="shared" si="1016"/>
        <v>2951829706.4250808</v>
      </c>
      <c r="S946">
        <f t="shared" si="1017"/>
        <v>29518.297064250808</v>
      </c>
      <c r="T946">
        <f t="shared" si="1018"/>
        <v>29.51829706425081</v>
      </c>
    </row>
    <row r="947" spans="1:20" x14ac:dyDescent="0.25">
      <c r="A947" s="5">
        <v>43646</v>
      </c>
      <c r="B947">
        <v>3.4959999999999998E-2</v>
      </c>
      <c r="C947">
        <v>3.5549999999999998E-2</v>
      </c>
      <c r="D947">
        <v>3.184E-2</v>
      </c>
      <c r="E947">
        <v>3.2000000000000001E-2</v>
      </c>
      <c r="F947">
        <v>760698135.60000002</v>
      </c>
      <c r="G947">
        <v>0</v>
      </c>
      <c r="L947" t="s">
        <v>7</v>
      </c>
      <c r="M947" t="s">
        <v>7</v>
      </c>
      <c r="N947" t="s">
        <v>8</v>
      </c>
      <c r="P947">
        <f t="shared" si="1014"/>
        <v>-0.91374663072776252</v>
      </c>
      <c r="Q947">
        <f t="shared" si="1015"/>
        <v>-695085358.40539062</v>
      </c>
      <c r="R947">
        <f t="shared" si="1016"/>
        <v>2682247888.4035711</v>
      </c>
      <c r="S947">
        <f t="shared" si="1017"/>
        <v>26822.478884035711</v>
      </c>
      <c r="T947">
        <f t="shared" si="1018"/>
        <v>26.822478884035711</v>
      </c>
    </row>
    <row r="948" spans="1:20" x14ac:dyDescent="0.25">
      <c r="A948" s="5">
        <v>43645</v>
      </c>
      <c r="B948">
        <v>3.3790000000000001E-2</v>
      </c>
      <c r="C948">
        <v>3.5589999999999997E-2</v>
      </c>
      <c r="D948">
        <v>3.2300000000000002E-2</v>
      </c>
      <c r="E948">
        <v>3.4979999999999997E-2</v>
      </c>
      <c r="F948">
        <v>770377243</v>
      </c>
      <c r="G948">
        <v>0</v>
      </c>
      <c r="L948" t="s">
        <v>8</v>
      </c>
      <c r="M948" t="s">
        <v>7</v>
      </c>
      <c r="N948" t="s">
        <v>8</v>
      </c>
      <c r="P948">
        <f t="shared" si="1014"/>
        <v>0.62917933130699055</v>
      </c>
      <c r="Q948">
        <f t="shared" si="1015"/>
        <v>484705438.60486299</v>
      </c>
      <c r="R948">
        <f t="shared" si="1016"/>
        <v>3377333246.8089619</v>
      </c>
      <c r="S948">
        <f t="shared" si="1017"/>
        <v>33773.332468089618</v>
      </c>
      <c r="T948">
        <f t="shared" si="1018"/>
        <v>33.77333246808962</v>
      </c>
    </row>
    <row r="949" spans="1:20" x14ac:dyDescent="0.25">
      <c r="A949" s="5">
        <v>43644</v>
      </c>
      <c r="B949">
        <v>3.2669999999999998E-2</v>
      </c>
      <c r="C949">
        <v>3.39E-2</v>
      </c>
      <c r="D949">
        <v>3.2169999999999997E-2</v>
      </c>
      <c r="E949">
        <v>3.3790000000000001E-2</v>
      </c>
      <c r="F949">
        <v>857441675.39999998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0.87283236994219793</v>
      </c>
      <c r="Q949">
        <f t="shared" si="1015"/>
        <v>748402849.62659073</v>
      </c>
      <c r="R949">
        <f t="shared" si="1016"/>
        <v>2892627808.2040987</v>
      </c>
      <c r="S949">
        <f t="shared" si="1017"/>
        <v>28926.278082040986</v>
      </c>
      <c r="T949">
        <f t="shared" si="1018"/>
        <v>28.926278082040987</v>
      </c>
    </row>
    <row r="950" spans="1:20" x14ac:dyDescent="0.25">
      <c r="A950" s="5">
        <v>43643</v>
      </c>
      <c r="B950">
        <v>3.6810000000000002E-2</v>
      </c>
      <c r="C950">
        <v>3.7560000000000003E-2</v>
      </c>
      <c r="D950">
        <v>3.0599999999999999E-2</v>
      </c>
      <c r="E950">
        <v>3.2660000000000002E-2</v>
      </c>
      <c r="F950">
        <v>1284510400.3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-0.40804597701149381</v>
      </c>
      <c r="Q950">
        <f t="shared" si="1015"/>
        <v>-524139301.27183849</v>
      </c>
      <c r="R950">
        <f t="shared" si="1016"/>
        <v>2144224958.5775082</v>
      </c>
      <c r="S950">
        <f t="shared" si="1017"/>
        <v>21442.249585775084</v>
      </c>
      <c r="T950">
        <f t="shared" si="1018"/>
        <v>21.442249585775084</v>
      </c>
    </row>
    <row r="951" spans="1:20" x14ac:dyDescent="0.25">
      <c r="A951" s="5">
        <v>43642</v>
      </c>
      <c r="B951">
        <v>3.8490000000000003E-2</v>
      </c>
      <c r="C951">
        <v>3.9849999999999997E-2</v>
      </c>
      <c r="D951">
        <v>3.4669999999999999E-2</v>
      </c>
      <c r="E951">
        <v>3.6769999999999997E-2</v>
      </c>
      <c r="F951">
        <v>1212349781.3</v>
      </c>
      <c r="G951">
        <v>0</v>
      </c>
      <c r="L951" t="s">
        <v>7</v>
      </c>
      <c r="M951" t="s">
        <v>8</v>
      </c>
      <c r="N951" t="s">
        <v>8</v>
      </c>
      <c r="P951">
        <f t="shared" si="1014"/>
        <v>-0.18918918918918962</v>
      </c>
      <c r="Q951">
        <f t="shared" si="1015"/>
        <v>-229363472.13783833</v>
      </c>
      <c r="R951">
        <f t="shared" si="1016"/>
        <v>2668364259.8493466</v>
      </c>
      <c r="S951">
        <f t="shared" si="1017"/>
        <v>26683.642598493465</v>
      </c>
      <c r="T951">
        <f t="shared" si="1018"/>
        <v>26.683642598493464</v>
      </c>
    </row>
    <row r="952" spans="1:20" x14ac:dyDescent="0.25">
      <c r="A952" s="5">
        <v>43641</v>
      </c>
      <c r="B952">
        <v>3.8519999999999999E-2</v>
      </c>
      <c r="C952">
        <v>4.0480000000000002E-2</v>
      </c>
      <c r="D952">
        <v>3.7510000000000002E-2</v>
      </c>
      <c r="E952">
        <v>3.848E-2</v>
      </c>
      <c r="F952">
        <v>911335758.29999995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-0.34680134680134783</v>
      </c>
      <c r="Q952">
        <f t="shared" si="1015"/>
        <v>-316052468.36666757</v>
      </c>
      <c r="R952">
        <f t="shared" si="1016"/>
        <v>2897727731.987185</v>
      </c>
      <c r="S952">
        <f t="shared" si="1017"/>
        <v>28977.27731987185</v>
      </c>
      <c r="T952">
        <f t="shared" si="1018"/>
        <v>28.977277319871849</v>
      </c>
    </row>
    <row r="953" spans="1:20" x14ac:dyDescent="0.25">
      <c r="A953" s="5">
        <v>43640</v>
      </c>
      <c r="B953">
        <v>3.7569999999999999E-2</v>
      </c>
      <c r="C953">
        <v>3.9559999999999998E-2</v>
      </c>
      <c r="D953">
        <v>3.6459999999999999E-2</v>
      </c>
      <c r="E953">
        <v>3.8519999999999999E-2</v>
      </c>
      <c r="F953">
        <v>1012774713.6</v>
      </c>
      <c r="G953">
        <v>0</v>
      </c>
      <c r="L953" t="s">
        <v>8</v>
      </c>
      <c r="M953" t="s">
        <v>8</v>
      </c>
      <c r="N953" t="s">
        <v>8</v>
      </c>
      <c r="P953">
        <f t="shared" si="1014"/>
        <v>0.3290322580645163</v>
      </c>
      <c r="Q953">
        <f t="shared" si="1015"/>
        <v>333235550.9264518</v>
      </c>
      <c r="R953">
        <f t="shared" si="1016"/>
        <v>3213780200.3538527</v>
      </c>
      <c r="S953">
        <f t="shared" si="1017"/>
        <v>32137.802003538527</v>
      </c>
      <c r="T953">
        <f t="shared" si="1018"/>
        <v>32.137802003538525</v>
      </c>
    </row>
    <row r="954" spans="1:20" x14ac:dyDescent="0.25">
      <c r="A954" s="5">
        <v>43639</v>
      </c>
      <c r="B954">
        <v>3.7510000000000002E-2</v>
      </c>
      <c r="C954">
        <v>3.8859999999999999E-2</v>
      </c>
      <c r="D954">
        <v>3.6299999999999999E-2</v>
      </c>
      <c r="E954">
        <v>3.7569999999999999E-2</v>
      </c>
      <c r="F954">
        <v>1088046361.8</v>
      </c>
      <c r="G954">
        <v>0</v>
      </c>
      <c r="L954" t="s">
        <v>8</v>
      </c>
      <c r="M954" t="s">
        <v>8</v>
      </c>
      <c r="N954" t="s">
        <v>7</v>
      </c>
      <c r="P954">
        <f t="shared" si="1014"/>
        <v>-7.8124999999996825E-3</v>
      </c>
      <c r="Q954">
        <f t="shared" si="1015"/>
        <v>-8500362.201562155</v>
      </c>
      <c r="R954">
        <f t="shared" si="1016"/>
        <v>2880544649.4274011</v>
      </c>
      <c r="S954">
        <f t="shared" si="1017"/>
        <v>28805.446494274012</v>
      </c>
      <c r="T954">
        <f t="shared" si="1018"/>
        <v>28.805446494274012</v>
      </c>
    </row>
    <row r="955" spans="1:20" x14ac:dyDescent="0.25">
      <c r="A955" s="5">
        <v>43638</v>
      </c>
      <c r="B955">
        <v>3.3079999999999998E-2</v>
      </c>
      <c r="C955">
        <v>3.7819999999999999E-2</v>
      </c>
      <c r="D955">
        <v>3.2899999999999999E-2</v>
      </c>
      <c r="E955">
        <v>3.7479999999999999E-2</v>
      </c>
      <c r="F955">
        <v>1351374043.9000001</v>
      </c>
      <c r="G955">
        <v>0</v>
      </c>
      <c r="L955" t="s">
        <v>8</v>
      </c>
      <c r="M955" t="s">
        <v>8</v>
      </c>
      <c r="N955" t="s">
        <v>7</v>
      </c>
      <c r="P955">
        <f t="shared" si="1014"/>
        <v>0.86178861788617889</v>
      </c>
      <c r="Q955">
        <f t="shared" si="1015"/>
        <v>1164598769.5398376</v>
      </c>
      <c r="R955">
        <f t="shared" si="1016"/>
        <v>2889045011.628963</v>
      </c>
      <c r="S955">
        <f t="shared" si="1017"/>
        <v>28890.45011628963</v>
      </c>
      <c r="T955">
        <f t="shared" si="1018"/>
        <v>28.890450116289632</v>
      </c>
    </row>
    <row r="956" spans="1:20" x14ac:dyDescent="0.25">
      <c r="A956" s="5">
        <v>43637</v>
      </c>
      <c r="B956">
        <v>3.2629999999999999E-2</v>
      </c>
      <c r="C956">
        <v>3.3770000000000001E-2</v>
      </c>
      <c r="D956">
        <v>3.2620000000000003E-2</v>
      </c>
      <c r="E956">
        <v>3.3059999999999999E-2</v>
      </c>
      <c r="F956">
        <v>502260561.10000002</v>
      </c>
      <c r="G956">
        <v>0</v>
      </c>
      <c r="L956" t="s">
        <v>8</v>
      </c>
      <c r="M956" t="s">
        <v>7</v>
      </c>
      <c r="N956" t="s">
        <v>7</v>
      </c>
      <c r="P956">
        <f t="shared" si="1014"/>
        <v>-0.23478260869565806</v>
      </c>
      <c r="Q956">
        <f t="shared" si="1015"/>
        <v>-117922044.78000297</v>
      </c>
      <c r="R956">
        <f t="shared" si="1016"/>
        <v>1724446242.0891254</v>
      </c>
      <c r="S956">
        <f t="shared" si="1017"/>
        <v>17244.462420891254</v>
      </c>
      <c r="T956">
        <f t="shared" si="1018"/>
        <v>17.244462420891253</v>
      </c>
    </row>
    <row r="957" spans="1:20" x14ac:dyDescent="0.25">
      <c r="A957" s="5">
        <v>43636</v>
      </c>
      <c r="B957">
        <v>3.3239999999999999E-2</v>
      </c>
      <c r="C957">
        <v>3.363E-2</v>
      </c>
      <c r="D957">
        <v>3.2210000000000003E-2</v>
      </c>
      <c r="E957">
        <v>3.2629999999999999E-2</v>
      </c>
      <c r="F957">
        <v>424279302</v>
      </c>
      <c r="G957">
        <v>0</v>
      </c>
      <c r="L957" t="s">
        <v>8</v>
      </c>
      <c r="M957" t="s">
        <v>7</v>
      </c>
      <c r="N957" t="s">
        <v>7</v>
      </c>
      <c r="P957">
        <f t="shared" si="1014"/>
        <v>-0.40845070422535568</v>
      </c>
      <c r="Q957">
        <f t="shared" si="1015"/>
        <v>-173297179.69014236</v>
      </c>
      <c r="R957">
        <f t="shared" si="1016"/>
        <v>1842368286.8691285</v>
      </c>
      <c r="S957">
        <f t="shared" si="1017"/>
        <v>18423.682868691285</v>
      </c>
      <c r="T957">
        <f t="shared" si="1018"/>
        <v>18.423682868691284</v>
      </c>
    </row>
    <row r="958" spans="1:20" x14ac:dyDescent="0.25">
      <c r="A958" s="5">
        <v>43635</v>
      </c>
      <c r="B958">
        <v>3.3070000000000002E-2</v>
      </c>
      <c r="C958">
        <v>3.3700000000000001E-2</v>
      </c>
      <c r="D958">
        <v>3.2840000000000001E-2</v>
      </c>
      <c r="E958">
        <v>3.3239999999999999E-2</v>
      </c>
      <c r="F958">
        <v>414769274.5</v>
      </c>
      <c r="G958">
        <v>0</v>
      </c>
      <c r="L958" t="s">
        <v>8</v>
      </c>
      <c r="M958" t="s">
        <v>7</v>
      </c>
      <c r="N958" t="s">
        <v>7</v>
      </c>
      <c r="P958">
        <f t="shared" si="1014"/>
        <v>-6.9767441860470375E-2</v>
      </c>
      <c r="Q958">
        <f t="shared" si="1015"/>
        <v>-28937391.244188227</v>
      </c>
      <c r="R958">
        <f t="shared" si="1016"/>
        <v>2015665466.5592709</v>
      </c>
      <c r="S958">
        <f t="shared" si="1017"/>
        <v>20156.654665592709</v>
      </c>
      <c r="T958">
        <f t="shared" si="1018"/>
        <v>20.156654665592708</v>
      </c>
    </row>
    <row r="959" spans="1:20" x14ac:dyDescent="0.25">
      <c r="A959" s="5">
        <v>43634</v>
      </c>
      <c r="B959">
        <v>3.3799999999999997E-2</v>
      </c>
      <c r="C959">
        <v>3.4000000000000002E-2</v>
      </c>
      <c r="D959">
        <v>3.2079999999999997E-2</v>
      </c>
      <c r="E959">
        <v>3.3090000000000001E-2</v>
      </c>
      <c r="F959">
        <v>551759980</v>
      </c>
      <c r="G959">
        <v>0</v>
      </c>
      <c r="L959" t="s">
        <v>8</v>
      </c>
      <c r="M959" t="s">
        <v>7</v>
      </c>
      <c r="N959" t="s">
        <v>7</v>
      </c>
      <c r="P959">
        <f t="shared" ref="P959:P1022" si="1019">IF(C959=D959,0,((E959-D959)-(C959-E959))/(C959-D959))</f>
        <v>5.2083333333334689E-2</v>
      </c>
      <c r="Q959">
        <f t="shared" ref="Q959:Q1022" si="1020">F959*P959</f>
        <v>28737498.958334081</v>
      </c>
      <c r="R959">
        <f t="shared" ref="R959:R1022" si="1021">R960+Q959</f>
        <v>2044602857.8034592</v>
      </c>
      <c r="S959">
        <f t="shared" ref="S959:S1022" si="1022">R959/100000</f>
        <v>20446.028578034591</v>
      </c>
      <c r="T959">
        <f t="shared" ref="T959:T1022" si="1023">S959/1000</f>
        <v>20.446028578034593</v>
      </c>
    </row>
    <row r="960" spans="1:20" x14ac:dyDescent="0.25">
      <c r="A960" s="5">
        <v>43633</v>
      </c>
      <c r="B960">
        <v>3.2800000000000003E-2</v>
      </c>
      <c r="C960">
        <v>3.4000000000000002E-2</v>
      </c>
      <c r="D960">
        <v>3.2620000000000003E-2</v>
      </c>
      <c r="E960">
        <v>3.3829999999999999E-2</v>
      </c>
      <c r="F960">
        <v>598660024.10000002</v>
      </c>
      <c r="G960">
        <v>0</v>
      </c>
      <c r="L960" t="s">
        <v>8</v>
      </c>
      <c r="M960" t="s">
        <v>7</v>
      </c>
      <c r="N960" t="s">
        <v>7</v>
      </c>
      <c r="P960">
        <f t="shared" si="1019"/>
        <v>0.7536231884057919</v>
      </c>
      <c r="Q960">
        <f t="shared" si="1020"/>
        <v>451164076.13333023</v>
      </c>
      <c r="R960">
        <f t="shared" si="1021"/>
        <v>2015865358.8451252</v>
      </c>
      <c r="S960">
        <f t="shared" si="1022"/>
        <v>20158.653588451252</v>
      </c>
      <c r="T960">
        <f t="shared" si="1023"/>
        <v>20.158653588451251</v>
      </c>
    </row>
    <row r="961" spans="1:20" x14ac:dyDescent="0.25">
      <c r="A961" s="5">
        <v>43632</v>
      </c>
      <c r="B961">
        <v>3.2640000000000002E-2</v>
      </c>
      <c r="C961">
        <v>3.363E-2</v>
      </c>
      <c r="D961">
        <v>3.2329999999999998E-2</v>
      </c>
      <c r="E961">
        <v>3.2809999999999999E-2</v>
      </c>
      <c r="F961">
        <v>629949807.39999998</v>
      </c>
      <c r="G961">
        <v>0</v>
      </c>
      <c r="L961" t="s">
        <v>8</v>
      </c>
      <c r="M961" t="s">
        <v>7</v>
      </c>
      <c r="N961" t="s">
        <v>7</v>
      </c>
      <c r="P961">
        <f t="shared" si="1019"/>
        <v>-0.26153846153846105</v>
      </c>
      <c r="Q961">
        <f t="shared" si="1020"/>
        <v>-164756103.47384584</v>
      </c>
      <c r="R961">
        <f t="shared" si="1021"/>
        <v>1564701282.7117949</v>
      </c>
      <c r="S961">
        <f t="shared" si="1022"/>
        <v>15647.012827117949</v>
      </c>
      <c r="T961">
        <f t="shared" si="1023"/>
        <v>15.647012827117949</v>
      </c>
    </row>
    <row r="962" spans="1:20" x14ac:dyDescent="0.25">
      <c r="A962" s="5">
        <v>43631</v>
      </c>
      <c r="B962">
        <v>3.1829999999999997E-2</v>
      </c>
      <c r="C962">
        <v>3.2829999999999998E-2</v>
      </c>
      <c r="D962">
        <v>3.177E-2</v>
      </c>
      <c r="E962">
        <v>3.2640000000000002E-2</v>
      </c>
      <c r="F962">
        <v>487092681.39999998</v>
      </c>
      <c r="G962">
        <v>0</v>
      </c>
      <c r="L962" t="s">
        <v>8</v>
      </c>
      <c r="M962" t="s">
        <v>7</v>
      </c>
      <c r="N962" t="s">
        <v>7</v>
      </c>
      <c r="P962">
        <f t="shared" si="1019"/>
        <v>0.64150943396227167</v>
      </c>
      <c r="Q962">
        <f t="shared" si="1020"/>
        <v>312474550.33207911</v>
      </c>
      <c r="R962">
        <f t="shared" si="1021"/>
        <v>1729457386.1856406</v>
      </c>
      <c r="S962">
        <f t="shared" si="1022"/>
        <v>17294.573861856406</v>
      </c>
      <c r="T962">
        <f t="shared" si="1023"/>
        <v>17.294573861856406</v>
      </c>
    </row>
    <row r="963" spans="1:20" x14ac:dyDescent="0.25">
      <c r="A963" s="5">
        <v>43630</v>
      </c>
      <c r="B963">
        <v>3.2550000000000003E-2</v>
      </c>
      <c r="C963">
        <v>3.2710000000000003E-2</v>
      </c>
      <c r="D963">
        <v>3.056E-2</v>
      </c>
      <c r="E963">
        <v>3.184E-2</v>
      </c>
      <c r="F963">
        <v>618513636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0.19069767441860311</v>
      </c>
      <c r="Q963">
        <f t="shared" si="1020"/>
        <v>117949111.9813944</v>
      </c>
      <c r="R963">
        <f t="shared" si="1021"/>
        <v>1416982835.8535614</v>
      </c>
      <c r="S963">
        <f t="shared" si="1022"/>
        <v>14169.828358535615</v>
      </c>
      <c r="T963">
        <f t="shared" si="1023"/>
        <v>14.169828358535614</v>
      </c>
    </row>
    <row r="964" spans="1:20" x14ac:dyDescent="0.25">
      <c r="A964" s="5">
        <v>43629</v>
      </c>
      <c r="B964">
        <v>3.3489999999999999E-2</v>
      </c>
      <c r="C964">
        <v>3.3689999999999998E-2</v>
      </c>
      <c r="D964">
        <v>3.2280000000000003E-2</v>
      </c>
      <c r="E964">
        <v>3.2550000000000003E-2</v>
      </c>
      <c r="F964">
        <v>571646572.29999995</v>
      </c>
      <c r="G964">
        <v>0</v>
      </c>
      <c r="L964" t="s">
        <v>8</v>
      </c>
      <c r="M964" t="s">
        <v>7</v>
      </c>
      <c r="N964" t="s">
        <v>7</v>
      </c>
      <c r="P964">
        <f t="shared" si="1019"/>
        <v>-0.61702127659574402</v>
      </c>
      <c r="Q964">
        <f t="shared" si="1020"/>
        <v>-352718097.80212724</v>
      </c>
      <c r="R964">
        <f t="shared" si="1021"/>
        <v>1299033723.8721671</v>
      </c>
      <c r="S964">
        <f t="shared" si="1022"/>
        <v>12990.337238721671</v>
      </c>
      <c r="T964">
        <f t="shared" si="1023"/>
        <v>12.990337238721672</v>
      </c>
    </row>
    <row r="965" spans="1:20" x14ac:dyDescent="0.25">
      <c r="A965" s="5">
        <v>43628</v>
      </c>
      <c r="B965">
        <v>3.1060000000000001E-2</v>
      </c>
      <c r="C965">
        <v>3.3489999999999999E-2</v>
      </c>
      <c r="D965">
        <v>3.082E-2</v>
      </c>
      <c r="E965">
        <v>3.3489999999999999E-2</v>
      </c>
      <c r="F965">
        <v>850105948</v>
      </c>
      <c r="G965">
        <v>0</v>
      </c>
      <c r="L965" t="s">
        <v>8</v>
      </c>
      <c r="M965" t="s">
        <v>7</v>
      </c>
      <c r="N965" t="s">
        <v>7</v>
      </c>
      <c r="P965">
        <f t="shared" si="1019"/>
        <v>1</v>
      </c>
      <c r="Q965">
        <f t="shared" si="1020"/>
        <v>850105948</v>
      </c>
      <c r="R965">
        <f t="shared" si="1021"/>
        <v>1651751821.6742942</v>
      </c>
      <c r="S965">
        <f t="shared" si="1022"/>
        <v>16517.518216742941</v>
      </c>
      <c r="T965">
        <f t="shared" si="1023"/>
        <v>16.517518216742943</v>
      </c>
    </row>
    <row r="966" spans="1:20" x14ac:dyDescent="0.25">
      <c r="A966" s="5">
        <v>43627</v>
      </c>
      <c r="B966">
        <v>3.1530000000000002E-2</v>
      </c>
      <c r="C966">
        <v>3.1579999999999997E-2</v>
      </c>
      <c r="D966">
        <v>2.9829999999999999E-2</v>
      </c>
      <c r="E966">
        <v>3.108E-2</v>
      </c>
      <c r="F966">
        <v>595356965</v>
      </c>
      <c r="G966">
        <v>0</v>
      </c>
      <c r="L966" t="s">
        <v>8</v>
      </c>
      <c r="M966" t="s">
        <v>7</v>
      </c>
      <c r="N966" t="s">
        <v>7</v>
      </c>
      <c r="P966">
        <f t="shared" si="1019"/>
        <v>0.42857142857143138</v>
      </c>
      <c r="Q966">
        <f t="shared" si="1020"/>
        <v>255152985.00000167</v>
      </c>
      <c r="R966">
        <f t="shared" si="1021"/>
        <v>801645873.67429423</v>
      </c>
      <c r="S966">
        <f t="shared" si="1022"/>
        <v>8016.4587367429422</v>
      </c>
      <c r="T966">
        <f t="shared" si="1023"/>
        <v>8.0164587367429423</v>
      </c>
    </row>
    <row r="967" spans="1:20" x14ac:dyDescent="0.25">
      <c r="A967" s="5">
        <v>43626</v>
      </c>
      <c r="B967">
        <v>2.9649999999999999E-2</v>
      </c>
      <c r="C967">
        <v>3.1699999999999999E-2</v>
      </c>
      <c r="D967">
        <v>2.9020000000000001E-2</v>
      </c>
      <c r="E967">
        <v>3.1539999999999999E-2</v>
      </c>
      <c r="F967">
        <v>731408848.39999998</v>
      </c>
      <c r="G967">
        <v>0</v>
      </c>
      <c r="L967" t="s">
        <v>8</v>
      </c>
      <c r="M967" t="s">
        <v>7</v>
      </c>
      <c r="N967" t="s">
        <v>7</v>
      </c>
      <c r="P967">
        <f t="shared" si="1019"/>
        <v>0.88059701492537279</v>
      </c>
      <c r="Q967">
        <f t="shared" si="1020"/>
        <v>644076448.59104455</v>
      </c>
      <c r="R967">
        <f t="shared" si="1021"/>
        <v>546492888.67429256</v>
      </c>
      <c r="S967">
        <f t="shared" si="1022"/>
        <v>5464.9288867429259</v>
      </c>
      <c r="T967">
        <f t="shared" si="1023"/>
        <v>5.4649288867429258</v>
      </c>
    </row>
    <row r="968" spans="1:20" x14ac:dyDescent="0.25">
      <c r="A968" s="5">
        <v>43625</v>
      </c>
      <c r="B968">
        <v>3.2039999999999999E-2</v>
      </c>
      <c r="C968">
        <v>3.2259999999999997E-2</v>
      </c>
      <c r="D968">
        <v>2.9000000000000001E-2</v>
      </c>
      <c r="E968">
        <v>2.963E-2</v>
      </c>
      <c r="F968">
        <v>681370777.60000002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-0.61349693251533777</v>
      </c>
      <c r="Q968">
        <f t="shared" si="1020"/>
        <v>-418018881.96319044</v>
      </c>
      <c r="R968">
        <f t="shared" si="1021"/>
        <v>-97583559.91675204</v>
      </c>
      <c r="S968">
        <f t="shared" si="1022"/>
        <v>-975.8355991675204</v>
      </c>
      <c r="T968">
        <f t="shared" si="1023"/>
        <v>-0.97583559916752038</v>
      </c>
    </row>
    <row r="969" spans="1:20" x14ac:dyDescent="0.25">
      <c r="A969" s="5">
        <v>43624</v>
      </c>
      <c r="B969">
        <v>3.3459999999999997E-2</v>
      </c>
      <c r="C969">
        <v>3.3779999999999998E-2</v>
      </c>
      <c r="D969">
        <v>3.1559999999999998E-2</v>
      </c>
      <c r="E969">
        <v>3.202E-2</v>
      </c>
      <c r="F969">
        <v>582946852</v>
      </c>
      <c r="G969">
        <v>0</v>
      </c>
      <c r="L969" t="s">
        <v>7</v>
      </c>
      <c r="M969" t="s">
        <v>7</v>
      </c>
      <c r="N969" t="s">
        <v>8</v>
      </c>
      <c r="P969">
        <f t="shared" si="1019"/>
        <v>-0.58558558558558371</v>
      </c>
      <c r="Q969">
        <f t="shared" si="1020"/>
        <v>-341365273.69369262</v>
      </c>
      <c r="R969">
        <f t="shared" si="1021"/>
        <v>320435322.0464384</v>
      </c>
      <c r="S969">
        <f t="shared" si="1022"/>
        <v>3204.3532204643839</v>
      </c>
      <c r="T969">
        <f t="shared" si="1023"/>
        <v>3.2043532204643839</v>
      </c>
    </row>
    <row r="970" spans="1:20" x14ac:dyDescent="0.25">
      <c r="A970" s="5">
        <v>43623</v>
      </c>
      <c r="B970">
        <v>3.2599999999999997E-2</v>
      </c>
      <c r="C970">
        <v>3.449E-2</v>
      </c>
      <c r="D970">
        <v>3.2219999999999999E-2</v>
      </c>
      <c r="E970">
        <v>3.3480000000000003E-2</v>
      </c>
      <c r="F970">
        <v>607463874.70000005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0.11013215859031147</v>
      </c>
      <c r="Q970">
        <f t="shared" si="1020"/>
        <v>66901307.786345504</v>
      </c>
      <c r="R970">
        <f t="shared" si="1021"/>
        <v>661800595.74013102</v>
      </c>
      <c r="S970">
        <f t="shared" si="1022"/>
        <v>6618.0059574013103</v>
      </c>
      <c r="T970">
        <f t="shared" si="1023"/>
        <v>6.6180059574013104</v>
      </c>
    </row>
    <row r="971" spans="1:20" x14ac:dyDescent="0.25">
      <c r="A971" s="5">
        <v>43622</v>
      </c>
      <c r="B971">
        <v>3.3980000000000003E-2</v>
      </c>
      <c r="C971">
        <v>3.4180000000000002E-2</v>
      </c>
      <c r="D971">
        <v>3.0689999999999999E-2</v>
      </c>
      <c r="E971">
        <v>3.2590000000000001E-2</v>
      </c>
      <c r="F971">
        <v>826765580.5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8.8825214899713734E-2</v>
      </c>
      <c r="Q971">
        <f t="shared" si="1020"/>
        <v>73437630.359599069</v>
      </c>
      <c r="R971">
        <f t="shared" si="1021"/>
        <v>594899287.95378554</v>
      </c>
      <c r="S971">
        <f t="shared" si="1022"/>
        <v>5948.9928795378555</v>
      </c>
      <c r="T971">
        <f t="shared" si="1023"/>
        <v>5.9489928795378555</v>
      </c>
    </row>
    <row r="972" spans="1:20" x14ac:dyDescent="0.25">
      <c r="A972" s="5">
        <v>43621</v>
      </c>
      <c r="B972">
        <v>3.5049999999999998E-2</v>
      </c>
      <c r="C972">
        <v>3.5839999999999997E-2</v>
      </c>
      <c r="D972">
        <v>3.2649999999999998E-2</v>
      </c>
      <c r="E972">
        <v>3.3959999999999997E-2</v>
      </c>
      <c r="F972">
        <v>1043189852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-0.17868338557993774</v>
      </c>
      <c r="Q972">
        <f t="shared" si="1020"/>
        <v>-186400694.55799419</v>
      </c>
      <c r="R972">
        <f t="shared" si="1021"/>
        <v>521461657.59418648</v>
      </c>
      <c r="S972">
        <f t="shared" si="1022"/>
        <v>5214.6165759418645</v>
      </c>
      <c r="T972">
        <f t="shared" si="1023"/>
        <v>5.2146165759418643</v>
      </c>
    </row>
    <row r="973" spans="1:20" x14ac:dyDescent="0.25">
      <c r="A973" s="5">
        <v>43620</v>
      </c>
      <c r="B973">
        <v>3.3730000000000003E-2</v>
      </c>
      <c r="C973">
        <v>3.6200000000000003E-2</v>
      </c>
      <c r="D973">
        <v>3.15E-2</v>
      </c>
      <c r="E973">
        <v>3.5049999999999998E-2</v>
      </c>
      <c r="F973">
        <v>1853385478.9000001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0.5106382978723385</v>
      </c>
      <c r="Q973">
        <f t="shared" si="1020"/>
        <v>946409606.24680495</v>
      </c>
      <c r="R973">
        <f t="shared" si="1021"/>
        <v>707862352.15218067</v>
      </c>
      <c r="S973">
        <f t="shared" si="1022"/>
        <v>7078.6235215218067</v>
      </c>
      <c r="T973">
        <f t="shared" si="1023"/>
        <v>7.0786235215218065</v>
      </c>
    </row>
    <row r="974" spans="1:20" x14ac:dyDescent="0.25">
      <c r="A974" s="5">
        <v>43619</v>
      </c>
      <c r="B974">
        <v>3.823E-2</v>
      </c>
      <c r="C974">
        <v>3.968E-2</v>
      </c>
      <c r="D974">
        <v>3.3329999999999999E-2</v>
      </c>
      <c r="E974">
        <v>3.3750000000000002E-2</v>
      </c>
      <c r="F974">
        <v>1946760961.8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-0.8677165354330697</v>
      </c>
      <c r="Q974">
        <f t="shared" si="1020"/>
        <v>-1689236677.0894465</v>
      </c>
      <c r="R974">
        <f t="shared" si="1021"/>
        <v>-238547254.09462428</v>
      </c>
      <c r="S974">
        <f t="shared" si="1022"/>
        <v>-2385.4725409462426</v>
      </c>
      <c r="T974">
        <f t="shared" si="1023"/>
        <v>-2.3854725409462425</v>
      </c>
    </row>
    <row r="975" spans="1:20" x14ac:dyDescent="0.25">
      <c r="A975" s="5">
        <v>43618</v>
      </c>
      <c r="B975">
        <v>3.7479999999999999E-2</v>
      </c>
      <c r="C975">
        <v>4.095E-2</v>
      </c>
      <c r="D975">
        <v>3.6799999999999999E-2</v>
      </c>
      <c r="E975">
        <v>3.8219999999999997E-2</v>
      </c>
      <c r="F975">
        <v>1405296456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-0.31566265060241094</v>
      </c>
      <c r="Q975">
        <f t="shared" si="1020"/>
        <v>-443599604.18313438</v>
      </c>
      <c r="R975">
        <f t="shared" si="1021"/>
        <v>1450689422.9948223</v>
      </c>
      <c r="S975">
        <f t="shared" si="1022"/>
        <v>14506.894229948222</v>
      </c>
      <c r="T975">
        <f t="shared" si="1023"/>
        <v>14.506894229948223</v>
      </c>
    </row>
    <row r="976" spans="1:20" x14ac:dyDescent="0.25">
      <c r="A976" s="5">
        <v>43617</v>
      </c>
      <c r="B976">
        <v>3.3070000000000002E-2</v>
      </c>
      <c r="C976">
        <v>3.9260000000000003E-2</v>
      </c>
      <c r="D976">
        <v>3.2489999999999998E-2</v>
      </c>
      <c r="E976">
        <v>3.746E-2</v>
      </c>
      <c r="F976">
        <v>1798247480.4000001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0.46824224519940866</v>
      </c>
      <c r="Q976">
        <f t="shared" si="1020"/>
        <v>842015437.64667571</v>
      </c>
      <c r="R976">
        <f t="shared" si="1021"/>
        <v>1894289027.1779566</v>
      </c>
      <c r="S976">
        <f t="shared" si="1022"/>
        <v>18942.890271779565</v>
      </c>
      <c r="T976">
        <f t="shared" si="1023"/>
        <v>18.942890271779564</v>
      </c>
    </row>
    <row r="977" spans="1:20" x14ac:dyDescent="0.25">
      <c r="A977" s="5">
        <v>43616</v>
      </c>
      <c r="B977">
        <v>3.1009999999999999E-2</v>
      </c>
      <c r="C977">
        <v>3.313E-2</v>
      </c>
      <c r="D977">
        <v>3.0280000000000001E-2</v>
      </c>
      <c r="E977">
        <v>3.3070000000000002E-2</v>
      </c>
      <c r="F977">
        <v>805700591.70000005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0.95789473684210691</v>
      </c>
      <c r="Q977">
        <f t="shared" si="1020"/>
        <v>771776356.26000142</v>
      </c>
      <c r="R977">
        <f t="shared" si="1021"/>
        <v>1052273589.5312808</v>
      </c>
      <c r="S977">
        <f t="shared" si="1022"/>
        <v>10522.735895312808</v>
      </c>
      <c r="T977">
        <f t="shared" si="1023"/>
        <v>10.522735895312808</v>
      </c>
    </row>
    <row r="978" spans="1:20" x14ac:dyDescent="0.25">
      <c r="A978" s="5">
        <v>43615</v>
      </c>
      <c r="B978">
        <v>3.3640000000000003E-2</v>
      </c>
      <c r="C978">
        <v>3.5770000000000003E-2</v>
      </c>
      <c r="D978">
        <v>2.9669999999999998E-2</v>
      </c>
      <c r="E978">
        <v>3.1019999999999999E-2</v>
      </c>
      <c r="F978">
        <v>1354159644.4000001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-0.55737704918032804</v>
      </c>
      <c r="Q978">
        <f t="shared" si="1020"/>
        <v>-754777506.71475434</v>
      </c>
      <c r="R978">
        <f t="shared" si="1021"/>
        <v>280497233.27127934</v>
      </c>
      <c r="S978">
        <f t="shared" si="1022"/>
        <v>2804.9723327127936</v>
      </c>
      <c r="T978">
        <f t="shared" si="1023"/>
        <v>2.8049723327127936</v>
      </c>
    </row>
    <row r="979" spans="1:20" x14ac:dyDescent="0.25">
      <c r="A979" s="5">
        <v>43614</v>
      </c>
      <c r="B979">
        <v>3.4729999999999997E-2</v>
      </c>
      <c r="C979">
        <v>3.4880000000000001E-2</v>
      </c>
      <c r="D979">
        <v>3.1850000000000003E-2</v>
      </c>
      <c r="E979">
        <v>3.3649999999999999E-2</v>
      </c>
      <c r="F979">
        <v>974865713.70000005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0.18811881188118632</v>
      </c>
      <c r="Q979">
        <f t="shared" si="1020"/>
        <v>183390579.80494875</v>
      </c>
      <c r="R979">
        <f t="shared" si="1021"/>
        <v>1035274739.9860337</v>
      </c>
      <c r="S979">
        <f t="shared" si="1022"/>
        <v>10352.747399860336</v>
      </c>
      <c r="T979">
        <f t="shared" si="1023"/>
        <v>10.352747399860336</v>
      </c>
    </row>
    <row r="980" spans="1:20" x14ac:dyDescent="0.25">
      <c r="A980" s="5">
        <v>43613</v>
      </c>
      <c r="B980">
        <v>3.499E-2</v>
      </c>
      <c r="C980">
        <v>3.6999999999999998E-2</v>
      </c>
      <c r="D980">
        <v>3.2500000000000001E-2</v>
      </c>
      <c r="E980">
        <v>3.4709999999999998E-2</v>
      </c>
      <c r="F980">
        <v>1530578579.3</v>
      </c>
      <c r="G980">
        <v>0</v>
      </c>
      <c r="L980" t="s">
        <v>7</v>
      </c>
      <c r="M980" t="s">
        <v>8</v>
      </c>
      <c r="N980" t="s">
        <v>8</v>
      </c>
      <c r="P980">
        <f t="shared" si="1019"/>
        <v>-1.7777777777778607E-2</v>
      </c>
      <c r="Q980">
        <f t="shared" si="1020"/>
        <v>-27210285.85422349</v>
      </c>
      <c r="R980">
        <f t="shared" si="1021"/>
        <v>851884160.18108499</v>
      </c>
      <c r="S980">
        <f t="shared" si="1022"/>
        <v>8518.8416018108492</v>
      </c>
      <c r="T980">
        <f t="shared" si="1023"/>
        <v>8.5188416018108484</v>
      </c>
    </row>
    <row r="981" spans="1:20" x14ac:dyDescent="0.25">
      <c r="A981" s="5">
        <v>43612</v>
      </c>
      <c r="B981">
        <v>3.0689999999999999E-2</v>
      </c>
      <c r="C981">
        <v>3.669E-2</v>
      </c>
      <c r="D981">
        <v>3.0669999999999999E-2</v>
      </c>
      <c r="E981">
        <v>3.4970000000000001E-2</v>
      </c>
      <c r="F981">
        <v>1719480200.7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0.42857142857142888</v>
      </c>
      <c r="Q981">
        <f t="shared" si="1020"/>
        <v>736920086.01428628</v>
      </c>
      <c r="R981">
        <f t="shared" si="1021"/>
        <v>879094446.03530848</v>
      </c>
      <c r="S981">
        <f t="shared" si="1022"/>
        <v>8790.9444603530847</v>
      </c>
      <c r="T981">
        <f t="shared" si="1023"/>
        <v>8.7909444603530851</v>
      </c>
    </row>
    <row r="982" spans="1:20" x14ac:dyDescent="0.25">
      <c r="A982" s="5">
        <v>43611</v>
      </c>
      <c r="B982">
        <v>2.759E-2</v>
      </c>
      <c r="C982">
        <v>3.1899999999999998E-2</v>
      </c>
      <c r="D982">
        <v>2.7009999999999999E-2</v>
      </c>
      <c r="E982">
        <v>3.0700000000000002E-2</v>
      </c>
      <c r="F982">
        <v>1257103335.5999999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0.50920245398773145</v>
      </c>
      <c r="Q982">
        <f t="shared" si="1020"/>
        <v>640120103.40368271</v>
      </c>
      <c r="R982">
        <f t="shared" si="1021"/>
        <v>142174360.0210222</v>
      </c>
      <c r="S982">
        <f t="shared" si="1022"/>
        <v>1421.743600210222</v>
      </c>
      <c r="T982">
        <f t="shared" si="1023"/>
        <v>1.4217436002102219</v>
      </c>
    </row>
    <row r="983" spans="1:20" x14ac:dyDescent="0.25">
      <c r="A983" s="5">
        <v>43610</v>
      </c>
      <c r="B983">
        <v>2.759E-2</v>
      </c>
      <c r="C983">
        <v>2.8889999999999999E-2</v>
      </c>
      <c r="D983">
        <v>2.7310000000000001E-2</v>
      </c>
      <c r="E983">
        <v>2.76E-2</v>
      </c>
      <c r="F983">
        <v>488231559.60000002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-0.63291139240506467</v>
      </c>
      <c r="Q983">
        <f t="shared" si="1020"/>
        <v>-309007316.20253235</v>
      </c>
      <c r="R983">
        <f t="shared" si="1021"/>
        <v>-497945743.38266051</v>
      </c>
      <c r="S983">
        <f t="shared" si="1022"/>
        <v>-4979.4574338266048</v>
      </c>
      <c r="T983">
        <f t="shared" si="1023"/>
        <v>-4.9794574338266049</v>
      </c>
    </row>
    <row r="984" spans="1:20" x14ac:dyDescent="0.25">
      <c r="A984" s="5">
        <v>43609</v>
      </c>
      <c r="B984">
        <v>2.6970000000000001E-2</v>
      </c>
      <c r="C984">
        <v>2.826E-2</v>
      </c>
      <c r="D984">
        <v>2.665E-2</v>
      </c>
      <c r="E984">
        <v>2.7609999999999999E-2</v>
      </c>
      <c r="F984">
        <v>529786285.39999998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0.19254658385093026</v>
      </c>
      <c r="Q984">
        <f t="shared" si="1020"/>
        <v>102008539.42484397</v>
      </c>
      <c r="R984">
        <f t="shared" si="1021"/>
        <v>-188938427.18012816</v>
      </c>
      <c r="S984">
        <f t="shared" si="1022"/>
        <v>-1889.3842718012816</v>
      </c>
      <c r="T984">
        <f t="shared" si="1023"/>
        <v>-1.8893842718012817</v>
      </c>
    </row>
    <row r="985" spans="1:20" x14ac:dyDescent="0.25">
      <c r="A985" s="5">
        <v>43608</v>
      </c>
      <c r="B985">
        <v>2.6530000000000001E-2</v>
      </c>
      <c r="C985">
        <v>2.7289999999999998E-2</v>
      </c>
      <c r="D985">
        <v>2.5659999999999999E-2</v>
      </c>
      <c r="E985">
        <v>2.6960000000000001E-2</v>
      </c>
      <c r="F985">
        <v>449759132.89999998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0.59509202453988086</v>
      </c>
      <c r="Q985">
        <f t="shared" si="1020"/>
        <v>267648072.95276234</v>
      </c>
      <c r="R985">
        <f t="shared" si="1021"/>
        <v>-290946966.60497212</v>
      </c>
      <c r="S985">
        <f t="shared" si="1022"/>
        <v>-2909.4696660497211</v>
      </c>
      <c r="T985">
        <f t="shared" si="1023"/>
        <v>-2.9094696660497212</v>
      </c>
    </row>
    <row r="986" spans="1:20" x14ac:dyDescent="0.25">
      <c r="A986" s="5">
        <v>43607</v>
      </c>
      <c r="B986">
        <v>2.826E-2</v>
      </c>
      <c r="C986">
        <v>2.8930000000000001E-2</v>
      </c>
      <c r="D986">
        <v>2.6089999999999999E-2</v>
      </c>
      <c r="E986">
        <v>2.6550000000000001E-2</v>
      </c>
      <c r="F986">
        <v>610046663.39999998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-0.67605633802816778</v>
      </c>
      <c r="Q986">
        <f t="shared" si="1020"/>
        <v>-412425913.28450626</v>
      </c>
      <c r="R986">
        <f t="shared" si="1021"/>
        <v>-558595039.55773449</v>
      </c>
      <c r="S986">
        <f t="shared" si="1022"/>
        <v>-5585.9503955773453</v>
      </c>
      <c r="T986">
        <f t="shared" si="1023"/>
        <v>-5.5859503955773455</v>
      </c>
    </row>
    <row r="987" spans="1:20" x14ac:dyDescent="0.25">
      <c r="A987" s="5">
        <v>43606</v>
      </c>
      <c r="B987">
        <v>2.7789999999999999E-2</v>
      </c>
      <c r="C987">
        <v>2.9899999999999999E-2</v>
      </c>
      <c r="D987">
        <v>2.7289999999999998E-2</v>
      </c>
      <c r="E987">
        <v>2.8299999999999999E-2</v>
      </c>
      <c r="F987">
        <v>657554926.20000005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-0.22605363984674329</v>
      </c>
      <c r="Q987">
        <f t="shared" si="1020"/>
        <v>-148642684.46666667</v>
      </c>
      <c r="R987">
        <f t="shared" si="1021"/>
        <v>-146169126.27322826</v>
      </c>
      <c r="S987">
        <f t="shared" si="1022"/>
        <v>-1461.6912627322827</v>
      </c>
      <c r="T987">
        <f t="shared" si="1023"/>
        <v>-1.4616912627322827</v>
      </c>
    </row>
    <row r="988" spans="1:20" x14ac:dyDescent="0.25">
      <c r="A988" s="5">
        <v>43605</v>
      </c>
      <c r="B988">
        <v>2.8250000000000001E-2</v>
      </c>
      <c r="C988">
        <v>2.8400000000000002E-2</v>
      </c>
      <c r="D988">
        <v>2.615E-2</v>
      </c>
      <c r="E988">
        <v>2.7820000000000001E-2</v>
      </c>
      <c r="F988">
        <v>557709709.39999998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0.48444444444444434</v>
      </c>
      <c r="Q988">
        <f t="shared" si="1020"/>
        <v>270179370.33155549</v>
      </c>
      <c r="R988">
        <f t="shared" si="1021"/>
        <v>2473558.1934384108</v>
      </c>
      <c r="S988">
        <f t="shared" si="1022"/>
        <v>24.735581934384108</v>
      </c>
      <c r="T988">
        <f t="shared" si="1023"/>
        <v>2.4735581934384108E-2</v>
      </c>
    </row>
    <row r="989" spans="1:20" x14ac:dyDescent="0.25">
      <c r="A989" s="5">
        <v>43604</v>
      </c>
      <c r="B989">
        <v>2.6440000000000002E-2</v>
      </c>
      <c r="C989">
        <v>2.887E-2</v>
      </c>
      <c r="D989">
        <v>2.639E-2</v>
      </c>
      <c r="E989">
        <v>2.8250000000000001E-2</v>
      </c>
      <c r="F989">
        <v>797888003.39999998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0.50000000000000067</v>
      </c>
      <c r="Q989">
        <f t="shared" si="1020"/>
        <v>398944001.70000052</v>
      </c>
      <c r="R989">
        <f t="shared" si="1021"/>
        <v>-267705812.13811707</v>
      </c>
      <c r="S989">
        <f t="shared" si="1022"/>
        <v>-2677.0581213811706</v>
      </c>
      <c r="T989">
        <f t="shared" si="1023"/>
        <v>-2.6770581213811706</v>
      </c>
    </row>
    <row r="990" spans="1:20" x14ac:dyDescent="0.25">
      <c r="A990" s="5">
        <v>43603</v>
      </c>
      <c r="B990">
        <v>2.7E-2</v>
      </c>
      <c r="C990">
        <v>2.7799999999999998E-2</v>
      </c>
      <c r="D990">
        <v>2.6120000000000001E-2</v>
      </c>
      <c r="E990">
        <v>2.6440000000000002E-2</v>
      </c>
      <c r="F990">
        <v>674611411.89999998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-0.61904761904761751</v>
      </c>
      <c r="Q990">
        <f t="shared" si="1020"/>
        <v>-417616588.31904656</v>
      </c>
      <c r="R990">
        <f t="shared" si="1021"/>
        <v>-666649813.8381176</v>
      </c>
      <c r="S990">
        <f t="shared" si="1022"/>
        <v>-6666.4981383811764</v>
      </c>
      <c r="T990">
        <f t="shared" si="1023"/>
        <v>-6.6664981383811766</v>
      </c>
    </row>
    <row r="991" spans="1:20" x14ac:dyDescent="0.25">
      <c r="A991" s="5">
        <v>43602</v>
      </c>
      <c r="B991">
        <v>2.8500000000000001E-2</v>
      </c>
      <c r="C991">
        <v>2.9000000000000001E-2</v>
      </c>
      <c r="D991">
        <v>2.4649999999999998E-2</v>
      </c>
      <c r="E991">
        <v>2.7E-2</v>
      </c>
      <c r="F991">
        <v>1414659256.5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8.0459770114942389E-2</v>
      </c>
      <c r="Q991">
        <f t="shared" si="1020"/>
        <v>113823158.56896532</v>
      </c>
      <c r="R991">
        <f t="shared" si="1021"/>
        <v>-249033225.5190711</v>
      </c>
      <c r="S991">
        <f t="shared" si="1022"/>
        <v>-2490.3322551907108</v>
      </c>
      <c r="T991">
        <f t="shared" si="1023"/>
        <v>-2.4903322551907108</v>
      </c>
    </row>
    <row r="992" spans="1:20" x14ac:dyDescent="0.25">
      <c r="A992" s="5">
        <v>43601</v>
      </c>
      <c r="B992">
        <v>3.09E-2</v>
      </c>
      <c r="C992">
        <v>3.3300000000000003E-2</v>
      </c>
      <c r="D992">
        <v>2.7009999999999999E-2</v>
      </c>
      <c r="E992">
        <v>2.8500000000000001E-2</v>
      </c>
      <c r="F992">
        <v>1489587897.4000001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-0.52623211446740836</v>
      </c>
      <c r="Q992">
        <f t="shared" si="1020"/>
        <v>-783868988.93386304</v>
      </c>
      <c r="R992">
        <f t="shared" si="1021"/>
        <v>-362856384.08803642</v>
      </c>
      <c r="S992">
        <f t="shared" si="1022"/>
        <v>-3628.5638408803643</v>
      </c>
      <c r="T992">
        <f t="shared" si="1023"/>
        <v>-3.6285638408803642</v>
      </c>
    </row>
    <row r="993" spans="1:20" x14ac:dyDescent="0.25">
      <c r="A993" s="5">
        <v>43600</v>
      </c>
      <c r="B993">
        <v>2.726E-2</v>
      </c>
      <c r="C993">
        <v>3.1609999999999999E-2</v>
      </c>
      <c r="D993">
        <v>2.7E-2</v>
      </c>
      <c r="E993">
        <v>3.09E-2</v>
      </c>
      <c r="F993">
        <v>930679352.70000005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0.69197396963123692</v>
      </c>
      <c r="Q993">
        <f t="shared" si="1020"/>
        <v>644005886.14164901</v>
      </c>
      <c r="R993">
        <f t="shared" si="1021"/>
        <v>421012604.84582663</v>
      </c>
      <c r="S993">
        <f t="shared" si="1022"/>
        <v>4210.1260484582663</v>
      </c>
      <c r="T993">
        <f t="shared" si="1023"/>
        <v>4.2101260484582665</v>
      </c>
    </row>
    <row r="994" spans="1:20" x14ac:dyDescent="0.25">
      <c r="A994" s="5">
        <v>43599</v>
      </c>
      <c r="B994">
        <v>2.4340000000000001E-2</v>
      </c>
      <c r="C994">
        <v>2.7689999999999999E-2</v>
      </c>
      <c r="D994">
        <v>2.4170000000000001E-2</v>
      </c>
      <c r="E994">
        <v>2.7269999999999999E-2</v>
      </c>
      <c r="F994">
        <v>1160896169.5999999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0.76136363636363613</v>
      </c>
      <c r="Q994">
        <f t="shared" si="1020"/>
        <v>883864129.12727237</v>
      </c>
      <c r="R994">
        <f t="shared" si="1021"/>
        <v>-222993281.29582238</v>
      </c>
      <c r="S994">
        <f t="shared" si="1022"/>
        <v>-2229.9328129582236</v>
      </c>
      <c r="T994">
        <f t="shared" si="1023"/>
        <v>-2.2299328129582237</v>
      </c>
    </row>
    <row r="995" spans="1:20" x14ac:dyDescent="0.25">
      <c r="A995" s="5">
        <v>43598</v>
      </c>
      <c r="B995">
        <v>2.3730000000000001E-2</v>
      </c>
      <c r="C995">
        <v>2.5499999999999998E-2</v>
      </c>
      <c r="D995">
        <v>2.3609999999999999E-2</v>
      </c>
      <c r="E995">
        <v>2.4330000000000001E-2</v>
      </c>
      <c r="F995">
        <v>901850816.5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-0.23809523809523583</v>
      </c>
      <c r="Q995">
        <f t="shared" si="1020"/>
        <v>-214726384.88095033</v>
      </c>
      <c r="R995">
        <f t="shared" si="1021"/>
        <v>-1106857410.4230947</v>
      </c>
      <c r="S995">
        <f t="shared" si="1022"/>
        <v>-11068.574104230947</v>
      </c>
      <c r="T995">
        <f t="shared" si="1023"/>
        <v>-11.068574104230947</v>
      </c>
    </row>
    <row r="996" spans="1:20" x14ac:dyDescent="0.25">
      <c r="A996" s="5">
        <v>43597</v>
      </c>
      <c r="B996">
        <v>2.477E-2</v>
      </c>
      <c r="C996">
        <v>2.564E-2</v>
      </c>
      <c r="D996">
        <v>2.3040000000000001E-2</v>
      </c>
      <c r="E996">
        <v>2.376E-2</v>
      </c>
      <c r="F996">
        <v>919226426.70000005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-0.44615384615384696</v>
      </c>
      <c r="Q996">
        <f t="shared" si="1020"/>
        <v>-410116405.75846231</v>
      </c>
      <c r="R996">
        <f t="shared" si="1021"/>
        <v>-892131025.5421443</v>
      </c>
      <c r="S996">
        <f t="shared" si="1022"/>
        <v>-8921.3102554214438</v>
      </c>
      <c r="T996">
        <f t="shared" si="1023"/>
        <v>-8.9213102554214441</v>
      </c>
    </row>
    <row r="997" spans="1:20" x14ac:dyDescent="0.25">
      <c r="A997" s="5">
        <v>43596</v>
      </c>
      <c r="B997">
        <v>2.3599999999999999E-2</v>
      </c>
      <c r="C997">
        <v>2.6499999999999999E-2</v>
      </c>
      <c r="D997">
        <v>2.3290000000000002E-2</v>
      </c>
      <c r="E997">
        <v>2.479E-2</v>
      </c>
      <c r="F997">
        <v>1181431560.5999999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-6.5420560747664183E-2</v>
      </c>
      <c r="Q997">
        <f t="shared" si="1020"/>
        <v>-77289915.179439992</v>
      </c>
      <c r="R997">
        <f t="shared" si="1021"/>
        <v>-482014619.78368199</v>
      </c>
      <c r="S997">
        <f t="shared" si="1022"/>
        <v>-4820.1461978368197</v>
      </c>
      <c r="T997">
        <f t="shared" si="1023"/>
        <v>-4.8201461978368201</v>
      </c>
    </row>
    <row r="998" spans="1:20" x14ac:dyDescent="0.25">
      <c r="A998" s="5">
        <v>43595</v>
      </c>
      <c r="B998">
        <v>2.3189999999999999E-2</v>
      </c>
      <c r="C998">
        <v>2.3779999999999999E-2</v>
      </c>
      <c r="D998">
        <v>2.223E-2</v>
      </c>
      <c r="E998">
        <v>2.3599999999999999E-2</v>
      </c>
      <c r="F998">
        <v>835483123.79999995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0.76774193548387137</v>
      </c>
      <c r="Q998">
        <f t="shared" si="1020"/>
        <v>641435430.53032291</v>
      </c>
      <c r="R998">
        <f t="shared" si="1021"/>
        <v>-404724704.60424197</v>
      </c>
      <c r="S998">
        <f t="shared" si="1022"/>
        <v>-4047.2470460424197</v>
      </c>
      <c r="T998">
        <f t="shared" si="1023"/>
        <v>-4.0472470460424201</v>
      </c>
    </row>
    <row r="999" spans="1:20" x14ac:dyDescent="0.25">
      <c r="A999" s="5">
        <v>43594</v>
      </c>
      <c r="B999">
        <v>2.4549999999999999E-2</v>
      </c>
      <c r="C999">
        <v>2.462E-2</v>
      </c>
      <c r="D999">
        <v>2.298E-2</v>
      </c>
      <c r="E999">
        <v>2.3189999999999999E-2</v>
      </c>
      <c r="F999">
        <v>633573908.5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-0.74390243902439213</v>
      </c>
      <c r="Q999">
        <f t="shared" si="1020"/>
        <v>-471317175.83536702</v>
      </c>
      <c r="R999">
        <f t="shared" si="1021"/>
        <v>-1046160135.1345649</v>
      </c>
      <c r="S999">
        <f t="shared" si="1022"/>
        <v>-10461.601351345649</v>
      </c>
      <c r="T999">
        <f t="shared" si="1023"/>
        <v>-10.461601351345649</v>
      </c>
    </row>
    <row r="1000" spans="1:20" x14ac:dyDescent="0.25">
      <c r="A1000" s="5">
        <v>43593</v>
      </c>
      <c r="B1000">
        <v>2.3869999999999999E-2</v>
      </c>
      <c r="C1000">
        <v>2.5389999999999999E-2</v>
      </c>
      <c r="D1000">
        <v>2.341E-2</v>
      </c>
      <c r="E1000">
        <v>2.453E-2</v>
      </c>
      <c r="F1000">
        <v>777831881.29999995</v>
      </c>
      <c r="G1000">
        <v>0</v>
      </c>
      <c r="L1000" t="s">
        <v>8</v>
      </c>
      <c r="M1000" t="s">
        <v>7</v>
      </c>
      <c r="N1000" t="s">
        <v>7</v>
      </c>
      <c r="P1000">
        <f t="shared" si="1019"/>
        <v>0.13131313131313127</v>
      </c>
      <c r="Q1000">
        <f t="shared" si="1020"/>
        <v>102139539.96868683</v>
      </c>
      <c r="R1000">
        <f t="shared" si="1021"/>
        <v>-574842959.29919779</v>
      </c>
      <c r="S1000">
        <f t="shared" si="1022"/>
        <v>-5748.4295929919781</v>
      </c>
      <c r="T1000">
        <f t="shared" si="1023"/>
        <v>-5.748429592991978</v>
      </c>
    </row>
    <row r="1001" spans="1:20" x14ac:dyDescent="0.25">
      <c r="A1001" s="5">
        <v>43592</v>
      </c>
      <c r="B1001">
        <v>2.3789999999999999E-2</v>
      </c>
      <c r="C1001">
        <v>2.4420000000000001E-2</v>
      </c>
      <c r="D1001">
        <v>2.3599999999999999E-2</v>
      </c>
      <c r="E1001">
        <v>2.385E-2</v>
      </c>
      <c r="F1001">
        <v>1167660422.2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-0.39024390243902479</v>
      </c>
      <c r="Q1001">
        <f t="shared" si="1020"/>
        <v>-455672359.8829273</v>
      </c>
      <c r="R1001">
        <f t="shared" si="1021"/>
        <v>-676982499.26788461</v>
      </c>
      <c r="S1001">
        <f t="shared" si="1022"/>
        <v>-6769.8249926788458</v>
      </c>
      <c r="T1001">
        <f t="shared" si="1023"/>
        <v>-6.7698249926788456</v>
      </c>
    </row>
    <row r="1002" spans="1:20" x14ac:dyDescent="0.25">
      <c r="A1002" s="5">
        <v>43591</v>
      </c>
      <c r="B1002">
        <v>2.3179999999999999E-2</v>
      </c>
      <c r="C1002">
        <v>2.418E-2</v>
      </c>
      <c r="D1002">
        <v>2.2710000000000001E-2</v>
      </c>
      <c r="E1002">
        <v>2.3789999999999999E-2</v>
      </c>
      <c r="F1002">
        <v>1392376688.3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0.46938775510203851</v>
      </c>
      <c r="Q1002">
        <f t="shared" si="1020"/>
        <v>653564567.97754776</v>
      </c>
      <c r="R1002">
        <f t="shared" si="1021"/>
        <v>-221310139.38495731</v>
      </c>
      <c r="S1002">
        <f t="shared" si="1022"/>
        <v>-2213.101393849573</v>
      </c>
      <c r="T1002">
        <f t="shared" si="1023"/>
        <v>-2.2131013938495729</v>
      </c>
    </row>
    <row r="1003" spans="1:20" x14ac:dyDescent="0.25">
      <c r="A1003" s="5">
        <v>43590</v>
      </c>
      <c r="B1003">
        <v>2.3009999999999999E-2</v>
      </c>
      <c r="C1003">
        <v>2.3349999999999999E-2</v>
      </c>
      <c r="D1003">
        <v>2.282E-2</v>
      </c>
      <c r="E1003">
        <v>2.3189999999999999E-2</v>
      </c>
      <c r="F1003">
        <v>1101308383.5</v>
      </c>
      <c r="G1003">
        <v>0</v>
      </c>
      <c r="L1003" t="s">
        <v>8</v>
      </c>
      <c r="M1003" t="s">
        <v>7</v>
      </c>
      <c r="N1003" t="s">
        <v>7</v>
      </c>
      <c r="P1003">
        <f t="shared" si="1019"/>
        <v>0.39622641509433715</v>
      </c>
      <c r="Q1003">
        <f t="shared" si="1020"/>
        <v>436367472.70754445</v>
      </c>
      <c r="R1003">
        <f t="shared" si="1021"/>
        <v>-874874707.36250508</v>
      </c>
      <c r="S1003">
        <f t="shared" si="1022"/>
        <v>-8748.7470736250507</v>
      </c>
      <c r="T1003">
        <f t="shared" si="1023"/>
        <v>-8.7487470736250508</v>
      </c>
    </row>
    <row r="1004" spans="1:20" x14ac:dyDescent="0.25">
      <c r="A1004" s="5">
        <v>43589</v>
      </c>
      <c r="B1004">
        <v>2.3810000000000001E-2</v>
      </c>
      <c r="C1004">
        <v>2.4570000000000002E-2</v>
      </c>
      <c r="D1004">
        <v>2.2550000000000001E-2</v>
      </c>
      <c r="E1004">
        <v>2.3E-2</v>
      </c>
      <c r="F1004">
        <v>1394425314.9000001</v>
      </c>
      <c r="G1004">
        <v>0</v>
      </c>
      <c r="L1004" t="s">
        <v>8</v>
      </c>
      <c r="M1004" t="s">
        <v>7</v>
      </c>
      <c r="N1004" t="s">
        <v>7</v>
      </c>
      <c r="P1004">
        <f t="shared" si="1019"/>
        <v>-0.55445544554455561</v>
      </c>
      <c r="Q1004">
        <f t="shared" si="1020"/>
        <v>-773146709.25148678</v>
      </c>
      <c r="R1004">
        <f t="shared" si="1021"/>
        <v>-1311242180.0700495</v>
      </c>
      <c r="S1004">
        <f t="shared" si="1022"/>
        <v>-13112.421800700495</v>
      </c>
      <c r="T1004">
        <f t="shared" si="1023"/>
        <v>-13.112421800700496</v>
      </c>
    </row>
    <row r="1005" spans="1:20" x14ac:dyDescent="0.25">
      <c r="A1005" s="5">
        <v>43588</v>
      </c>
      <c r="B1005">
        <v>2.3400000000000001E-2</v>
      </c>
      <c r="C1005">
        <v>2.3980000000000001E-2</v>
      </c>
      <c r="D1005">
        <v>2.307E-2</v>
      </c>
      <c r="E1005">
        <v>2.3810000000000001E-2</v>
      </c>
      <c r="F1005">
        <v>1528014147</v>
      </c>
      <c r="G1005">
        <v>0</v>
      </c>
      <c r="L1005" t="s">
        <v>8</v>
      </c>
      <c r="M1005" t="s">
        <v>7</v>
      </c>
      <c r="N1005" t="s">
        <v>7</v>
      </c>
      <c r="P1005">
        <f t="shared" si="1019"/>
        <v>0.62637362637362681</v>
      </c>
      <c r="Q1005">
        <f t="shared" si="1020"/>
        <v>957107762.40659404</v>
      </c>
      <c r="R1005">
        <f t="shared" si="1021"/>
        <v>-538095470.81856275</v>
      </c>
      <c r="S1005">
        <f t="shared" si="1022"/>
        <v>-5380.9547081856272</v>
      </c>
      <c r="T1005">
        <f t="shared" si="1023"/>
        <v>-5.3809547081856275</v>
      </c>
    </row>
    <row r="1006" spans="1:20" x14ac:dyDescent="0.25">
      <c r="A1006" s="5">
        <v>43587</v>
      </c>
      <c r="B1006">
        <v>2.349E-2</v>
      </c>
      <c r="C1006">
        <v>2.3630000000000002E-2</v>
      </c>
      <c r="D1006">
        <v>2.3040000000000001E-2</v>
      </c>
      <c r="E1006">
        <v>2.3390000000000001E-2</v>
      </c>
      <c r="F1006">
        <v>1268952432.5</v>
      </c>
      <c r="G1006">
        <v>0</v>
      </c>
      <c r="L1006" t="s">
        <v>8</v>
      </c>
      <c r="M1006" t="s">
        <v>7</v>
      </c>
      <c r="N1006" t="s">
        <v>7</v>
      </c>
      <c r="P1006">
        <f t="shared" si="1019"/>
        <v>0.18644067796609989</v>
      </c>
      <c r="Q1006">
        <f t="shared" si="1020"/>
        <v>236584351.82203162</v>
      </c>
      <c r="R1006">
        <f t="shared" si="1021"/>
        <v>-1495203233.2251568</v>
      </c>
      <c r="S1006">
        <f t="shared" si="1022"/>
        <v>-14952.032332251569</v>
      </c>
      <c r="T1006">
        <f t="shared" si="1023"/>
        <v>-14.952032332251569</v>
      </c>
    </row>
    <row r="1007" spans="1:20" x14ac:dyDescent="0.25">
      <c r="A1007" s="5">
        <v>43586</v>
      </c>
      <c r="B1007">
        <v>2.3480000000000001E-2</v>
      </c>
      <c r="C1007">
        <v>2.385E-2</v>
      </c>
      <c r="D1007">
        <v>2.2960000000000001E-2</v>
      </c>
      <c r="E1007">
        <v>2.3480000000000001E-2</v>
      </c>
      <c r="F1007">
        <v>1175001889.2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0.16853932584269785</v>
      </c>
      <c r="Q1007">
        <f t="shared" si="1020"/>
        <v>198034026.26966435</v>
      </c>
      <c r="R1007">
        <f t="shared" si="1021"/>
        <v>-1731787585.0471885</v>
      </c>
      <c r="S1007">
        <f t="shared" si="1022"/>
        <v>-17317.875850471886</v>
      </c>
      <c r="T1007">
        <f t="shared" si="1023"/>
        <v>-17.317875850471886</v>
      </c>
    </row>
    <row r="1008" spans="1:20" x14ac:dyDescent="0.25">
      <c r="A1008" s="5">
        <v>43585</v>
      </c>
      <c r="B1008">
        <v>2.2429999999999999E-2</v>
      </c>
      <c r="C1008">
        <v>2.3810000000000001E-2</v>
      </c>
      <c r="D1008">
        <v>2.2169999999999999E-2</v>
      </c>
      <c r="E1008">
        <v>2.349E-2</v>
      </c>
      <c r="F1008">
        <v>1186078030.4000001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0.60975609756097515</v>
      </c>
      <c r="Q1008">
        <f t="shared" si="1020"/>
        <v>723218311.21951175</v>
      </c>
      <c r="R1008">
        <f t="shared" si="1021"/>
        <v>-1929821611.3168528</v>
      </c>
      <c r="S1008">
        <f t="shared" si="1022"/>
        <v>-19298.216113168528</v>
      </c>
      <c r="T1008">
        <f t="shared" si="1023"/>
        <v>-19.298216113168529</v>
      </c>
    </row>
    <row r="1009" spans="1:20" x14ac:dyDescent="0.25">
      <c r="A1009" s="5">
        <v>43584</v>
      </c>
      <c r="B1009">
        <v>2.3359999999999999E-2</v>
      </c>
      <c r="C1009">
        <v>2.3390000000000001E-2</v>
      </c>
      <c r="D1009">
        <v>2.188E-2</v>
      </c>
      <c r="E1009">
        <v>2.2429999999999999E-2</v>
      </c>
      <c r="F1009">
        <v>813624657.70000005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-0.27152317880794957</v>
      </c>
      <c r="Q1009">
        <f t="shared" si="1020"/>
        <v>-220917953.41523388</v>
      </c>
      <c r="R1009">
        <f t="shared" si="1021"/>
        <v>-2653039922.5363646</v>
      </c>
      <c r="S1009">
        <f t="shared" si="1022"/>
        <v>-26530.399225363646</v>
      </c>
      <c r="T1009">
        <f t="shared" si="1023"/>
        <v>-26.530399225363645</v>
      </c>
    </row>
    <row r="1010" spans="1:20" x14ac:dyDescent="0.25">
      <c r="A1010" s="5">
        <v>43583</v>
      </c>
      <c r="B1010">
        <v>2.3470000000000001E-2</v>
      </c>
      <c r="C1010">
        <v>2.366E-2</v>
      </c>
      <c r="D1010">
        <v>2.3130000000000001E-2</v>
      </c>
      <c r="E1010">
        <v>2.334E-2</v>
      </c>
      <c r="F1010">
        <v>170049685.69999999</v>
      </c>
      <c r="G1010">
        <v>0</v>
      </c>
      <c r="L1010" t="s">
        <v>7</v>
      </c>
      <c r="M1010" t="s">
        <v>7</v>
      </c>
      <c r="N1010" t="s">
        <v>8</v>
      </c>
      <c r="P1010">
        <f t="shared" si="1019"/>
        <v>-0.2075471698113257</v>
      </c>
      <c r="Q1010">
        <f t="shared" si="1020"/>
        <v>-35293330.994340464</v>
      </c>
      <c r="R1010">
        <f t="shared" si="1021"/>
        <v>-2432121969.1211305</v>
      </c>
      <c r="S1010">
        <f t="shared" si="1022"/>
        <v>-24321.219691211303</v>
      </c>
      <c r="T1010">
        <f t="shared" si="1023"/>
        <v>-24.321219691211304</v>
      </c>
    </row>
    <row r="1011" spans="1:20" x14ac:dyDescent="0.25">
      <c r="A1011" s="5">
        <v>43582</v>
      </c>
      <c r="B1011">
        <v>2.3820000000000001E-2</v>
      </c>
      <c r="C1011">
        <v>2.383E-2</v>
      </c>
      <c r="D1011">
        <v>2.3140000000000001E-2</v>
      </c>
      <c r="E1011">
        <v>2.3480000000000001E-2</v>
      </c>
      <c r="F1011">
        <v>210027593.40000001</v>
      </c>
      <c r="G1011">
        <v>0</v>
      </c>
      <c r="L1011" t="s">
        <v>7</v>
      </c>
      <c r="M1011" t="s">
        <v>7</v>
      </c>
      <c r="N1011" t="s">
        <v>8</v>
      </c>
      <c r="P1011">
        <f t="shared" si="1019"/>
        <v>-1.4492753623187823E-2</v>
      </c>
      <c r="Q1011">
        <f t="shared" si="1020"/>
        <v>-3043878.1652172692</v>
      </c>
      <c r="R1011">
        <f t="shared" si="1021"/>
        <v>-2396828638.12679</v>
      </c>
      <c r="S1011">
        <f t="shared" si="1022"/>
        <v>-23968.286381267899</v>
      </c>
      <c r="T1011">
        <f t="shared" si="1023"/>
        <v>-23.968286381267898</v>
      </c>
    </row>
    <row r="1012" spans="1:20" x14ac:dyDescent="0.25">
      <c r="A1012" s="5">
        <v>43581</v>
      </c>
      <c r="B1012">
        <v>2.3050000000000001E-2</v>
      </c>
      <c r="C1012">
        <v>2.4289999999999999E-2</v>
      </c>
      <c r="D1012">
        <v>2.2329999999999999E-2</v>
      </c>
      <c r="E1012">
        <v>2.3820000000000001E-2</v>
      </c>
      <c r="F1012">
        <v>487382825.39999998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0.52040816326530792</v>
      </c>
      <c r="Q1012">
        <f t="shared" si="1020"/>
        <v>253638000.97347024</v>
      </c>
      <c r="R1012">
        <f t="shared" si="1021"/>
        <v>-2393784759.9615726</v>
      </c>
      <c r="S1012">
        <f t="shared" si="1022"/>
        <v>-23937.847599615725</v>
      </c>
      <c r="T1012">
        <f t="shared" si="1023"/>
        <v>-23.937847599615726</v>
      </c>
    </row>
    <row r="1013" spans="1:20" x14ac:dyDescent="0.25">
      <c r="A1013" s="5">
        <v>43580</v>
      </c>
      <c r="B1013">
        <v>2.3259999999999999E-2</v>
      </c>
      <c r="C1013">
        <v>2.5270000000000001E-2</v>
      </c>
      <c r="D1013">
        <v>2.2579999999999999E-2</v>
      </c>
      <c r="E1013">
        <v>2.3060000000000001E-2</v>
      </c>
      <c r="F1013">
        <v>580351918.89999998</v>
      </c>
      <c r="G1013">
        <v>0</v>
      </c>
      <c r="L1013" t="s">
        <v>8</v>
      </c>
      <c r="M1013" t="s">
        <v>7</v>
      </c>
      <c r="N1013" t="s">
        <v>8</v>
      </c>
      <c r="P1013">
        <f t="shared" si="1019"/>
        <v>-0.64312267657992495</v>
      </c>
      <c r="Q1013">
        <f t="shared" si="1020"/>
        <v>-373237479.4412635</v>
      </c>
      <c r="R1013">
        <f t="shared" si="1021"/>
        <v>-2647422760.9350429</v>
      </c>
      <c r="S1013">
        <f t="shared" si="1022"/>
        <v>-26474.22760935043</v>
      </c>
      <c r="T1013">
        <f t="shared" si="1023"/>
        <v>-26.474227609350429</v>
      </c>
    </row>
    <row r="1014" spans="1:20" x14ac:dyDescent="0.25">
      <c r="A1014" s="5">
        <v>43579</v>
      </c>
      <c r="B1014">
        <v>2.4060000000000002E-2</v>
      </c>
      <c r="C1014">
        <v>2.41E-2</v>
      </c>
      <c r="D1014">
        <v>2.2599999999999999E-2</v>
      </c>
      <c r="E1014">
        <v>2.325E-2</v>
      </c>
      <c r="F1014">
        <v>413405426.69999999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-0.13333333333333242</v>
      </c>
      <c r="Q1014">
        <f t="shared" si="1020"/>
        <v>-55120723.559999622</v>
      </c>
      <c r="R1014">
        <f t="shared" si="1021"/>
        <v>-2274185281.4937792</v>
      </c>
      <c r="S1014">
        <f t="shared" si="1022"/>
        <v>-22741.852814937793</v>
      </c>
      <c r="T1014">
        <f t="shared" si="1023"/>
        <v>-22.741852814937793</v>
      </c>
    </row>
    <row r="1015" spans="1:20" x14ac:dyDescent="0.25">
      <c r="A1015" s="5">
        <v>43578</v>
      </c>
      <c r="B1015">
        <v>2.4920000000000001E-2</v>
      </c>
      <c r="C1015">
        <v>2.5180000000000001E-2</v>
      </c>
      <c r="D1015">
        <v>2.4049999999999998E-2</v>
      </c>
      <c r="E1015">
        <v>2.4080000000000001E-2</v>
      </c>
      <c r="F1015">
        <v>322245365.19999999</v>
      </c>
      <c r="G1015">
        <v>0</v>
      </c>
      <c r="L1015" t="s">
        <v>7</v>
      </c>
      <c r="M1015" t="s">
        <v>7</v>
      </c>
      <c r="N1015" t="s">
        <v>8</v>
      </c>
      <c r="P1015">
        <f t="shared" si="1019"/>
        <v>-0.94690265486725278</v>
      </c>
      <c r="Q1015">
        <f t="shared" si="1020"/>
        <v>-305134991.82654744</v>
      </c>
      <c r="R1015">
        <f t="shared" si="1021"/>
        <v>-2219064557.9337797</v>
      </c>
      <c r="S1015">
        <f t="shared" si="1022"/>
        <v>-22190.645579337797</v>
      </c>
      <c r="T1015">
        <f t="shared" si="1023"/>
        <v>-22.190645579337797</v>
      </c>
    </row>
    <row r="1016" spans="1:20" x14ac:dyDescent="0.25">
      <c r="A1016" s="5">
        <v>43577</v>
      </c>
      <c r="B1016">
        <v>2.4760000000000001E-2</v>
      </c>
      <c r="C1016">
        <v>2.529E-2</v>
      </c>
      <c r="D1016">
        <v>2.436E-2</v>
      </c>
      <c r="E1016">
        <v>2.4920000000000001E-2</v>
      </c>
      <c r="F1016">
        <v>263254762.30000001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0.20430107526882002</v>
      </c>
      <c r="Q1016">
        <f t="shared" si="1020"/>
        <v>53783231.007527627</v>
      </c>
      <c r="R1016">
        <f t="shared" si="1021"/>
        <v>-1913929566.1072323</v>
      </c>
      <c r="S1016">
        <f t="shared" si="1022"/>
        <v>-19139.295661072323</v>
      </c>
      <c r="T1016">
        <f t="shared" si="1023"/>
        <v>-19.139295661072325</v>
      </c>
    </row>
    <row r="1017" spans="1:20" x14ac:dyDescent="0.25">
      <c r="A1017" s="5">
        <v>43576</v>
      </c>
      <c r="B1017">
        <v>2.581E-2</v>
      </c>
      <c r="C1017">
        <v>2.6159999999999999E-2</v>
      </c>
      <c r="D1017">
        <v>2.4E-2</v>
      </c>
      <c r="E1017">
        <v>2.4760000000000001E-2</v>
      </c>
      <c r="F1017">
        <v>381725223.89999998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-0.29629629629629567</v>
      </c>
      <c r="Q1017">
        <f t="shared" si="1020"/>
        <v>-113103770.0444442</v>
      </c>
      <c r="R1017">
        <f t="shared" si="1021"/>
        <v>-1967712797.1147599</v>
      </c>
      <c r="S1017">
        <f t="shared" si="1022"/>
        <v>-19677.127971147598</v>
      </c>
      <c r="T1017">
        <f t="shared" si="1023"/>
        <v>-19.677127971147598</v>
      </c>
    </row>
    <row r="1018" spans="1:20" x14ac:dyDescent="0.25">
      <c r="A1018" s="5">
        <v>43575</v>
      </c>
      <c r="B1018">
        <v>2.6270000000000002E-2</v>
      </c>
      <c r="C1018">
        <v>2.6380000000000001E-2</v>
      </c>
      <c r="D1018">
        <v>2.5520000000000001E-2</v>
      </c>
      <c r="E1018">
        <v>2.5819999999999999E-2</v>
      </c>
      <c r="F1018">
        <v>249838311.59999999</v>
      </c>
      <c r="G1018">
        <v>0</v>
      </c>
      <c r="L1018" t="s">
        <v>7</v>
      </c>
      <c r="M1018" t="s">
        <v>7</v>
      </c>
      <c r="N1018" t="s">
        <v>8</v>
      </c>
      <c r="P1018">
        <f t="shared" si="1019"/>
        <v>-0.30232558139535276</v>
      </c>
      <c r="Q1018">
        <f t="shared" si="1020"/>
        <v>-75532512.809303299</v>
      </c>
      <c r="R1018">
        <f t="shared" si="1021"/>
        <v>-1854609027.0703158</v>
      </c>
      <c r="S1018">
        <f t="shared" si="1022"/>
        <v>-18546.09027070316</v>
      </c>
      <c r="T1018">
        <f t="shared" si="1023"/>
        <v>-18.546090270703161</v>
      </c>
    </row>
    <row r="1019" spans="1:20" x14ac:dyDescent="0.25">
      <c r="A1019" s="5">
        <v>43574</v>
      </c>
      <c r="B1019">
        <v>2.6700000000000002E-2</v>
      </c>
      <c r="C1019">
        <v>2.6710000000000001E-2</v>
      </c>
      <c r="D1019">
        <v>2.5780000000000001E-2</v>
      </c>
      <c r="E1019">
        <v>2.6249999999999999E-2</v>
      </c>
      <c r="F1019">
        <v>319576403.89999998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1.075268817203884E-2</v>
      </c>
      <c r="Q1019">
        <f t="shared" si="1020"/>
        <v>3436305.4182782364</v>
      </c>
      <c r="R1019">
        <f t="shared" si="1021"/>
        <v>-1779076514.2610126</v>
      </c>
      <c r="S1019">
        <f t="shared" si="1022"/>
        <v>-17790.765142610126</v>
      </c>
      <c r="T1019">
        <f t="shared" si="1023"/>
        <v>-17.790765142610127</v>
      </c>
    </row>
    <row r="1020" spans="1:20" x14ac:dyDescent="0.25">
      <c r="A1020" s="5">
        <v>43573</v>
      </c>
      <c r="B1020">
        <v>2.649E-2</v>
      </c>
      <c r="C1020">
        <v>2.7099999999999999E-2</v>
      </c>
      <c r="D1020">
        <v>2.6450000000000001E-2</v>
      </c>
      <c r="E1020">
        <v>2.6720000000000001E-2</v>
      </c>
      <c r="F1020">
        <v>315453420.60000002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-0.16923076923076824</v>
      </c>
      <c r="Q1020">
        <f t="shared" si="1020"/>
        <v>-53384425.024615079</v>
      </c>
      <c r="R1020">
        <f t="shared" si="1021"/>
        <v>-1782512819.6792908</v>
      </c>
      <c r="S1020">
        <f t="shared" si="1022"/>
        <v>-17825.128196792906</v>
      </c>
      <c r="T1020">
        <f t="shared" si="1023"/>
        <v>-17.825128196792907</v>
      </c>
    </row>
    <row r="1021" spans="1:20" x14ac:dyDescent="0.25">
      <c r="A1021" s="5">
        <v>43572</v>
      </c>
      <c r="B1021">
        <v>2.666E-2</v>
      </c>
      <c r="C1021">
        <v>2.683E-2</v>
      </c>
      <c r="D1021">
        <v>2.6210000000000001E-2</v>
      </c>
      <c r="E1021">
        <v>2.649E-2</v>
      </c>
      <c r="F1021">
        <v>267823069.30000001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-9.6774193548388898E-2</v>
      </c>
      <c r="Q1021">
        <f t="shared" si="1020"/>
        <v>-25918361.545161773</v>
      </c>
      <c r="R1021">
        <f t="shared" si="1021"/>
        <v>-1729128394.6546757</v>
      </c>
      <c r="S1021">
        <f t="shared" si="1022"/>
        <v>-17291.283946546759</v>
      </c>
      <c r="T1021">
        <f t="shared" si="1023"/>
        <v>-17.291283946546759</v>
      </c>
    </row>
    <row r="1022" spans="1:20" x14ac:dyDescent="0.25">
      <c r="A1022" s="5">
        <v>43571</v>
      </c>
      <c r="B1022">
        <v>2.6210000000000001E-2</v>
      </c>
      <c r="C1022">
        <v>2.6880000000000001E-2</v>
      </c>
      <c r="D1022">
        <v>2.5819999999999999E-2</v>
      </c>
      <c r="E1022">
        <v>2.666E-2</v>
      </c>
      <c r="F1022">
        <v>265607964.59999999</v>
      </c>
      <c r="G1022">
        <v>0</v>
      </c>
      <c r="L1022" t="s">
        <v>8</v>
      </c>
      <c r="M1022" t="s">
        <v>7</v>
      </c>
      <c r="N1022" t="s">
        <v>8</v>
      </c>
      <c r="P1022">
        <f t="shared" si="1019"/>
        <v>0.58490566037735647</v>
      </c>
      <c r="Q1022">
        <f t="shared" si="1020"/>
        <v>155355601.9358485</v>
      </c>
      <c r="R1022">
        <f t="shared" si="1021"/>
        <v>-1703210033.109514</v>
      </c>
      <c r="S1022">
        <f t="shared" si="1022"/>
        <v>-17032.100331095138</v>
      </c>
      <c r="T1022">
        <f t="shared" si="1023"/>
        <v>-17.032100331095137</v>
      </c>
    </row>
    <row r="1023" spans="1:20" x14ac:dyDescent="0.25">
      <c r="A1023" s="5">
        <v>43570</v>
      </c>
      <c r="B1023">
        <v>2.6870000000000002E-2</v>
      </c>
      <c r="C1023">
        <v>2.7519999999999999E-2</v>
      </c>
      <c r="D1023">
        <v>2.571E-2</v>
      </c>
      <c r="E1023">
        <v>2.622E-2</v>
      </c>
      <c r="F1023">
        <v>479910501.69999999</v>
      </c>
      <c r="G1023">
        <v>0</v>
      </c>
      <c r="L1023" t="s">
        <v>8</v>
      </c>
      <c r="M1023" t="s">
        <v>7</v>
      </c>
      <c r="N1023" t="s">
        <v>8</v>
      </c>
      <c r="P1023">
        <f t="shared" ref="P1023:P1086" si="1024">IF(C1023=D1023,0,((E1023-D1023)-(C1023-E1023))/(C1023-D1023))</f>
        <v>-0.43646408839778972</v>
      </c>
      <c r="Q1023">
        <f t="shared" ref="Q1023:Q1086" si="1025">F1023*P1023</f>
        <v>-209463699.63701642</v>
      </c>
      <c r="R1023">
        <f t="shared" ref="R1023:R1086" si="1026">R1024+Q1023</f>
        <v>-1858565635.0453625</v>
      </c>
      <c r="S1023">
        <f t="shared" ref="S1023:S1086" si="1027">R1023/100000</f>
        <v>-18585.656350453624</v>
      </c>
      <c r="T1023">
        <f t="shared" ref="T1023:T1086" si="1028">S1023/1000</f>
        <v>-18.585656350453625</v>
      </c>
    </row>
    <row r="1024" spans="1:20" x14ac:dyDescent="0.25">
      <c r="A1024" s="5">
        <v>43569</v>
      </c>
      <c r="B1024">
        <v>2.6030000000000001E-2</v>
      </c>
      <c r="C1024">
        <v>2.7019999999999999E-2</v>
      </c>
      <c r="D1024">
        <v>2.58E-2</v>
      </c>
      <c r="E1024">
        <v>2.6859999999999998E-2</v>
      </c>
      <c r="F1024">
        <v>261891652.40000001</v>
      </c>
      <c r="G1024">
        <v>0</v>
      </c>
      <c r="L1024" t="s">
        <v>8</v>
      </c>
      <c r="M1024" t="s">
        <v>7</v>
      </c>
      <c r="N1024" t="s">
        <v>8</v>
      </c>
      <c r="P1024">
        <f t="shared" si="1024"/>
        <v>0.73770491803278593</v>
      </c>
      <c r="Q1024">
        <f t="shared" si="1025"/>
        <v>193198759.96721286</v>
      </c>
      <c r="R1024">
        <f t="shared" si="1026"/>
        <v>-1649101935.4083462</v>
      </c>
      <c r="S1024">
        <f t="shared" si="1027"/>
        <v>-16491.019354083463</v>
      </c>
      <c r="T1024">
        <f t="shared" si="1028"/>
        <v>-16.491019354083463</v>
      </c>
    </row>
    <row r="1025" spans="1:20" x14ac:dyDescent="0.25">
      <c r="A1025" s="5">
        <v>43568</v>
      </c>
      <c r="B1025">
        <v>2.6270000000000002E-2</v>
      </c>
      <c r="C1025">
        <v>2.6759999999999999E-2</v>
      </c>
      <c r="D1025">
        <v>2.572E-2</v>
      </c>
      <c r="E1025">
        <v>2.6040000000000001E-2</v>
      </c>
      <c r="F1025">
        <v>302314692.60000002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-0.38461538461538258</v>
      </c>
      <c r="Q1025">
        <f t="shared" si="1025"/>
        <v>-116274881.76923016</v>
      </c>
      <c r="R1025">
        <f t="shared" si="1026"/>
        <v>-1842300695.3755591</v>
      </c>
      <c r="S1025">
        <f t="shared" si="1027"/>
        <v>-18423.00695375559</v>
      </c>
      <c r="T1025">
        <f t="shared" si="1028"/>
        <v>-18.423006953755589</v>
      </c>
    </row>
    <row r="1026" spans="1:20" x14ac:dyDescent="0.25">
      <c r="A1026" s="5">
        <v>43567</v>
      </c>
      <c r="B1026">
        <v>2.64E-2</v>
      </c>
      <c r="C1026">
        <v>2.6970000000000001E-2</v>
      </c>
      <c r="D1026">
        <v>2.512E-2</v>
      </c>
      <c r="E1026">
        <v>2.6280000000000001E-2</v>
      </c>
      <c r="F1026">
        <v>441618799.39999998</v>
      </c>
      <c r="G1026">
        <v>0</v>
      </c>
      <c r="L1026" t="s">
        <v>7</v>
      </c>
      <c r="M1026" t="s">
        <v>7</v>
      </c>
      <c r="N1026" t="s">
        <v>8</v>
      </c>
      <c r="P1026">
        <f t="shared" si="1024"/>
        <v>0.25405405405405485</v>
      </c>
      <c r="Q1026">
        <f t="shared" si="1025"/>
        <v>112195046.3340544</v>
      </c>
      <c r="R1026">
        <f t="shared" si="1026"/>
        <v>-1726025813.606329</v>
      </c>
      <c r="S1026">
        <f t="shared" si="1027"/>
        <v>-17260.25813606329</v>
      </c>
      <c r="T1026">
        <f t="shared" si="1028"/>
        <v>-17.260258136063289</v>
      </c>
    </row>
    <row r="1027" spans="1:20" x14ac:dyDescent="0.25">
      <c r="A1027" s="5">
        <v>43566</v>
      </c>
      <c r="B1027">
        <v>2.9989999999999999E-2</v>
      </c>
      <c r="C1027">
        <v>3.0040000000000001E-2</v>
      </c>
      <c r="D1027">
        <v>2.5149999999999999E-2</v>
      </c>
      <c r="E1027">
        <v>2.6409999999999999E-2</v>
      </c>
      <c r="F1027">
        <v>912786014.5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-0.48466257668711649</v>
      </c>
      <c r="Q1027">
        <f t="shared" si="1025"/>
        <v>-442393221.75153369</v>
      </c>
      <c r="R1027">
        <f t="shared" si="1026"/>
        <v>-1838220859.9403834</v>
      </c>
      <c r="S1027">
        <f t="shared" si="1027"/>
        <v>-18382.208599403835</v>
      </c>
      <c r="T1027">
        <f t="shared" si="1028"/>
        <v>-18.382208599403835</v>
      </c>
    </row>
    <row r="1028" spans="1:20" x14ac:dyDescent="0.25">
      <c r="A1028" s="5">
        <v>43565</v>
      </c>
      <c r="B1028">
        <v>2.9590000000000002E-2</v>
      </c>
      <c r="C1028">
        <v>3.082E-2</v>
      </c>
      <c r="D1028">
        <v>2.937E-2</v>
      </c>
      <c r="E1028">
        <v>2.997E-2</v>
      </c>
      <c r="F1028">
        <v>574884027.89999998</v>
      </c>
      <c r="G1028">
        <v>0</v>
      </c>
      <c r="L1028" t="s">
        <v>8</v>
      </c>
      <c r="M1028" t="s">
        <v>8</v>
      </c>
      <c r="N1028" t="s">
        <v>8</v>
      </c>
      <c r="P1028">
        <f t="shared" si="1024"/>
        <v>-0.17241379310344845</v>
      </c>
      <c r="Q1028">
        <f t="shared" si="1025"/>
        <v>-99117935.844827682</v>
      </c>
      <c r="R1028">
        <f t="shared" si="1026"/>
        <v>-1395827638.1888497</v>
      </c>
      <c r="S1028">
        <f t="shared" si="1027"/>
        <v>-13958.276381888498</v>
      </c>
      <c r="T1028">
        <f t="shared" si="1028"/>
        <v>-13.958276381888497</v>
      </c>
    </row>
    <row r="1029" spans="1:20" x14ac:dyDescent="0.25">
      <c r="A1029" s="5">
        <v>43564</v>
      </c>
      <c r="B1029">
        <v>3.032E-2</v>
      </c>
      <c r="C1029">
        <v>3.1109999999999999E-2</v>
      </c>
      <c r="D1029">
        <v>2.861E-2</v>
      </c>
      <c r="E1029">
        <v>2.9600000000000001E-2</v>
      </c>
      <c r="F1029">
        <v>888415219.70000005</v>
      </c>
      <c r="G1029">
        <v>0</v>
      </c>
      <c r="L1029" t="s">
        <v>7</v>
      </c>
      <c r="M1029" t="s">
        <v>8</v>
      </c>
      <c r="N1029" t="s">
        <v>8</v>
      </c>
      <c r="P1029">
        <f t="shared" si="1024"/>
        <v>-0.20799999999999857</v>
      </c>
      <c r="Q1029">
        <f t="shared" si="1025"/>
        <v>-184790365.69759876</v>
      </c>
      <c r="R1029">
        <f t="shared" si="1026"/>
        <v>-1296709702.344022</v>
      </c>
      <c r="S1029">
        <f t="shared" si="1027"/>
        <v>-12967.097023440221</v>
      </c>
      <c r="T1029">
        <f t="shared" si="1028"/>
        <v>-12.967097023440221</v>
      </c>
    </row>
    <row r="1030" spans="1:20" x14ac:dyDescent="0.25">
      <c r="A1030" s="5">
        <v>43563</v>
      </c>
      <c r="B1030">
        <v>2.8899999999999999E-2</v>
      </c>
      <c r="C1030">
        <v>3.1600000000000003E-2</v>
      </c>
      <c r="D1030">
        <v>2.725E-2</v>
      </c>
      <c r="E1030">
        <v>3.0329999999999999E-2</v>
      </c>
      <c r="F1030">
        <v>1292382871</v>
      </c>
      <c r="G1030">
        <v>0</v>
      </c>
      <c r="L1030" t="s">
        <v>8</v>
      </c>
      <c r="M1030" t="s">
        <v>8</v>
      </c>
      <c r="N1030" t="s">
        <v>8</v>
      </c>
      <c r="P1030">
        <f t="shared" si="1024"/>
        <v>0.41609195402298721</v>
      </c>
      <c r="Q1030">
        <f t="shared" si="1025"/>
        <v>537750114.14022815</v>
      </c>
      <c r="R1030">
        <f t="shared" si="1026"/>
        <v>-1111919336.6464233</v>
      </c>
      <c r="S1030">
        <f t="shared" si="1027"/>
        <v>-11119.193366464233</v>
      </c>
      <c r="T1030">
        <f t="shared" si="1028"/>
        <v>-11.119193366464232</v>
      </c>
    </row>
    <row r="1031" spans="1:20" x14ac:dyDescent="0.25">
      <c r="A1031" s="5">
        <v>43562</v>
      </c>
      <c r="B1031">
        <v>2.6679999999999999E-2</v>
      </c>
      <c r="C1031">
        <v>2.955E-2</v>
      </c>
      <c r="D1031">
        <v>2.6519999999999998E-2</v>
      </c>
      <c r="E1031">
        <v>2.8889999999999999E-2</v>
      </c>
      <c r="F1031">
        <v>786629305</v>
      </c>
      <c r="G1031">
        <v>0</v>
      </c>
      <c r="L1031" t="s">
        <v>8</v>
      </c>
      <c r="M1031" t="s">
        <v>8</v>
      </c>
      <c r="N1031" t="s">
        <v>8</v>
      </c>
      <c r="P1031">
        <f t="shared" si="1024"/>
        <v>0.56435643564356397</v>
      </c>
      <c r="Q1031">
        <f t="shared" si="1025"/>
        <v>443939310.74257398</v>
      </c>
      <c r="R1031">
        <f t="shared" si="1026"/>
        <v>-1649669450.7866514</v>
      </c>
      <c r="S1031">
        <f t="shared" si="1027"/>
        <v>-16496.694507866512</v>
      </c>
      <c r="T1031">
        <f t="shared" si="1028"/>
        <v>-16.496694507866511</v>
      </c>
    </row>
    <row r="1032" spans="1:20" x14ac:dyDescent="0.25">
      <c r="A1032" s="5">
        <v>43561</v>
      </c>
      <c r="B1032">
        <v>2.699E-2</v>
      </c>
      <c r="C1032">
        <v>2.734E-2</v>
      </c>
      <c r="D1032">
        <v>2.622E-2</v>
      </c>
      <c r="E1032">
        <v>2.6679999999999999E-2</v>
      </c>
      <c r="F1032">
        <v>339488002</v>
      </c>
      <c r="G1032">
        <v>0</v>
      </c>
      <c r="L1032" t="s">
        <v>8</v>
      </c>
      <c r="M1032" t="s">
        <v>8</v>
      </c>
      <c r="N1032" t="s">
        <v>7</v>
      </c>
      <c r="P1032">
        <f t="shared" si="1024"/>
        <v>-0.17857142857143068</v>
      </c>
      <c r="Q1032">
        <f t="shared" si="1025"/>
        <v>-60622857.500000715</v>
      </c>
      <c r="R1032">
        <f t="shared" si="1026"/>
        <v>-2093608761.5292253</v>
      </c>
      <c r="S1032">
        <f t="shared" si="1027"/>
        <v>-20936.087615292254</v>
      </c>
      <c r="T1032">
        <f t="shared" si="1028"/>
        <v>-20.936087615292255</v>
      </c>
    </row>
    <row r="1033" spans="1:20" x14ac:dyDescent="0.25">
      <c r="A1033" s="5">
        <v>43560</v>
      </c>
      <c r="B1033">
        <v>2.5829999999999999E-2</v>
      </c>
      <c r="C1033">
        <v>2.75E-2</v>
      </c>
      <c r="D1033">
        <v>2.579E-2</v>
      </c>
      <c r="E1033">
        <v>2.699E-2</v>
      </c>
      <c r="F1033">
        <v>556392385.20000005</v>
      </c>
      <c r="G1033">
        <v>0</v>
      </c>
      <c r="L1033" t="s">
        <v>8</v>
      </c>
      <c r="M1033" t="s">
        <v>8</v>
      </c>
      <c r="N1033" t="s">
        <v>7</v>
      </c>
      <c r="P1033">
        <f t="shared" si="1024"/>
        <v>0.40350877192982443</v>
      </c>
      <c r="Q1033">
        <f t="shared" si="1025"/>
        <v>224509208.06315783</v>
      </c>
      <c r="R1033">
        <f t="shared" si="1026"/>
        <v>-2032985904.0292246</v>
      </c>
      <c r="S1033">
        <f t="shared" si="1027"/>
        <v>-20329.859040292245</v>
      </c>
      <c r="T1033">
        <f t="shared" si="1028"/>
        <v>-20.329859040292245</v>
      </c>
    </row>
    <row r="1034" spans="1:20" x14ac:dyDescent="0.25">
      <c r="A1034" s="5">
        <v>43559</v>
      </c>
      <c r="B1034">
        <v>2.596E-2</v>
      </c>
      <c r="C1034">
        <v>2.6800000000000001E-2</v>
      </c>
      <c r="D1034">
        <v>2.4889999999999999E-2</v>
      </c>
      <c r="E1034">
        <v>2.5819999999999999E-2</v>
      </c>
      <c r="F1034">
        <v>573199178.89999998</v>
      </c>
      <c r="G1034">
        <v>0</v>
      </c>
      <c r="L1034" t="s">
        <v>7</v>
      </c>
      <c r="M1034" t="s">
        <v>8</v>
      </c>
      <c r="N1034" t="s">
        <v>7</v>
      </c>
      <c r="P1034">
        <f t="shared" si="1024"/>
        <v>-2.617801047120491E-2</v>
      </c>
      <c r="Q1034">
        <f t="shared" si="1025"/>
        <v>-15005214.107330255</v>
      </c>
      <c r="R1034">
        <f t="shared" si="1026"/>
        <v>-2257495112.0923824</v>
      </c>
      <c r="S1034">
        <f t="shared" si="1027"/>
        <v>-22574.951120923823</v>
      </c>
      <c r="T1034">
        <f t="shared" si="1028"/>
        <v>-22.574951120923824</v>
      </c>
    </row>
    <row r="1035" spans="1:20" x14ac:dyDescent="0.25">
      <c r="A1035" s="5">
        <v>43558</v>
      </c>
      <c r="B1035">
        <v>2.6710000000000001E-2</v>
      </c>
      <c r="C1035">
        <v>2.929E-2</v>
      </c>
      <c r="D1035">
        <v>2.4510000000000001E-2</v>
      </c>
      <c r="E1035">
        <v>2.5950000000000001E-2</v>
      </c>
      <c r="F1035">
        <v>1274892938.4000001</v>
      </c>
      <c r="G1035">
        <v>0</v>
      </c>
      <c r="L1035" t="s">
        <v>8</v>
      </c>
      <c r="M1035" t="s">
        <v>8</v>
      </c>
      <c r="N1035" t="s">
        <v>7</v>
      </c>
      <c r="P1035">
        <f t="shared" si="1024"/>
        <v>-0.39748953974895379</v>
      </c>
      <c r="Q1035">
        <f t="shared" si="1025"/>
        <v>-506756607.31380731</v>
      </c>
      <c r="R1035">
        <f t="shared" si="1026"/>
        <v>-2242489897.9850521</v>
      </c>
      <c r="S1035">
        <f t="shared" si="1027"/>
        <v>-22424.898979850521</v>
      </c>
      <c r="T1035">
        <f t="shared" si="1028"/>
        <v>-22.424898979850521</v>
      </c>
    </row>
    <row r="1036" spans="1:20" x14ac:dyDescent="0.25">
      <c r="A1036" s="5">
        <v>43557</v>
      </c>
      <c r="B1036">
        <v>2.4330000000000001E-2</v>
      </c>
      <c r="C1036">
        <v>2.7E-2</v>
      </c>
      <c r="D1036">
        <v>2.4330000000000001E-2</v>
      </c>
      <c r="E1036">
        <v>2.6710000000000001E-2</v>
      </c>
      <c r="F1036">
        <v>1159923938.9000001</v>
      </c>
      <c r="G1036">
        <v>0</v>
      </c>
      <c r="L1036" t="s">
        <v>8</v>
      </c>
      <c r="M1036" t="s">
        <v>8</v>
      </c>
      <c r="N1036" t="s">
        <v>7</v>
      </c>
      <c r="P1036">
        <f t="shared" si="1024"/>
        <v>0.78277153558052526</v>
      </c>
      <c r="Q1036">
        <f t="shared" si="1025"/>
        <v>907955442.80936444</v>
      </c>
      <c r="R1036">
        <f t="shared" si="1026"/>
        <v>-1735733290.6712446</v>
      </c>
      <c r="S1036">
        <f t="shared" si="1027"/>
        <v>-17357.332906712447</v>
      </c>
      <c r="T1036">
        <f t="shared" si="1028"/>
        <v>-17.357332906712447</v>
      </c>
    </row>
    <row r="1037" spans="1:20" x14ac:dyDescent="0.25">
      <c r="A1037" s="5">
        <v>43556</v>
      </c>
      <c r="B1037">
        <v>2.3429999999999999E-2</v>
      </c>
      <c r="C1037">
        <v>2.5049999999999999E-2</v>
      </c>
      <c r="D1037">
        <v>2.3179999999999999E-2</v>
      </c>
      <c r="E1037">
        <v>2.4330000000000001E-2</v>
      </c>
      <c r="F1037">
        <v>421626760.30000001</v>
      </c>
      <c r="G1037">
        <v>0</v>
      </c>
      <c r="L1037" t="s">
        <v>8</v>
      </c>
      <c r="M1037" t="s">
        <v>8</v>
      </c>
      <c r="N1037" t="s">
        <v>7</v>
      </c>
      <c r="P1037">
        <f t="shared" si="1024"/>
        <v>0.22994652406417287</v>
      </c>
      <c r="Q1037">
        <f t="shared" si="1025"/>
        <v>96951607.983423203</v>
      </c>
      <c r="R1037">
        <f t="shared" si="1026"/>
        <v>-2643688733.4806089</v>
      </c>
      <c r="S1037">
        <f t="shared" si="1027"/>
        <v>-26436.887334806088</v>
      </c>
      <c r="T1037">
        <f t="shared" si="1028"/>
        <v>-26.436887334806087</v>
      </c>
    </row>
    <row r="1038" spans="1:20" x14ac:dyDescent="0.25">
      <c r="A1038" s="5">
        <v>43555</v>
      </c>
      <c r="B1038">
        <v>2.3230000000000001E-2</v>
      </c>
      <c r="C1038">
        <v>2.358E-2</v>
      </c>
      <c r="D1038">
        <v>2.3019999999999999E-2</v>
      </c>
      <c r="E1038">
        <v>2.3439999999999999E-2</v>
      </c>
      <c r="F1038">
        <v>137335581.5</v>
      </c>
      <c r="G1038">
        <v>0</v>
      </c>
      <c r="L1038" t="s">
        <v>8</v>
      </c>
      <c r="M1038" t="s">
        <v>7</v>
      </c>
      <c r="N1038" t="s">
        <v>7</v>
      </c>
      <c r="P1038">
        <f t="shared" si="1024"/>
        <v>0.49999999999999689</v>
      </c>
      <c r="Q1038">
        <f t="shared" si="1025"/>
        <v>68667790.749999568</v>
      </c>
      <c r="R1038">
        <f t="shared" si="1026"/>
        <v>-2740640341.4640322</v>
      </c>
      <c r="S1038">
        <f t="shared" si="1027"/>
        <v>-27406.403414640321</v>
      </c>
      <c r="T1038">
        <f t="shared" si="1028"/>
        <v>-27.406403414640319</v>
      </c>
    </row>
    <row r="1039" spans="1:20" x14ac:dyDescent="0.25">
      <c r="A1039" s="5">
        <v>43554</v>
      </c>
      <c r="B1039">
        <v>2.3310000000000001E-2</v>
      </c>
      <c r="C1039">
        <v>2.3599999999999999E-2</v>
      </c>
      <c r="D1039">
        <v>2.2759999999999999E-2</v>
      </c>
      <c r="E1039">
        <v>2.3220000000000001E-2</v>
      </c>
      <c r="F1039">
        <v>228446068.19999999</v>
      </c>
      <c r="G1039">
        <v>0</v>
      </c>
      <c r="L1039" t="s">
        <v>8</v>
      </c>
      <c r="M1039" t="s">
        <v>7</v>
      </c>
      <c r="N1039" t="s">
        <v>7</v>
      </c>
      <c r="P1039">
        <f t="shared" si="1024"/>
        <v>9.5238095238099563E-2</v>
      </c>
      <c r="Q1039">
        <f t="shared" si="1025"/>
        <v>21756768.400000986</v>
      </c>
      <c r="R1039">
        <f t="shared" si="1026"/>
        <v>-2809308132.2140317</v>
      </c>
      <c r="S1039">
        <f t="shared" si="1027"/>
        <v>-28093.081322140319</v>
      </c>
      <c r="T1039">
        <f t="shared" si="1028"/>
        <v>-28.093081322140318</v>
      </c>
    </row>
    <row r="1040" spans="1:20" x14ac:dyDescent="0.25">
      <c r="A1040" s="5">
        <v>43553</v>
      </c>
      <c r="B1040">
        <v>2.3140000000000001E-2</v>
      </c>
      <c r="C1040">
        <v>2.3900000000000001E-2</v>
      </c>
      <c r="D1040">
        <v>2.29E-2</v>
      </c>
      <c r="E1040">
        <v>2.3300000000000001E-2</v>
      </c>
      <c r="F1040">
        <v>362782163.60000002</v>
      </c>
      <c r="G1040">
        <v>0</v>
      </c>
      <c r="L1040" t="s">
        <v>8</v>
      </c>
      <c r="M1040" t="s">
        <v>7</v>
      </c>
      <c r="N1040" t="s">
        <v>7</v>
      </c>
      <c r="P1040">
        <f t="shared" si="1024"/>
        <v>-0.19999999999999862</v>
      </c>
      <c r="Q1040">
        <f t="shared" si="1025"/>
        <v>-72556432.719999507</v>
      </c>
      <c r="R1040">
        <f t="shared" si="1026"/>
        <v>-2831064900.6140327</v>
      </c>
      <c r="S1040">
        <f t="shared" si="1027"/>
        <v>-28310.649006140327</v>
      </c>
      <c r="T1040">
        <f t="shared" si="1028"/>
        <v>-28.310649006140327</v>
      </c>
    </row>
    <row r="1041" spans="1:20" x14ac:dyDescent="0.25">
      <c r="A1041" s="5">
        <v>43552</v>
      </c>
      <c r="B1041">
        <v>2.3290000000000002E-2</v>
      </c>
      <c r="C1041">
        <v>2.3290000000000002E-2</v>
      </c>
      <c r="D1041">
        <v>2.281E-2</v>
      </c>
      <c r="E1041">
        <v>2.315E-2</v>
      </c>
      <c r="F1041">
        <v>207284124.30000001</v>
      </c>
      <c r="G1041">
        <v>0</v>
      </c>
      <c r="L1041" t="s">
        <v>7</v>
      </c>
      <c r="M1041" t="s">
        <v>7</v>
      </c>
      <c r="N1041" t="s">
        <v>7</v>
      </c>
      <c r="P1041">
        <f t="shared" si="1024"/>
        <v>0.41666666666666308</v>
      </c>
      <c r="Q1041">
        <f t="shared" si="1025"/>
        <v>86368385.124999255</v>
      </c>
      <c r="R1041">
        <f t="shared" si="1026"/>
        <v>-2758508467.8940334</v>
      </c>
      <c r="S1041">
        <f t="shared" si="1027"/>
        <v>-27585.084678940333</v>
      </c>
      <c r="T1041">
        <f t="shared" si="1028"/>
        <v>-27.585084678940333</v>
      </c>
    </row>
    <row r="1042" spans="1:20" x14ac:dyDescent="0.25">
      <c r="A1042" s="5">
        <v>43551</v>
      </c>
      <c r="B1042">
        <v>2.2419999999999999E-2</v>
      </c>
      <c r="C1042">
        <v>2.349E-2</v>
      </c>
      <c r="D1042">
        <v>2.2270000000000002E-2</v>
      </c>
      <c r="E1042">
        <v>2.3300000000000001E-2</v>
      </c>
      <c r="F1042">
        <v>322674475.89999998</v>
      </c>
      <c r="G1042">
        <v>0</v>
      </c>
      <c r="L1042" t="s">
        <v>7</v>
      </c>
      <c r="M1042" t="s">
        <v>7</v>
      </c>
      <c r="N1042" t="s">
        <v>7</v>
      </c>
      <c r="P1042">
        <f t="shared" si="1024"/>
        <v>0.68852459016393541</v>
      </c>
      <c r="Q1042">
        <f t="shared" si="1025"/>
        <v>222169311.27541015</v>
      </c>
      <c r="R1042">
        <f t="shared" si="1026"/>
        <v>-2844876853.0190325</v>
      </c>
      <c r="S1042">
        <f t="shared" si="1027"/>
        <v>-28448.768530190326</v>
      </c>
      <c r="T1042">
        <f t="shared" si="1028"/>
        <v>-28.448768530190325</v>
      </c>
    </row>
    <row r="1043" spans="1:20" x14ac:dyDescent="0.25">
      <c r="A1043" s="5">
        <v>43550</v>
      </c>
      <c r="B1043">
        <v>2.2579999999999999E-2</v>
      </c>
      <c r="C1043">
        <v>2.2710000000000001E-2</v>
      </c>
      <c r="D1043">
        <v>2.1899999999999999E-2</v>
      </c>
      <c r="E1043">
        <v>2.24E-2</v>
      </c>
      <c r="F1043">
        <v>214072793.80000001</v>
      </c>
      <c r="G1043">
        <v>0</v>
      </c>
      <c r="L1043" t="s">
        <v>7</v>
      </c>
      <c r="M1043" t="s">
        <v>7</v>
      </c>
      <c r="N1043" t="s">
        <v>7</v>
      </c>
      <c r="P1043">
        <f t="shared" si="1024"/>
        <v>0.23456790123456642</v>
      </c>
      <c r="Q1043">
        <f t="shared" si="1025"/>
        <v>50214605.953086108</v>
      </c>
      <c r="R1043">
        <f t="shared" si="1026"/>
        <v>-3067046164.2944427</v>
      </c>
      <c r="S1043">
        <f t="shared" si="1027"/>
        <v>-30670.461642944425</v>
      </c>
      <c r="T1043">
        <f t="shared" si="1028"/>
        <v>-30.670461642944424</v>
      </c>
    </row>
    <row r="1044" spans="1:20" x14ac:dyDescent="0.25">
      <c r="A1044" s="5">
        <v>43549</v>
      </c>
      <c r="B1044">
        <v>2.325E-2</v>
      </c>
      <c r="C1044">
        <v>2.3369999999999998E-2</v>
      </c>
      <c r="D1044">
        <v>2.2069999999999999E-2</v>
      </c>
      <c r="E1044">
        <v>2.256E-2</v>
      </c>
      <c r="F1044">
        <v>454372119.69999999</v>
      </c>
      <c r="G1044">
        <v>0</v>
      </c>
      <c r="L1044" t="s">
        <v>7</v>
      </c>
      <c r="M1044" t="s">
        <v>7</v>
      </c>
      <c r="N1044" t="s">
        <v>7</v>
      </c>
      <c r="P1044">
        <f t="shared" si="1024"/>
        <v>-0.24615384615384431</v>
      </c>
      <c r="Q1044">
        <f t="shared" si="1025"/>
        <v>-111845444.84922993</v>
      </c>
      <c r="R1044">
        <f t="shared" si="1026"/>
        <v>-3117260770.2475286</v>
      </c>
      <c r="S1044">
        <f t="shared" si="1027"/>
        <v>-31172.607702475285</v>
      </c>
      <c r="T1044">
        <f t="shared" si="1028"/>
        <v>-31.172607702475286</v>
      </c>
    </row>
    <row r="1045" spans="1:20" x14ac:dyDescent="0.25">
      <c r="A1045" s="5">
        <v>43548</v>
      </c>
      <c r="B1045">
        <v>2.4279999999999999E-2</v>
      </c>
      <c r="C1045">
        <v>2.4400000000000002E-2</v>
      </c>
      <c r="D1045">
        <v>2.283E-2</v>
      </c>
      <c r="E1045">
        <v>2.324E-2</v>
      </c>
      <c r="F1045">
        <v>487333137.89999998</v>
      </c>
      <c r="G1045">
        <v>0</v>
      </c>
      <c r="L1045" t="s">
        <v>8</v>
      </c>
      <c r="M1045" t="s">
        <v>7</v>
      </c>
      <c r="N1045" t="s">
        <v>7</v>
      </c>
      <c r="P1045">
        <f t="shared" si="1024"/>
        <v>-0.47770700636942659</v>
      </c>
      <c r="Q1045">
        <f t="shared" si="1025"/>
        <v>-232802454.41082793</v>
      </c>
      <c r="R1045">
        <f t="shared" si="1026"/>
        <v>-3005415325.3982987</v>
      </c>
      <c r="S1045">
        <f t="shared" si="1027"/>
        <v>-30054.153253982986</v>
      </c>
      <c r="T1045">
        <f t="shared" si="1028"/>
        <v>-30.054153253982985</v>
      </c>
    </row>
    <row r="1046" spans="1:20" x14ac:dyDescent="0.25">
      <c r="A1046" s="5">
        <v>43547</v>
      </c>
      <c r="B1046">
        <v>2.249E-2</v>
      </c>
      <c r="C1046">
        <v>2.443E-2</v>
      </c>
      <c r="D1046">
        <v>2.2450000000000001E-2</v>
      </c>
      <c r="E1046">
        <v>2.4279999999999999E-2</v>
      </c>
      <c r="F1046">
        <v>718620444.79999995</v>
      </c>
      <c r="G1046">
        <v>0</v>
      </c>
      <c r="L1046" t="s">
        <v>8</v>
      </c>
      <c r="M1046" t="s">
        <v>7</v>
      </c>
      <c r="N1046" t="s">
        <v>7</v>
      </c>
      <c r="P1046">
        <f t="shared" si="1024"/>
        <v>0.84848484848484762</v>
      </c>
      <c r="Q1046">
        <f t="shared" si="1025"/>
        <v>609738559.22424173</v>
      </c>
      <c r="R1046">
        <f t="shared" si="1026"/>
        <v>-2772612870.9874706</v>
      </c>
      <c r="S1046">
        <f t="shared" si="1027"/>
        <v>-27726.128709874705</v>
      </c>
      <c r="T1046">
        <f t="shared" si="1028"/>
        <v>-27.726128709874704</v>
      </c>
    </row>
    <row r="1047" spans="1:20" x14ac:dyDescent="0.25">
      <c r="A1047" s="5">
        <v>43546</v>
      </c>
      <c r="B1047">
        <v>2.2179999999999998E-2</v>
      </c>
      <c r="C1047">
        <v>2.2689999999999998E-2</v>
      </c>
      <c r="D1047">
        <v>2.2089999999999999E-2</v>
      </c>
      <c r="E1047">
        <v>2.2509999999999999E-2</v>
      </c>
      <c r="F1047">
        <v>179198184.80000001</v>
      </c>
      <c r="G1047">
        <v>0</v>
      </c>
      <c r="L1047" t="s">
        <v>7</v>
      </c>
      <c r="M1047" t="s">
        <v>7</v>
      </c>
      <c r="N1047" t="s">
        <v>7</v>
      </c>
      <c r="P1047">
        <f t="shared" si="1024"/>
        <v>0.40000000000000113</v>
      </c>
      <c r="Q1047">
        <f t="shared" si="1025"/>
        <v>71679273.92000021</v>
      </c>
      <c r="R1047">
        <f t="shared" si="1026"/>
        <v>-3382351430.2117124</v>
      </c>
      <c r="S1047">
        <f t="shared" si="1027"/>
        <v>-33823.514302117124</v>
      </c>
      <c r="T1047">
        <f t="shared" si="1028"/>
        <v>-33.823514302117125</v>
      </c>
    </row>
    <row r="1048" spans="1:20" x14ac:dyDescent="0.25">
      <c r="A1048" s="5">
        <v>43545</v>
      </c>
      <c r="B1048">
        <v>2.2800000000000001E-2</v>
      </c>
      <c r="C1048">
        <v>2.291E-2</v>
      </c>
      <c r="D1048">
        <v>2.1829999999999999E-2</v>
      </c>
      <c r="E1048">
        <v>2.2169999999999999E-2</v>
      </c>
      <c r="F1048">
        <v>256969388.59999999</v>
      </c>
      <c r="G1048">
        <v>0</v>
      </c>
      <c r="L1048" t="s">
        <v>7</v>
      </c>
      <c r="M1048" t="s">
        <v>7</v>
      </c>
      <c r="N1048" t="s">
        <v>7</v>
      </c>
      <c r="P1048">
        <f t="shared" si="1024"/>
        <v>-0.37037037037037096</v>
      </c>
      <c r="Q1048">
        <f t="shared" si="1025"/>
        <v>-95173847.629629776</v>
      </c>
      <c r="R1048">
        <f t="shared" si="1026"/>
        <v>-3454030704.1317124</v>
      </c>
      <c r="S1048">
        <f t="shared" si="1027"/>
        <v>-34540.307041317123</v>
      </c>
      <c r="T1048">
        <f t="shared" si="1028"/>
        <v>-34.540307041317121</v>
      </c>
    </row>
    <row r="1049" spans="1:20" x14ac:dyDescent="0.25">
      <c r="A1049" s="5">
        <v>43544</v>
      </c>
      <c r="B1049">
        <v>2.2749999999999999E-2</v>
      </c>
      <c r="C1049">
        <v>2.2849999999999999E-2</v>
      </c>
      <c r="D1049">
        <v>2.2460000000000001E-2</v>
      </c>
      <c r="E1049">
        <v>2.2790000000000001E-2</v>
      </c>
      <c r="F1049">
        <v>162713577.90000001</v>
      </c>
      <c r="G1049">
        <v>0</v>
      </c>
      <c r="L1049" t="s">
        <v>8</v>
      </c>
      <c r="M1049" t="s">
        <v>7</v>
      </c>
      <c r="N1049" t="s">
        <v>7</v>
      </c>
      <c r="P1049">
        <f t="shared" si="1024"/>
        <v>0.69230769230770328</v>
      </c>
      <c r="Q1049">
        <f t="shared" si="1025"/>
        <v>112647861.62307872</v>
      </c>
      <c r="R1049">
        <f t="shared" si="1026"/>
        <v>-3358856856.5020828</v>
      </c>
      <c r="S1049">
        <f t="shared" si="1027"/>
        <v>-33588.568565020825</v>
      </c>
      <c r="T1049">
        <f t="shared" si="1028"/>
        <v>-33.588568565020822</v>
      </c>
    </row>
    <row r="1050" spans="1:20" x14ac:dyDescent="0.25">
      <c r="A1050" s="5">
        <v>43543</v>
      </c>
      <c r="B1050">
        <v>2.2769999999999999E-2</v>
      </c>
      <c r="C1050">
        <v>2.2849999999999999E-2</v>
      </c>
      <c r="D1050">
        <v>2.2440000000000002E-2</v>
      </c>
      <c r="E1050">
        <v>2.2749999999999999E-2</v>
      </c>
      <c r="F1050">
        <v>138457431.40000001</v>
      </c>
      <c r="G1050">
        <v>0</v>
      </c>
      <c r="L1050" t="s">
        <v>8</v>
      </c>
      <c r="M1050" t="s">
        <v>7</v>
      </c>
      <c r="N1050" t="s">
        <v>7</v>
      </c>
      <c r="P1050">
        <f t="shared" si="1024"/>
        <v>0.51219512195121908</v>
      </c>
      <c r="Q1050">
        <f t="shared" si="1025"/>
        <v>70917220.960975558</v>
      </c>
      <c r="R1050">
        <f t="shared" si="1026"/>
        <v>-3471504718.1251616</v>
      </c>
      <c r="S1050">
        <f t="shared" si="1027"/>
        <v>-34715.047181251619</v>
      </c>
      <c r="T1050">
        <f t="shared" si="1028"/>
        <v>-34.71504718125162</v>
      </c>
    </row>
    <row r="1051" spans="1:20" x14ac:dyDescent="0.25">
      <c r="A1051" s="5">
        <v>43542</v>
      </c>
      <c r="B1051">
        <v>2.29E-2</v>
      </c>
      <c r="C1051">
        <v>2.3220000000000001E-2</v>
      </c>
      <c r="D1051">
        <v>2.2409999999999999E-2</v>
      </c>
      <c r="E1051">
        <v>2.2780000000000002E-2</v>
      </c>
      <c r="F1051">
        <v>194308005.80000001</v>
      </c>
      <c r="G1051">
        <v>0</v>
      </c>
      <c r="L1051" t="s">
        <v>8</v>
      </c>
      <c r="M1051" t="s">
        <v>7</v>
      </c>
      <c r="N1051" t="s">
        <v>7</v>
      </c>
      <c r="P1051">
        <f t="shared" si="1024"/>
        <v>-8.6419753086416057E-2</v>
      </c>
      <c r="Q1051">
        <f t="shared" si="1025"/>
        <v>-16792049.883949902</v>
      </c>
      <c r="R1051">
        <f t="shared" si="1026"/>
        <v>-3542421939.0861373</v>
      </c>
      <c r="S1051">
        <f t="shared" si="1027"/>
        <v>-35424.21939086137</v>
      </c>
      <c r="T1051">
        <f t="shared" si="1028"/>
        <v>-35.424219390861367</v>
      </c>
    </row>
    <row r="1052" spans="1:20" x14ac:dyDescent="0.25">
      <c r="A1052" s="5">
        <v>43541</v>
      </c>
      <c r="B1052">
        <v>2.3140000000000001E-2</v>
      </c>
      <c r="C1052">
        <v>2.315E-2</v>
      </c>
      <c r="D1052">
        <v>2.266E-2</v>
      </c>
      <c r="E1052">
        <v>2.29E-2</v>
      </c>
      <c r="F1052">
        <v>158980367.30000001</v>
      </c>
      <c r="G1052">
        <v>0</v>
      </c>
      <c r="L1052" t="s">
        <v>8</v>
      </c>
      <c r="M1052" t="s">
        <v>7</v>
      </c>
      <c r="N1052" t="s">
        <v>7</v>
      </c>
      <c r="P1052">
        <f t="shared" si="1024"/>
        <v>-2.0408163265305257E-2</v>
      </c>
      <c r="Q1052">
        <f t="shared" si="1025"/>
        <v>-3244497.2918365975</v>
      </c>
      <c r="R1052">
        <f t="shared" si="1026"/>
        <v>-3525629889.2021875</v>
      </c>
      <c r="S1052">
        <f t="shared" si="1027"/>
        <v>-35256.298892021878</v>
      </c>
      <c r="T1052">
        <f t="shared" si="1028"/>
        <v>-35.256298892021874</v>
      </c>
    </row>
    <row r="1053" spans="1:20" x14ac:dyDescent="0.25">
      <c r="A1053" s="5">
        <v>43540</v>
      </c>
      <c r="B1053">
        <v>2.2970000000000001E-2</v>
      </c>
      <c r="C1053">
        <v>2.3550000000000001E-2</v>
      </c>
      <c r="D1053">
        <v>2.283E-2</v>
      </c>
      <c r="E1053">
        <v>2.3130000000000001E-2</v>
      </c>
      <c r="F1053">
        <v>351144788.60000002</v>
      </c>
      <c r="G1053">
        <v>0</v>
      </c>
      <c r="L1053" t="s">
        <v>8</v>
      </c>
      <c r="M1053" t="s">
        <v>7</v>
      </c>
      <c r="N1053" t="s">
        <v>7</v>
      </c>
      <c r="P1053">
        <f t="shared" si="1024"/>
        <v>-0.16666666666666427</v>
      </c>
      <c r="Q1053">
        <f t="shared" si="1025"/>
        <v>-58524131.433332495</v>
      </c>
      <c r="R1053">
        <f t="shared" si="1026"/>
        <v>-3522385391.9103508</v>
      </c>
      <c r="S1053">
        <f t="shared" si="1027"/>
        <v>-35223.853919103509</v>
      </c>
      <c r="T1053">
        <f t="shared" si="1028"/>
        <v>-35.223853919103512</v>
      </c>
    </row>
    <row r="1054" spans="1:20" x14ac:dyDescent="0.25">
      <c r="A1054" s="5">
        <v>43539</v>
      </c>
      <c r="B1054">
        <v>2.2429999999999999E-2</v>
      </c>
      <c r="C1054">
        <v>2.3099999999999999E-2</v>
      </c>
      <c r="D1054">
        <v>2.2329999999999999E-2</v>
      </c>
      <c r="E1054">
        <v>2.2950000000000002E-2</v>
      </c>
      <c r="F1054">
        <v>246002462.5</v>
      </c>
      <c r="G1054">
        <v>0</v>
      </c>
      <c r="L1054" t="s">
        <v>7</v>
      </c>
      <c r="M1054" t="s">
        <v>7</v>
      </c>
      <c r="N1054" t="s">
        <v>7</v>
      </c>
      <c r="P1054">
        <f t="shared" si="1024"/>
        <v>0.61038961038961714</v>
      </c>
      <c r="Q1054">
        <f t="shared" si="1025"/>
        <v>150157347.24026141</v>
      </c>
      <c r="R1054">
        <f t="shared" si="1026"/>
        <v>-3463861260.4770184</v>
      </c>
      <c r="S1054">
        <f t="shared" si="1027"/>
        <v>-34638.612604770184</v>
      </c>
      <c r="T1054">
        <f t="shared" si="1028"/>
        <v>-34.638612604770181</v>
      </c>
    </row>
    <row r="1055" spans="1:20" x14ac:dyDescent="0.25">
      <c r="A1055" s="5">
        <v>43538</v>
      </c>
      <c r="B1055">
        <v>2.2200000000000001E-2</v>
      </c>
      <c r="C1055">
        <v>2.29E-2</v>
      </c>
      <c r="D1055">
        <v>2.2009999999999998E-2</v>
      </c>
      <c r="E1055">
        <v>2.2419999999999999E-2</v>
      </c>
      <c r="F1055">
        <v>255092893.80000001</v>
      </c>
      <c r="G1055">
        <v>0</v>
      </c>
      <c r="L1055" t="s">
        <v>7</v>
      </c>
      <c r="M1055" t="s">
        <v>7</v>
      </c>
      <c r="N1055" t="s">
        <v>7</v>
      </c>
      <c r="P1055">
        <f t="shared" si="1024"/>
        <v>-7.8651685393258952E-2</v>
      </c>
      <c r="Q1055">
        <f t="shared" si="1025"/>
        <v>-20063486.029213618</v>
      </c>
      <c r="R1055">
        <f t="shared" si="1026"/>
        <v>-3614018607.7172799</v>
      </c>
      <c r="S1055">
        <f t="shared" si="1027"/>
        <v>-36140.186077172802</v>
      </c>
      <c r="T1055">
        <f t="shared" si="1028"/>
        <v>-36.1401860771728</v>
      </c>
    </row>
    <row r="1056" spans="1:20" x14ac:dyDescent="0.25">
      <c r="A1056" s="5">
        <v>43537</v>
      </c>
      <c r="B1056">
        <v>2.2259999999999999E-2</v>
      </c>
      <c r="C1056">
        <v>2.2429999999999999E-2</v>
      </c>
      <c r="D1056">
        <v>2.18E-2</v>
      </c>
      <c r="E1056">
        <v>2.2210000000000001E-2</v>
      </c>
      <c r="F1056">
        <v>148357886.80000001</v>
      </c>
      <c r="G1056">
        <v>0</v>
      </c>
      <c r="L1056" t="s">
        <v>7</v>
      </c>
      <c r="M1056" t="s">
        <v>7</v>
      </c>
      <c r="N1056" t="s">
        <v>7</v>
      </c>
      <c r="P1056">
        <f t="shared" si="1024"/>
        <v>0.30158730158730646</v>
      </c>
      <c r="Q1056">
        <f t="shared" si="1025"/>
        <v>44742854.749207072</v>
      </c>
      <c r="R1056">
        <f t="shared" si="1026"/>
        <v>-3593955121.6880665</v>
      </c>
      <c r="S1056">
        <f t="shared" si="1027"/>
        <v>-35939.551216880667</v>
      </c>
      <c r="T1056">
        <f t="shared" si="1028"/>
        <v>-35.939551216880666</v>
      </c>
    </row>
    <row r="1057" spans="1:20" x14ac:dyDescent="0.25">
      <c r="A1057" s="5">
        <v>43536</v>
      </c>
      <c r="B1057">
        <v>2.2100000000000002E-2</v>
      </c>
      <c r="C1057">
        <v>2.257E-2</v>
      </c>
      <c r="D1057">
        <v>2.171E-2</v>
      </c>
      <c r="E1057">
        <v>2.2270000000000002E-2</v>
      </c>
      <c r="F1057">
        <v>126291826</v>
      </c>
      <c r="G1057">
        <v>0</v>
      </c>
      <c r="L1057" t="s">
        <v>7</v>
      </c>
      <c r="M1057" t="s">
        <v>7</v>
      </c>
      <c r="N1057" t="s">
        <v>7</v>
      </c>
      <c r="P1057">
        <f t="shared" si="1024"/>
        <v>0.30232558139535276</v>
      </c>
      <c r="Q1057">
        <f t="shared" si="1025"/>
        <v>38181249.720930725</v>
      </c>
      <c r="R1057">
        <f t="shared" si="1026"/>
        <v>-3638697976.4372735</v>
      </c>
      <c r="S1057">
        <f t="shared" si="1027"/>
        <v>-36386.979764372736</v>
      </c>
      <c r="T1057">
        <f t="shared" si="1028"/>
        <v>-36.38697976437274</v>
      </c>
    </row>
    <row r="1058" spans="1:20" x14ac:dyDescent="0.25">
      <c r="A1058" s="5">
        <v>43535</v>
      </c>
      <c r="B1058">
        <v>2.283E-2</v>
      </c>
      <c r="C1058">
        <v>2.3050000000000001E-2</v>
      </c>
      <c r="D1058">
        <v>2.1780000000000001E-2</v>
      </c>
      <c r="E1058">
        <v>2.2079999999999999E-2</v>
      </c>
      <c r="F1058">
        <v>278171479.89999998</v>
      </c>
      <c r="G1058">
        <v>0</v>
      </c>
      <c r="L1058" t="s">
        <v>7</v>
      </c>
      <c r="M1058" t="s">
        <v>7</v>
      </c>
      <c r="N1058" t="s">
        <v>7</v>
      </c>
      <c r="P1058">
        <f t="shared" si="1024"/>
        <v>-0.52755905511811318</v>
      </c>
      <c r="Q1058">
        <f t="shared" si="1025"/>
        <v>-146751883.0968512</v>
      </c>
      <c r="R1058">
        <f t="shared" si="1026"/>
        <v>-3676879226.1582041</v>
      </c>
      <c r="S1058">
        <f t="shared" si="1027"/>
        <v>-36768.792261582043</v>
      </c>
      <c r="T1058">
        <f t="shared" si="1028"/>
        <v>-36.768792261582043</v>
      </c>
    </row>
    <row r="1059" spans="1:20" x14ac:dyDescent="0.25">
      <c r="A1059" s="5">
        <v>43534</v>
      </c>
      <c r="B1059">
        <v>2.2790000000000001E-2</v>
      </c>
      <c r="C1059">
        <v>2.316E-2</v>
      </c>
      <c r="D1059">
        <v>2.2249999999999999E-2</v>
      </c>
      <c r="E1059">
        <v>2.2849999999999999E-2</v>
      </c>
      <c r="F1059">
        <v>227404724.80000001</v>
      </c>
      <c r="G1059">
        <v>0</v>
      </c>
      <c r="L1059" t="s">
        <v>7</v>
      </c>
      <c r="M1059" t="s">
        <v>7</v>
      </c>
      <c r="N1059" t="s">
        <v>7</v>
      </c>
      <c r="P1059">
        <f t="shared" si="1024"/>
        <v>0.31868131868131677</v>
      </c>
      <c r="Q1059">
        <f t="shared" si="1025"/>
        <v>72469637.573625937</v>
      </c>
      <c r="R1059">
        <f t="shared" si="1026"/>
        <v>-3530127343.0613527</v>
      </c>
      <c r="S1059">
        <f t="shared" si="1027"/>
        <v>-35301.273430613524</v>
      </c>
      <c r="T1059">
        <f t="shared" si="1028"/>
        <v>-35.301273430613527</v>
      </c>
    </row>
    <row r="1060" spans="1:20" x14ac:dyDescent="0.25">
      <c r="A1060" s="5">
        <v>43533</v>
      </c>
      <c r="B1060">
        <v>2.2329999999999999E-2</v>
      </c>
      <c r="C1060">
        <v>2.2890000000000001E-2</v>
      </c>
      <c r="D1060">
        <v>2.2009999999999998E-2</v>
      </c>
      <c r="E1060">
        <v>2.2769999999999999E-2</v>
      </c>
      <c r="F1060">
        <v>249144926.90000001</v>
      </c>
      <c r="G1060">
        <v>0</v>
      </c>
      <c r="L1060" t="s">
        <v>7</v>
      </c>
      <c r="M1060" t="s">
        <v>7</v>
      </c>
      <c r="N1060" t="s">
        <v>7</v>
      </c>
      <c r="P1060">
        <f t="shared" si="1024"/>
        <v>0.7272727272727233</v>
      </c>
      <c r="Q1060">
        <f t="shared" si="1025"/>
        <v>181196310.47272629</v>
      </c>
      <c r="R1060">
        <f t="shared" si="1026"/>
        <v>-3602596980.6349788</v>
      </c>
      <c r="S1060">
        <f t="shared" si="1027"/>
        <v>-36025.969806349785</v>
      </c>
      <c r="T1060">
        <f t="shared" si="1028"/>
        <v>-36.025969806349785</v>
      </c>
    </row>
    <row r="1061" spans="1:20" x14ac:dyDescent="0.25">
      <c r="A1061" s="5">
        <v>43532</v>
      </c>
      <c r="B1061">
        <v>2.2929999999999999E-2</v>
      </c>
      <c r="C1061">
        <v>2.298E-2</v>
      </c>
      <c r="D1061">
        <v>2.2169999999999999E-2</v>
      </c>
      <c r="E1061">
        <v>2.2329999999999999E-2</v>
      </c>
      <c r="F1061">
        <v>253952447.5</v>
      </c>
      <c r="G1061">
        <v>0</v>
      </c>
      <c r="L1061" t="s">
        <v>7</v>
      </c>
      <c r="M1061" t="s">
        <v>7</v>
      </c>
      <c r="N1061" t="s">
        <v>7</v>
      </c>
      <c r="P1061">
        <f t="shared" si="1024"/>
        <v>-0.60493827160493807</v>
      </c>
      <c r="Q1061">
        <f t="shared" si="1025"/>
        <v>-153625554.66049379</v>
      </c>
      <c r="R1061">
        <f t="shared" si="1026"/>
        <v>-3783793291.1077051</v>
      </c>
      <c r="S1061">
        <f t="shared" si="1027"/>
        <v>-37837.932911077049</v>
      </c>
      <c r="T1061">
        <f t="shared" si="1028"/>
        <v>-37.837932911077047</v>
      </c>
    </row>
    <row r="1062" spans="1:20" x14ac:dyDescent="0.25">
      <c r="A1062" s="5">
        <v>43531</v>
      </c>
      <c r="B1062">
        <v>2.3179999999999999E-2</v>
      </c>
      <c r="C1062">
        <v>2.3480000000000001E-2</v>
      </c>
      <c r="D1062">
        <v>2.282E-2</v>
      </c>
      <c r="E1062">
        <v>2.2939999999999999E-2</v>
      </c>
      <c r="F1062">
        <v>264670024.09999999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-0.63636363636364113</v>
      </c>
      <c r="Q1062">
        <f t="shared" si="1025"/>
        <v>-168426378.97272852</v>
      </c>
      <c r="R1062">
        <f t="shared" si="1026"/>
        <v>-3630167736.4472113</v>
      </c>
      <c r="S1062">
        <f t="shared" si="1027"/>
        <v>-36301.677364472111</v>
      </c>
      <c r="T1062">
        <f t="shared" si="1028"/>
        <v>-36.301677364472113</v>
      </c>
    </row>
    <row r="1063" spans="1:20" x14ac:dyDescent="0.25">
      <c r="A1063" s="5">
        <v>43530</v>
      </c>
      <c r="B1063">
        <v>2.3740000000000001E-2</v>
      </c>
      <c r="C1063">
        <v>2.383E-2</v>
      </c>
      <c r="D1063">
        <v>2.2849999999999999E-2</v>
      </c>
      <c r="E1063">
        <v>2.3179999999999999E-2</v>
      </c>
      <c r="F1063">
        <v>321349025.10000002</v>
      </c>
      <c r="G1063">
        <v>0</v>
      </c>
      <c r="L1063" t="s">
        <v>8</v>
      </c>
      <c r="M1063" t="s">
        <v>7</v>
      </c>
      <c r="N1063" t="s">
        <v>7</v>
      </c>
      <c r="P1063">
        <f t="shared" si="1024"/>
        <v>-0.32653061224489827</v>
      </c>
      <c r="Q1063">
        <f t="shared" si="1025"/>
        <v>-104930293.91020419</v>
      </c>
      <c r="R1063">
        <f t="shared" si="1026"/>
        <v>-3461741357.4744825</v>
      </c>
      <c r="S1063">
        <f t="shared" si="1027"/>
        <v>-34617.413574744824</v>
      </c>
      <c r="T1063">
        <f t="shared" si="1028"/>
        <v>-34.617413574744823</v>
      </c>
    </row>
    <row r="1064" spans="1:20" x14ac:dyDescent="0.25">
      <c r="A1064" s="5">
        <v>43529</v>
      </c>
      <c r="B1064">
        <v>2.2780000000000002E-2</v>
      </c>
      <c r="C1064">
        <v>2.3939999999999999E-2</v>
      </c>
      <c r="D1064">
        <v>2.2020000000000001E-2</v>
      </c>
      <c r="E1064">
        <v>2.375E-2</v>
      </c>
      <c r="F1064">
        <v>564424988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0.80208333333333393</v>
      </c>
      <c r="Q1064">
        <f t="shared" si="1025"/>
        <v>452715875.79166698</v>
      </c>
      <c r="R1064">
        <f t="shared" si="1026"/>
        <v>-3356811063.5642781</v>
      </c>
      <c r="S1064">
        <f t="shared" si="1027"/>
        <v>-33568.110635642784</v>
      </c>
      <c r="T1064">
        <f t="shared" si="1028"/>
        <v>-33.568110635642782</v>
      </c>
    </row>
    <row r="1065" spans="1:20" x14ac:dyDescent="0.25">
      <c r="A1065" s="5">
        <v>43528</v>
      </c>
      <c r="B1065">
        <v>2.248E-2</v>
      </c>
      <c r="C1065">
        <v>2.3040000000000001E-2</v>
      </c>
      <c r="D1065">
        <v>2.0490000000000001E-2</v>
      </c>
      <c r="E1065">
        <v>2.2769999999999999E-2</v>
      </c>
      <c r="F1065">
        <v>616476950.89999998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0.78823529411764481</v>
      </c>
      <c r="Q1065">
        <f t="shared" si="1025"/>
        <v>485928890.70941037</v>
      </c>
      <c r="R1065">
        <f t="shared" si="1026"/>
        <v>-3809526939.3559451</v>
      </c>
      <c r="S1065">
        <f t="shared" si="1027"/>
        <v>-38095.269393559451</v>
      </c>
      <c r="T1065">
        <f t="shared" si="1028"/>
        <v>-38.095269393559448</v>
      </c>
    </row>
    <row r="1066" spans="1:20" x14ac:dyDescent="0.25">
      <c r="A1066" s="5">
        <v>43527</v>
      </c>
      <c r="B1066">
        <v>2.2679999999999999E-2</v>
      </c>
      <c r="C1066">
        <v>2.299E-2</v>
      </c>
      <c r="D1066">
        <v>2.2270000000000002E-2</v>
      </c>
      <c r="E1066">
        <v>2.248E-2</v>
      </c>
      <c r="F1066">
        <v>144563110.59999999</v>
      </c>
      <c r="G1066">
        <v>0</v>
      </c>
      <c r="L1066" t="s">
        <v>7</v>
      </c>
      <c r="M1066" t="s">
        <v>7</v>
      </c>
      <c r="N1066" t="s">
        <v>7</v>
      </c>
      <c r="P1066">
        <f t="shared" si="1024"/>
        <v>-0.4166666666666699</v>
      </c>
      <c r="Q1066">
        <f t="shared" si="1025"/>
        <v>-60234629.416667134</v>
      </c>
      <c r="R1066">
        <f t="shared" si="1026"/>
        <v>-4295455830.0653553</v>
      </c>
      <c r="S1066">
        <f t="shared" si="1027"/>
        <v>-42954.558300653553</v>
      </c>
      <c r="T1066">
        <f t="shared" si="1028"/>
        <v>-42.954558300653552</v>
      </c>
    </row>
    <row r="1067" spans="1:20" x14ac:dyDescent="0.25">
      <c r="A1067" s="5">
        <v>43526</v>
      </c>
      <c r="B1067">
        <v>2.349E-2</v>
      </c>
      <c r="C1067">
        <v>2.3560000000000001E-2</v>
      </c>
      <c r="D1067">
        <v>2.2190000000000001E-2</v>
      </c>
      <c r="E1067">
        <v>2.2669999999999999E-2</v>
      </c>
      <c r="F1067">
        <v>306382110.10000002</v>
      </c>
      <c r="G1067">
        <v>0</v>
      </c>
      <c r="L1067" t="s">
        <v>7</v>
      </c>
      <c r="M1067" t="s">
        <v>7</v>
      </c>
      <c r="N1067" t="s">
        <v>7</v>
      </c>
      <c r="P1067">
        <f t="shared" si="1024"/>
        <v>-0.29927007299270381</v>
      </c>
      <c r="Q1067">
        <f t="shared" si="1025"/>
        <v>-91690996.45328562</v>
      </c>
      <c r="R1067">
        <f t="shared" si="1026"/>
        <v>-4235221200.6486878</v>
      </c>
      <c r="S1067">
        <f t="shared" si="1027"/>
        <v>-42352.21200648688</v>
      </c>
      <c r="T1067">
        <f t="shared" si="1028"/>
        <v>-42.35221200648688</v>
      </c>
    </row>
    <row r="1068" spans="1:20" x14ac:dyDescent="0.25">
      <c r="A1068" s="5">
        <v>43525</v>
      </c>
      <c r="B1068">
        <v>2.3650000000000001E-2</v>
      </c>
      <c r="C1068">
        <v>2.3769999999999999E-2</v>
      </c>
      <c r="D1068">
        <v>2.3390000000000001E-2</v>
      </c>
      <c r="E1068">
        <v>2.349E-2</v>
      </c>
      <c r="F1068">
        <v>160875186.5</v>
      </c>
      <c r="G1068">
        <v>0</v>
      </c>
      <c r="L1068" t="s">
        <v>8</v>
      </c>
      <c r="M1068" t="s">
        <v>7</v>
      </c>
      <c r="N1068" t="s">
        <v>7</v>
      </c>
      <c r="P1068">
        <f t="shared" si="1024"/>
        <v>-0.47368421052631676</v>
      </c>
      <c r="Q1068">
        <f t="shared" si="1025"/>
        <v>-76204035.710526466</v>
      </c>
      <c r="R1068">
        <f t="shared" si="1026"/>
        <v>-4143530204.1954021</v>
      </c>
      <c r="S1068">
        <f t="shared" si="1027"/>
        <v>-41435.302041954019</v>
      </c>
      <c r="T1068">
        <f t="shared" si="1028"/>
        <v>-41.435302041954017</v>
      </c>
    </row>
    <row r="1069" spans="1:20" x14ac:dyDescent="0.25">
      <c r="A1069" s="5">
        <v>43524</v>
      </c>
      <c r="B1069">
        <v>2.3949999999999999E-2</v>
      </c>
      <c r="C1069">
        <v>2.4070000000000001E-2</v>
      </c>
      <c r="D1069">
        <v>2.3290000000000002E-2</v>
      </c>
      <c r="E1069">
        <v>2.3640000000000001E-2</v>
      </c>
      <c r="F1069">
        <v>212561488.5</v>
      </c>
      <c r="G1069">
        <v>0</v>
      </c>
      <c r="L1069" t="s">
        <v>8</v>
      </c>
      <c r="M1069" t="s">
        <v>7</v>
      </c>
      <c r="N1069" t="s">
        <v>7</v>
      </c>
      <c r="P1069">
        <f t="shared" si="1024"/>
        <v>-0.10256410256410291</v>
      </c>
      <c r="Q1069">
        <f t="shared" si="1025"/>
        <v>-21801178.307692382</v>
      </c>
      <c r="R1069">
        <f t="shared" si="1026"/>
        <v>-4067326168.4848757</v>
      </c>
      <c r="S1069">
        <f t="shared" si="1027"/>
        <v>-40673.26168484876</v>
      </c>
      <c r="T1069">
        <f t="shared" si="1028"/>
        <v>-40.673261684848761</v>
      </c>
    </row>
    <row r="1070" spans="1:20" x14ac:dyDescent="0.25">
      <c r="A1070" s="5">
        <v>43523</v>
      </c>
      <c r="B1070">
        <v>2.4129999999999999E-2</v>
      </c>
      <c r="C1070">
        <v>2.4199999999999999E-2</v>
      </c>
      <c r="D1070">
        <v>2.3230000000000001E-2</v>
      </c>
      <c r="E1070">
        <v>2.3939999999999999E-2</v>
      </c>
      <c r="F1070">
        <v>224430312.90000001</v>
      </c>
      <c r="G1070">
        <v>0</v>
      </c>
      <c r="L1070" t="s">
        <v>8</v>
      </c>
      <c r="M1070" t="s">
        <v>7</v>
      </c>
      <c r="N1070" t="s">
        <v>7</v>
      </c>
      <c r="P1070">
        <f t="shared" si="1024"/>
        <v>0.4639175257731955</v>
      </c>
      <c r="Q1070">
        <f t="shared" si="1025"/>
        <v>104117155.46907209</v>
      </c>
      <c r="R1070">
        <f t="shared" si="1026"/>
        <v>-4045524990.1771832</v>
      </c>
      <c r="S1070">
        <f t="shared" si="1027"/>
        <v>-40455.249901771829</v>
      </c>
      <c r="T1070">
        <f t="shared" si="1028"/>
        <v>-40.455249901771829</v>
      </c>
    </row>
    <row r="1071" spans="1:20" x14ac:dyDescent="0.25">
      <c r="A1071" s="5">
        <v>43522</v>
      </c>
      <c r="B1071">
        <v>2.4070000000000001E-2</v>
      </c>
      <c r="C1071">
        <v>2.4479999999999998E-2</v>
      </c>
      <c r="D1071">
        <v>2.3619999999999999E-2</v>
      </c>
      <c r="E1071">
        <v>2.4109999999999999E-2</v>
      </c>
      <c r="F1071">
        <v>329205880.39999998</v>
      </c>
      <c r="G1071">
        <v>0</v>
      </c>
      <c r="L1071" t="s">
        <v>8</v>
      </c>
      <c r="M1071" t="s">
        <v>7</v>
      </c>
      <c r="N1071" t="s">
        <v>7</v>
      </c>
      <c r="P1071">
        <f t="shared" si="1024"/>
        <v>0.13953488372093267</v>
      </c>
      <c r="Q1071">
        <f t="shared" si="1025"/>
        <v>45935704.241861269</v>
      </c>
      <c r="R1071">
        <f t="shared" si="1026"/>
        <v>-4149642145.646255</v>
      </c>
      <c r="S1071">
        <f t="shared" si="1027"/>
        <v>-41496.421456462551</v>
      </c>
      <c r="T1071">
        <f t="shared" si="1028"/>
        <v>-41.496421456462549</v>
      </c>
    </row>
    <row r="1072" spans="1:20" x14ac:dyDescent="0.25">
      <c r="A1072" s="5">
        <v>43521</v>
      </c>
      <c r="B1072">
        <v>2.3259999999999999E-2</v>
      </c>
      <c r="C1072">
        <v>2.4510000000000001E-2</v>
      </c>
      <c r="D1072">
        <v>2.3259999999999999E-2</v>
      </c>
      <c r="E1072">
        <v>2.4070000000000001E-2</v>
      </c>
      <c r="F1072">
        <v>558573703.79999995</v>
      </c>
      <c r="G1072">
        <v>0</v>
      </c>
      <c r="L1072" t="s">
        <v>8</v>
      </c>
      <c r="M1072" t="s">
        <v>7</v>
      </c>
      <c r="N1072" t="s">
        <v>7</v>
      </c>
      <c r="P1072">
        <f t="shared" si="1024"/>
        <v>0.29600000000000154</v>
      </c>
      <c r="Q1072">
        <f t="shared" si="1025"/>
        <v>165337816.32480085</v>
      </c>
      <c r="R1072">
        <f t="shared" si="1026"/>
        <v>-4195577849.8881164</v>
      </c>
      <c r="S1072">
        <f t="shared" si="1027"/>
        <v>-41955.778498881162</v>
      </c>
      <c r="T1072">
        <f t="shared" si="1028"/>
        <v>-41.955778498881159</v>
      </c>
    </row>
    <row r="1073" spans="1:20" x14ac:dyDescent="0.25">
      <c r="A1073" s="5">
        <v>43520</v>
      </c>
      <c r="B1073">
        <v>2.5250000000000002E-2</v>
      </c>
      <c r="C1073">
        <v>2.7470000000000001E-2</v>
      </c>
      <c r="D1073">
        <v>2.2030000000000001E-2</v>
      </c>
      <c r="E1073">
        <v>2.3269999999999999E-2</v>
      </c>
      <c r="F1073">
        <v>1359544600.4000001</v>
      </c>
      <c r="G1073">
        <v>0</v>
      </c>
      <c r="L1073" t="s">
        <v>7</v>
      </c>
      <c r="M1073" t="s">
        <v>7</v>
      </c>
      <c r="N1073" t="s">
        <v>7</v>
      </c>
      <c r="P1073">
        <f t="shared" si="1024"/>
        <v>-0.54411764705882426</v>
      </c>
      <c r="Q1073">
        <f t="shared" si="1025"/>
        <v>-739752209.04117751</v>
      </c>
      <c r="R1073">
        <f t="shared" si="1026"/>
        <v>-4360915666.2129173</v>
      </c>
      <c r="S1073">
        <f t="shared" si="1027"/>
        <v>-43609.156662129171</v>
      </c>
      <c r="T1073">
        <f t="shared" si="1028"/>
        <v>-43.609156662129173</v>
      </c>
    </row>
    <row r="1074" spans="1:20" x14ac:dyDescent="0.25">
      <c r="A1074" s="5">
        <v>43519</v>
      </c>
      <c r="B1074">
        <v>2.4899999999999999E-2</v>
      </c>
      <c r="C1074">
        <v>2.538E-2</v>
      </c>
      <c r="D1074">
        <v>2.4709999999999999E-2</v>
      </c>
      <c r="E1074">
        <v>2.528E-2</v>
      </c>
      <c r="F1074">
        <v>307453778.60000002</v>
      </c>
      <c r="G1074">
        <v>0</v>
      </c>
      <c r="L1074" t="s">
        <v>7</v>
      </c>
      <c r="M1074" t="s">
        <v>7</v>
      </c>
      <c r="N1074" t="s">
        <v>8</v>
      </c>
      <c r="P1074">
        <f t="shared" si="1024"/>
        <v>0.70149253731343486</v>
      </c>
      <c r="Q1074">
        <f t="shared" si="1025"/>
        <v>215676531.25671706</v>
      </c>
      <c r="R1074">
        <f t="shared" si="1026"/>
        <v>-3621163457.1717401</v>
      </c>
      <c r="S1074">
        <f t="shared" si="1027"/>
        <v>-36211.634571717397</v>
      </c>
      <c r="T1074">
        <f t="shared" si="1028"/>
        <v>-36.211634571717397</v>
      </c>
    </row>
    <row r="1075" spans="1:20" x14ac:dyDescent="0.25">
      <c r="A1075" s="5">
        <v>43518</v>
      </c>
      <c r="B1075">
        <v>2.4709999999999999E-2</v>
      </c>
      <c r="C1075">
        <v>2.5020000000000001E-2</v>
      </c>
      <c r="D1075">
        <v>2.4500000000000001E-2</v>
      </c>
      <c r="E1075">
        <v>2.4899999999999999E-2</v>
      </c>
      <c r="F1075">
        <v>217724892.30000001</v>
      </c>
      <c r="G1075">
        <v>0</v>
      </c>
      <c r="L1075" t="s">
        <v>7</v>
      </c>
      <c r="M1075" t="s">
        <v>7</v>
      </c>
      <c r="N1075" t="s">
        <v>8</v>
      </c>
      <c r="P1075">
        <f t="shared" si="1024"/>
        <v>0.53846153846153022</v>
      </c>
      <c r="Q1075">
        <f t="shared" si="1025"/>
        <v>117236480.46922898</v>
      </c>
      <c r="R1075">
        <f t="shared" si="1026"/>
        <v>-3836839988.4284573</v>
      </c>
      <c r="S1075">
        <f t="shared" si="1027"/>
        <v>-38368.399884284576</v>
      </c>
      <c r="T1075">
        <f t="shared" si="1028"/>
        <v>-38.368399884284578</v>
      </c>
    </row>
    <row r="1076" spans="1:20" x14ac:dyDescent="0.25">
      <c r="A1076" s="5">
        <v>43517</v>
      </c>
      <c r="B1076">
        <v>2.4969999999999999E-2</v>
      </c>
      <c r="C1076">
        <v>2.528E-2</v>
      </c>
      <c r="D1076">
        <v>2.4299999999999999E-2</v>
      </c>
      <c r="E1076">
        <v>2.4709999999999999E-2</v>
      </c>
      <c r="F1076">
        <v>254685888.30000001</v>
      </c>
      <c r="G1076">
        <v>0</v>
      </c>
      <c r="L1076" t="s">
        <v>7</v>
      </c>
      <c r="M1076" t="s">
        <v>7</v>
      </c>
      <c r="N1076" t="s">
        <v>8</v>
      </c>
      <c r="P1076">
        <f t="shared" si="1024"/>
        <v>-0.16326530612244913</v>
      </c>
      <c r="Q1076">
        <f t="shared" si="1025"/>
        <v>-41581369.518367387</v>
      </c>
      <c r="R1076">
        <f t="shared" si="1026"/>
        <v>-3954076468.897686</v>
      </c>
      <c r="S1076">
        <f t="shared" si="1027"/>
        <v>-39540.764688976858</v>
      </c>
      <c r="T1076">
        <f t="shared" si="1028"/>
        <v>-39.540764688976857</v>
      </c>
    </row>
    <row r="1077" spans="1:20" x14ac:dyDescent="0.25">
      <c r="A1077" s="5">
        <v>43516</v>
      </c>
      <c r="B1077">
        <v>2.4809999999999999E-2</v>
      </c>
      <c r="C1077">
        <v>2.538E-2</v>
      </c>
      <c r="D1077">
        <v>2.4119999999999999E-2</v>
      </c>
      <c r="E1077">
        <v>2.5000000000000001E-2</v>
      </c>
      <c r="F1077">
        <v>371243183.19999999</v>
      </c>
      <c r="G1077">
        <v>0</v>
      </c>
      <c r="L1077" t="s">
        <v>7</v>
      </c>
      <c r="M1077" t="s">
        <v>7</v>
      </c>
      <c r="N1077" t="s">
        <v>8</v>
      </c>
      <c r="P1077">
        <f t="shared" si="1024"/>
        <v>0.39682539682539969</v>
      </c>
      <c r="Q1077">
        <f t="shared" si="1025"/>
        <v>147318723.49206457</v>
      </c>
      <c r="R1077">
        <f t="shared" si="1026"/>
        <v>-3912495099.3793187</v>
      </c>
      <c r="S1077">
        <f t="shared" si="1027"/>
        <v>-39124.950993793187</v>
      </c>
      <c r="T1077">
        <f t="shared" si="1028"/>
        <v>-39.124950993793185</v>
      </c>
    </row>
    <row r="1078" spans="1:20" x14ac:dyDescent="0.25">
      <c r="A1078" s="5">
        <v>43515</v>
      </c>
      <c r="B1078">
        <v>2.4899999999999999E-2</v>
      </c>
      <c r="C1078">
        <v>2.598E-2</v>
      </c>
      <c r="D1078">
        <v>2.4670000000000001E-2</v>
      </c>
      <c r="E1078">
        <v>2.4799999999999999E-2</v>
      </c>
      <c r="F1078">
        <v>603795953.79999995</v>
      </c>
      <c r="G1078">
        <v>0</v>
      </c>
      <c r="L1078" t="s">
        <v>8</v>
      </c>
      <c r="M1078" t="s">
        <v>7</v>
      </c>
      <c r="N1078" t="s">
        <v>8</v>
      </c>
      <c r="P1078">
        <f t="shared" si="1024"/>
        <v>-0.80152671755725446</v>
      </c>
      <c r="Q1078">
        <f t="shared" si="1025"/>
        <v>-483958588.92366564</v>
      </c>
      <c r="R1078">
        <f t="shared" si="1026"/>
        <v>-4059813822.8713832</v>
      </c>
      <c r="S1078">
        <f t="shared" si="1027"/>
        <v>-40598.138228713833</v>
      </c>
      <c r="T1078">
        <f t="shared" si="1028"/>
        <v>-40.598138228713836</v>
      </c>
    </row>
    <row r="1079" spans="1:20" x14ac:dyDescent="0.25">
      <c r="A1079" s="5">
        <v>43514</v>
      </c>
      <c r="B1079">
        <v>2.3789999999999999E-2</v>
      </c>
      <c r="C1079">
        <v>2.5159999999999998E-2</v>
      </c>
      <c r="D1079">
        <v>2.376E-2</v>
      </c>
      <c r="E1079">
        <v>2.4899999999999999E-2</v>
      </c>
      <c r="F1079">
        <v>546475818.79999995</v>
      </c>
      <c r="G1079">
        <v>0</v>
      </c>
      <c r="L1079" t="s">
        <v>8</v>
      </c>
      <c r="M1079" t="s">
        <v>7</v>
      </c>
      <c r="N1079" t="s">
        <v>8</v>
      </c>
      <c r="P1079">
        <f t="shared" si="1024"/>
        <v>0.62857142857142845</v>
      </c>
      <c r="Q1079">
        <f t="shared" si="1025"/>
        <v>343499086.10285705</v>
      </c>
      <c r="R1079">
        <f t="shared" si="1026"/>
        <v>-3575855233.9477177</v>
      </c>
      <c r="S1079">
        <f t="shared" si="1027"/>
        <v>-35758.552339477174</v>
      </c>
      <c r="T1079">
        <f t="shared" si="1028"/>
        <v>-35.758552339477177</v>
      </c>
    </row>
    <row r="1080" spans="1:20" x14ac:dyDescent="0.25">
      <c r="A1080" s="5">
        <v>43513</v>
      </c>
      <c r="B1080">
        <v>2.3560000000000001E-2</v>
      </c>
      <c r="C1080">
        <v>2.402E-2</v>
      </c>
      <c r="D1080">
        <v>2.3429999999999999E-2</v>
      </c>
      <c r="E1080">
        <v>2.3779999999999999E-2</v>
      </c>
      <c r="F1080">
        <v>190730523</v>
      </c>
      <c r="G1080">
        <v>0</v>
      </c>
      <c r="L1080" t="s">
        <v>7</v>
      </c>
      <c r="M1080" t="s">
        <v>7</v>
      </c>
      <c r="N1080" t="s">
        <v>8</v>
      </c>
      <c r="P1080">
        <f t="shared" si="1024"/>
        <v>0.18644067796609989</v>
      </c>
      <c r="Q1080">
        <f t="shared" si="1025"/>
        <v>35559928.016948812</v>
      </c>
      <c r="R1080">
        <f t="shared" si="1026"/>
        <v>-3919354320.0505748</v>
      </c>
      <c r="S1080">
        <f t="shared" si="1027"/>
        <v>-39193.543200505745</v>
      </c>
      <c r="T1080">
        <f t="shared" si="1028"/>
        <v>-39.193543200505744</v>
      </c>
    </row>
    <row r="1081" spans="1:20" x14ac:dyDescent="0.25">
      <c r="A1081" s="5">
        <v>43512</v>
      </c>
      <c r="B1081">
        <v>2.3699999999999999E-2</v>
      </c>
      <c r="C1081">
        <v>2.3910000000000001E-2</v>
      </c>
      <c r="D1081">
        <v>2.3460000000000002E-2</v>
      </c>
      <c r="E1081">
        <v>2.3560000000000001E-2</v>
      </c>
      <c r="F1081">
        <v>175050883.19999999</v>
      </c>
      <c r="G1081">
        <v>0</v>
      </c>
      <c r="L1081" t="s">
        <v>7</v>
      </c>
      <c r="M1081" t="s">
        <v>7</v>
      </c>
      <c r="N1081" t="s">
        <v>8</v>
      </c>
      <c r="P1081">
        <f t="shared" si="1024"/>
        <v>-0.55555555555555725</v>
      </c>
      <c r="Q1081">
        <f t="shared" si="1025"/>
        <v>-97250490.666666955</v>
      </c>
      <c r="R1081">
        <f t="shared" si="1026"/>
        <v>-3954914248.0675235</v>
      </c>
      <c r="S1081">
        <f t="shared" si="1027"/>
        <v>-39549.142480675233</v>
      </c>
      <c r="T1081">
        <f t="shared" si="1028"/>
        <v>-39.549142480675236</v>
      </c>
    </row>
    <row r="1082" spans="1:20" x14ac:dyDescent="0.25">
      <c r="A1082" s="5">
        <v>43511</v>
      </c>
      <c r="B1082">
        <v>2.3300000000000001E-2</v>
      </c>
      <c r="C1082">
        <v>2.41E-2</v>
      </c>
      <c r="D1082">
        <v>2.3269999999999999E-2</v>
      </c>
      <c r="E1082">
        <v>2.3699999999999999E-2</v>
      </c>
      <c r="F1082">
        <v>256082232</v>
      </c>
      <c r="G1082">
        <v>0</v>
      </c>
      <c r="L1082" t="s">
        <v>7</v>
      </c>
      <c r="M1082" t="s">
        <v>7</v>
      </c>
      <c r="N1082" t="s">
        <v>8</v>
      </c>
      <c r="P1082">
        <f t="shared" si="1024"/>
        <v>3.6144578313251498E-2</v>
      </c>
      <c r="Q1082">
        <f t="shared" si="1025"/>
        <v>9255984.2891562395</v>
      </c>
      <c r="R1082">
        <f t="shared" si="1026"/>
        <v>-3857663757.4008565</v>
      </c>
      <c r="S1082">
        <f t="shared" si="1027"/>
        <v>-38576.637574008564</v>
      </c>
      <c r="T1082">
        <f t="shared" si="1028"/>
        <v>-38.576637574008565</v>
      </c>
    </row>
    <row r="1083" spans="1:20" x14ac:dyDescent="0.25">
      <c r="A1083" s="5">
        <v>43510</v>
      </c>
      <c r="B1083">
        <v>2.4070000000000001E-2</v>
      </c>
      <c r="C1083">
        <v>2.4410000000000001E-2</v>
      </c>
      <c r="D1083">
        <v>2.3120000000000002E-2</v>
      </c>
      <c r="E1083">
        <v>2.3300000000000001E-2</v>
      </c>
      <c r="F1083">
        <v>229078818.09999999</v>
      </c>
      <c r="G1083">
        <v>0</v>
      </c>
      <c r="L1083" t="s">
        <v>7</v>
      </c>
      <c r="M1083" t="s">
        <v>7</v>
      </c>
      <c r="N1083" t="s">
        <v>8</v>
      </c>
      <c r="P1083">
        <f t="shared" si="1024"/>
        <v>-0.72093023255814004</v>
      </c>
      <c r="Q1083">
        <f t="shared" si="1025"/>
        <v>-165149845.60697687</v>
      </c>
      <c r="R1083">
        <f t="shared" si="1026"/>
        <v>-3866919741.6900129</v>
      </c>
      <c r="S1083">
        <f t="shared" si="1027"/>
        <v>-38669.197416900126</v>
      </c>
      <c r="T1083">
        <f t="shared" si="1028"/>
        <v>-38.669197416900126</v>
      </c>
    </row>
    <row r="1084" spans="1:20" x14ac:dyDescent="0.25">
      <c r="A1084" s="5">
        <v>43509</v>
      </c>
      <c r="B1084">
        <v>2.4410000000000001E-2</v>
      </c>
      <c r="C1084">
        <v>2.53E-2</v>
      </c>
      <c r="D1084">
        <v>2.3449999999999999E-2</v>
      </c>
      <c r="E1084">
        <v>2.4060000000000002E-2</v>
      </c>
      <c r="F1084">
        <v>422816770.10000002</v>
      </c>
      <c r="G1084">
        <v>0</v>
      </c>
      <c r="L1084" t="s">
        <v>7</v>
      </c>
      <c r="M1084" t="s">
        <v>7</v>
      </c>
      <c r="N1084" t="s">
        <v>8</v>
      </c>
      <c r="P1084">
        <f t="shared" si="1024"/>
        <v>-0.34054054054053773</v>
      </c>
      <c r="Q1084">
        <f t="shared" si="1025"/>
        <v>-143986251.43945828</v>
      </c>
      <c r="R1084">
        <f t="shared" si="1026"/>
        <v>-3701769896.0830359</v>
      </c>
      <c r="S1084">
        <f t="shared" si="1027"/>
        <v>-37017.698960830363</v>
      </c>
      <c r="T1084">
        <f t="shared" si="1028"/>
        <v>-37.017698960830366</v>
      </c>
    </row>
    <row r="1085" spans="1:20" x14ac:dyDescent="0.25">
      <c r="A1085" s="5">
        <v>43508</v>
      </c>
      <c r="B1085">
        <v>2.4559999999999998E-2</v>
      </c>
      <c r="C1085">
        <v>2.4819999999999998E-2</v>
      </c>
      <c r="D1085">
        <v>2.4E-2</v>
      </c>
      <c r="E1085">
        <v>2.4410000000000001E-2</v>
      </c>
      <c r="F1085">
        <v>459412785.10000002</v>
      </c>
      <c r="G1085">
        <v>0</v>
      </c>
      <c r="L1085" t="s">
        <v>7</v>
      </c>
      <c r="M1085" t="s">
        <v>7</v>
      </c>
      <c r="N1085" t="s">
        <v>8</v>
      </c>
      <c r="P1085">
        <f t="shared" si="1024"/>
        <v>4.2310328682361259E-15</v>
      </c>
      <c r="Q1085">
        <f t="shared" si="1025"/>
        <v>1.943790593846E-6</v>
      </c>
      <c r="R1085">
        <f t="shared" si="1026"/>
        <v>-3557783644.6435776</v>
      </c>
      <c r="S1085">
        <f t="shared" si="1027"/>
        <v>-35577.836446435773</v>
      </c>
      <c r="T1085">
        <f t="shared" si="1028"/>
        <v>-35.577836446435775</v>
      </c>
    </row>
    <row r="1086" spans="1:20" x14ac:dyDescent="0.25">
      <c r="A1086" s="5">
        <v>43507</v>
      </c>
      <c r="B1086">
        <v>2.579E-2</v>
      </c>
      <c r="C1086">
        <v>2.6249999999999999E-2</v>
      </c>
      <c r="D1086">
        <v>2.4060000000000002E-2</v>
      </c>
      <c r="E1086">
        <v>2.4570000000000002E-2</v>
      </c>
      <c r="F1086">
        <v>700500759.89999998</v>
      </c>
      <c r="G1086">
        <v>0</v>
      </c>
      <c r="L1086" t="s">
        <v>7</v>
      </c>
      <c r="M1086" t="s">
        <v>7</v>
      </c>
      <c r="N1086" t="s">
        <v>8</v>
      </c>
      <c r="P1086">
        <f t="shared" si="1024"/>
        <v>-0.53424657534246522</v>
      </c>
      <c r="Q1086">
        <f t="shared" si="1025"/>
        <v>-374240132.00136948</v>
      </c>
      <c r="R1086">
        <f t="shared" si="1026"/>
        <v>-3557783644.6435795</v>
      </c>
      <c r="S1086">
        <f t="shared" si="1027"/>
        <v>-35577.836446435795</v>
      </c>
      <c r="T1086">
        <f t="shared" si="1028"/>
        <v>-35.577836446435796</v>
      </c>
    </row>
    <row r="1087" spans="1:20" x14ac:dyDescent="0.25">
      <c r="A1087" s="5">
        <v>43506</v>
      </c>
      <c r="B1087">
        <v>2.623E-2</v>
      </c>
      <c r="C1087">
        <v>2.6329999999999999E-2</v>
      </c>
      <c r="D1087">
        <v>2.4889999999999999E-2</v>
      </c>
      <c r="E1087">
        <v>2.579E-2</v>
      </c>
      <c r="F1087">
        <v>607353046.10000002</v>
      </c>
      <c r="G1087">
        <v>0</v>
      </c>
      <c r="L1087" t="s">
        <v>7</v>
      </c>
      <c r="M1087" t="s">
        <v>8</v>
      </c>
      <c r="N1087" t="s">
        <v>8</v>
      </c>
      <c r="P1087">
        <f t="shared" ref="P1087:P1150" si="1029">IF(C1087=D1087,0,((E1087-D1087)-(C1087-E1087))/(C1087-D1087))</f>
        <v>0.25000000000000183</v>
      </c>
      <c r="Q1087">
        <f t="shared" ref="Q1087:Q1150" si="1030">F1087*P1087</f>
        <v>151838261.52500111</v>
      </c>
      <c r="R1087">
        <f t="shared" ref="R1087:R1150" si="1031">R1088+Q1087</f>
        <v>-3183543512.64221</v>
      </c>
      <c r="S1087">
        <f t="shared" ref="S1087:S1150" si="1032">R1087/100000</f>
        <v>-31835.4351264221</v>
      </c>
      <c r="T1087">
        <f t="shared" ref="T1087:T1150" si="1033">S1087/1000</f>
        <v>-31.835435126422102</v>
      </c>
    </row>
    <row r="1088" spans="1:20" x14ac:dyDescent="0.25">
      <c r="A1088" s="5">
        <v>43505</v>
      </c>
      <c r="B1088">
        <v>2.6800000000000001E-2</v>
      </c>
      <c r="C1088">
        <v>2.767E-2</v>
      </c>
      <c r="D1088">
        <v>2.6009999999999998E-2</v>
      </c>
      <c r="E1088">
        <v>2.623E-2</v>
      </c>
      <c r="F1088">
        <v>518065655.80000001</v>
      </c>
      <c r="G1088">
        <v>0</v>
      </c>
      <c r="L1088" t="s">
        <v>8</v>
      </c>
      <c r="M1088" t="s">
        <v>8</v>
      </c>
      <c r="N1088" t="s">
        <v>8</v>
      </c>
      <c r="P1088">
        <f t="shared" si="1029"/>
        <v>-0.73493975903614317</v>
      </c>
      <c r="Q1088">
        <f t="shared" si="1030"/>
        <v>-380747048.23855352</v>
      </c>
      <c r="R1088">
        <f t="shared" si="1031"/>
        <v>-3335381774.1672111</v>
      </c>
      <c r="S1088">
        <f t="shared" si="1032"/>
        <v>-33353.817741672108</v>
      </c>
      <c r="T1088">
        <f t="shared" si="1033"/>
        <v>-33.35381774167211</v>
      </c>
    </row>
    <row r="1089" spans="1:20" x14ac:dyDescent="0.25">
      <c r="A1089" s="5">
        <v>43504</v>
      </c>
      <c r="B1089">
        <v>2.5690000000000001E-2</v>
      </c>
      <c r="C1089">
        <v>2.7369999999999998E-2</v>
      </c>
      <c r="D1089">
        <v>2.5489999999999999E-2</v>
      </c>
      <c r="E1089">
        <v>2.681E-2</v>
      </c>
      <c r="F1089">
        <v>590828159.70000005</v>
      </c>
      <c r="G1089">
        <v>0</v>
      </c>
      <c r="L1089" t="s">
        <v>8</v>
      </c>
      <c r="M1089" t="s">
        <v>8</v>
      </c>
      <c r="N1089" t="s">
        <v>8</v>
      </c>
      <c r="P1089">
        <f t="shared" si="1029"/>
        <v>0.4042553191489382</v>
      </c>
      <c r="Q1089">
        <f t="shared" si="1030"/>
        <v>238845426.26170334</v>
      </c>
      <c r="R1089">
        <f t="shared" si="1031"/>
        <v>-2954634725.9286575</v>
      </c>
      <c r="S1089">
        <f t="shared" si="1032"/>
        <v>-29546.347259286576</v>
      </c>
      <c r="T1089">
        <f t="shared" si="1033"/>
        <v>-29.546347259286577</v>
      </c>
    </row>
    <row r="1090" spans="1:20" x14ac:dyDescent="0.25">
      <c r="A1090" s="5">
        <v>43503</v>
      </c>
      <c r="B1090">
        <v>2.5520000000000001E-2</v>
      </c>
      <c r="C1090">
        <v>2.6270000000000002E-2</v>
      </c>
      <c r="D1090">
        <v>2.5340000000000001E-2</v>
      </c>
      <c r="E1090">
        <v>2.5690000000000001E-2</v>
      </c>
      <c r="F1090">
        <v>246860684.40000001</v>
      </c>
      <c r="G1090">
        <v>0</v>
      </c>
      <c r="L1090" t="s">
        <v>7</v>
      </c>
      <c r="M1090" t="s">
        <v>8</v>
      </c>
      <c r="N1090" t="s">
        <v>8</v>
      </c>
      <c r="P1090">
        <f t="shared" si="1029"/>
        <v>-0.24731182795699028</v>
      </c>
      <c r="Q1090">
        <f t="shared" si="1030"/>
        <v>-61051567.109677672</v>
      </c>
      <c r="R1090">
        <f t="shared" si="1031"/>
        <v>-3193480152.190361</v>
      </c>
      <c r="S1090">
        <f t="shared" si="1032"/>
        <v>-31934.80152190361</v>
      </c>
      <c r="T1090">
        <f t="shared" si="1033"/>
        <v>-31.934801521903609</v>
      </c>
    </row>
    <row r="1091" spans="1:20" x14ac:dyDescent="0.25">
      <c r="A1091" s="5">
        <v>43502</v>
      </c>
      <c r="B1091">
        <v>2.622E-2</v>
      </c>
      <c r="C1091">
        <v>2.7E-2</v>
      </c>
      <c r="D1091">
        <v>2.511E-2</v>
      </c>
      <c r="E1091">
        <v>2.5510000000000001E-2</v>
      </c>
      <c r="F1091">
        <v>538152250.89999998</v>
      </c>
      <c r="G1091">
        <v>0</v>
      </c>
      <c r="L1091" t="s">
        <v>7</v>
      </c>
      <c r="M1091" t="s">
        <v>8</v>
      </c>
      <c r="N1091" t="s">
        <v>8</v>
      </c>
      <c r="P1091">
        <f t="shared" si="1029"/>
        <v>-0.57671957671957541</v>
      </c>
      <c r="Q1091">
        <f t="shared" si="1030"/>
        <v>-310362938.34973472</v>
      </c>
      <c r="R1091">
        <f t="shared" si="1031"/>
        <v>-3132428585.0806832</v>
      </c>
      <c r="S1091">
        <f t="shared" si="1032"/>
        <v>-31324.285850806831</v>
      </c>
      <c r="T1091">
        <f t="shared" si="1033"/>
        <v>-31.324285850806831</v>
      </c>
    </row>
    <row r="1092" spans="1:20" x14ac:dyDescent="0.25">
      <c r="A1092" s="5">
        <v>43501</v>
      </c>
      <c r="B1092">
        <v>2.6980000000000001E-2</v>
      </c>
      <c r="C1092">
        <v>2.7900000000000001E-2</v>
      </c>
      <c r="D1092">
        <v>2.6020000000000001E-2</v>
      </c>
      <c r="E1092">
        <v>2.623E-2</v>
      </c>
      <c r="F1092">
        <v>638843861.10000002</v>
      </c>
      <c r="G1092">
        <v>0</v>
      </c>
      <c r="L1092" t="s">
        <v>7</v>
      </c>
      <c r="M1092" t="s">
        <v>8</v>
      </c>
      <c r="N1092" t="s">
        <v>8</v>
      </c>
      <c r="P1092">
        <f t="shared" si="1029"/>
        <v>-0.7765957446808528</v>
      </c>
      <c r="Q1092">
        <f t="shared" si="1030"/>
        <v>-496123424.04574579</v>
      </c>
      <c r="R1092">
        <f t="shared" si="1031"/>
        <v>-2822065646.7309484</v>
      </c>
      <c r="S1092">
        <f t="shared" si="1032"/>
        <v>-28220.656467309484</v>
      </c>
      <c r="T1092">
        <f t="shared" si="1033"/>
        <v>-28.220656467309485</v>
      </c>
    </row>
    <row r="1093" spans="1:20" x14ac:dyDescent="0.25">
      <c r="A1093" s="5">
        <v>43500</v>
      </c>
      <c r="B1093">
        <v>2.5420000000000002E-2</v>
      </c>
      <c r="C1093">
        <v>2.9139999999999999E-2</v>
      </c>
      <c r="D1093">
        <v>2.5010000000000001E-2</v>
      </c>
      <c r="E1093">
        <v>2.6980000000000001E-2</v>
      </c>
      <c r="F1093">
        <v>1036234202.6</v>
      </c>
      <c r="G1093">
        <v>0</v>
      </c>
      <c r="L1093" t="s">
        <v>8</v>
      </c>
      <c r="M1093" t="s">
        <v>8</v>
      </c>
      <c r="N1093" t="s">
        <v>8</v>
      </c>
      <c r="P1093">
        <f t="shared" si="1029"/>
        <v>-4.6004842615011934E-2</v>
      </c>
      <c r="Q1093">
        <f t="shared" si="1030"/>
        <v>-47671791.40290539</v>
      </c>
      <c r="R1093">
        <f t="shared" si="1031"/>
        <v>-2325942222.6852026</v>
      </c>
      <c r="S1093">
        <f t="shared" si="1032"/>
        <v>-23259.422226852024</v>
      </c>
      <c r="T1093">
        <f t="shared" si="1033"/>
        <v>-23.259422226852024</v>
      </c>
    </row>
    <row r="1094" spans="1:20" x14ac:dyDescent="0.25">
      <c r="A1094" s="5">
        <v>43499</v>
      </c>
      <c r="B1094">
        <v>2.6079999999999999E-2</v>
      </c>
      <c r="C1094">
        <v>2.6159999999999999E-2</v>
      </c>
      <c r="D1094">
        <v>2.511E-2</v>
      </c>
      <c r="E1094">
        <v>2.5420000000000002E-2</v>
      </c>
      <c r="F1094">
        <v>314036955.60000002</v>
      </c>
      <c r="G1094">
        <v>0</v>
      </c>
      <c r="L1094" t="s">
        <v>8</v>
      </c>
      <c r="M1094" t="s">
        <v>7</v>
      </c>
      <c r="N1094" t="s">
        <v>8</v>
      </c>
      <c r="P1094">
        <f t="shared" si="1029"/>
        <v>-0.40952380952380651</v>
      </c>
      <c r="Q1094">
        <f t="shared" si="1030"/>
        <v>-128605610.38857049</v>
      </c>
      <c r="R1094">
        <f t="shared" si="1031"/>
        <v>-2278270431.2822971</v>
      </c>
      <c r="S1094">
        <f t="shared" si="1032"/>
        <v>-22782.704312822971</v>
      </c>
      <c r="T1094">
        <f t="shared" si="1033"/>
        <v>-22.782704312822972</v>
      </c>
    </row>
    <row r="1095" spans="1:20" x14ac:dyDescent="0.25">
      <c r="A1095" s="5">
        <v>43498</v>
      </c>
      <c r="B1095">
        <v>2.614E-2</v>
      </c>
      <c r="C1095">
        <v>2.6380000000000001E-2</v>
      </c>
      <c r="D1095">
        <v>2.5479999999999999E-2</v>
      </c>
      <c r="E1095">
        <v>2.6079999999999999E-2</v>
      </c>
      <c r="F1095">
        <v>332183079.30000001</v>
      </c>
      <c r="G1095">
        <v>0</v>
      </c>
      <c r="L1095" t="s">
        <v>8</v>
      </c>
      <c r="M1095" t="s">
        <v>7</v>
      </c>
      <c r="N1095" t="s">
        <v>8</v>
      </c>
      <c r="P1095">
        <f t="shared" si="1029"/>
        <v>0.33333333333333076</v>
      </c>
      <c r="Q1095">
        <f t="shared" si="1030"/>
        <v>110727693.09999914</v>
      </c>
      <c r="R1095">
        <f t="shared" si="1031"/>
        <v>-2149664820.8937268</v>
      </c>
      <c r="S1095">
        <f t="shared" si="1032"/>
        <v>-21496.648208937269</v>
      </c>
      <c r="T1095">
        <f t="shared" si="1033"/>
        <v>-21.49664820893727</v>
      </c>
    </row>
    <row r="1096" spans="1:20" x14ac:dyDescent="0.25">
      <c r="A1096" s="5">
        <v>43497</v>
      </c>
      <c r="B1096">
        <v>2.511E-2</v>
      </c>
      <c r="C1096">
        <v>2.6579999999999999E-2</v>
      </c>
      <c r="D1096">
        <v>2.4E-2</v>
      </c>
      <c r="E1096">
        <v>2.615E-2</v>
      </c>
      <c r="F1096">
        <v>662366527.89999998</v>
      </c>
      <c r="G1096">
        <v>0</v>
      </c>
      <c r="L1096" t="s">
        <v>7</v>
      </c>
      <c r="M1096" t="s">
        <v>7</v>
      </c>
      <c r="N1096" t="s">
        <v>8</v>
      </c>
      <c r="P1096">
        <f t="shared" si="1029"/>
        <v>0.66666666666666663</v>
      </c>
      <c r="Q1096">
        <f t="shared" si="1030"/>
        <v>441577685.26666665</v>
      </c>
      <c r="R1096">
        <f t="shared" si="1031"/>
        <v>-2260392513.9937258</v>
      </c>
      <c r="S1096">
        <f t="shared" si="1032"/>
        <v>-22603.925139937259</v>
      </c>
      <c r="T1096">
        <f t="shared" si="1033"/>
        <v>-22.60392513993726</v>
      </c>
    </row>
    <row r="1097" spans="1:20" x14ac:dyDescent="0.25">
      <c r="A1097" s="5">
        <v>43496</v>
      </c>
      <c r="B1097">
        <v>2.7150000000000001E-2</v>
      </c>
      <c r="C1097">
        <v>2.743E-2</v>
      </c>
      <c r="D1097">
        <v>2.503E-2</v>
      </c>
      <c r="E1097">
        <v>2.511E-2</v>
      </c>
      <c r="F1097">
        <v>766309155</v>
      </c>
      <c r="G1097">
        <v>0</v>
      </c>
      <c r="L1097" t="s">
        <v>7</v>
      </c>
      <c r="M1097" t="s">
        <v>7</v>
      </c>
      <c r="N1097" t="s">
        <v>8</v>
      </c>
      <c r="P1097">
        <f t="shared" si="1029"/>
        <v>-0.93333333333333313</v>
      </c>
      <c r="Q1097">
        <f t="shared" si="1030"/>
        <v>-715221877.99999988</v>
      </c>
      <c r="R1097">
        <f t="shared" si="1031"/>
        <v>-2701970199.2603922</v>
      </c>
      <c r="S1097">
        <f t="shared" si="1032"/>
        <v>-27019.701992603921</v>
      </c>
      <c r="T1097">
        <f t="shared" si="1033"/>
        <v>-27.01970199260392</v>
      </c>
    </row>
    <row r="1098" spans="1:20" x14ac:dyDescent="0.25">
      <c r="A1098" s="5">
        <v>43495</v>
      </c>
      <c r="B1098">
        <v>2.7089999999999999E-2</v>
      </c>
      <c r="C1098">
        <v>2.8000000000000001E-2</v>
      </c>
      <c r="D1098">
        <v>2.6630000000000001E-2</v>
      </c>
      <c r="E1098">
        <v>2.717E-2</v>
      </c>
      <c r="F1098">
        <v>682721247.10000002</v>
      </c>
      <c r="G1098">
        <v>0</v>
      </c>
      <c r="L1098" t="s">
        <v>8</v>
      </c>
      <c r="M1098" t="s">
        <v>7</v>
      </c>
      <c r="N1098" t="s">
        <v>8</v>
      </c>
      <c r="P1098">
        <f t="shared" si="1029"/>
        <v>-0.21167883211678987</v>
      </c>
      <c r="Q1098">
        <f t="shared" si="1030"/>
        <v>-144517636.24744633</v>
      </c>
      <c r="R1098">
        <f t="shared" si="1031"/>
        <v>-1986748321.2603924</v>
      </c>
      <c r="S1098">
        <f t="shared" si="1032"/>
        <v>-19867.483212603925</v>
      </c>
      <c r="T1098">
        <f t="shared" si="1033"/>
        <v>-19.867483212603926</v>
      </c>
    </row>
    <row r="1099" spans="1:20" x14ac:dyDescent="0.25">
      <c r="A1099" s="5">
        <v>43494</v>
      </c>
      <c r="B1099">
        <v>2.673E-2</v>
      </c>
      <c r="C1099">
        <v>2.7699999999999999E-2</v>
      </c>
      <c r="D1099">
        <v>2.58E-2</v>
      </c>
      <c r="E1099">
        <v>2.7089999999999999E-2</v>
      </c>
      <c r="F1099">
        <v>797744464.60000002</v>
      </c>
      <c r="G1099">
        <v>0</v>
      </c>
      <c r="L1099" t="s">
        <v>8</v>
      </c>
      <c r="M1099" t="s">
        <v>7</v>
      </c>
      <c r="N1099" t="s">
        <v>8</v>
      </c>
      <c r="P1099">
        <f t="shared" si="1029"/>
        <v>0.35789473684210549</v>
      </c>
      <c r="Q1099">
        <f t="shared" si="1030"/>
        <v>285508545.22526336</v>
      </c>
      <c r="R1099">
        <f t="shared" si="1031"/>
        <v>-1842230685.0129461</v>
      </c>
      <c r="S1099">
        <f t="shared" si="1032"/>
        <v>-18422.306850129462</v>
      </c>
      <c r="T1099">
        <f t="shared" si="1033"/>
        <v>-18.422306850129463</v>
      </c>
    </row>
    <row r="1100" spans="1:20" x14ac:dyDescent="0.25">
      <c r="A1100" s="5">
        <v>43493</v>
      </c>
      <c r="B1100">
        <v>2.9020000000000001E-2</v>
      </c>
      <c r="C1100">
        <v>2.9069999999999999E-2</v>
      </c>
      <c r="D1100">
        <v>2.4879999999999999E-2</v>
      </c>
      <c r="E1100">
        <v>2.673E-2</v>
      </c>
      <c r="F1100">
        <v>2164754832.5</v>
      </c>
      <c r="G1100">
        <v>0</v>
      </c>
      <c r="L1100" t="s">
        <v>7</v>
      </c>
      <c r="M1100" t="s">
        <v>7</v>
      </c>
      <c r="N1100" t="s">
        <v>8</v>
      </c>
      <c r="P1100">
        <f t="shared" si="1029"/>
        <v>-0.11694510739856741</v>
      </c>
      <c r="Q1100">
        <f t="shared" si="1030"/>
        <v>-253157486.37828031</v>
      </c>
      <c r="R1100">
        <f t="shared" si="1031"/>
        <v>-2127739230.2382095</v>
      </c>
      <c r="S1100">
        <f t="shared" si="1032"/>
        <v>-21277.392302382093</v>
      </c>
      <c r="T1100">
        <f t="shared" si="1033"/>
        <v>-21.277392302382093</v>
      </c>
    </row>
    <row r="1101" spans="1:20" x14ac:dyDescent="0.25">
      <c r="A1101" s="5">
        <v>43492</v>
      </c>
      <c r="B1101">
        <v>2.8500000000000001E-2</v>
      </c>
      <c r="C1101">
        <v>3.0599999999999999E-2</v>
      </c>
      <c r="D1101">
        <v>2.8070000000000001E-2</v>
      </c>
      <c r="E1101">
        <v>2.9020000000000001E-2</v>
      </c>
      <c r="F1101">
        <v>1355190569.5999999</v>
      </c>
      <c r="G1101">
        <v>0</v>
      </c>
      <c r="L1101" t="s">
        <v>8</v>
      </c>
      <c r="M1101" t="s">
        <v>8</v>
      </c>
      <c r="N1101" t="s">
        <v>8</v>
      </c>
      <c r="P1101">
        <f t="shared" si="1029"/>
        <v>-0.24901185770750958</v>
      </c>
      <c r="Q1101">
        <f t="shared" si="1030"/>
        <v>-337458521.28379405</v>
      </c>
      <c r="R1101">
        <f t="shared" si="1031"/>
        <v>-1874581743.8599291</v>
      </c>
      <c r="S1101">
        <f t="shared" si="1032"/>
        <v>-18745.81743859929</v>
      </c>
      <c r="T1101">
        <f t="shared" si="1033"/>
        <v>-18.745817438599289</v>
      </c>
    </row>
    <row r="1102" spans="1:20" x14ac:dyDescent="0.25">
      <c r="A1102" s="5">
        <v>43491</v>
      </c>
      <c r="B1102">
        <v>2.6519999999999998E-2</v>
      </c>
      <c r="C1102">
        <v>2.8989999999999998E-2</v>
      </c>
      <c r="D1102">
        <v>2.64E-2</v>
      </c>
      <c r="E1102">
        <v>2.8500000000000001E-2</v>
      </c>
      <c r="F1102">
        <v>757357994.5</v>
      </c>
      <c r="G1102">
        <v>0</v>
      </c>
      <c r="L1102" t="s">
        <v>8</v>
      </c>
      <c r="M1102" t="s">
        <v>8</v>
      </c>
      <c r="N1102" t="s">
        <v>7</v>
      </c>
      <c r="P1102">
        <f t="shared" si="1029"/>
        <v>0.62162162162162338</v>
      </c>
      <c r="Q1102">
        <f t="shared" si="1030"/>
        <v>470790104.68919051</v>
      </c>
      <c r="R1102">
        <f t="shared" si="1031"/>
        <v>-1537123222.5761352</v>
      </c>
      <c r="S1102">
        <f t="shared" si="1032"/>
        <v>-15371.232225761352</v>
      </c>
      <c r="T1102">
        <f t="shared" si="1033"/>
        <v>-15.371232225761352</v>
      </c>
    </row>
    <row r="1103" spans="1:20" x14ac:dyDescent="0.25">
      <c r="A1103" s="5">
        <v>43490</v>
      </c>
      <c r="B1103">
        <v>2.673E-2</v>
      </c>
      <c r="C1103">
        <v>2.682E-2</v>
      </c>
      <c r="D1103">
        <v>2.6249999999999999E-2</v>
      </c>
      <c r="E1103">
        <v>2.6509999999999999E-2</v>
      </c>
      <c r="F1103">
        <v>333547496.19999999</v>
      </c>
      <c r="G1103">
        <v>0</v>
      </c>
      <c r="L1103" t="s">
        <v>8</v>
      </c>
      <c r="M1103" t="s">
        <v>8</v>
      </c>
      <c r="N1103" t="s">
        <v>7</v>
      </c>
      <c r="P1103">
        <f t="shared" si="1029"/>
        <v>-8.7719298245616389E-2</v>
      </c>
      <c r="Q1103">
        <f t="shared" si="1030"/>
        <v>-29258552.298246399</v>
      </c>
      <c r="R1103">
        <f t="shared" si="1031"/>
        <v>-2007913327.2653258</v>
      </c>
      <c r="S1103">
        <f t="shared" si="1032"/>
        <v>-20079.133272653256</v>
      </c>
      <c r="T1103">
        <f t="shared" si="1033"/>
        <v>-20.079133272653255</v>
      </c>
    </row>
    <row r="1104" spans="1:20" x14ac:dyDescent="0.25">
      <c r="A1104" s="5">
        <v>43489</v>
      </c>
      <c r="B1104">
        <v>2.631E-2</v>
      </c>
      <c r="C1104">
        <v>2.7099999999999999E-2</v>
      </c>
      <c r="D1104">
        <v>2.5940000000000001E-2</v>
      </c>
      <c r="E1104">
        <v>2.6720000000000001E-2</v>
      </c>
      <c r="F1104">
        <v>506049413.5</v>
      </c>
      <c r="G1104">
        <v>0</v>
      </c>
      <c r="L1104" t="s">
        <v>8</v>
      </c>
      <c r="M1104" t="s">
        <v>8</v>
      </c>
      <c r="N1104" t="s">
        <v>7</v>
      </c>
      <c r="P1104">
        <f t="shared" si="1029"/>
        <v>0.34482758620689807</v>
      </c>
      <c r="Q1104">
        <f t="shared" si="1030"/>
        <v>174499797.75862145</v>
      </c>
      <c r="R1104">
        <f t="shared" si="1031"/>
        <v>-1978654774.9670794</v>
      </c>
      <c r="S1104">
        <f t="shared" si="1032"/>
        <v>-19786.547749670794</v>
      </c>
      <c r="T1104">
        <f t="shared" si="1033"/>
        <v>-19.786547749670795</v>
      </c>
    </row>
    <row r="1105" spans="1:20" x14ac:dyDescent="0.25">
      <c r="A1105" s="5">
        <v>43488</v>
      </c>
      <c r="B1105">
        <v>2.6169999999999999E-2</v>
      </c>
      <c r="C1105">
        <v>2.7199999999999998E-2</v>
      </c>
      <c r="D1105">
        <v>2.5610000000000001E-2</v>
      </c>
      <c r="E1105">
        <v>2.631E-2</v>
      </c>
      <c r="F1105">
        <v>777770703.10000002</v>
      </c>
      <c r="G1105">
        <v>0</v>
      </c>
      <c r="L1105" t="s">
        <v>8</v>
      </c>
      <c r="M1105" t="s">
        <v>8</v>
      </c>
      <c r="N1105" t="s">
        <v>7</v>
      </c>
      <c r="P1105">
        <f t="shared" si="1029"/>
        <v>-0.11949685534591162</v>
      </c>
      <c r="Q1105">
        <f t="shared" si="1030"/>
        <v>-92941153.200628683</v>
      </c>
      <c r="R1105">
        <f t="shared" si="1031"/>
        <v>-2153154572.7257009</v>
      </c>
      <c r="S1105">
        <f t="shared" si="1032"/>
        <v>-21531.545727257009</v>
      </c>
      <c r="T1105">
        <f t="shared" si="1033"/>
        <v>-21.531545727257008</v>
      </c>
    </row>
    <row r="1106" spans="1:20" x14ac:dyDescent="0.25">
      <c r="A1106" s="5">
        <v>43487</v>
      </c>
      <c r="B1106">
        <v>2.537E-2</v>
      </c>
      <c r="C1106">
        <v>2.6700000000000002E-2</v>
      </c>
      <c r="D1106">
        <v>2.4590000000000001E-2</v>
      </c>
      <c r="E1106">
        <v>2.6190000000000001E-2</v>
      </c>
      <c r="F1106">
        <v>1109566790.4000001</v>
      </c>
      <c r="G1106">
        <v>0</v>
      </c>
      <c r="L1106" t="s">
        <v>8</v>
      </c>
      <c r="M1106" t="s">
        <v>8</v>
      </c>
      <c r="N1106" t="s">
        <v>7</v>
      </c>
      <c r="P1106">
        <f t="shared" si="1029"/>
        <v>0.5165876777251186</v>
      </c>
      <c r="Q1106">
        <f t="shared" si="1030"/>
        <v>573188531.53364944</v>
      </c>
      <c r="R1106">
        <f t="shared" si="1031"/>
        <v>-2060213419.5250721</v>
      </c>
      <c r="S1106">
        <f t="shared" si="1032"/>
        <v>-20602.134195250721</v>
      </c>
      <c r="T1106">
        <f t="shared" si="1033"/>
        <v>-20.60213419525072</v>
      </c>
    </row>
    <row r="1107" spans="1:20" x14ac:dyDescent="0.25">
      <c r="A1107" s="5">
        <v>43486</v>
      </c>
      <c r="B1107">
        <v>2.3570000000000001E-2</v>
      </c>
      <c r="C1107">
        <v>2.5559999999999999E-2</v>
      </c>
      <c r="D1107">
        <v>2.3300000000000001E-2</v>
      </c>
      <c r="E1107">
        <v>2.537E-2</v>
      </c>
      <c r="F1107">
        <v>680005035.60000002</v>
      </c>
      <c r="G1107">
        <v>0</v>
      </c>
      <c r="L1107" t="s">
        <v>8</v>
      </c>
      <c r="M1107" t="s">
        <v>8</v>
      </c>
      <c r="N1107" t="s">
        <v>7</v>
      </c>
      <c r="P1107">
        <f t="shared" si="1029"/>
        <v>0.83185840707964653</v>
      </c>
      <c r="Q1107">
        <f t="shared" si="1030"/>
        <v>565667905.72035432</v>
      </c>
      <c r="R1107">
        <f t="shared" si="1031"/>
        <v>-2633401951.0587215</v>
      </c>
      <c r="S1107">
        <f t="shared" si="1032"/>
        <v>-26334.019510587215</v>
      </c>
      <c r="T1107">
        <f t="shared" si="1033"/>
        <v>-26.334019510587215</v>
      </c>
    </row>
    <row r="1108" spans="1:20" x14ac:dyDescent="0.25">
      <c r="A1108" s="5">
        <v>43485</v>
      </c>
      <c r="B1108">
        <v>2.418E-2</v>
      </c>
      <c r="C1108">
        <v>2.4479999999999998E-2</v>
      </c>
      <c r="D1108">
        <v>2.2880000000000001E-2</v>
      </c>
      <c r="E1108">
        <v>2.3550000000000001E-2</v>
      </c>
      <c r="F1108">
        <v>611417328.10000002</v>
      </c>
      <c r="G1108">
        <v>0</v>
      </c>
      <c r="L1108" t="s">
        <v>7</v>
      </c>
      <c r="M1108" t="s">
        <v>8</v>
      </c>
      <c r="N1108" t="s">
        <v>7</v>
      </c>
      <c r="P1108">
        <f t="shared" si="1029"/>
        <v>-0.16249999999999801</v>
      </c>
      <c r="Q1108">
        <f t="shared" si="1030"/>
        <v>-99355315.816248789</v>
      </c>
      <c r="R1108">
        <f t="shared" si="1031"/>
        <v>-3199069856.7790756</v>
      </c>
      <c r="S1108">
        <f t="shared" si="1032"/>
        <v>-31990.698567790758</v>
      </c>
      <c r="T1108">
        <f t="shared" si="1033"/>
        <v>-31.990698567790758</v>
      </c>
    </row>
    <row r="1109" spans="1:20" x14ac:dyDescent="0.25">
      <c r="A1109" s="5">
        <v>43484</v>
      </c>
      <c r="B1109">
        <v>2.4400000000000002E-2</v>
      </c>
      <c r="C1109">
        <v>2.4889999999999999E-2</v>
      </c>
      <c r="D1109">
        <v>2.3199999999999998E-2</v>
      </c>
      <c r="E1109">
        <v>2.419E-2</v>
      </c>
      <c r="F1109">
        <v>674269447.70000005</v>
      </c>
      <c r="G1109">
        <v>0</v>
      </c>
      <c r="L1109" t="s">
        <v>7</v>
      </c>
      <c r="M1109" t="s">
        <v>8</v>
      </c>
      <c r="N1109" t="s">
        <v>7</v>
      </c>
      <c r="P1109">
        <f t="shared" si="1029"/>
        <v>0.17159763313609583</v>
      </c>
      <c r="Q1109">
        <f t="shared" si="1030"/>
        <v>115703041.32130256</v>
      </c>
      <c r="R1109">
        <f t="shared" si="1031"/>
        <v>-3099714540.9628267</v>
      </c>
      <c r="S1109">
        <f t="shared" si="1032"/>
        <v>-30997.145409628269</v>
      </c>
      <c r="T1109">
        <f t="shared" si="1033"/>
        <v>-30.997145409628267</v>
      </c>
    </row>
    <row r="1110" spans="1:20" x14ac:dyDescent="0.25">
      <c r="A1110" s="5">
        <v>43483</v>
      </c>
      <c r="B1110">
        <v>2.4910000000000002E-2</v>
      </c>
      <c r="C1110">
        <v>2.5389999999999999E-2</v>
      </c>
      <c r="D1110">
        <v>2.4309999999999998E-2</v>
      </c>
      <c r="E1110">
        <v>2.4410000000000001E-2</v>
      </c>
      <c r="F1110">
        <v>608269014.29999995</v>
      </c>
      <c r="G1110">
        <v>0</v>
      </c>
      <c r="L1110" t="s">
        <v>8</v>
      </c>
      <c r="M1110" t="s">
        <v>8</v>
      </c>
      <c r="N1110" t="s">
        <v>7</v>
      </c>
      <c r="P1110">
        <f t="shared" si="1029"/>
        <v>-0.81481481481480966</v>
      </c>
      <c r="Q1110">
        <f t="shared" si="1030"/>
        <v>-495626604.24444127</v>
      </c>
      <c r="R1110">
        <f t="shared" si="1031"/>
        <v>-3215417582.2841291</v>
      </c>
      <c r="S1110">
        <f t="shared" si="1032"/>
        <v>-32154.175822841291</v>
      </c>
      <c r="T1110">
        <f t="shared" si="1033"/>
        <v>-32.154175822841289</v>
      </c>
    </row>
    <row r="1111" spans="1:20" x14ac:dyDescent="0.25">
      <c r="A1111" s="5">
        <v>43482</v>
      </c>
      <c r="B1111">
        <v>2.4819999999999998E-2</v>
      </c>
      <c r="C1111">
        <v>2.579E-2</v>
      </c>
      <c r="D1111">
        <v>2.3709999999999998E-2</v>
      </c>
      <c r="E1111">
        <v>2.4920000000000001E-2</v>
      </c>
      <c r="F1111">
        <v>1011108887.1</v>
      </c>
      <c r="G1111">
        <v>0</v>
      </c>
      <c r="L1111" t="s">
        <v>8</v>
      </c>
      <c r="M1111" t="s">
        <v>8</v>
      </c>
      <c r="N1111" t="s">
        <v>7</v>
      </c>
      <c r="P1111">
        <f t="shared" si="1029"/>
        <v>0.16346153846153999</v>
      </c>
      <c r="Q1111">
        <f t="shared" si="1030"/>
        <v>165277414.23750156</v>
      </c>
      <c r="R1111">
        <f t="shared" si="1031"/>
        <v>-2719790978.0396881</v>
      </c>
      <c r="S1111">
        <f t="shared" si="1032"/>
        <v>-27197.90978039688</v>
      </c>
      <c r="T1111">
        <f t="shared" si="1033"/>
        <v>-27.197909780396881</v>
      </c>
    </row>
    <row r="1112" spans="1:20" x14ac:dyDescent="0.25">
      <c r="A1112" s="5">
        <v>43481</v>
      </c>
      <c r="B1112">
        <v>2.3959999999999999E-2</v>
      </c>
      <c r="C1112">
        <v>2.5069999999999999E-2</v>
      </c>
      <c r="D1112">
        <v>2.3570000000000001E-2</v>
      </c>
      <c r="E1112">
        <v>2.479E-2</v>
      </c>
      <c r="F1112">
        <v>826394320.60000002</v>
      </c>
      <c r="G1112">
        <v>0</v>
      </c>
      <c r="L1112" t="s">
        <v>7</v>
      </c>
      <c r="M1112" t="s">
        <v>8</v>
      </c>
      <c r="N1112" t="s">
        <v>7</v>
      </c>
      <c r="P1112">
        <f t="shared" si="1029"/>
        <v>0.62666666666666748</v>
      </c>
      <c r="Q1112">
        <f t="shared" si="1030"/>
        <v>517873774.24266738</v>
      </c>
      <c r="R1112">
        <f t="shared" si="1031"/>
        <v>-2885068392.2771897</v>
      </c>
      <c r="S1112">
        <f t="shared" si="1032"/>
        <v>-28850.683922771896</v>
      </c>
      <c r="T1112">
        <f t="shared" si="1033"/>
        <v>-28.850683922771896</v>
      </c>
    </row>
    <row r="1113" spans="1:20" x14ac:dyDescent="0.25">
      <c r="A1113" s="5">
        <v>43480</v>
      </c>
      <c r="B1113">
        <v>2.5239999999999999E-2</v>
      </c>
      <c r="C1113">
        <v>2.6190000000000001E-2</v>
      </c>
      <c r="D1113">
        <v>2.325E-2</v>
      </c>
      <c r="E1113">
        <v>2.3949999999999999E-2</v>
      </c>
      <c r="F1113">
        <v>1399984141.8</v>
      </c>
      <c r="G1113">
        <v>0</v>
      </c>
      <c r="L1113" t="s">
        <v>8</v>
      </c>
      <c r="M1113" t="s">
        <v>8</v>
      </c>
      <c r="N1113" t="s">
        <v>7</v>
      </c>
      <c r="P1113">
        <f t="shared" si="1029"/>
        <v>-0.52380952380952461</v>
      </c>
      <c r="Q1113">
        <f t="shared" si="1030"/>
        <v>-733325026.65714395</v>
      </c>
      <c r="R1113">
        <f t="shared" si="1031"/>
        <v>-3402942166.5198569</v>
      </c>
      <c r="S1113">
        <f t="shared" si="1032"/>
        <v>-34029.42166519857</v>
      </c>
      <c r="T1113">
        <f t="shared" si="1033"/>
        <v>-34.029421665198569</v>
      </c>
    </row>
    <row r="1114" spans="1:20" x14ac:dyDescent="0.25">
      <c r="A1114" s="5">
        <v>43479</v>
      </c>
      <c r="B1114">
        <v>2.085E-2</v>
      </c>
      <c r="C1114">
        <v>2.5600000000000001E-2</v>
      </c>
      <c r="D1114">
        <v>2.06E-2</v>
      </c>
      <c r="E1114">
        <v>2.5239999999999999E-2</v>
      </c>
      <c r="F1114">
        <v>2293615074.0999999</v>
      </c>
      <c r="G1114">
        <v>0</v>
      </c>
      <c r="L1114" t="s">
        <v>8</v>
      </c>
      <c r="M1114" t="s">
        <v>8</v>
      </c>
      <c r="N1114" t="s">
        <v>7</v>
      </c>
      <c r="P1114">
        <f t="shared" si="1029"/>
        <v>0.85599999999999898</v>
      </c>
      <c r="Q1114">
        <f t="shared" si="1030"/>
        <v>1963334503.4295976</v>
      </c>
      <c r="R1114">
        <f t="shared" si="1031"/>
        <v>-2669617139.8627129</v>
      </c>
      <c r="S1114">
        <f t="shared" si="1032"/>
        <v>-26696.171398627128</v>
      </c>
      <c r="T1114">
        <f t="shared" si="1033"/>
        <v>-26.696171398627129</v>
      </c>
    </row>
    <row r="1115" spans="1:20" x14ac:dyDescent="0.25">
      <c r="A1115" s="5">
        <v>43478</v>
      </c>
      <c r="B1115">
        <v>2.2970000000000001E-2</v>
      </c>
      <c r="C1115">
        <v>2.325E-2</v>
      </c>
      <c r="D1115">
        <v>2.0469999999999999E-2</v>
      </c>
      <c r="E1115">
        <v>2.085E-2</v>
      </c>
      <c r="F1115">
        <v>852023326.79999995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-0.72661870503597004</v>
      </c>
      <c r="Q1115">
        <f t="shared" si="1030"/>
        <v>-619096086.37985504</v>
      </c>
      <c r="R1115">
        <f t="shared" si="1031"/>
        <v>-4632951643.2923107</v>
      </c>
      <c r="S1115">
        <f t="shared" si="1032"/>
        <v>-46329.516432923105</v>
      </c>
      <c r="T1115">
        <f t="shared" si="1033"/>
        <v>-46.329516432923107</v>
      </c>
    </row>
    <row r="1116" spans="1:20" x14ac:dyDescent="0.25">
      <c r="A1116" s="5">
        <v>43477</v>
      </c>
      <c r="B1116">
        <v>2.453E-2</v>
      </c>
      <c r="C1116">
        <v>2.4709999999999999E-2</v>
      </c>
      <c r="D1116">
        <v>2.24E-2</v>
      </c>
      <c r="E1116">
        <v>2.2960000000000001E-2</v>
      </c>
      <c r="F1116">
        <v>1099711472.0999999</v>
      </c>
      <c r="G1116">
        <v>0</v>
      </c>
      <c r="L1116" t="s">
        <v>7</v>
      </c>
      <c r="M1116" t="s">
        <v>7</v>
      </c>
      <c r="N1116" t="s">
        <v>7</v>
      </c>
      <c r="P1116">
        <f t="shared" si="1029"/>
        <v>-0.51515151515151381</v>
      </c>
      <c r="Q1116">
        <f t="shared" si="1030"/>
        <v>-566518031.08181667</v>
      </c>
      <c r="R1116">
        <f t="shared" si="1031"/>
        <v>-4013855556.9124556</v>
      </c>
      <c r="S1116">
        <f t="shared" si="1032"/>
        <v>-40138.555569124554</v>
      </c>
      <c r="T1116">
        <f t="shared" si="1033"/>
        <v>-40.138555569124556</v>
      </c>
    </row>
    <row r="1117" spans="1:20" x14ac:dyDescent="0.25">
      <c r="A1117" s="5">
        <v>43476</v>
      </c>
      <c r="B1117">
        <v>2.5350000000000001E-2</v>
      </c>
      <c r="C1117">
        <v>2.7519999999999999E-2</v>
      </c>
      <c r="D1117">
        <v>2.4140000000000002E-2</v>
      </c>
      <c r="E1117">
        <v>2.453E-2</v>
      </c>
      <c r="F1117">
        <v>1995046858.3</v>
      </c>
      <c r="G1117">
        <v>0</v>
      </c>
      <c r="L1117" t="s">
        <v>7</v>
      </c>
      <c r="M1117" t="s">
        <v>7</v>
      </c>
      <c r="N1117" t="s">
        <v>7</v>
      </c>
      <c r="P1117">
        <f t="shared" si="1029"/>
        <v>-0.76923076923077027</v>
      </c>
      <c r="Q1117">
        <f t="shared" si="1030"/>
        <v>-1534651429.4615405</v>
      </c>
      <c r="R1117">
        <f t="shared" si="1031"/>
        <v>-3447337525.8306389</v>
      </c>
      <c r="S1117">
        <f t="shared" si="1032"/>
        <v>-34473.375258306391</v>
      </c>
      <c r="T1117">
        <f t="shared" si="1033"/>
        <v>-34.47337525830639</v>
      </c>
    </row>
    <row r="1118" spans="1:20" x14ac:dyDescent="0.25">
      <c r="A1118" s="5">
        <v>43475</v>
      </c>
      <c r="B1118">
        <v>2.784E-2</v>
      </c>
      <c r="C1118">
        <v>3.44E-2</v>
      </c>
      <c r="D1118">
        <v>2.3470000000000001E-2</v>
      </c>
      <c r="E1118">
        <v>2.5409999999999999E-2</v>
      </c>
      <c r="F1118">
        <v>4989891257.1999998</v>
      </c>
      <c r="G1118">
        <v>0</v>
      </c>
      <c r="L1118" t="s">
        <v>8</v>
      </c>
      <c r="M1118" t="s">
        <v>8</v>
      </c>
      <c r="N1118" t="s">
        <v>8</v>
      </c>
      <c r="P1118">
        <f t="shared" si="1029"/>
        <v>-0.64501372369624932</v>
      </c>
      <c r="Q1118">
        <f t="shared" si="1030"/>
        <v>-3218548340.6459308</v>
      </c>
      <c r="R1118">
        <f t="shared" si="1031"/>
        <v>-1912686096.3690987</v>
      </c>
      <c r="S1118">
        <f t="shared" si="1032"/>
        <v>-19126.860963690986</v>
      </c>
      <c r="T1118">
        <f t="shared" si="1033"/>
        <v>-19.126860963690987</v>
      </c>
    </row>
    <row r="1119" spans="1:20" x14ac:dyDescent="0.25">
      <c r="A1119" s="5">
        <v>43474</v>
      </c>
      <c r="B1119">
        <v>2.5899999999999999E-2</v>
      </c>
      <c r="C1119">
        <v>2.9440000000000001E-2</v>
      </c>
      <c r="D1119">
        <v>2.521E-2</v>
      </c>
      <c r="E1119">
        <v>2.785E-2</v>
      </c>
      <c r="F1119">
        <v>1572991504.4000001</v>
      </c>
      <c r="G1119">
        <v>0</v>
      </c>
      <c r="L1119" t="s">
        <v>8</v>
      </c>
      <c r="M1119" t="s">
        <v>8</v>
      </c>
      <c r="N1119" t="s">
        <v>8</v>
      </c>
      <c r="P1119">
        <f t="shared" si="1029"/>
        <v>0.24822695035460959</v>
      </c>
      <c r="Q1119">
        <f t="shared" si="1030"/>
        <v>390458884.07092148</v>
      </c>
      <c r="R1119">
        <f t="shared" si="1031"/>
        <v>1305862244.2768321</v>
      </c>
      <c r="S1119">
        <f t="shared" si="1032"/>
        <v>13058.622442768321</v>
      </c>
      <c r="T1119">
        <f t="shared" si="1033"/>
        <v>13.058622442768321</v>
      </c>
    </row>
    <row r="1120" spans="1:20" x14ac:dyDescent="0.25">
      <c r="A1120" s="5">
        <v>43473</v>
      </c>
      <c r="B1120">
        <v>2.333E-2</v>
      </c>
      <c r="C1120">
        <v>2.6589999999999999E-2</v>
      </c>
      <c r="D1120">
        <v>2.281E-2</v>
      </c>
      <c r="E1120">
        <v>2.589E-2</v>
      </c>
      <c r="F1120">
        <v>1370141124.8</v>
      </c>
      <c r="G1120">
        <v>0</v>
      </c>
      <c r="L1120" t="s">
        <v>8</v>
      </c>
      <c r="M1120" t="s">
        <v>8</v>
      </c>
      <c r="N1120" t="s">
        <v>8</v>
      </c>
      <c r="P1120">
        <f t="shared" si="1029"/>
        <v>0.62962962962962987</v>
      </c>
      <c r="Q1120">
        <f t="shared" si="1030"/>
        <v>862681448.94814849</v>
      </c>
      <c r="R1120">
        <f t="shared" si="1031"/>
        <v>915403360.20591068</v>
      </c>
      <c r="S1120">
        <f t="shared" si="1032"/>
        <v>9154.0336020591076</v>
      </c>
      <c r="T1120">
        <f t="shared" si="1033"/>
        <v>9.1540336020591084</v>
      </c>
    </row>
    <row r="1121" spans="1:20" x14ac:dyDescent="0.25">
      <c r="A1121" s="5">
        <v>43472</v>
      </c>
      <c r="B1121">
        <v>2.2499999999999999E-2</v>
      </c>
      <c r="C1121">
        <v>2.3900000000000001E-2</v>
      </c>
      <c r="D1121">
        <v>2.2239999999999999E-2</v>
      </c>
      <c r="E1121">
        <v>2.334E-2</v>
      </c>
      <c r="F1121">
        <v>705264402.10000002</v>
      </c>
      <c r="G1121">
        <v>0</v>
      </c>
      <c r="L1121" t="s">
        <v>8</v>
      </c>
      <c r="M1121" t="s">
        <v>8</v>
      </c>
      <c r="N1121" t="s">
        <v>8</v>
      </c>
      <c r="P1121">
        <f t="shared" si="1029"/>
        <v>0.32530120481927605</v>
      </c>
      <c r="Q1121">
        <f t="shared" si="1030"/>
        <v>229423359.71927637</v>
      </c>
      <c r="R1121">
        <f t="shared" si="1031"/>
        <v>52721911.257762253</v>
      </c>
      <c r="S1121">
        <f t="shared" si="1032"/>
        <v>527.21911257762258</v>
      </c>
      <c r="T1121">
        <f t="shared" si="1033"/>
        <v>0.52721911257762255</v>
      </c>
    </row>
    <row r="1122" spans="1:20" x14ac:dyDescent="0.25">
      <c r="A1122" s="5">
        <v>43471</v>
      </c>
      <c r="B1122">
        <v>2.1909999999999999E-2</v>
      </c>
      <c r="C1122">
        <v>2.3060000000000001E-2</v>
      </c>
      <c r="D1122">
        <v>2.1299999999999999E-2</v>
      </c>
      <c r="E1122">
        <v>2.249E-2</v>
      </c>
      <c r="F1122">
        <v>867831913.10000002</v>
      </c>
      <c r="G1122">
        <v>0</v>
      </c>
      <c r="L1122" t="s">
        <v>7</v>
      </c>
      <c r="M1122" t="s">
        <v>8</v>
      </c>
      <c r="N1122" t="s">
        <v>8</v>
      </c>
      <c r="P1122">
        <f t="shared" si="1029"/>
        <v>0.35227272727272652</v>
      </c>
      <c r="Q1122">
        <f t="shared" si="1030"/>
        <v>305713514.84204483</v>
      </c>
      <c r="R1122">
        <f t="shared" si="1031"/>
        <v>-176701448.46151412</v>
      </c>
      <c r="S1122">
        <f t="shared" si="1032"/>
        <v>-1767.0144846151411</v>
      </c>
      <c r="T1122">
        <f t="shared" si="1033"/>
        <v>-1.767014484615141</v>
      </c>
    </row>
    <row r="1123" spans="1:20" x14ac:dyDescent="0.25">
      <c r="A1123" s="5">
        <v>43470</v>
      </c>
      <c r="B1123">
        <v>2.1049999999999999E-2</v>
      </c>
      <c r="C1123">
        <v>2.3199999999999998E-2</v>
      </c>
      <c r="D1123">
        <v>2.0899999999999998E-2</v>
      </c>
      <c r="E1123">
        <v>2.1899999999999999E-2</v>
      </c>
      <c r="F1123">
        <v>1119659806</v>
      </c>
      <c r="G1123">
        <v>0</v>
      </c>
      <c r="L1123" t="s">
        <v>8</v>
      </c>
      <c r="M1123" t="s">
        <v>8</v>
      </c>
      <c r="N1123" t="s">
        <v>8</v>
      </c>
      <c r="P1123">
        <f t="shared" si="1029"/>
        <v>-0.13043478260869487</v>
      </c>
      <c r="Q1123">
        <f t="shared" si="1030"/>
        <v>-146042583.39130348</v>
      </c>
      <c r="R1123">
        <f t="shared" si="1031"/>
        <v>-482414963.30355895</v>
      </c>
      <c r="S1123">
        <f t="shared" si="1032"/>
        <v>-4824.1496330355894</v>
      </c>
      <c r="T1123">
        <f t="shared" si="1033"/>
        <v>-4.8241496330355895</v>
      </c>
    </row>
    <row r="1124" spans="1:20" x14ac:dyDescent="0.25">
      <c r="A1124" s="5">
        <v>43469</v>
      </c>
      <c r="B1124">
        <v>1.967E-2</v>
      </c>
      <c r="C1124">
        <v>2.179E-2</v>
      </c>
      <c r="D1124">
        <v>1.941E-2</v>
      </c>
      <c r="E1124">
        <v>2.1059999999999999E-2</v>
      </c>
      <c r="F1124">
        <v>826847232.60000002</v>
      </c>
      <c r="G1124">
        <v>0</v>
      </c>
      <c r="L1124" t="s">
        <v>8</v>
      </c>
      <c r="M1124" t="s">
        <v>8</v>
      </c>
      <c r="N1124" t="s">
        <v>8</v>
      </c>
      <c r="P1124">
        <f t="shared" si="1029"/>
        <v>0.38655462184873829</v>
      </c>
      <c r="Q1124">
        <f t="shared" si="1030"/>
        <v>319621619.32436877</v>
      </c>
      <c r="R1124">
        <f t="shared" si="1031"/>
        <v>-336372379.91225547</v>
      </c>
      <c r="S1124">
        <f t="shared" si="1032"/>
        <v>-3363.7237991225547</v>
      </c>
      <c r="T1124">
        <f t="shared" si="1033"/>
        <v>-3.3637237991225546</v>
      </c>
    </row>
    <row r="1125" spans="1:20" x14ac:dyDescent="0.25">
      <c r="A1125" s="5">
        <v>43468</v>
      </c>
      <c r="B1125">
        <v>1.975E-2</v>
      </c>
      <c r="C1125">
        <v>2.0490000000000001E-2</v>
      </c>
      <c r="D1125">
        <v>1.9300000000000001E-2</v>
      </c>
      <c r="E1125">
        <v>1.966E-2</v>
      </c>
      <c r="F1125">
        <v>523399218.5</v>
      </c>
      <c r="G1125">
        <v>0</v>
      </c>
      <c r="L1125" t="s">
        <v>8</v>
      </c>
      <c r="M1125" t="s">
        <v>7</v>
      </c>
      <c r="N1125" t="s">
        <v>8</v>
      </c>
      <c r="P1125">
        <f t="shared" si="1029"/>
        <v>-0.39495798319327868</v>
      </c>
      <c r="Q1125">
        <f t="shared" si="1030"/>
        <v>-206720699.74369821</v>
      </c>
      <c r="R1125">
        <f t="shared" si="1031"/>
        <v>-655993999.23662424</v>
      </c>
      <c r="S1125">
        <f t="shared" si="1032"/>
        <v>-6559.9399923662422</v>
      </c>
      <c r="T1125">
        <f t="shared" si="1033"/>
        <v>-6.5599399923662425</v>
      </c>
    </row>
    <row r="1126" spans="1:20" x14ac:dyDescent="0.25">
      <c r="A1126" s="5">
        <v>43467</v>
      </c>
      <c r="B1126">
        <v>1.9290000000000002E-2</v>
      </c>
      <c r="C1126">
        <v>2.0070000000000001E-2</v>
      </c>
      <c r="D1126">
        <v>1.8859999999999998E-2</v>
      </c>
      <c r="E1126">
        <v>1.9740000000000001E-2</v>
      </c>
      <c r="F1126">
        <v>451662383.39999998</v>
      </c>
      <c r="G1126">
        <v>0</v>
      </c>
      <c r="L1126" t="s">
        <v>8</v>
      </c>
      <c r="M1126" t="s">
        <v>7</v>
      </c>
      <c r="N1126" t="s">
        <v>8</v>
      </c>
      <c r="P1126">
        <f t="shared" si="1029"/>
        <v>0.45454545454545509</v>
      </c>
      <c r="Q1126">
        <f t="shared" si="1030"/>
        <v>205301083.36363658</v>
      </c>
      <c r="R1126">
        <f t="shared" si="1031"/>
        <v>-449273299.492926</v>
      </c>
      <c r="S1126">
        <f t="shared" si="1032"/>
        <v>-4492.7329949292598</v>
      </c>
      <c r="T1126">
        <f t="shared" si="1033"/>
        <v>-4.49273299492926</v>
      </c>
    </row>
    <row r="1127" spans="1:20" x14ac:dyDescent="0.25">
      <c r="A1127" s="5">
        <v>43466</v>
      </c>
      <c r="B1127">
        <v>1.8669999999999999E-2</v>
      </c>
      <c r="C1127">
        <v>1.941E-2</v>
      </c>
      <c r="D1127">
        <v>1.8419999999999999E-2</v>
      </c>
      <c r="E1127">
        <v>1.9279999999999999E-2</v>
      </c>
      <c r="F1127">
        <v>351832810.60000002</v>
      </c>
      <c r="G1127">
        <v>0</v>
      </c>
      <c r="L1127" t="s">
        <v>7</v>
      </c>
      <c r="M1127" t="s">
        <v>7</v>
      </c>
      <c r="N1127" t="s">
        <v>8</v>
      </c>
      <c r="P1127">
        <f t="shared" si="1029"/>
        <v>0.73737373737373435</v>
      </c>
      <c r="Q1127">
        <f t="shared" si="1030"/>
        <v>259432274.48282725</v>
      </c>
      <c r="R1127">
        <f t="shared" si="1031"/>
        <v>-654574382.85656261</v>
      </c>
      <c r="S1127">
        <f t="shared" si="1032"/>
        <v>-6545.7438285656262</v>
      </c>
      <c r="T1127">
        <f t="shared" si="1033"/>
        <v>-6.5457438285656266</v>
      </c>
    </row>
    <row r="1128" spans="1:20" x14ac:dyDescent="0.25">
      <c r="A1128" s="5">
        <v>43465</v>
      </c>
      <c r="B1128">
        <v>1.9609999999999999E-2</v>
      </c>
      <c r="C1128">
        <v>1.967E-2</v>
      </c>
      <c r="D1128">
        <v>1.839E-2</v>
      </c>
      <c r="E1128">
        <v>1.8679999999999999E-2</v>
      </c>
      <c r="F1128">
        <v>378869408.10000002</v>
      </c>
      <c r="G1128">
        <v>0</v>
      </c>
      <c r="L1128" t="s">
        <v>7</v>
      </c>
      <c r="M1128" t="s">
        <v>7</v>
      </c>
      <c r="N1128" t="s">
        <v>8</v>
      </c>
      <c r="P1128">
        <f t="shared" si="1029"/>
        <v>-0.54687500000000211</v>
      </c>
      <c r="Q1128">
        <f t="shared" si="1030"/>
        <v>-207194207.5546883</v>
      </c>
      <c r="R1128">
        <f t="shared" si="1031"/>
        <v>-914006657.3393898</v>
      </c>
      <c r="S1128">
        <f t="shared" si="1032"/>
        <v>-9140.0665733938986</v>
      </c>
      <c r="T1128">
        <f t="shared" si="1033"/>
        <v>-9.1400665733938986</v>
      </c>
    </row>
    <row r="1129" spans="1:20" x14ac:dyDescent="0.25">
      <c r="A1129" s="5">
        <v>43464</v>
      </c>
      <c r="B1129">
        <v>1.9400000000000001E-2</v>
      </c>
      <c r="C1129">
        <v>2.0070000000000001E-2</v>
      </c>
      <c r="D1129">
        <v>1.9060000000000001E-2</v>
      </c>
      <c r="E1129">
        <v>1.9609999999999999E-2</v>
      </c>
      <c r="F1129">
        <v>432871427</v>
      </c>
      <c r="G1129">
        <v>0</v>
      </c>
      <c r="L1129" t="s">
        <v>8</v>
      </c>
      <c r="M1129" t="s">
        <v>7</v>
      </c>
      <c r="N1129" t="s">
        <v>8</v>
      </c>
      <c r="P1129">
        <f t="shared" si="1029"/>
        <v>8.9108910891085441E-2</v>
      </c>
      <c r="Q1129">
        <f t="shared" si="1030"/>
        <v>38572701.41584</v>
      </c>
      <c r="R1129">
        <f t="shared" si="1031"/>
        <v>-706812449.78470147</v>
      </c>
      <c r="S1129">
        <f t="shared" si="1032"/>
        <v>-7068.1244978470149</v>
      </c>
      <c r="T1129">
        <f t="shared" si="1033"/>
        <v>-7.0681244978470152</v>
      </c>
    </row>
    <row r="1130" spans="1:20" x14ac:dyDescent="0.25">
      <c r="A1130" s="5">
        <v>43463</v>
      </c>
      <c r="B1130">
        <v>2.0289999999999999E-2</v>
      </c>
      <c r="C1130">
        <v>2.0500000000000001E-2</v>
      </c>
      <c r="D1130">
        <v>1.9210000000000001E-2</v>
      </c>
      <c r="E1130">
        <v>1.9390000000000001E-2</v>
      </c>
      <c r="F1130">
        <v>621895768.39999998</v>
      </c>
      <c r="G1130">
        <v>0</v>
      </c>
      <c r="L1130" t="s">
        <v>8</v>
      </c>
      <c r="M1130" t="s">
        <v>7</v>
      </c>
      <c r="N1130" t="s">
        <v>8</v>
      </c>
      <c r="P1130">
        <f t="shared" si="1029"/>
        <v>-0.72093023255814004</v>
      </c>
      <c r="Q1130">
        <f t="shared" si="1030"/>
        <v>-448343460.9395352</v>
      </c>
      <c r="R1130">
        <f t="shared" si="1031"/>
        <v>-745385151.2005415</v>
      </c>
      <c r="S1130">
        <f t="shared" si="1032"/>
        <v>-7453.8515120054153</v>
      </c>
      <c r="T1130">
        <f t="shared" si="1033"/>
        <v>-7.4538515120054152</v>
      </c>
    </row>
    <row r="1131" spans="1:20" x14ac:dyDescent="0.25">
      <c r="A1131" s="5">
        <v>43462</v>
      </c>
      <c r="B1131">
        <v>1.7979999999999999E-2</v>
      </c>
      <c r="C1131">
        <v>2.0580000000000001E-2</v>
      </c>
      <c r="D1131">
        <v>1.7500000000000002E-2</v>
      </c>
      <c r="E1131">
        <v>2.0299999999999999E-2</v>
      </c>
      <c r="F1131">
        <v>794371564.39999998</v>
      </c>
      <c r="G1131">
        <v>0</v>
      </c>
      <c r="L1131" t="s">
        <v>7</v>
      </c>
      <c r="M1131" t="s">
        <v>7</v>
      </c>
      <c r="N1131" t="s">
        <v>8</v>
      </c>
      <c r="P1131">
        <f t="shared" si="1029"/>
        <v>0.81818181818181657</v>
      </c>
      <c r="Q1131">
        <f t="shared" si="1030"/>
        <v>649940370.87272596</v>
      </c>
      <c r="R1131">
        <f t="shared" si="1031"/>
        <v>-297041690.26100636</v>
      </c>
      <c r="S1131">
        <f t="shared" si="1032"/>
        <v>-2970.4169026100635</v>
      </c>
      <c r="T1131">
        <f t="shared" si="1033"/>
        <v>-2.9704169026100633</v>
      </c>
    </row>
    <row r="1132" spans="1:20" x14ac:dyDescent="0.25">
      <c r="A1132" s="5">
        <v>43461</v>
      </c>
      <c r="B1132">
        <v>2.001E-2</v>
      </c>
      <c r="C1132">
        <v>2.0240000000000001E-2</v>
      </c>
      <c r="D1132">
        <v>1.7760000000000001E-2</v>
      </c>
      <c r="E1132">
        <v>1.7979999999999999E-2</v>
      </c>
      <c r="F1132">
        <v>674686376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-0.82258064516129192</v>
      </c>
      <c r="Q1132">
        <f t="shared" si="1030"/>
        <v>-554983954.45161402</v>
      </c>
      <c r="R1132">
        <f t="shared" si="1031"/>
        <v>-946982061.13373232</v>
      </c>
      <c r="S1132">
        <f t="shared" si="1032"/>
        <v>-9469.8206113373235</v>
      </c>
      <c r="T1132">
        <f t="shared" si="1033"/>
        <v>-9.4698206113373242</v>
      </c>
    </row>
    <row r="1133" spans="1:20" x14ac:dyDescent="0.25">
      <c r="A1133" s="5">
        <v>43460</v>
      </c>
      <c r="B1133">
        <v>1.967E-2</v>
      </c>
      <c r="C1133">
        <v>2.061E-2</v>
      </c>
      <c r="D1133">
        <v>1.8919999999999999E-2</v>
      </c>
      <c r="E1133">
        <v>2.001E-2</v>
      </c>
      <c r="F1133">
        <v>814775586.89999998</v>
      </c>
      <c r="G1133">
        <v>0</v>
      </c>
      <c r="L1133" t="s">
        <v>8</v>
      </c>
      <c r="M1133" t="s">
        <v>7</v>
      </c>
      <c r="N1133" t="s">
        <v>8</v>
      </c>
      <c r="P1133">
        <f t="shared" si="1029"/>
        <v>0.28994082840236729</v>
      </c>
      <c r="Q1133">
        <f t="shared" si="1030"/>
        <v>236236708.62781098</v>
      </c>
      <c r="R1133">
        <f t="shared" si="1031"/>
        <v>-391998106.6821183</v>
      </c>
      <c r="S1133">
        <f t="shared" si="1032"/>
        <v>-3919.981066821183</v>
      </c>
      <c r="T1133">
        <f t="shared" si="1033"/>
        <v>-3.9199810668211832</v>
      </c>
    </row>
    <row r="1134" spans="1:20" x14ac:dyDescent="0.25">
      <c r="A1134" s="5">
        <v>43459</v>
      </c>
      <c r="B1134">
        <v>2.0629999999999999E-2</v>
      </c>
      <c r="C1134">
        <v>2.0709999999999999E-2</v>
      </c>
      <c r="D1134">
        <v>1.8190000000000001E-2</v>
      </c>
      <c r="E1134">
        <v>1.967E-2</v>
      </c>
      <c r="F1134">
        <v>1037596911.4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0.17460317460317451</v>
      </c>
      <c r="Q1134">
        <f t="shared" si="1030"/>
        <v>181167714.68888879</v>
      </c>
      <c r="R1134">
        <f t="shared" si="1031"/>
        <v>-628234815.30992925</v>
      </c>
      <c r="S1134">
        <f t="shared" si="1032"/>
        <v>-6282.3481530992922</v>
      </c>
      <c r="T1134">
        <f t="shared" si="1033"/>
        <v>-6.2823481530992922</v>
      </c>
    </row>
    <row r="1135" spans="1:20" x14ac:dyDescent="0.25">
      <c r="A1135" s="5">
        <v>43458</v>
      </c>
      <c r="B1135">
        <v>2.0580000000000001E-2</v>
      </c>
      <c r="C1135">
        <v>2.3390000000000001E-2</v>
      </c>
      <c r="D1135">
        <v>1.9980000000000001E-2</v>
      </c>
      <c r="E1135">
        <v>2.0650000000000002E-2</v>
      </c>
      <c r="F1135">
        <v>1357137739.9000001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-0.60703812316715511</v>
      </c>
      <c r="Q1135">
        <f t="shared" si="1030"/>
        <v>-823834346.50821078</v>
      </c>
      <c r="R1135">
        <f t="shared" si="1031"/>
        <v>-809402529.99881804</v>
      </c>
      <c r="S1135">
        <f t="shared" si="1032"/>
        <v>-8094.0252999881804</v>
      </c>
      <c r="T1135">
        <f t="shared" si="1033"/>
        <v>-8.0940252999881803</v>
      </c>
    </row>
    <row r="1136" spans="1:20" x14ac:dyDescent="0.25">
      <c r="A1136" s="5">
        <v>43457</v>
      </c>
      <c r="B1136">
        <v>2.0660000000000001E-2</v>
      </c>
      <c r="C1136">
        <v>2.1899999999999999E-2</v>
      </c>
      <c r="D1136">
        <v>1.9939999999999999E-2</v>
      </c>
      <c r="E1136">
        <v>2.0559999999999998E-2</v>
      </c>
      <c r="F1136">
        <v>958651192.89999998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-0.36734693877551117</v>
      </c>
      <c r="Q1136">
        <f t="shared" si="1030"/>
        <v>-352157581.06530702</v>
      </c>
      <c r="R1136">
        <f t="shared" si="1031"/>
        <v>14431816.509392738</v>
      </c>
      <c r="S1136">
        <f t="shared" si="1032"/>
        <v>144.31816509392738</v>
      </c>
      <c r="T1136">
        <f t="shared" si="1033"/>
        <v>0.14431816509392736</v>
      </c>
    </row>
    <row r="1137" spans="1:20" x14ac:dyDescent="0.25">
      <c r="A1137" s="5">
        <v>43456</v>
      </c>
      <c r="B1137">
        <v>1.975E-2</v>
      </c>
      <c r="C1137">
        <v>2.121E-2</v>
      </c>
      <c r="D1137">
        <v>1.8270000000000002E-2</v>
      </c>
      <c r="E1137">
        <v>2.0650000000000002E-2</v>
      </c>
      <c r="F1137">
        <v>1475151421</v>
      </c>
      <c r="G1137">
        <v>0</v>
      </c>
      <c r="L1137" t="s">
        <v>7</v>
      </c>
      <c r="M1137" t="s">
        <v>7</v>
      </c>
      <c r="N1137" t="s">
        <v>8</v>
      </c>
      <c r="P1137">
        <f t="shared" si="1029"/>
        <v>0.61904761904762018</v>
      </c>
      <c r="Q1137">
        <f t="shared" si="1030"/>
        <v>913188974.90476358</v>
      </c>
      <c r="R1137">
        <f t="shared" si="1031"/>
        <v>366589397.57469976</v>
      </c>
      <c r="S1137">
        <f t="shared" si="1032"/>
        <v>3665.8939757469975</v>
      </c>
      <c r="T1137">
        <f t="shared" si="1033"/>
        <v>3.6658939757469975</v>
      </c>
    </row>
    <row r="1138" spans="1:20" x14ac:dyDescent="0.25">
      <c r="A1138" s="5">
        <v>43455</v>
      </c>
      <c r="B1138">
        <v>1.702E-2</v>
      </c>
      <c r="C1138">
        <v>2.248E-2</v>
      </c>
      <c r="D1138">
        <v>1.6760000000000001E-2</v>
      </c>
      <c r="E1138">
        <v>1.9730000000000001E-2</v>
      </c>
      <c r="F1138">
        <v>2278365315.3000002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3.846153846153872E-2</v>
      </c>
      <c r="Q1138">
        <f t="shared" si="1030"/>
        <v>87629435.203846753</v>
      </c>
      <c r="R1138">
        <f t="shared" si="1031"/>
        <v>-546599577.33006382</v>
      </c>
      <c r="S1138">
        <f t="shared" si="1032"/>
        <v>-5465.9957733006386</v>
      </c>
      <c r="T1138">
        <f t="shared" si="1033"/>
        <v>-5.465995773300639</v>
      </c>
    </row>
    <row r="1139" spans="1:20" x14ac:dyDescent="0.25">
      <c r="A1139" s="5">
        <v>43454</v>
      </c>
      <c r="B1139">
        <v>1.525E-2</v>
      </c>
      <c r="C1139">
        <v>1.7219999999999999E-2</v>
      </c>
      <c r="D1139">
        <v>1.511E-2</v>
      </c>
      <c r="E1139">
        <v>1.703E-2</v>
      </c>
      <c r="F1139">
        <v>985461494.60000002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0.81990521327014287</v>
      </c>
      <c r="Q1139">
        <f t="shared" si="1030"/>
        <v>807985016.89952672</v>
      </c>
      <c r="R1139">
        <f t="shared" si="1031"/>
        <v>-634229012.53391063</v>
      </c>
      <c r="S1139">
        <f t="shared" si="1032"/>
        <v>-6342.2901253391065</v>
      </c>
      <c r="T1139">
        <f t="shared" si="1033"/>
        <v>-6.3422901253391064</v>
      </c>
    </row>
    <row r="1140" spans="1:20" x14ac:dyDescent="0.25">
      <c r="A1140" s="5">
        <v>43453</v>
      </c>
      <c r="B1140">
        <v>1.4749999999999999E-2</v>
      </c>
      <c r="C1140">
        <v>1.745E-2</v>
      </c>
      <c r="D1140">
        <v>1.4619999999999999E-2</v>
      </c>
      <c r="E1140">
        <v>1.5259999999999999E-2</v>
      </c>
      <c r="F1140">
        <v>1300688796.8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-0.54770318021201436</v>
      </c>
      <c r="Q1140">
        <f t="shared" si="1030"/>
        <v>-712391390.47349846</v>
      </c>
      <c r="R1140">
        <f t="shared" si="1031"/>
        <v>-1442214029.4334373</v>
      </c>
      <c r="S1140">
        <f t="shared" si="1032"/>
        <v>-14422.140294334373</v>
      </c>
      <c r="T1140">
        <f t="shared" si="1033"/>
        <v>-14.422140294334373</v>
      </c>
    </row>
    <row r="1141" spans="1:20" x14ac:dyDescent="0.25">
      <c r="A1141" s="5">
        <v>43452</v>
      </c>
      <c r="B1141">
        <v>1.4069999999999999E-2</v>
      </c>
      <c r="C1141">
        <v>1.478E-2</v>
      </c>
      <c r="D1141">
        <v>1.3780000000000001E-2</v>
      </c>
      <c r="E1141">
        <v>1.4749999999999999E-2</v>
      </c>
      <c r="F1141">
        <v>581885688.39999998</v>
      </c>
      <c r="G1141">
        <v>0</v>
      </c>
      <c r="L1141" t="s">
        <v>8</v>
      </c>
      <c r="M1141" t="s">
        <v>8</v>
      </c>
      <c r="N1141" t="s">
        <v>7</v>
      </c>
      <c r="P1141">
        <f t="shared" si="1029"/>
        <v>0.93999999999999895</v>
      </c>
      <c r="Q1141">
        <f t="shared" si="1030"/>
        <v>546972547.09599936</v>
      </c>
      <c r="R1141">
        <f t="shared" si="1031"/>
        <v>-729822638.95993888</v>
      </c>
      <c r="S1141">
        <f t="shared" si="1032"/>
        <v>-7298.2263895993892</v>
      </c>
      <c r="T1141">
        <f t="shared" si="1033"/>
        <v>-7.2982263895993889</v>
      </c>
    </row>
    <row r="1142" spans="1:20" x14ac:dyDescent="0.25">
      <c r="A1142" s="5">
        <v>43451</v>
      </c>
      <c r="B1142">
        <v>1.2930000000000001E-2</v>
      </c>
      <c r="C1142">
        <v>1.46E-2</v>
      </c>
      <c r="D1142">
        <v>1.29E-2</v>
      </c>
      <c r="E1142">
        <v>1.4069999999999999E-2</v>
      </c>
      <c r="F1142">
        <v>589953611.79999995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0.37647058823529306</v>
      </c>
      <c r="Q1142">
        <f t="shared" si="1030"/>
        <v>222100183.26588172</v>
      </c>
      <c r="R1142">
        <f t="shared" si="1031"/>
        <v>-1276795186.0559382</v>
      </c>
      <c r="S1142">
        <f t="shared" si="1032"/>
        <v>-12767.951860559382</v>
      </c>
      <c r="T1142">
        <f t="shared" si="1033"/>
        <v>-12.767951860559382</v>
      </c>
    </row>
    <row r="1143" spans="1:20" x14ac:dyDescent="0.25">
      <c r="A1143" s="5">
        <v>43450</v>
      </c>
      <c r="B1143">
        <v>1.272E-2</v>
      </c>
      <c r="C1143">
        <v>1.3390000000000001E-2</v>
      </c>
      <c r="D1143">
        <v>1.264E-2</v>
      </c>
      <c r="E1143">
        <v>1.2930000000000001E-2</v>
      </c>
      <c r="F1143">
        <v>321862725.5</v>
      </c>
      <c r="G1143">
        <v>0</v>
      </c>
      <c r="L1143" t="s">
        <v>8</v>
      </c>
      <c r="M1143" t="s">
        <v>7</v>
      </c>
      <c r="N1143" t="s">
        <v>7</v>
      </c>
      <c r="P1143">
        <f t="shared" si="1029"/>
        <v>-0.22666666666666649</v>
      </c>
      <c r="Q1143">
        <f t="shared" si="1030"/>
        <v>-72955551.11333327</v>
      </c>
      <c r="R1143">
        <f t="shared" si="1031"/>
        <v>-1498895369.32182</v>
      </c>
      <c r="S1143">
        <f t="shared" si="1032"/>
        <v>-14988.9536932182</v>
      </c>
      <c r="T1143">
        <f t="shared" si="1033"/>
        <v>-14.9889536932182</v>
      </c>
    </row>
    <row r="1144" spans="1:20" x14ac:dyDescent="0.25">
      <c r="A1144" s="5">
        <v>43449</v>
      </c>
      <c r="B1144">
        <v>1.2710000000000001E-2</v>
      </c>
      <c r="C1144">
        <v>1.295E-2</v>
      </c>
      <c r="D1144">
        <v>1.2500000000000001E-2</v>
      </c>
      <c r="E1144">
        <v>1.273E-2</v>
      </c>
      <c r="F1144">
        <v>292596660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2.2222222222221366E-2</v>
      </c>
      <c r="Q1144">
        <f t="shared" si="1030"/>
        <v>6502147.9999997495</v>
      </c>
      <c r="R1144">
        <f t="shared" si="1031"/>
        <v>-1425939818.2084868</v>
      </c>
      <c r="S1144">
        <f t="shared" si="1032"/>
        <v>-14259.398182084868</v>
      </c>
      <c r="T1144">
        <f t="shared" si="1033"/>
        <v>-14.259398182084867</v>
      </c>
    </row>
    <row r="1145" spans="1:20" x14ac:dyDescent="0.25">
      <c r="A1145" s="5">
        <v>43448</v>
      </c>
      <c r="B1145">
        <v>1.304E-2</v>
      </c>
      <c r="C1145">
        <v>1.3220000000000001E-2</v>
      </c>
      <c r="D1145">
        <v>1.252E-2</v>
      </c>
      <c r="E1145">
        <v>1.272E-2</v>
      </c>
      <c r="F1145">
        <v>363530014.19999999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-0.42857142857142788</v>
      </c>
      <c r="Q1145">
        <f t="shared" si="1030"/>
        <v>-155798577.51428545</v>
      </c>
      <c r="R1145">
        <f t="shared" si="1031"/>
        <v>-1432441966.2084866</v>
      </c>
      <c r="S1145">
        <f t="shared" si="1032"/>
        <v>-14324.419662084865</v>
      </c>
      <c r="T1145">
        <f t="shared" si="1033"/>
        <v>-14.324419662084866</v>
      </c>
    </row>
    <row r="1146" spans="1:20" x14ac:dyDescent="0.25">
      <c r="A1146" s="5">
        <v>43447</v>
      </c>
      <c r="B1146">
        <v>1.319E-2</v>
      </c>
      <c r="C1146">
        <v>1.345E-2</v>
      </c>
      <c r="D1146">
        <v>1.285E-2</v>
      </c>
      <c r="E1146">
        <v>1.304E-2</v>
      </c>
      <c r="F1146">
        <v>366097497.80000001</v>
      </c>
      <c r="G1146">
        <v>0</v>
      </c>
      <c r="L1146" t="s">
        <v>7</v>
      </c>
      <c r="M1146" t="s">
        <v>7</v>
      </c>
      <c r="N1146" t="s">
        <v>7</v>
      </c>
      <c r="P1146">
        <f t="shared" si="1029"/>
        <v>-0.36666666666666919</v>
      </c>
      <c r="Q1146">
        <f t="shared" si="1030"/>
        <v>-134235749.19333425</v>
      </c>
      <c r="R1146">
        <f t="shared" si="1031"/>
        <v>-1276643388.6942012</v>
      </c>
      <c r="S1146">
        <f t="shared" si="1032"/>
        <v>-12766.433886942012</v>
      </c>
      <c r="T1146">
        <f t="shared" si="1033"/>
        <v>-12.766433886942012</v>
      </c>
    </row>
    <row r="1147" spans="1:20" x14ac:dyDescent="0.25">
      <c r="A1147" s="5">
        <v>43446</v>
      </c>
      <c r="B1147">
        <v>1.315E-2</v>
      </c>
      <c r="C1147">
        <v>1.3520000000000001E-2</v>
      </c>
      <c r="D1147">
        <v>1.302E-2</v>
      </c>
      <c r="E1147">
        <v>1.32E-2</v>
      </c>
      <c r="F1147">
        <v>350215028</v>
      </c>
      <c r="G1147">
        <v>0</v>
      </c>
      <c r="L1147" t="s">
        <v>7</v>
      </c>
      <c r="M1147" t="s">
        <v>7</v>
      </c>
      <c r="N1147" t="s">
        <v>7</v>
      </c>
      <c r="P1147">
        <f t="shared" si="1029"/>
        <v>-0.28000000000000225</v>
      </c>
      <c r="Q1147">
        <f t="shared" si="1030"/>
        <v>-98060207.840000793</v>
      </c>
      <c r="R1147">
        <f t="shared" si="1031"/>
        <v>-1142407639.5008669</v>
      </c>
      <c r="S1147">
        <f t="shared" si="1032"/>
        <v>-11424.076395008669</v>
      </c>
      <c r="T1147">
        <f t="shared" si="1033"/>
        <v>-11.424076395008669</v>
      </c>
    </row>
    <row r="1148" spans="1:20" x14ac:dyDescent="0.25">
      <c r="A1148" s="5">
        <v>43445</v>
      </c>
      <c r="B1148">
        <v>1.311E-2</v>
      </c>
      <c r="C1148">
        <v>1.35E-2</v>
      </c>
      <c r="D1148">
        <v>1.2919999999999999E-2</v>
      </c>
      <c r="E1148">
        <v>1.3169999999999999E-2</v>
      </c>
      <c r="F1148">
        <v>421922602.39999998</v>
      </c>
      <c r="G1148">
        <v>0</v>
      </c>
      <c r="L1148" t="s">
        <v>7</v>
      </c>
      <c r="M1148" t="s">
        <v>7</v>
      </c>
      <c r="N1148" t="s">
        <v>7</v>
      </c>
      <c r="P1148">
        <f t="shared" si="1029"/>
        <v>-0.13793103448275884</v>
      </c>
      <c r="Q1148">
        <f t="shared" si="1030"/>
        <v>-58196221.020689748</v>
      </c>
      <c r="R1148">
        <f t="shared" si="1031"/>
        <v>-1044347431.6608661</v>
      </c>
      <c r="S1148">
        <f t="shared" si="1032"/>
        <v>-10443.474316608661</v>
      </c>
      <c r="T1148">
        <f t="shared" si="1033"/>
        <v>-10.443474316608661</v>
      </c>
    </row>
    <row r="1149" spans="1:20" x14ac:dyDescent="0.25">
      <c r="A1149" s="5">
        <v>43444</v>
      </c>
      <c r="B1149">
        <v>1.341E-2</v>
      </c>
      <c r="C1149">
        <v>1.3690000000000001E-2</v>
      </c>
      <c r="D1149">
        <v>1.2800000000000001E-2</v>
      </c>
      <c r="E1149">
        <v>1.311E-2</v>
      </c>
      <c r="F1149">
        <v>478094148.5</v>
      </c>
      <c r="G1149">
        <v>0</v>
      </c>
      <c r="L1149" t="s">
        <v>7</v>
      </c>
      <c r="M1149" t="s">
        <v>7</v>
      </c>
      <c r="N1149" t="s">
        <v>7</v>
      </c>
      <c r="P1149">
        <f t="shared" si="1029"/>
        <v>-0.30337078651685517</v>
      </c>
      <c r="Q1149">
        <f t="shared" si="1030"/>
        <v>-145039797.85955116</v>
      </c>
      <c r="R1149">
        <f t="shared" si="1031"/>
        <v>-986151210.64017642</v>
      </c>
      <c r="S1149">
        <f t="shared" si="1032"/>
        <v>-9861.512106401764</v>
      </c>
      <c r="T1149">
        <f t="shared" si="1033"/>
        <v>-9.8615121064017632</v>
      </c>
    </row>
    <row r="1150" spans="1:20" x14ac:dyDescent="0.25">
      <c r="A1150" s="5">
        <v>43443</v>
      </c>
      <c r="B1150">
        <v>1.3259999999999999E-2</v>
      </c>
      <c r="C1150">
        <v>1.396E-2</v>
      </c>
      <c r="D1150">
        <v>1.2999999999999999E-2</v>
      </c>
      <c r="E1150">
        <v>1.341E-2</v>
      </c>
      <c r="F1150">
        <v>534569771.60000002</v>
      </c>
      <c r="G1150">
        <v>0</v>
      </c>
      <c r="L1150" t="s">
        <v>7</v>
      </c>
      <c r="M1150" t="s">
        <v>7</v>
      </c>
      <c r="N1150" t="s">
        <v>7</v>
      </c>
      <c r="P1150">
        <f t="shared" si="1029"/>
        <v>-0.1458333333333327</v>
      </c>
      <c r="Q1150">
        <f t="shared" si="1030"/>
        <v>-77958091.691666335</v>
      </c>
      <c r="R1150">
        <f t="shared" si="1031"/>
        <v>-841111412.78062522</v>
      </c>
      <c r="S1150">
        <f t="shared" si="1032"/>
        <v>-8411.1141278062514</v>
      </c>
      <c r="T1150">
        <f t="shared" si="1033"/>
        <v>-8.4111141278062522</v>
      </c>
    </row>
    <row r="1151" spans="1:20" x14ac:dyDescent="0.25">
      <c r="A1151" s="5">
        <v>43442</v>
      </c>
      <c r="B1151">
        <v>1.321E-2</v>
      </c>
      <c r="C1151">
        <v>1.396E-2</v>
      </c>
      <c r="D1151">
        <v>1.2619999999999999E-2</v>
      </c>
      <c r="E1151">
        <v>1.324E-2</v>
      </c>
      <c r="F1151">
        <v>735886007.79999995</v>
      </c>
      <c r="G1151">
        <v>0</v>
      </c>
      <c r="L1151" t="s">
        <v>8</v>
      </c>
      <c r="M1151" t="s">
        <v>7</v>
      </c>
      <c r="N1151" t="s">
        <v>7</v>
      </c>
      <c r="P1151">
        <f t="shared" ref="P1151:P1195" si="1034">IF(C1151=D1151,0,((E1151-D1151)-(C1151-E1151))/(C1151-D1151))</f>
        <v>-7.4626865671641285E-2</v>
      </c>
      <c r="Q1151">
        <f t="shared" ref="Q1151:Q1195" si="1035">F1151*P1151</f>
        <v>-54916866.253730968</v>
      </c>
      <c r="R1151">
        <f t="shared" ref="R1151:R1195" si="1036">R1152+Q1151</f>
        <v>-763153321.08895886</v>
      </c>
      <c r="S1151">
        <f t="shared" ref="S1151:S1195" si="1037">R1151/100000</f>
        <v>-7631.5332108895882</v>
      </c>
      <c r="T1151">
        <f t="shared" ref="T1151:T1195" si="1038">S1151/1000</f>
        <v>-7.6315332108895886</v>
      </c>
    </row>
    <row r="1152" spans="1:20" x14ac:dyDescent="0.25">
      <c r="A1152" s="5">
        <v>43441</v>
      </c>
      <c r="B1152">
        <v>1.278E-2</v>
      </c>
      <c r="C1152">
        <v>1.3509999999999999E-2</v>
      </c>
      <c r="D1152">
        <v>1.2120000000000001E-2</v>
      </c>
      <c r="E1152">
        <v>1.321E-2</v>
      </c>
      <c r="F1152">
        <v>1047600916.8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0.56834532374100699</v>
      </c>
      <c r="Q1152">
        <f t="shared" si="1035"/>
        <v>595399082.21007168</v>
      </c>
      <c r="R1152">
        <f t="shared" si="1036"/>
        <v>-708236454.83522785</v>
      </c>
      <c r="S1152">
        <f t="shared" si="1037"/>
        <v>-7082.3645483522787</v>
      </c>
      <c r="T1152">
        <f t="shared" si="1038"/>
        <v>-7.0823645483522784</v>
      </c>
    </row>
    <row r="1153" spans="1:20" x14ac:dyDescent="0.25">
      <c r="A1153" s="5">
        <v>43440</v>
      </c>
      <c r="B1153">
        <v>1.3990000000000001E-2</v>
      </c>
      <c r="C1153">
        <v>1.4579999999999999E-2</v>
      </c>
      <c r="D1153">
        <v>1.269E-2</v>
      </c>
      <c r="E1153">
        <v>1.2789999999999999E-2</v>
      </c>
      <c r="F1153">
        <v>751978664.20000005</v>
      </c>
      <c r="G1153">
        <v>0</v>
      </c>
      <c r="L1153" t="s">
        <v>7</v>
      </c>
      <c r="M1153" t="s">
        <v>7</v>
      </c>
      <c r="N1153" t="s">
        <v>8</v>
      </c>
      <c r="P1153">
        <f t="shared" si="1034"/>
        <v>-0.89417989417989474</v>
      </c>
      <c r="Q1153">
        <f t="shared" si="1035"/>
        <v>-672404202.37989461</v>
      </c>
      <c r="R1153">
        <f t="shared" si="1036"/>
        <v>-1303635537.0452995</v>
      </c>
      <c r="S1153">
        <f t="shared" si="1037"/>
        <v>-13036.355370452995</v>
      </c>
      <c r="T1153">
        <f t="shared" si="1038"/>
        <v>-13.036355370452995</v>
      </c>
    </row>
    <row r="1154" spans="1:20" x14ac:dyDescent="0.25">
      <c r="A1154" s="5">
        <v>43439</v>
      </c>
      <c r="B1154">
        <v>1.4330000000000001E-2</v>
      </c>
      <c r="C1154">
        <v>1.477E-2</v>
      </c>
      <c r="D1154">
        <v>1.388E-2</v>
      </c>
      <c r="E1154">
        <v>1.397E-2</v>
      </c>
      <c r="F1154">
        <v>498753061.60000002</v>
      </c>
      <c r="G1154">
        <v>0</v>
      </c>
      <c r="L1154" t="s">
        <v>8</v>
      </c>
      <c r="M1154" t="s">
        <v>7</v>
      </c>
      <c r="N1154" t="s">
        <v>8</v>
      </c>
      <c r="P1154">
        <f t="shared" si="1034"/>
        <v>-0.79775280898876455</v>
      </c>
      <c r="Q1154">
        <f t="shared" si="1035"/>
        <v>-397881655.88314635</v>
      </c>
      <c r="R1154">
        <f t="shared" si="1036"/>
        <v>-631231334.6654048</v>
      </c>
      <c r="S1154">
        <f t="shared" si="1037"/>
        <v>-6312.3133466540476</v>
      </c>
      <c r="T1154">
        <f t="shared" si="1038"/>
        <v>-6.3123133466540473</v>
      </c>
    </row>
    <row r="1155" spans="1:20" x14ac:dyDescent="0.25">
      <c r="A1155" s="5">
        <v>43438</v>
      </c>
      <c r="B1155">
        <v>1.3769999999999999E-2</v>
      </c>
      <c r="C1155">
        <v>1.5299999999999999E-2</v>
      </c>
      <c r="D1155">
        <v>1.3270000000000001E-2</v>
      </c>
      <c r="E1155">
        <v>1.4330000000000001E-2</v>
      </c>
      <c r="F1155">
        <v>633105641.5</v>
      </c>
      <c r="G1155">
        <v>0</v>
      </c>
      <c r="L1155" t="s">
        <v>7</v>
      </c>
      <c r="M1155" t="s">
        <v>7</v>
      </c>
      <c r="N1155" t="s">
        <v>8</v>
      </c>
      <c r="P1155">
        <f t="shared" si="1034"/>
        <v>4.4334975369458914E-2</v>
      </c>
      <c r="Q1155">
        <f t="shared" si="1035"/>
        <v>28068723.022167984</v>
      </c>
      <c r="R1155">
        <f t="shared" si="1036"/>
        <v>-233349678.78225848</v>
      </c>
      <c r="S1155">
        <f t="shared" si="1037"/>
        <v>-2333.4967878225848</v>
      </c>
      <c r="T1155">
        <f t="shared" si="1038"/>
        <v>-2.3334967878225847</v>
      </c>
    </row>
    <row r="1156" spans="1:20" x14ac:dyDescent="0.25">
      <c r="A1156" s="5">
        <v>43437</v>
      </c>
      <c r="B1156">
        <v>1.498E-2</v>
      </c>
      <c r="C1156">
        <v>1.5049999999999999E-2</v>
      </c>
      <c r="D1156">
        <v>1.341E-2</v>
      </c>
      <c r="E1156">
        <v>1.3769999999999999E-2</v>
      </c>
      <c r="F1156">
        <v>548989131.39999998</v>
      </c>
      <c r="G1156">
        <v>0</v>
      </c>
      <c r="L1156" t="s">
        <v>7</v>
      </c>
      <c r="M1156" t="s">
        <v>7</v>
      </c>
      <c r="N1156" t="s">
        <v>8</v>
      </c>
      <c r="P1156">
        <f t="shared" si="1034"/>
        <v>-0.56097560975609828</v>
      </c>
      <c r="Q1156">
        <f t="shared" si="1035"/>
        <v>-307969512.73658574</v>
      </c>
      <c r="R1156">
        <f t="shared" si="1036"/>
        <v>-261418401.80442646</v>
      </c>
      <c r="S1156">
        <f t="shared" si="1037"/>
        <v>-2614.1840180442646</v>
      </c>
      <c r="T1156">
        <f t="shared" si="1038"/>
        <v>-2.6141840180442646</v>
      </c>
    </row>
    <row r="1157" spans="1:20" x14ac:dyDescent="0.25">
      <c r="A1157" s="5">
        <v>43436</v>
      </c>
      <c r="B1157">
        <v>1.5089999999999999E-2</v>
      </c>
      <c r="C1157">
        <v>1.5570000000000001E-2</v>
      </c>
      <c r="D1157">
        <v>1.47E-2</v>
      </c>
      <c r="E1157">
        <v>1.499E-2</v>
      </c>
      <c r="F1157">
        <v>573550014</v>
      </c>
      <c r="G1157">
        <v>0</v>
      </c>
      <c r="L1157" t="s">
        <v>7</v>
      </c>
      <c r="M1157" t="s">
        <v>7</v>
      </c>
      <c r="N1157" t="s">
        <v>8</v>
      </c>
      <c r="P1157">
        <f t="shared" si="1034"/>
        <v>-0.33333333333333331</v>
      </c>
      <c r="Q1157">
        <f t="shared" si="1035"/>
        <v>-191183338</v>
      </c>
      <c r="R1157">
        <f t="shared" si="1036"/>
        <v>46551110.932159275</v>
      </c>
      <c r="S1157">
        <f t="shared" si="1037"/>
        <v>465.51110932159276</v>
      </c>
      <c r="T1157">
        <f t="shared" si="1038"/>
        <v>0.46551110932159273</v>
      </c>
    </row>
    <row r="1158" spans="1:20" x14ac:dyDescent="0.25">
      <c r="A1158" s="5">
        <v>43435</v>
      </c>
      <c r="B1158">
        <v>1.452E-2</v>
      </c>
      <c r="C1158">
        <v>1.5679999999999999E-2</v>
      </c>
      <c r="D1158">
        <v>1.3950000000000001E-2</v>
      </c>
      <c r="E1158">
        <v>1.508E-2</v>
      </c>
      <c r="F1158">
        <v>740419759</v>
      </c>
      <c r="G1158">
        <v>0</v>
      </c>
      <c r="L1158" t="s">
        <v>8</v>
      </c>
      <c r="M1158" t="s">
        <v>7</v>
      </c>
      <c r="N1158" t="s">
        <v>8</v>
      </c>
      <c r="P1158">
        <f t="shared" si="1034"/>
        <v>0.30635838150288991</v>
      </c>
      <c r="Q1158">
        <f t="shared" si="1035"/>
        <v>226833798.99999979</v>
      </c>
      <c r="R1158">
        <f t="shared" si="1036"/>
        <v>237734448.93215927</v>
      </c>
      <c r="S1158">
        <f t="shared" si="1037"/>
        <v>2377.3444893215928</v>
      </c>
      <c r="T1158">
        <f t="shared" si="1038"/>
        <v>2.3773444893215929</v>
      </c>
    </row>
    <row r="1159" spans="1:20" x14ac:dyDescent="0.25">
      <c r="A1159" s="5">
        <v>43434</v>
      </c>
      <c r="B1159">
        <v>1.5740000000000001E-2</v>
      </c>
      <c r="C1159">
        <v>1.5859999999999999E-2</v>
      </c>
      <c r="D1159">
        <v>1.3599999999999999E-2</v>
      </c>
      <c r="E1159">
        <v>1.451E-2</v>
      </c>
      <c r="F1159">
        <v>1381229746.3</v>
      </c>
      <c r="G1159">
        <v>0</v>
      </c>
      <c r="L1159" t="s">
        <v>7</v>
      </c>
      <c r="M1159" t="s">
        <v>7</v>
      </c>
      <c r="N1159" t="s">
        <v>8</v>
      </c>
      <c r="P1159">
        <f t="shared" si="1034"/>
        <v>-0.19469026548672466</v>
      </c>
      <c r="Q1159">
        <f t="shared" si="1035"/>
        <v>-268911986.00530833</v>
      </c>
      <c r="R1159">
        <f t="shared" si="1036"/>
        <v>10900649.932159483</v>
      </c>
      <c r="S1159">
        <f t="shared" si="1037"/>
        <v>109.00649932159483</v>
      </c>
      <c r="T1159">
        <f t="shared" si="1038"/>
        <v>0.10900649932159483</v>
      </c>
    </row>
    <row r="1160" spans="1:20" x14ac:dyDescent="0.25">
      <c r="A1160" s="5">
        <v>43433</v>
      </c>
      <c r="B1160">
        <v>1.4670000000000001E-2</v>
      </c>
      <c r="C1160">
        <v>1.7129999999999999E-2</v>
      </c>
      <c r="D1160">
        <v>1.43E-2</v>
      </c>
      <c r="E1160">
        <v>1.5740000000000001E-2</v>
      </c>
      <c r="F1160">
        <v>1849856295</v>
      </c>
      <c r="G1160">
        <v>0</v>
      </c>
      <c r="L1160" t="s">
        <v>8</v>
      </c>
      <c r="M1160" t="s">
        <v>8</v>
      </c>
      <c r="N1160" t="s">
        <v>8</v>
      </c>
      <c r="P1160">
        <f t="shared" si="1034"/>
        <v>1.7667844522968709E-2</v>
      </c>
      <c r="Q1160">
        <f t="shared" si="1035"/>
        <v>32682973.409894936</v>
      </c>
      <c r="R1160">
        <f t="shared" si="1036"/>
        <v>279812635.93746781</v>
      </c>
      <c r="S1160">
        <f t="shared" si="1037"/>
        <v>2798.126359374678</v>
      </c>
      <c r="T1160">
        <f t="shared" si="1038"/>
        <v>2.7981263593746779</v>
      </c>
    </row>
    <row r="1161" spans="1:20" x14ac:dyDescent="0.25">
      <c r="A1161" s="5">
        <v>43432</v>
      </c>
      <c r="B1161">
        <v>1.204E-2</v>
      </c>
      <c r="C1161">
        <v>1.5900000000000001E-2</v>
      </c>
      <c r="D1161">
        <v>1.2030000000000001E-2</v>
      </c>
      <c r="E1161">
        <v>1.4670000000000001E-2</v>
      </c>
      <c r="F1161">
        <v>1351036970.5</v>
      </c>
      <c r="G1161">
        <v>0</v>
      </c>
      <c r="L1161" t="s">
        <v>8</v>
      </c>
      <c r="M1161" t="s">
        <v>8</v>
      </c>
      <c r="N1161" t="s">
        <v>8</v>
      </c>
      <c r="P1161">
        <f t="shared" si="1034"/>
        <v>0.36434108527131776</v>
      </c>
      <c r="Q1161">
        <f t="shared" si="1035"/>
        <v>492238276.07364333</v>
      </c>
      <c r="R1161">
        <f t="shared" si="1036"/>
        <v>247129662.52757287</v>
      </c>
      <c r="S1161">
        <f t="shared" si="1037"/>
        <v>2471.2966252757287</v>
      </c>
      <c r="T1161">
        <f t="shared" si="1038"/>
        <v>2.4712966252757287</v>
      </c>
    </row>
    <row r="1162" spans="1:20" x14ac:dyDescent="0.25">
      <c r="A1162" s="5">
        <v>43431</v>
      </c>
      <c r="B1162">
        <v>1.192E-2</v>
      </c>
      <c r="C1162">
        <v>1.2239999999999999E-2</v>
      </c>
      <c r="D1162">
        <v>1.1350000000000001E-2</v>
      </c>
      <c r="E1162">
        <v>1.204E-2</v>
      </c>
      <c r="F1162">
        <v>595403269</v>
      </c>
      <c r="G1162">
        <v>0</v>
      </c>
      <c r="L1162" t="s">
        <v>7</v>
      </c>
      <c r="M1162" t="s">
        <v>8</v>
      </c>
      <c r="N1162" t="s">
        <v>7</v>
      </c>
      <c r="P1162">
        <f t="shared" si="1034"/>
        <v>0.55056179775281089</v>
      </c>
      <c r="Q1162">
        <f t="shared" si="1035"/>
        <v>327806294.16854048</v>
      </c>
      <c r="R1162">
        <f t="shared" si="1036"/>
        <v>-245108613.54607046</v>
      </c>
      <c r="S1162">
        <f t="shared" si="1037"/>
        <v>-2451.0861354607046</v>
      </c>
      <c r="T1162">
        <f t="shared" si="1038"/>
        <v>-2.4510861354607045</v>
      </c>
    </row>
    <row r="1163" spans="1:20" x14ac:dyDescent="0.25">
      <c r="A1163" s="5">
        <v>43430</v>
      </c>
      <c r="B1163">
        <v>1.2500000000000001E-2</v>
      </c>
      <c r="C1163">
        <v>1.319E-2</v>
      </c>
      <c r="D1163">
        <v>1.1350000000000001E-2</v>
      </c>
      <c r="E1163">
        <v>1.192E-2</v>
      </c>
      <c r="F1163">
        <v>876797727.20000005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-0.38043478260869623</v>
      </c>
      <c r="Q1163">
        <f t="shared" si="1035"/>
        <v>-333564352.73913097</v>
      </c>
      <c r="R1163">
        <f t="shared" si="1036"/>
        <v>-572914907.71461093</v>
      </c>
      <c r="S1163">
        <f t="shared" si="1037"/>
        <v>-5729.1490771461094</v>
      </c>
      <c r="T1163">
        <f t="shared" si="1038"/>
        <v>-5.7291490771461095</v>
      </c>
    </row>
    <row r="1164" spans="1:20" x14ac:dyDescent="0.25">
      <c r="A1164" s="5">
        <v>43429</v>
      </c>
      <c r="B1164">
        <v>1.2630000000000001E-2</v>
      </c>
      <c r="C1164">
        <v>1.2959999999999999E-2</v>
      </c>
      <c r="D1164">
        <v>1.107E-2</v>
      </c>
      <c r="E1164">
        <v>1.252E-2</v>
      </c>
      <c r="F1164">
        <v>1004123804.3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0.53439153439153486</v>
      </c>
      <c r="Q1164">
        <f t="shared" si="1035"/>
        <v>536595260.49894226</v>
      </c>
      <c r="R1164">
        <f t="shared" si="1036"/>
        <v>-239350554.97547996</v>
      </c>
      <c r="S1164">
        <f t="shared" si="1037"/>
        <v>-2393.5055497547996</v>
      </c>
      <c r="T1164">
        <f t="shared" si="1038"/>
        <v>-2.3935055497547997</v>
      </c>
    </row>
    <row r="1165" spans="1:20" x14ac:dyDescent="0.25">
      <c r="A1165" s="5">
        <v>43428</v>
      </c>
      <c r="B1165">
        <v>1.384E-2</v>
      </c>
      <c r="C1165">
        <v>1.435E-2</v>
      </c>
      <c r="D1165">
        <v>1.213E-2</v>
      </c>
      <c r="E1165">
        <v>1.2619999999999999E-2</v>
      </c>
      <c r="F1165">
        <v>599652768.60000002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-0.55855855855855929</v>
      </c>
      <c r="Q1165">
        <f t="shared" si="1035"/>
        <v>-334941186.06486529</v>
      </c>
      <c r="R1165">
        <f t="shared" si="1036"/>
        <v>-775945815.47442222</v>
      </c>
      <c r="S1165">
        <f t="shared" si="1037"/>
        <v>-7759.4581547442222</v>
      </c>
      <c r="T1165">
        <f t="shared" si="1038"/>
        <v>-7.7594581547442223</v>
      </c>
    </row>
    <row r="1166" spans="1:20" x14ac:dyDescent="0.25">
      <c r="A1166" s="5">
        <v>43427</v>
      </c>
      <c r="B1166">
        <v>1.383E-2</v>
      </c>
      <c r="C1166">
        <v>1.4160000000000001E-2</v>
      </c>
      <c r="D1166">
        <v>1.319E-2</v>
      </c>
      <c r="E1166">
        <v>1.387E-2</v>
      </c>
      <c r="F1166">
        <v>561693364.79999995</v>
      </c>
      <c r="G1166">
        <v>0</v>
      </c>
      <c r="L1166" t="s">
        <v>7</v>
      </c>
      <c r="M1166" t="s">
        <v>8</v>
      </c>
      <c r="N1166" t="s">
        <v>7</v>
      </c>
      <c r="P1166">
        <f t="shared" si="1034"/>
        <v>0.40206185567010266</v>
      </c>
      <c r="Q1166">
        <f t="shared" si="1035"/>
        <v>225835476.56907192</v>
      </c>
      <c r="R1166">
        <f t="shared" si="1036"/>
        <v>-441004629.40955687</v>
      </c>
      <c r="S1166">
        <f t="shared" si="1037"/>
        <v>-4410.0462940955686</v>
      </c>
      <c r="T1166">
        <f t="shared" si="1038"/>
        <v>-4.4100462940955687</v>
      </c>
    </row>
    <row r="1167" spans="1:20" x14ac:dyDescent="0.25">
      <c r="A1167" s="5">
        <v>43426</v>
      </c>
      <c r="B1167">
        <v>1.491E-2</v>
      </c>
      <c r="C1167">
        <v>1.5049999999999999E-2</v>
      </c>
      <c r="D1167">
        <v>1.372E-2</v>
      </c>
      <c r="E1167">
        <v>1.3809999999999999E-2</v>
      </c>
      <c r="F1167">
        <v>463146010.89999998</v>
      </c>
      <c r="G1167">
        <v>0</v>
      </c>
      <c r="L1167" t="s">
        <v>7</v>
      </c>
      <c r="M1167" t="s">
        <v>8</v>
      </c>
      <c r="N1167" t="s">
        <v>7</v>
      </c>
      <c r="P1167">
        <f t="shared" si="1034"/>
        <v>-0.86466165413533858</v>
      </c>
      <c r="Q1167">
        <f t="shared" si="1035"/>
        <v>-400464595.8909775</v>
      </c>
      <c r="R1167">
        <f t="shared" si="1036"/>
        <v>-666840105.97862875</v>
      </c>
      <c r="S1167">
        <f t="shared" si="1037"/>
        <v>-6668.401059786288</v>
      </c>
      <c r="T1167">
        <f t="shared" si="1038"/>
        <v>-6.6684010597862882</v>
      </c>
    </row>
    <row r="1168" spans="1:20" x14ac:dyDescent="0.25">
      <c r="A1168" s="5">
        <v>43425</v>
      </c>
      <c r="B1168">
        <v>1.414E-2</v>
      </c>
      <c r="C1168">
        <v>1.5299999999999999E-2</v>
      </c>
      <c r="D1168">
        <v>1.358E-2</v>
      </c>
      <c r="E1168">
        <v>1.489E-2</v>
      </c>
      <c r="F1168">
        <v>942272119.29999995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0.52325581395348941</v>
      </c>
      <c r="Q1168">
        <f t="shared" si="1035"/>
        <v>493049364.75000095</v>
      </c>
      <c r="R1168">
        <f t="shared" si="1036"/>
        <v>-266375510.08765125</v>
      </c>
      <c r="S1168">
        <f t="shared" si="1037"/>
        <v>-2663.7551008765126</v>
      </c>
      <c r="T1168">
        <f t="shared" si="1038"/>
        <v>-2.6637551008765126</v>
      </c>
    </row>
    <row r="1169" spans="1:20" x14ac:dyDescent="0.25">
      <c r="A1169" s="5">
        <v>43424</v>
      </c>
      <c r="B1169">
        <v>1.5900000000000001E-2</v>
      </c>
      <c r="C1169">
        <v>1.66E-2</v>
      </c>
      <c r="D1169">
        <v>1.2619999999999999E-2</v>
      </c>
      <c r="E1169">
        <v>1.4160000000000001E-2</v>
      </c>
      <c r="F1169">
        <v>1293497112.3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-0.22613065326633111</v>
      </c>
      <c r="Q1169">
        <f t="shared" si="1035"/>
        <v>-292499347.00251186</v>
      </c>
      <c r="R1169">
        <f t="shared" si="1036"/>
        <v>-759424874.83765221</v>
      </c>
      <c r="S1169">
        <f t="shared" si="1037"/>
        <v>-7594.2487483765217</v>
      </c>
      <c r="T1169">
        <f t="shared" si="1038"/>
        <v>-7.594248748376522</v>
      </c>
    </row>
    <row r="1170" spans="1:20" x14ac:dyDescent="0.25">
      <c r="A1170" s="5">
        <v>43423</v>
      </c>
      <c r="B1170">
        <v>1.8970000000000001E-2</v>
      </c>
      <c r="C1170">
        <v>1.898E-2</v>
      </c>
      <c r="D1170">
        <v>1.5599999999999999E-2</v>
      </c>
      <c r="E1170">
        <v>1.5879999999999998E-2</v>
      </c>
      <c r="F1170">
        <v>696106787.10000002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-0.83431952662721953</v>
      </c>
      <c r="Q1170">
        <f t="shared" si="1035"/>
        <v>-580775485.0952667</v>
      </c>
      <c r="R1170">
        <f t="shared" si="1036"/>
        <v>-466925527.83514041</v>
      </c>
      <c r="S1170">
        <f t="shared" si="1037"/>
        <v>-4669.2552783514038</v>
      </c>
      <c r="T1170">
        <f t="shared" si="1038"/>
        <v>-4.6692552783514039</v>
      </c>
    </row>
    <row r="1171" spans="1:20" x14ac:dyDescent="0.25">
      <c r="A1171" s="5">
        <v>43422</v>
      </c>
      <c r="B1171">
        <v>1.9029999999999998E-2</v>
      </c>
      <c r="C1171">
        <v>1.941E-2</v>
      </c>
      <c r="D1171">
        <v>1.8769999999999998E-2</v>
      </c>
      <c r="E1171">
        <v>1.8960000000000001E-2</v>
      </c>
      <c r="F1171">
        <v>289759714</v>
      </c>
      <c r="G1171">
        <v>0</v>
      </c>
      <c r="L1171" t="s">
        <v>8</v>
      </c>
      <c r="M1171" t="s">
        <v>7</v>
      </c>
      <c r="N1171" t="s">
        <v>7</v>
      </c>
      <c r="P1171">
        <f t="shared" si="1034"/>
        <v>-0.40624999999999323</v>
      </c>
      <c r="Q1171">
        <f t="shared" si="1035"/>
        <v>-117714883.81249803</v>
      </c>
      <c r="R1171">
        <f t="shared" si="1036"/>
        <v>113849957.26012629</v>
      </c>
      <c r="S1171">
        <f t="shared" si="1037"/>
        <v>1138.499572601263</v>
      </c>
      <c r="T1171">
        <f t="shared" si="1038"/>
        <v>1.138499572601263</v>
      </c>
    </row>
    <row r="1172" spans="1:20" x14ac:dyDescent="0.25">
      <c r="A1172" s="5">
        <v>43421</v>
      </c>
      <c r="B1172">
        <v>1.9109999999999999E-2</v>
      </c>
      <c r="C1172">
        <v>1.9199999999999998E-2</v>
      </c>
      <c r="D1172">
        <v>1.8550000000000001E-2</v>
      </c>
      <c r="E1172">
        <v>1.9040000000000001E-2</v>
      </c>
      <c r="F1172">
        <v>332339848.39999998</v>
      </c>
      <c r="G1172">
        <v>0</v>
      </c>
      <c r="L1172" t="s">
        <v>8</v>
      </c>
      <c r="M1172" t="s">
        <v>7</v>
      </c>
      <c r="N1172" t="s">
        <v>7</v>
      </c>
      <c r="P1172">
        <f t="shared" si="1034"/>
        <v>0.50769230769231544</v>
      </c>
      <c r="Q1172">
        <f t="shared" si="1035"/>
        <v>168726384.57231024</v>
      </c>
      <c r="R1172">
        <f t="shared" si="1036"/>
        <v>231564841.07262433</v>
      </c>
      <c r="S1172">
        <f t="shared" si="1037"/>
        <v>2315.6484107262431</v>
      </c>
      <c r="T1172">
        <f t="shared" si="1038"/>
        <v>2.3156484107262432</v>
      </c>
    </row>
    <row r="1173" spans="1:20" x14ac:dyDescent="0.25">
      <c r="A1173" s="5">
        <v>43420</v>
      </c>
      <c r="B1173">
        <v>1.9439999999999999E-2</v>
      </c>
      <c r="C1173">
        <v>1.9800000000000002E-2</v>
      </c>
      <c r="D1173">
        <v>1.8679999999999999E-2</v>
      </c>
      <c r="E1173">
        <v>1.9120000000000002E-2</v>
      </c>
      <c r="F1173">
        <v>407002367.19999999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-0.21428571428571119</v>
      </c>
      <c r="Q1173">
        <f t="shared" si="1035"/>
        <v>-87214792.971427307</v>
      </c>
      <c r="R1173">
        <f t="shared" si="1036"/>
        <v>62838456.500314072</v>
      </c>
      <c r="S1173">
        <f t="shared" si="1037"/>
        <v>628.38456500314066</v>
      </c>
      <c r="T1173">
        <f t="shared" si="1038"/>
        <v>0.62838456500314066</v>
      </c>
    </row>
    <row r="1174" spans="1:20" x14ac:dyDescent="0.25">
      <c r="A1174" s="5">
        <v>43419</v>
      </c>
      <c r="B1174">
        <v>0.02</v>
      </c>
      <c r="C1174">
        <v>2.0150000000000001E-2</v>
      </c>
      <c r="D1174">
        <v>1.7500000000000002E-2</v>
      </c>
      <c r="E1174">
        <v>1.942E-2</v>
      </c>
      <c r="F1174">
        <v>619084383.70000005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0.4490566037735837</v>
      </c>
      <c r="Q1174">
        <f t="shared" si="1035"/>
        <v>278003930.79358417</v>
      </c>
      <c r="R1174">
        <f t="shared" si="1036"/>
        <v>150053249.47174138</v>
      </c>
      <c r="S1174">
        <f t="shared" si="1037"/>
        <v>1500.5324947174138</v>
      </c>
      <c r="T1174">
        <f t="shared" si="1038"/>
        <v>1.5005324947174137</v>
      </c>
    </row>
    <row r="1175" spans="1:20" x14ac:dyDescent="0.25">
      <c r="A1175" s="5">
        <v>43418</v>
      </c>
      <c r="B1175">
        <v>2.222E-2</v>
      </c>
      <c r="C1175">
        <v>2.2239999999999999E-2</v>
      </c>
      <c r="D1175">
        <v>1.8610000000000002E-2</v>
      </c>
      <c r="E1175">
        <v>1.9990000000000001E-2</v>
      </c>
      <c r="F1175">
        <v>546539319.20000005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-0.23966942148760323</v>
      </c>
      <c r="Q1175">
        <f t="shared" si="1035"/>
        <v>-130988762.45289253</v>
      </c>
      <c r="R1175">
        <f t="shared" si="1036"/>
        <v>-127950681.32184277</v>
      </c>
      <c r="S1175">
        <f t="shared" si="1037"/>
        <v>-1279.5068132184279</v>
      </c>
      <c r="T1175">
        <f t="shared" si="1038"/>
        <v>-1.2795068132184277</v>
      </c>
    </row>
    <row r="1176" spans="1:20" x14ac:dyDescent="0.25">
      <c r="A1176" s="5">
        <v>43417</v>
      </c>
      <c r="B1176">
        <v>2.2700000000000001E-2</v>
      </c>
      <c r="C1176">
        <v>2.2960000000000001E-2</v>
      </c>
      <c r="D1176">
        <v>2.2210000000000001E-2</v>
      </c>
      <c r="E1176">
        <v>2.222E-2</v>
      </c>
      <c r="F1176">
        <v>256601745.40000001</v>
      </c>
      <c r="G1176">
        <v>0</v>
      </c>
      <c r="L1176" t="s">
        <v>7</v>
      </c>
      <c r="M1176" t="s">
        <v>7</v>
      </c>
      <c r="N1176" t="s">
        <v>7</v>
      </c>
      <c r="P1176">
        <f t="shared" si="1034"/>
        <v>-0.97333333333333449</v>
      </c>
      <c r="Q1176">
        <f t="shared" si="1035"/>
        <v>-249759032.18933365</v>
      </c>
      <c r="R1176">
        <f t="shared" si="1036"/>
        <v>3038081.1310497522</v>
      </c>
      <c r="S1176">
        <f t="shared" si="1037"/>
        <v>30.380811310497521</v>
      </c>
      <c r="T1176">
        <f t="shared" si="1038"/>
        <v>3.0380811310497521E-2</v>
      </c>
    </row>
    <row r="1177" spans="1:20" x14ac:dyDescent="0.25">
      <c r="A1177" s="5">
        <v>43416</v>
      </c>
      <c r="B1177">
        <v>2.299E-2</v>
      </c>
      <c r="C1177">
        <v>2.3179999999999999E-2</v>
      </c>
      <c r="D1177">
        <v>2.2290000000000001E-2</v>
      </c>
      <c r="E1177">
        <v>2.2689999999999998E-2</v>
      </c>
      <c r="F1177">
        <v>261836117.90000001</v>
      </c>
      <c r="G1177">
        <v>0</v>
      </c>
      <c r="L1177" t="s">
        <v>7</v>
      </c>
      <c r="M1177" t="s">
        <v>7</v>
      </c>
      <c r="N1177" t="s">
        <v>7</v>
      </c>
      <c r="P1177">
        <f t="shared" si="1034"/>
        <v>-0.10112359550562183</v>
      </c>
      <c r="Q1177">
        <f t="shared" si="1035"/>
        <v>-26477809.675281908</v>
      </c>
      <c r="R1177">
        <f t="shared" si="1036"/>
        <v>252797113.3203834</v>
      </c>
      <c r="S1177">
        <f t="shared" si="1037"/>
        <v>2527.9711332038341</v>
      </c>
      <c r="T1177">
        <f t="shared" si="1038"/>
        <v>2.5279711332038342</v>
      </c>
    </row>
    <row r="1178" spans="1:20" x14ac:dyDescent="0.25">
      <c r="A1178" s="5">
        <v>43415</v>
      </c>
      <c r="B1178">
        <v>2.3089999999999999E-2</v>
      </c>
      <c r="C1178">
        <v>2.315E-2</v>
      </c>
      <c r="D1178">
        <v>2.2589999999999999E-2</v>
      </c>
      <c r="E1178">
        <v>2.299E-2</v>
      </c>
      <c r="F1178">
        <v>222369520.5</v>
      </c>
      <c r="G1178">
        <v>0</v>
      </c>
      <c r="L1178" t="s">
        <v>7</v>
      </c>
      <c r="M1178" t="s">
        <v>7</v>
      </c>
      <c r="N1178" t="s">
        <v>7</v>
      </c>
      <c r="P1178">
        <f t="shared" si="1034"/>
        <v>0.42857142857142855</v>
      </c>
      <c r="Q1178">
        <f t="shared" si="1035"/>
        <v>95301223.071428567</v>
      </c>
      <c r="R1178">
        <f t="shared" si="1036"/>
        <v>279274922.99566531</v>
      </c>
      <c r="S1178">
        <f t="shared" si="1037"/>
        <v>2792.7492299566529</v>
      </c>
      <c r="T1178">
        <f t="shared" si="1038"/>
        <v>2.792749229956653</v>
      </c>
    </row>
    <row r="1179" spans="1:20" x14ac:dyDescent="0.25">
      <c r="A1179" s="5">
        <v>43414</v>
      </c>
      <c r="B1179">
        <v>2.3140000000000001E-2</v>
      </c>
      <c r="C1179">
        <v>2.349E-2</v>
      </c>
      <c r="D1179">
        <v>2.2800000000000001E-2</v>
      </c>
      <c r="E1179">
        <v>2.3089999999999999E-2</v>
      </c>
      <c r="F1179">
        <v>236910869</v>
      </c>
      <c r="G1179">
        <v>0</v>
      </c>
      <c r="L1179" t="s">
        <v>7</v>
      </c>
      <c r="M1179" t="s">
        <v>7</v>
      </c>
      <c r="N1179" t="s">
        <v>7</v>
      </c>
      <c r="P1179">
        <f t="shared" si="1034"/>
        <v>-0.15942028985507611</v>
      </c>
      <c r="Q1179">
        <f t="shared" si="1035"/>
        <v>-37768399.405797966</v>
      </c>
      <c r="R1179">
        <f t="shared" si="1036"/>
        <v>183973699.92423674</v>
      </c>
      <c r="S1179">
        <f t="shared" si="1037"/>
        <v>1839.7369992423673</v>
      </c>
      <c r="T1179">
        <f t="shared" si="1038"/>
        <v>1.8397369992423673</v>
      </c>
    </row>
    <row r="1180" spans="1:20" x14ac:dyDescent="0.25">
      <c r="A1180" s="5">
        <v>43413</v>
      </c>
      <c r="B1180">
        <v>2.3189999999999999E-2</v>
      </c>
      <c r="C1180">
        <v>2.3560000000000001E-2</v>
      </c>
      <c r="D1180">
        <v>2.2870000000000001E-2</v>
      </c>
      <c r="E1180">
        <v>2.315E-2</v>
      </c>
      <c r="F1180">
        <v>267379666.80000001</v>
      </c>
      <c r="G1180">
        <v>0</v>
      </c>
      <c r="L1180" t="s">
        <v>7</v>
      </c>
      <c r="M1180" t="s">
        <v>7</v>
      </c>
      <c r="N1180" t="s">
        <v>7</v>
      </c>
      <c r="P1180">
        <f t="shared" si="1034"/>
        <v>-0.18840579710145175</v>
      </c>
      <c r="Q1180">
        <f t="shared" si="1035"/>
        <v>-50375879.252174579</v>
      </c>
      <c r="R1180">
        <f t="shared" si="1036"/>
        <v>221742099.3300347</v>
      </c>
      <c r="S1180">
        <f t="shared" si="1037"/>
        <v>2217.4209933003472</v>
      </c>
      <c r="T1180">
        <f t="shared" si="1038"/>
        <v>2.217420993300347</v>
      </c>
    </row>
    <row r="1181" spans="1:20" x14ac:dyDescent="0.25">
      <c r="A1181" s="5">
        <v>43412</v>
      </c>
      <c r="B1181">
        <v>2.4160000000000001E-2</v>
      </c>
      <c r="C1181">
        <v>2.4320000000000001E-2</v>
      </c>
      <c r="D1181">
        <v>2.307E-2</v>
      </c>
      <c r="E1181">
        <v>2.3189999999999999E-2</v>
      </c>
      <c r="F1181">
        <v>332973343.39999998</v>
      </c>
      <c r="G1181">
        <v>0</v>
      </c>
      <c r="L1181" t="s">
        <v>7</v>
      </c>
      <c r="M1181" t="s">
        <v>7</v>
      </c>
      <c r="N1181" t="s">
        <v>7</v>
      </c>
      <c r="P1181">
        <f t="shared" si="1034"/>
        <v>-0.80800000000000249</v>
      </c>
      <c r="Q1181">
        <f t="shared" si="1035"/>
        <v>-269042461.46720082</v>
      </c>
      <c r="R1181">
        <f t="shared" si="1036"/>
        <v>272117978.58220929</v>
      </c>
      <c r="S1181">
        <f t="shared" si="1037"/>
        <v>2721.179785822093</v>
      </c>
      <c r="T1181">
        <f t="shared" si="1038"/>
        <v>2.721179785822093</v>
      </c>
    </row>
    <row r="1182" spans="1:20" x14ac:dyDescent="0.25">
      <c r="A1182" s="5">
        <v>43411</v>
      </c>
      <c r="B1182">
        <v>2.4750000000000001E-2</v>
      </c>
      <c r="C1182">
        <v>2.5100000000000001E-2</v>
      </c>
      <c r="D1182">
        <v>2.3779999999999999E-2</v>
      </c>
      <c r="E1182">
        <v>2.4150000000000001E-2</v>
      </c>
      <c r="F1182">
        <v>368914986</v>
      </c>
      <c r="G1182">
        <v>0</v>
      </c>
      <c r="L1182" t="s">
        <v>8</v>
      </c>
      <c r="M1182" t="s">
        <v>7</v>
      </c>
      <c r="N1182" t="s">
        <v>7</v>
      </c>
      <c r="P1182">
        <f t="shared" si="1034"/>
        <v>-0.43939393939393667</v>
      </c>
      <c r="Q1182">
        <f t="shared" si="1035"/>
        <v>-162099008.99999899</v>
      </c>
      <c r="R1182">
        <f t="shared" si="1036"/>
        <v>541160440.0494101</v>
      </c>
      <c r="S1182">
        <f t="shared" si="1037"/>
        <v>5411.6044004941014</v>
      </c>
      <c r="T1182">
        <f t="shared" si="1038"/>
        <v>5.4116044004941015</v>
      </c>
    </row>
    <row r="1183" spans="1:20" x14ac:dyDescent="0.25">
      <c r="A1183" s="5">
        <v>43410</v>
      </c>
      <c r="B1183">
        <v>2.3939999999999999E-2</v>
      </c>
      <c r="C1183">
        <v>2.4899999999999999E-2</v>
      </c>
      <c r="D1183">
        <v>2.376E-2</v>
      </c>
      <c r="E1183">
        <v>2.4750000000000001E-2</v>
      </c>
      <c r="F1183">
        <v>382269101.39999998</v>
      </c>
      <c r="G1183">
        <v>0</v>
      </c>
      <c r="L1183" t="s">
        <v>8</v>
      </c>
      <c r="M1183" t="s">
        <v>7</v>
      </c>
      <c r="N1183" t="s">
        <v>7</v>
      </c>
      <c r="P1183">
        <f t="shared" si="1034"/>
        <v>0.73684210526316218</v>
      </c>
      <c r="Q1183">
        <f t="shared" si="1035"/>
        <v>281671969.4526332</v>
      </c>
      <c r="R1183">
        <f t="shared" si="1036"/>
        <v>703259449.04940915</v>
      </c>
      <c r="S1183">
        <f t="shared" si="1037"/>
        <v>7032.5944904940916</v>
      </c>
      <c r="T1183">
        <f t="shared" si="1038"/>
        <v>7.032594490494092</v>
      </c>
    </row>
    <row r="1184" spans="1:20" x14ac:dyDescent="0.25">
      <c r="A1184" s="5">
        <v>43409</v>
      </c>
      <c r="B1184">
        <v>2.367E-2</v>
      </c>
      <c r="C1184">
        <v>2.4140000000000002E-2</v>
      </c>
      <c r="D1184">
        <v>2.3310000000000001E-2</v>
      </c>
      <c r="E1184">
        <v>2.3939999999999999E-2</v>
      </c>
      <c r="F1184">
        <v>307017412.19999999</v>
      </c>
      <c r="G1184">
        <v>0</v>
      </c>
      <c r="L1184" t="s">
        <v>8</v>
      </c>
      <c r="M1184" t="s">
        <v>7</v>
      </c>
      <c r="N1184" t="s">
        <v>7</v>
      </c>
      <c r="P1184">
        <f t="shared" si="1034"/>
        <v>0.51807228915662162</v>
      </c>
      <c r="Q1184">
        <f t="shared" si="1035"/>
        <v>159057213.5493961</v>
      </c>
      <c r="R1184">
        <f t="shared" si="1036"/>
        <v>421587479.59677601</v>
      </c>
      <c r="S1184">
        <f t="shared" si="1037"/>
        <v>4215.8747959677603</v>
      </c>
      <c r="T1184">
        <f t="shared" si="1038"/>
        <v>4.2158747959677605</v>
      </c>
    </row>
    <row r="1185" spans="1:20" x14ac:dyDescent="0.25">
      <c r="A1185" s="5">
        <v>43408</v>
      </c>
      <c r="B1185">
        <v>2.274E-2</v>
      </c>
      <c r="C1185">
        <v>2.402E-2</v>
      </c>
      <c r="D1185">
        <v>2.231E-2</v>
      </c>
      <c r="E1185">
        <v>2.3689999999999999E-2</v>
      </c>
      <c r="F1185">
        <v>304529926.30000001</v>
      </c>
      <c r="G1185">
        <v>0</v>
      </c>
      <c r="L1185" t="s">
        <v>8</v>
      </c>
      <c r="M1185" t="s">
        <v>7</v>
      </c>
      <c r="N1185" t="s">
        <v>7</v>
      </c>
      <c r="P1185">
        <f t="shared" si="1034"/>
        <v>0.61403508771929771</v>
      </c>
      <c r="Q1185">
        <f t="shared" si="1035"/>
        <v>186992060.00877178</v>
      </c>
      <c r="R1185">
        <f t="shared" si="1036"/>
        <v>262530266.04737994</v>
      </c>
      <c r="S1185">
        <f t="shared" si="1037"/>
        <v>2625.3026604737993</v>
      </c>
      <c r="T1185">
        <f t="shared" si="1038"/>
        <v>2.6253026604737992</v>
      </c>
    </row>
    <row r="1186" spans="1:20" x14ac:dyDescent="0.25">
      <c r="A1186" s="5">
        <v>43407</v>
      </c>
      <c r="B1186">
        <v>2.3E-2</v>
      </c>
      <c r="C1186">
        <v>2.3050000000000001E-2</v>
      </c>
      <c r="D1186">
        <v>2.248E-2</v>
      </c>
      <c r="E1186">
        <v>2.273E-2</v>
      </c>
      <c r="F1186">
        <v>200976943.09999999</v>
      </c>
      <c r="G1186">
        <v>0</v>
      </c>
      <c r="L1186" t="s">
        <v>8</v>
      </c>
      <c r="M1186" t="s">
        <v>7</v>
      </c>
      <c r="N1186" t="s">
        <v>7</v>
      </c>
      <c r="P1186">
        <f t="shared" si="1034"/>
        <v>-0.1228070175438605</v>
      </c>
      <c r="Q1186">
        <f t="shared" si="1035"/>
        <v>-24681378.977193154</v>
      </c>
      <c r="R1186">
        <f t="shared" si="1036"/>
        <v>75538206.038608164</v>
      </c>
      <c r="S1186">
        <f t="shared" si="1037"/>
        <v>755.38206038608166</v>
      </c>
      <c r="T1186">
        <f t="shared" si="1038"/>
        <v>0.75538206038608169</v>
      </c>
    </row>
    <row r="1187" spans="1:20" x14ac:dyDescent="0.25">
      <c r="A1187" s="5">
        <v>43406</v>
      </c>
      <c r="B1187">
        <v>2.2550000000000001E-2</v>
      </c>
      <c r="C1187">
        <v>2.3259999999999999E-2</v>
      </c>
      <c r="D1187">
        <v>2.2419999999999999E-2</v>
      </c>
      <c r="E1187">
        <v>2.3E-2</v>
      </c>
      <c r="F1187">
        <v>250753695</v>
      </c>
      <c r="G1187">
        <v>0</v>
      </c>
      <c r="L1187" t="s">
        <v>8</v>
      </c>
      <c r="M1187" t="s">
        <v>7</v>
      </c>
      <c r="N1187" t="s">
        <v>7</v>
      </c>
      <c r="P1187">
        <f t="shared" si="1034"/>
        <v>0.38095238095238176</v>
      </c>
      <c r="Q1187">
        <f t="shared" si="1035"/>
        <v>95525217.142857343</v>
      </c>
      <c r="R1187">
        <f t="shared" si="1036"/>
        <v>100219585.01580133</v>
      </c>
      <c r="S1187">
        <f t="shared" si="1037"/>
        <v>1002.1958501580133</v>
      </c>
      <c r="T1187">
        <f t="shared" si="1038"/>
        <v>1.0021958501580133</v>
      </c>
    </row>
    <row r="1188" spans="1:20" x14ac:dyDescent="0.25">
      <c r="A1188" s="5">
        <v>43405</v>
      </c>
      <c r="B1188">
        <v>2.239E-2</v>
      </c>
      <c r="C1188">
        <v>2.2599999999999999E-2</v>
      </c>
      <c r="D1188">
        <v>2.2100000000000002E-2</v>
      </c>
      <c r="E1188">
        <v>2.2530000000000001E-2</v>
      </c>
      <c r="F1188">
        <v>189567713.09999999</v>
      </c>
      <c r="G1188">
        <v>0</v>
      </c>
      <c r="L1188" t="s">
        <v>7</v>
      </c>
      <c r="M1188" t="s">
        <v>7</v>
      </c>
      <c r="N1188" t="s">
        <v>7</v>
      </c>
      <c r="P1188">
        <f t="shared" si="1034"/>
        <v>0.72000000000000974</v>
      </c>
      <c r="Q1188">
        <f t="shared" si="1035"/>
        <v>136488753.43200183</v>
      </c>
      <c r="R1188">
        <f t="shared" si="1036"/>
        <v>4694367.8729439825</v>
      </c>
      <c r="S1188">
        <f t="shared" si="1037"/>
        <v>46.943678729439824</v>
      </c>
      <c r="T1188">
        <f t="shared" si="1038"/>
        <v>4.6943678729439824E-2</v>
      </c>
    </row>
    <row r="1189" spans="1:20" x14ac:dyDescent="0.25">
      <c r="A1189" s="5">
        <v>43404</v>
      </c>
      <c r="B1189">
        <v>2.223E-2</v>
      </c>
      <c r="C1189">
        <v>2.2720000000000001E-2</v>
      </c>
      <c r="D1189">
        <v>2.137E-2</v>
      </c>
      <c r="E1189">
        <v>2.239E-2</v>
      </c>
      <c r="F1189">
        <v>215538835.30000001</v>
      </c>
      <c r="G1189">
        <v>0</v>
      </c>
      <c r="L1189" t="s">
        <v>7</v>
      </c>
      <c r="M1189" t="s">
        <v>7</v>
      </c>
      <c r="N1189" t="s">
        <v>7</v>
      </c>
      <c r="P1189">
        <f t="shared" si="1034"/>
        <v>0.51111111111111063</v>
      </c>
      <c r="Q1189">
        <f t="shared" si="1035"/>
        <v>110164293.59777768</v>
      </c>
      <c r="R1189">
        <f t="shared" si="1036"/>
        <v>-131794385.55905785</v>
      </c>
      <c r="S1189">
        <f t="shared" si="1037"/>
        <v>-1317.9438555905786</v>
      </c>
      <c r="T1189">
        <f t="shared" si="1038"/>
        <v>-1.3179438555905785</v>
      </c>
    </row>
    <row r="1190" spans="1:20" x14ac:dyDescent="0.25">
      <c r="A1190" s="5">
        <v>43403</v>
      </c>
      <c r="B1190">
        <v>2.222E-2</v>
      </c>
      <c r="C1190">
        <v>2.2499999999999999E-2</v>
      </c>
      <c r="D1190">
        <v>2.206E-2</v>
      </c>
      <c r="E1190">
        <v>2.222E-2</v>
      </c>
      <c r="F1190">
        <v>175087725.09999999</v>
      </c>
      <c r="G1190">
        <v>0</v>
      </c>
      <c r="L1190" t="s">
        <v>7</v>
      </c>
      <c r="M1190" t="s">
        <v>7</v>
      </c>
      <c r="N1190" t="s">
        <v>7</v>
      </c>
      <c r="P1190">
        <f t="shared" si="1034"/>
        <v>-0.27272727272726988</v>
      </c>
      <c r="Q1190">
        <f t="shared" si="1035"/>
        <v>-47751197.754544951</v>
      </c>
      <c r="R1190">
        <f t="shared" si="1036"/>
        <v>-241958679.15683553</v>
      </c>
      <c r="S1190">
        <f t="shared" si="1037"/>
        <v>-2419.5867915683552</v>
      </c>
      <c r="T1190">
        <f t="shared" si="1038"/>
        <v>-2.4195867915683551</v>
      </c>
    </row>
    <row r="1191" spans="1:20" x14ac:dyDescent="0.25">
      <c r="A1191" s="5">
        <v>43402</v>
      </c>
      <c r="B1191">
        <v>2.3570000000000001E-2</v>
      </c>
      <c r="C1191">
        <v>2.3689999999999999E-2</v>
      </c>
      <c r="D1191">
        <v>2.1649999999999999E-2</v>
      </c>
      <c r="E1191">
        <v>2.2210000000000001E-2</v>
      </c>
      <c r="F1191">
        <v>264299436.40000001</v>
      </c>
      <c r="G1191">
        <v>0</v>
      </c>
      <c r="L1191" t="s">
        <v>7</v>
      </c>
      <c r="M1191" t="s">
        <v>7</v>
      </c>
      <c r="N1191" t="s">
        <v>7</v>
      </c>
      <c r="P1191">
        <f t="shared" si="1034"/>
        <v>-0.45098039215686136</v>
      </c>
      <c r="Q1191">
        <f t="shared" si="1035"/>
        <v>-119193863.47450945</v>
      </c>
      <c r="R1191">
        <f t="shared" si="1036"/>
        <v>-194207481.40229058</v>
      </c>
      <c r="S1191">
        <f t="shared" si="1037"/>
        <v>-1942.0748140229059</v>
      </c>
      <c r="T1191">
        <f t="shared" si="1038"/>
        <v>-1.9420748140229058</v>
      </c>
    </row>
    <row r="1192" spans="1:20" x14ac:dyDescent="0.25">
      <c r="A1192" s="5">
        <v>43401</v>
      </c>
      <c r="B1192">
        <v>2.3449999999999999E-2</v>
      </c>
      <c r="C1192">
        <v>2.3720000000000001E-2</v>
      </c>
      <c r="D1192">
        <v>2.3369999999999998E-2</v>
      </c>
      <c r="E1192">
        <v>2.358E-2</v>
      </c>
      <c r="F1192">
        <v>122559284.09999999</v>
      </c>
      <c r="G1192">
        <v>0</v>
      </c>
      <c r="L1192" t="s">
        <v>7</v>
      </c>
      <c r="M1192" t="s">
        <v>7</v>
      </c>
      <c r="N1192" t="s">
        <v>7</v>
      </c>
      <c r="P1192">
        <f t="shared" si="1034"/>
        <v>0.2</v>
      </c>
      <c r="Q1192">
        <f t="shared" si="1035"/>
        <v>24511856.82</v>
      </c>
      <c r="R1192">
        <f t="shared" si="1036"/>
        <v>-75013617.927781135</v>
      </c>
      <c r="S1192">
        <f t="shared" si="1037"/>
        <v>-750.13617927781138</v>
      </c>
      <c r="T1192">
        <f t="shared" si="1038"/>
        <v>-0.7501361792778114</v>
      </c>
    </row>
    <row r="1193" spans="1:20" x14ac:dyDescent="0.25">
      <c r="A1193" s="5">
        <v>43400</v>
      </c>
      <c r="B1193">
        <v>2.3910000000000001E-2</v>
      </c>
      <c r="C1193">
        <v>2.4E-2</v>
      </c>
      <c r="D1193">
        <v>2.3349999999999999E-2</v>
      </c>
      <c r="E1193">
        <v>2.3429999999999999E-2</v>
      </c>
      <c r="F1193">
        <v>134594620.90000001</v>
      </c>
      <c r="G1193">
        <v>0</v>
      </c>
      <c r="L1193" t="s">
        <v>7</v>
      </c>
      <c r="M1193" t="s">
        <v>7</v>
      </c>
      <c r="N1193" t="s">
        <v>7</v>
      </c>
      <c r="P1193">
        <f t="shared" si="1034"/>
        <v>-0.75384615384615372</v>
      </c>
      <c r="Q1193">
        <f t="shared" si="1035"/>
        <v>-101463637.29384615</v>
      </c>
      <c r="R1193">
        <f t="shared" si="1036"/>
        <v>-99525474.747781143</v>
      </c>
      <c r="S1193">
        <f t="shared" si="1037"/>
        <v>-995.25474747781141</v>
      </c>
      <c r="T1193">
        <f t="shared" si="1038"/>
        <v>-0.9952547474778114</v>
      </c>
    </row>
    <row r="1194" spans="1:20" x14ac:dyDescent="0.25">
      <c r="A1194" s="5">
        <v>43399</v>
      </c>
      <c r="B1194">
        <v>2.3390000000000001E-2</v>
      </c>
      <c r="C1194">
        <v>2.4049999999999998E-2</v>
      </c>
      <c r="D1194">
        <v>2.3220000000000001E-2</v>
      </c>
      <c r="E1194">
        <v>2.3910000000000001E-2</v>
      </c>
      <c r="F1194">
        <v>168010246.59999999</v>
      </c>
      <c r="G1194">
        <v>0</v>
      </c>
      <c r="L1194" t="s">
        <v>7</v>
      </c>
      <c r="M1194" t="s">
        <v>7</v>
      </c>
      <c r="N1194" t="s">
        <v>7</v>
      </c>
      <c r="P1194">
        <f t="shared" si="1034"/>
        <v>0.66265060240964291</v>
      </c>
      <c r="Q1194">
        <f t="shared" si="1035"/>
        <v>111332091.12048265</v>
      </c>
      <c r="R1194">
        <f t="shared" si="1036"/>
        <v>1938162.5460650027</v>
      </c>
      <c r="S1194">
        <f t="shared" si="1037"/>
        <v>19.381625460650028</v>
      </c>
      <c r="T1194">
        <f t="shared" si="1038"/>
        <v>1.9381625460650028E-2</v>
      </c>
    </row>
    <row r="1195" spans="1:20" x14ac:dyDescent="0.25">
      <c r="A1195" s="5">
        <v>43398</v>
      </c>
      <c r="B1195">
        <v>2.3720000000000001E-2</v>
      </c>
      <c r="C1195">
        <v>2.3779999999999999E-2</v>
      </c>
      <c r="D1195">
        <v>2.3349999999999999E-2</v>
      </c>
      <c r="E1195">
        <v>2.3400000000000001E-2</v>
      </c>
      <c r="F1195">
        <v>142543603.90000001</v>
      </c>
      <c r="G1195">
        <v>0</v>
      </c>
      <c r="P1195">
        <f t="shared" si="1034"/>
        <v>-0.76744186046510954</v>
      </c>
      <c r="Q1195">
        <f t="shared" si="1035"/>
        <v>-109393928.57441765</v>
      </c>
      <c r="R1195">
        <f t="shared" si="1036"/>
        <v>-109393928.57441765</v>
      </c>
      <c r="S1195">
        <f t="shared" si="1037"/>
        <v>-1093.9392857441765</v>
      </c>
      <c r="T1195">
        <f t="shared" si="1038"/>
        <v>-1.0939392857441765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R733" sqref="PR73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$A$732</v>
      </c>
      <c r="D111" s="1" t="str">
        <f>ADDRESS(C121-1,D121,1,1)</f>
        <v>$PR$732</v>
      </c>
      <c r="E111"/>
    </row>
    <row r="112" spans="1:5" x14ac:dyDescent="0.25">
      <c r="A112" s="7">
        <v>12164.144957890772</v>
      </c>
      <c r="C112" s="1" t="str">
        <f>ADDRESS(C121,1,1,1)</f>
        <v>$A$733</v>
      </c>
      <c r="D112" s="1" t="str">
        <f>ADDRESS(C121,D121-1,1,1)</f>
        <v>$PQ$733</v>
      </c>
      <c r="E112"/>
    </row>
    <row r="113" spans="1:5" x14ac:dyDescent="0.25">
      <c r="A113" s="7">
        <v>11925.63231165762</v>
      </c>
      <c r="C113" s="1" t="str">
        <f>ADDRESS(C121+1,1,1,1)</f>
        <v>$A$734</v>
      </c>
      <c r="D113" s="1" t="str">
        <f>ADDRESS(C121-1,D121+1,1,1)</f>
        <v>$PS$732</v>
      </c>
    </row>
    <row r="114" spans="1:5" x14ac:dyDescent="0.25">
      <c r="A114" s="7">
        <v>11691.796383978059</v>
      </c>
      <c r="C114" s="1" t="str">
        <f>ADDRESS(C121,D121,1,1)</f>
        <v>$PR$733</v>
      </c>
      <c r="D114" s="1" t="str">
        <f>ADDRESS(C121+1,D121+1,1,1)</f>
        <v>$PS$734</v>
      </c>
    </row>
    <row r="115" spans="1:5" x14ac:dyDescent="0.25">
      <c r="A115" s="7">
        <v>11462.545474488292</v>
      </c>
      <c r="C115" s="1" t="str">
        <f>ADDRESS(C121+1,D121,1,1)</f>
        <v>$PR$734</v>
      </c>
    </row>
    <row r="116" spans="1:5" x14ac:dyDescent="0.25">
      <c r="A116" s="7">
        <v>11237.789680870874</v>
      </c>
      <c r="C116" s="1">
        <f>C117-1</f>
        <v>732</v>
      </c>
    </row>
    <row r="117" spans="1:5" x14ac:dyDescent="0.25">
      <c r="A117" s="7">
        <v>11017.440863598895</v>
      </c>
      <c r="C117" s="1">
        <f>C121</f>
        <v>733</v>
      </c>
      <c r="D117" s="1">
        <f>D121</f>
        <v>434</v>
      </c>
    </row>
    <row r="118" spans="1:5" x14ac:dyDescent="0.25">
      <c r="A118" s="7">
        <v>10801.412611371465</v>
      </c>
      <c r="C118" s="1">
        <f>C117+1</f>
        <v>734</v>
      </c>
      <c r="D118" s="1">
        <f>D117+1</f>
        <v>435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733</v>
      </c>
      <c r="D121" s="19">
        <v>434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R733</v>
      </c>
      <c r="D123" s="1" t="str">
        <f>"C"&amp;D121</f>
        <v>C434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5.5510472338699497E-2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346" x14ac:dyDescent="0.25">
      <c r="A673" s="7">
        <v>0.18213156881997963</v>
      </c>
      <c r="B673"/>
      <c r="C673"/>
      <c r="D673"/>
      <c r="E673"/>
      <c r="F673" s="27" t="s">
        <v>7</v>
      </c>
    </row>
    <row r="674" spans="1:346" x14ac:dyDescent="0.25">
      <c r="A674" s="7">
        <v>0.17856036158821534</v>
      </c>
      <c r="B674"/>
      <c r="C674"/>
      <c r="D674"/>
      <c r="E674"/>
      <c r="F674" s="27" t="s">
        <v>7</v>
      </c>
      <c r="LS674" s="27" t="s">
        <v>8</v>
      </c>
    </row>
    <row r="675" spans="1:346" x14ac:dyDescent="0.25">
      <c r="A675" s="7">
        <v>0.17505917802766208</v>
      </c>
      <c r="B675"/>
      <c r="C675"/>
      <c r="D675"/>
      <c r="E675"/>
      <c r="F675" s="27" t="s">
        <v>7</v>
      </c>
      <c r="LS675" s="27" t="s">
        <v>8</v>
      </c>
      <c r="LT675" s="27" t="s">
        <v>7</v>
      </c>
    </row>
    <row r="676" spans="1:346" x14ac:dyDescent="0.25">
      <c r="A676" s="7">
        <v>0.17162664512515888</v>
      </c>
      <c r="B676"/>
      <c r="C676"/>
      <c r="D676"/>
      <c r="E676"/>
      <c r="F676" s="27" t="s">
        <v>7</v>
      </c>
      <c r="LS676" s="27" t="s">
        <v>8</v>
      </c>
      <c r="LT676" s="27" t="s">
        <v>7</v>
      </c>
    </row>
    <row r="677" spans="1:346" x14ac:dyDescent="0.25">
      <c r="A677" s="7">
        <v>0.16826141678937145</v>
      </c>
      <c r="B677"/>
      <c r="C677"/>
      <c r="D677"/>
      <c r="E677"/>
      <c r="F677" s="27" t="s">
        <v>7</v>
      </c>
      <c r="LS677" s="27" t="s">
        <v>8</v>
      </c>
      <c r="LT677" s="27" t="s">
        <v>7</v>
      </c>
      <c r="ME677" s="27" t="s">
        <v>8</v>
      </c>
    </row>
    <row r="678" spans="1:346" x14ac:dyDescent="0.25">
      <c r="A678" s="7">
        <v>0.16496217332291319</v>
      </c>
      <c r="B678"/>
      <c r="C678"/>
      <c r="D678"/>
      <c r="E678"/>
      <c r="F678" s="27" t="s">
        <v>7</v>
      </c>
      <c r="LS678" s="27" t="s">
        <v>8</v>
      </c>
      <c r="LT678" s="27" t="s">
        <v>7</v>
      </c>
      <c r="ME678" s="27" t="s">
        <v>8</v>
      </c>
      <c r="MF678" s="27" t="s">
        <v>7</v>
      </c>
    </row>
    <row r="679" spans="1:346" x14ac:dyDescent="0.25">
      <c r="A679" s="7">
        <v>0.16172762090481685</v>
      </c>
      <c r="B679"/>
      <c r="C679"/>
      <c r="D679"/>
      <c r="E679"/>
      <c r="F679" s="27" t="s">
        <v>7</v>
      </c>
      <c r="LS679" s="27" t="s">
        <v>8</v>
      </c>
      <c r="LT679" s="27" t="s">
        <v>7</v>
      </c>
      <c r="ME679" s="27" t="s">
        <v>8</v>
      </c>
      <c r="MF679" s="27" t="s">
        <v>7</v>
      </c>
    </row>
    <row r="680" spans="1:346" x14ac:dyDescent="0.25">
      <c r="A680" s="7">
        <v>0.15855649108315376</v>
      </c>
      <c r="B680"/>
      <c r="C680"/>
      <c r="D680"/>
      <c r="E680"/>
      <c r="F680" s="27" t="s">
        <v>7</v>
      </c>
      <c r="LS680" s="27" t="s">
        <v>8</v>
      </c>
      <c r="LT680" s="27" t="s">
        <v>7</v>
      </c>
      <c r="ME680" s="27" t="s">
        <v>8</v>
      </c>
      <c r="MF680" s="27" t="s">
        <v>7</v>
      </c>
    </row>
    <row r="681" spans="1:346" x14ac:dyDescent="0.25">
      <c r="A681" s="7">
        <v>0.15544754027760171</v>
      </c>
      <c r="B681"/>
      <c r="C681"/>
      <c r="D681"/>
      <c r="E681"/>
      <c r="F681" s="27" t="s">
        <v>7</v>
      </c>
      <c r="LS681" s="27" t="s">
        <v>8</v>
      </c>
      <c r="LT681" s="27" t="s">
        <v>7</v>
      </c>
      <c r="ME681" s="27" t="s">
        <v>8</v>
      </c>
      <c r="MF681" s="27" t="s">
        <v>7</v>
      </c>
    </row>
    <row r="682" spans="1:346" x14ac:dyDescent="0.25">
      <c r="A682" s="7">
        <v>0.15239954929176638</v>
      </c>
      <c r="B682"/>
      <c r="C682"/>
      <c r="D682"/>
      <c r="E682"/>
      <c r="F682" s="27" t="s">
        <v>7</v>
      </c>
      <c r="LS682" s="27" t="s">
        <v>8</v>
      </c>
      <c r="LT682" s="27" t="s">
        <v>7</v>
      </c>
      <c r="ME682" s="27" t="s">
        <v>8</v>
      </c>
      <c r="MF682" s="27" t="s">
        <v>7</v>
      </c>
    </row>
    <row r="683" spans="1:346" x14ac:dyDescent="0.25">
      <c r="A683" s="7">
        <v>0.14941132283506509</v>
      </c>
      <c r="B683"/>
      <c r="C683"/>
      <c r="D683"/>
      <c r="E683"/>
      <c r="F683" s="27" t="s">
        <v>7</v>
      </c>
      <c r="LS683" s="27" t="s">
        <v>8</v>
      </c>
      <c r="LT683" s="27" t="s">
        <v>7</v>
      </c>
      <c r="ME683" s="27" t="s">
        <v>8</v>
      </c>
      <c r="MF683" s="27" t="s">
        <v>7</v>
      </c>
    </row>
    <row r="684" spans="1:346" x14ac:dyDescent="0.25">
      <c r="A684" s="7">
        <v>0.14648168905398537</v>
      </c>
      <c r="B684"/>
      <c r="C684"/>
      <c r="D684"/>
      <c r="E684"/>
      <c r="F684" s="27" t="s">
        <v>7</v>
      </c>
      <c r="LO684" s="27" t="s">
        <v>8</v>
      </c>
      <c r="LS684" s="27" t="s">
        <v>8</v>
      </c>
      <c r="LT684" s="27" t="s">
        <v>7</v>
      </c>
      <c r="LU684" s="27" t="s">
        <v>8</v>
      </c>
      <c r="ME684" s="27" t="s">
        <v>8</v>
      </c>
      <c r="MF684" s="27" t="s">
        <v>7</v>
      </c>
      <c r="MG684" s="27" t="s">
        <v>8</v>
      </c>
    </row>
    <row r="685" spans="1:346" x14ac:dyDescent="0.25">
      <c r="A685" s="7">
        <v>0.14360949907253467</v>
      </c>
      <c r="B685"/>
      <c r="C685"/>
      <c r="D685"/>
      <c r="E685"/>
      <c r="F685" s="27" t="s">
        <v>7</v>
      </c>
      <c r="LO685" s="27" t="s">
        <v>8</v>
      </c>
      <c r="LP685" s="27" t="s">
        <v>7</v>
      </c>
      <c r="LS685" s="27" t="s">
        <v>8</v>
      </c>
      <c r="LT685" s="27" t="s">
        <v>7</v>
      </c>
      <c r="LU685" s="27" t="s">
        <v>8</v>
      </c>
      <c r="LV685" s="27" t="s">
        <v>7</v>
      </c>
      <c r="ME685" s="27" t="s">
        <v>8</v>
      </c>
      <c r="MF685" s="27" t="s">
        <v>7</v>
      </c>
      <c r="MG685" s="27" t="s">
        <v>8</v>
      </c>
      <c r="MH685" s="27" t="s">
        <v>7</v>
      </c>
    </row>
    <row r="686" spans="1:346" x14ac:dyDescent="0.25">
      <c r="A686" s="7">
        <v>0.14079362654170066</v>
      </c>
      <c r="B686"/>
      <c r="C686"/>
      <c r="D686"/>
      <c r="E686"/>
      <c r="F686" s="27" t="s">
        <v>7</v>
      </c>
      <c r="LO686" s="27" t="s">
        <v>8</v>
      </c>
      <c r="LP686" s="27" t="s">
        <v>7</v>
      </c>
      <c r="LS686" s="27" t="s">
        <v>8</v>
      </c>
      <c r="LT686" s="27" t="s">
        <v>7</v>
      </c>
      <c r="LU686" s="27" t="s">
        <v>8</v>
      </c>
      <c r="LV686" s="27" t="s">
        <v>7</v>
      </c>
      <c r="ME686" s="27" t="s">
        <v>8</v>
      </c>
      <c r="MF686" s="27" t="s">
        <v>7</v>
      </c>
      <c r="MG686" s="27" t="s">
        <v>8</v>
      </c>
      <c r="MH686" s="27" t="s">
        <v>7</v>
      </c>
    </row>
    <row r="687" spans="1:346" x14ac:dyDescent="0.25">
      <c r="A687" s="7">
        <v>0.13803296719774574</v>
      </c>
      <c r="B687"/>
      <c r="C687"/>
      <c r="D687"/>
      <c r="E687"/>
      <c r="F687" s="27" t="s">
        <v>7</v>
      </c>
      <c r="LO687" s="27" t="s">
        <v>8</v>
      </c>
      <c r="LP687" s="27" t="s">
        <v>7</v>
      </c>
      <c r="LS687" s="27" t="s">
        <v>8</v>
      </c>
      <c r="LT687" s="27" t="s">
        <v>7</v>
      </c>
      <c r="LU687" s="27" t="s">
        <v>8</v>
      </c>
      <c r="LV687" s="27" t="s">
        <v>7</v>
      </c>
      <c r="ME687" s="27" t="s">
        <v>8</v>
      </c>
      <c r="MF687" s="27" t="s">
        <v>7</v>
      </c>
      <c r="MG687" s="27" t="s">
        <v>8</v>
      </c>
      <c r="MH687" s="27" t="s">
        <v>7</v>
      </c>
    </row>
    <row r="688" spans="1:346" x14ac:dyDescent="0.25">
      <c r="A688" s="7">
        <v>0.1353264384291625</v>
      </c>
      <c r="B688"/>
      <c r="C688"/>
      <c r="D688"/>
      <c r="E688"/>
      <c r="F688" s="27" t="s">
        <v>7</v>
      </c>
      <c r="LO688" s="27" t="s">
        <v>8</v>
      </c>
      <c r="LP688" s="27" t="s">
        <v>7</v>
      </c>
      <c r="LS688" s="27" t="s">
        <v>8</v>
      </c>
      <c r="LT688" s="27" t="s">
        <v>7</v>
      </c>
      <c r="LU688" s="27" t="s">
        <v>8</v>
      </c>
      <c r="LV688" s="27" t="s">
        <v>7</v>
      </c>
      <c r="LW688" s="27" t="s">
        <v>8</v>
      </c>
      <c r="MC688" s="27" t="s">
        <v>8</v>
      </c>
      <c r="ME688" s="27" t="s">
        <v>8</v>
      </c>
      <c r="MF688" s="27" t="s">
        <v>7</v>
      </c>
      <c r="MG688" s="27" t="s">
        <v>8</v>
      </c>
      <c r="MH688" s="27" t="s">
        <v>7</v>
      </c>
    </row>
    <row r="689" spans="1:420" x14ac:dyDescent="0.25">
      <c r="A689" s="7">
        <v>0.13267297885212009</v>
      </c>
      <c r="B689"/>
      <c r="C689"/>
      <c r="D689"/>
      <c r="E689"/>
      <c r="F689" s="27" t="s">
        <v>7</v>
      </c>
      <c r="LO689" s="27" t="s">
        <v>8</v>
      </c>
      <c r="LP689" s="27" t="s">
        <v>7</v>
      </c>
      <c r="LS689" s="27" t="s">
        <v>8</v>
      </c>
      <c r="LT689" s="27" t="s">
        <v>7</v>
      </c>
      <c r="LU689" s="27" t="s">
        <v>8</v>
      </c>
      <c r="LV689" s="27" t="s">
        <v>7</v>
      </c>
      <c r="LW689" s="27" t="s">
        <v>8</v>
      </c>
      <c r="LX689" s="27" t="s">
        <v>7</v>
      </c>
      <c r="MC689" s="27" t="s">
        <v>8</v>
      </c>
      <c r="MD689" s="27" t="s">
        <v>7</v>
      </c>
      <c r="ME689" s="27" t="s">
        <v>8</v>
      </c>
      <c r="MF689" s="27" t="s">
        <v>7</v>
      </c>
      <c r="MG689" s="27" t="s">
        <v>8</v>
      </c>
      <c r="MH689" s="27" t="s">
        <v>7</v>
      </c>
    </row>
    <row r="690" spans="1:420" x14ac:dyDescent="0.25">
      <c r="A690" s="7">
        <v>0.13007154789423539</v>
      </c>
      <c r="B690"/>
      <c r="C690"/>
      <c r="D690"/>
      <c r="E690"/>
      <c r="F690" s="27" t="s">
        <v>7</v>
      </c>
      <c r="LO690" s="27" t="s">
        <v>8</v>
      </c>
      <c r="LP690" s="27" t="s">
        <v>7</v>
      </c>
      <c r="LS690" s="27" t="s">
        <v>8</v>
      </c>
      <c r="LT690" s="27" t="s">
        <v>7</v>
      </c>
      <c r="LU690" s="27" t="s">
        <v>8</v>
      </c>
      <c r="LV690" s="27" t="s">
        <v>7</v>
      </c>
      <c r="LW690" s="27" t="s">
        <v>8</v>
      </c>
      <c r="LX690" s="27" t="s">
        <v>7</v>
      </c>
      <c r="MC690" s="27" t="s">
        <v>8</v>
      </c>
      <c r="MD690" s="27" t="s">
        <v>7</v>
      </c>
      <c r="ME690" s="27" t="s">
        <v>8</v>
      </c>
      <c r="MF690" s="27" t="s">
        <v>7</v>
      </c>
      <c r="MG690" s="27" t="s">
        <v>8</v>
      </c>
      <c r="MH690" s="27" t="s">
        <v>7</v>
      </c>
    </row>
    <row r="691" spans="1:420" x14ac:dyDescent="0.25">
      <c r="A691" s="7">
        <v>0.12752112538650529</v>
      </c>
      <c r="B691"/>
      <c r="C691"/>
      <c r="D691"/>
      <c r="E691"/>
      <c r="F691" s="27" t="s">
        <v>7</v>
      </c>
      <c r="LO691" s="27" t="s">
        <v>8</v>
      </c>
      <c r="LP691" s="27" t="s">
        <v>7</v>
      </c>
      <c r="LS691" s="27" t="s">
        <v>8</v>
      </c>
      <c r="LT691" s="27" t="s">
        <v>7</v>
      </c>
      <c r="LU691" s="27" t="s">
        <v>8</v>
      </c>
      <c r="LV691" s="27" t="s">
        <v>7</v>
      </c>
      <c r="LW691" s="27" t="s">
        <v>8</v>
      </c>
      <c r="LX691" s="27" t="s">
        <v>7</v>
      </c>
      <c r="MA691" s="27" t="s">
        <v>8</v>
      </c>
      <c r="MC691" s="27" t="s">
        <v>8</v>
      </c>
      <c r="MD691" s="27" t="s">
        <v>7</v>
      </c>
      <c r="ME691" s="27" t="s">
        <v>8</v>
      </c>
      <c r="MF691" s="27" t="s">
        <v>7</v>
      </c>
      <c r="MG691" s="27" t="s">
        <v>8</v>
      </c>
      <c r="MH691" s="27" t="s">
        <v>7</v>
      </c>
      <c r="MI691" s="27" t="s">
        <v>8</v>
      </c>
      <c r="OW691" s="27" t="s">
        <v>8</v>
      </c>
    </row>
    <row r="692" spans="1:420" x14ac:dyDescent="0.25">
      <c r="A692" s="7">
        <v>0.12502071116324048</v>
      </c>
      <c r="B692"/>
      <c r="C692"/>
      <c r="D692"/>
      <c r="E692"/>
      <c r="F692" s="27" t="s">
        <v>7</v>
      </c>
      <c r="LO692" s="27" t="s">
        <v>8</v>
      </c>
      <c r="LP692" s="27" t="s">
        <v>7</v>
      </c>
      <c r="LQ692" s="27" t="s">
        <v>8</v>
      </c>
      <c r="LS692" s="27" t="s">
        <v>8</v>
      </c>
      <c r="LT692" s="27" t="s">
        <v>7</v>
      </c>
      <c r="LU692" s="27" t="s">
        <v>8</v>
      </c>
      <c r="LV692" s="27" t="s">
        <v>7</v>
      </c>
      <c r="LW692" s="27" t="s">
        <v>8</v>
      </c>
      <c r="LX692" s="27" t="s">
        <v>7</v>
      </c>
      <c r="MA692" s="27" t="s">
        <v>8</v>
      </c>
      <c r="MB692" s="27" t="s">
        <v>7</v>
      </c>
      <c r="MC692" s="27" t="s">
        <v>8</v>
      </c>
      <c r="MD692" s="27" t="s">
        <v>7</v>
      </c>
      <c r="ME692" s="27" t="s">
        <v>8</v>
      </c>
      <c r="MF692" s="27" t="s">
        <v>7</v>
      </c>
      <c r="MG692" s="27" t="s">
        <v>8</v>
      </c>
      <c r="MH692" s="27" t="s">
        <v>7</v>
      </c>
      <c r="MI692" s="27" t="s">
        <v>8</v>
      </c>
      <c r="MJ692" s="27" t="s">
        <v>7</v>
      </c>
      <c r="OW692" s="27" t="s">
        <v>8</v>
      </c>
      <c r="OX692" s="27" t="s">
        <v>7</v>
      </c>
    </row>
    <row r="693" spans="1:420" x14ac:dyDescent="0.25">
      <c r="A693" s="7">
        <v>0.1225693246698436</v>
      </c>
      <c r="B693"/>
      <c r="C693"/>
      <c r="D693"/>
      <c r="E693"/>
      <c r="F693" s="27" t="s">
        <v>7</v>
      </c>
      <c r="LO693" s="27" t="s">
        <v>8</v>
      </c>
      <c r="LP693" s="27" t="s">
        <v>7</v>
      </c>
      <c r="LQ693" s="27" t="s">
        <v>8</v>
      </c>
      <c r="LR693" s="27" t="s">
        <v>7</v>
      </c>
      <c r="LS693" s="27" t="s">
        <v>8</v>
      </c>
      <c r="LT693" s="27" t="s">
        <v>7</v>
      </c>
      <c r="LV693" s="27" t="s">
        <v>7</v>
      </c>
      <c r="LW693" s="27" t="s">
        <v>8</v>
      </c>
      <c r="LX693" s="27" t="s">
        <v>7</v>
      </c>
      <c r="MA693" s="27" t="s">
        <v>8</v>
      </c>
      <c r="MB693" s="27" t="s">
        <v>7</v>
      </c>
      <c r="MC693" s="27" t="s">
        <v>8</v>
      </c>
      <c r="MD693" s="27" t="s">
        <v>7</v>
      </c>
      <c r="ME693" s="27" t="s">
        <v>8</v>
      </c>
      <c r="MF693" s="27" t="s">
        <v>7</v>
      </c>
      <c r="MG693" s="27" t="s">
        <v>8</v>
      </c>
      <c r="MH693" s="27" t="s">
        <v>7</v>
      </c>
      <c r="MI693" s="27" t="s">
        <v>8</v>
      </c>
      <c r="MJ693" s="27" t="s">
        <v>7</v>
      </c>
      <c r="NW693" s="27" t="s">
        <v>8</v>
      </c>
      <c r="OW693" s="27" t="s">
        <v>8</v>
      </c>
      <c r="OX693" s="27" t="s">
        <v>7</v>
      </c>
    </row>
    <row r="694" spans="1:420" x14ac:dyDescent="0.25">
      <c r="A694" s="7">
        <v>0.12016600457827803</v>
      </c>
      <c r="B694"/>
      <c r="C694"/>
      <c r="D694"/>
      <c r="E694"/>
      <c r="F694" s="27" t="s">
        <v>7</v>
      </c>
      <c r="LO694" s="27" t="s">
        <v>8</v>
      </c>
      <c r="LP694" s="27" t="s">
        <v>7</v>
      </c>
      <c r="LQ694" s="27" t="s">
        <v>8</v>
      </c>
      <c r="LR694" s="27" t="s">
        <v>7</v>
      </c>
      <c r="LS694" s="27" t="s">
        <v>8</v>
      </c>
      <c r="LV694" s="27" t="s">
        <v>7</v>
      </c>
      <c r="LW694" s="27" t="s">
        <v>8</v>
      </c>
      <c r="LX694" s="27" t="s">
        <v>7</v>
      </c>
      <c r="MA694" s="27" t="s">
        <v>8</v>
      </c>
      <c r="MB694" s="27" t="s">
        <v>7</v>
      </c>
      <c r="MC694" s="27" t="s">
        <v>8</v>
      </c>
      <c r="MD694" s="27" t="s">
        <v>7</v>
      </c>
      <c r="ME694" s="27" t="s">
        <v>8</v>
      </c>
      <c r="MF694" s="27" t="s">
        <v>7</v>
      </c>
      <c r="MH694" s="27" t="s">
        <v>7</v>
      </c>
      <c r="MI694" s="27" t="s">
        <v>8</v>
      </c>
      <c r="MJ694" s="27" t="s">
        <v>7</v>
      </c>
      <c r="NW694" s="27" t="s">
        <v>8</v>
      </c>
      <c r="NX694" s="27" t="s">
        <v>7</v>
      </c>
      <c r="OW694" s="27" t="s">
        <v>8</v>
      </c>
      <c r="OX694" s="27" t="s">
        <v>7</v>
      </c>
    </row>
    <row r="695" spans="1:420" x14ac:dyDescent="0.25">
      <c r="A695" s="7">
        <v>0.1178098084100765</v>
      </c>
      <c r="B695"/>
      <c r="C695"/>
      <c r="D695"/>
      <c r="E695"/>
      <c r="F695" s="27" t="s">
        <v>7</v>
      </c>
      <c r="LO695" s="27" t="s">
        <v>8</v>
      </c>
      <c r="LP695" s="27" t="s">
        <v>7</v>
      </c>
      <c r="LQ695" s="27" t="s">
        <v>8</v>
      </c>
      <c r="LR695" s="27" t="s">
        <v>7</v>
      </c>
      <c r="LS695" s="27" t="s">
        <v>8</v>
      </c>
      <c r="LV695" s="27" t="s">
        <v>7</v>
      </c>
      <c r="LX695" s="27" t="s">
        <v>7</v>
      </c>
      <c r="MA695" s="27" t="s">
        <v>8</v>
      </c>
      <c r="MB695" s="27" t="s">
        <v>7</v>
      </c>
      <c r="MD695" s="27" t="s">
        <v>7</v>
      </c>
      <c r="MH695" s="27" t="s">
        <v>7</v>
      </c>
      <c r="MI695" s="27" t="s">
        <v>8</v>
      </c>
      <c r="MJ695" s="27" t="s">
        <v>7</v>
      </c>
      <c r="MK695" s="27" t="s">
        <v>8</v>
      </c>
      <c r="NU695" s="27" t="s">
        <v>8</v>
      </c>
      <c r="NW695" s="27" t="s">
        <v>8</v>
      </c>
      <c r="NX695" s="27" t="s">
        <v>7</v>
      </c>
      <c r="OW695" s="27" t="s">
        <v>8</v>
      </c>
      <c r="OX695" s="27" t="s">
        <v>7</v>
      </c>
    </row>
    <row r="696" spans="1:420" x14ac:dyDescent="0.25">
      <c r="A696" s="7">
        <v>0.11549981216674166</v>
      </c>
      <c r="B696"/>
      <c r="C696"/>
      <c r="D696"/>
      <c r="E696"/>
      <c r="F696" s="27" t="s">
        <v>7</v>
      </c>
      <c r="LO696" s="27" t="s">
        <v>8</v>
      </c>
      <c r="LP696" s="27" t="s">
        <v>7</v>
      </c>
      <c r="LQ696" s="27" t="s">
        <v>8</v>
      </c>
      <c r="LR696" s="27" t="s">
        <v>7</v>
      </c>
      <c r="LS696" s="27" t="s">
        <v>8</v>
      </c>
      <c r="LX696" s="27" t="s">
        <v>7</v>
      </c>
      <c r="MA696" s="27" t="s">
        <v>8</v>
      </c>
      <c r="MH696" s="27" t="s">
        <v>7</v>
      </c>
      <c r="MI696" s="27" t="s">
        <v>8</v>
      </c>
      <c r="MJ696" s="27" t="s">
        <v>7</v>
      </c>
      <c r="MK696" s="27" t="s">
        <v>8</v>
      </c>
      <c r="ML696" s="27" t="s">
        <v>7</v>
      </c>
      <c r="NU696" s="27" t="s">
        <v>8</v>
      </c>
      <c r="NV696" s="27" t="s">
        <v>7</v>
      </c>
      <c r="NW696" s="27" t="s">
        <v>8</v>
      </c>
      <c r="NX696" s="27" t="s">
        <v>7</v>
      </c>
      <c r="OU696" s="27" t="s">
        <v>8</v>
      </c>
      <c r="OW696" s="27" t="s">
        <v>8</v>
      </c>
      <c r="OX696" s="27" t="s">
        <v>7</v>
      </c>
    </row>
    <row r="697" spans="1:420" x14ac:dyDescent="0.25">
      <c r="A697" s="7">
        <v>0.11323510996739378</v>
      </c>
      <c r="B697"/>
      <c r="C697"/>
      <c r="D697"/>
      <c r="E697"/>
      <c r="F697" s="27" t="s">
        <v>7</v>
      </c>
      <c r="LO697" s="27" t="s">
        <v>8</v>
      </c>
      <c r="LP697" s="27" t="s">
        <v>7</v>
      </c>
      <c r="LQ697" s="27" t="s">
        <v>8</v>
      </c>
      <c r="LR697" s="27" t="s">
        <v>7</v>
      </c>
      <c r="LX697" s="27" t="s">
        <v>7</v>
      </c>
      <c r="LY697" s="27" t="s">
        <v>8</v>
      </c>
      <c r="MA697" s="27" t="s">
        <v>8</v>
      </c>
      <c r="MH697" s="27" t="s">
        <v>7</v>
      </c>
      <c r="MI697" s="27" t="s">
        <v>8</v>
      </c>
      <c r="MJ697" s="27" t="s">
        <v>7</v>
      </c>
      <c r="MK697" s="27" t="s">
        <v>8</v>
      </c>
      <c r="ML697" s="27" t="s">
        <v>7</v>
      </c>
      <c r="NU697" s="27" t="s">
        <v>8</v>
      </c>
      <c r="NV697" s="27" t="s">
        <v>7</v>
      </c>
      <c r="NW697" s="27" t="s">
        <v>8</v>
      </c>
      <c r="NX697" s="27" t="s">
        <v>7</v>
      </c>
      <c r="OU697" s="27" t="s">
        <v>8</v>
      </c>
      <c r="OV697" s="27" t="s">
        <v>7</v>
      </c>
      <c r="OW697" s="27" t="s">
        <v>8</v>
      </c>
      <c r="OX697" s="27" t="s">
        <v>7</v>
      </c>
      <c r="OY697" s="27" t="s">
        <v>8</v>
      </c>
    </row>
    <row r="698" spans="1:420" x14ac:dyDescent="0.25">
      <c r="A698" s="7">
        <v>0.11101481369352331</v>
      </c>
      <c r="B698"/>
      <c r="C698"/>
      <c r="D698"/>
      <c r="E698"/>
      <c r="F698" s="27" t="s">
        <v>7</v>
      </c>
      <c r="LO698" s="27" t="s">
        <v>8</v>
      </c>
      <c r="LP698" s="27" t="s">
        <v>7</v>
      </c>
      <c r="LQ698" s="27" t="s">
        <v>8</v>
      </c>
      <c r="LX698" s="27" t="s">
        <v>7</v>
      </c>
      <c r="LY698" s="27" t="s">
        <v>8</v>
      </c>
      <c r="LZ698" s="27" t="s">
        <v>7</v>
      </c>
      <c r="MA698" s="27" t="s">
        <v>8</v>
      </c>
      <c r="MH698" s="27" t="s">
        <v>7</v>
      </c>
      <c r="MI698" s="27" t="s">
        <v>8</v>
      </c>
      <c r="MJ698" s="27" t="s">
        <v>7</v>
      </c>
      <c r="MK698" s="27" t="s">
        <v>8</v>
      </c>
      <c r="ML698" s="27" t="s">
        <v>7</v>
      </c>
      <c r="NU698" s="27" t="s">
        <v>8</v>
      </c>
      <c r="NV698" s="27" t="s">
        <v>7</v>
      </c>
      <c r="NW698" s="27" t="s">
        <v>8</v>
      </c>
      <c r="NX698" s="27" t="s">
        <v>7</v>
      </c>
      <c r="OU698" s="27" t="s">
        <v>8</v>
      </c>
      <c r="OV698" s="27" t="s">
        <v>7</v>
      </c>
      <c r="OW698" s="27" t="s">
        <v>8</v>
      </c>
      <c r="OX698" s="27" t="s">
        <v>7</v>
      </c>
      <c r="OY698" s="27" t="s">
        <v>8</v>
      </c>
      <c r="OZ698" s="27" t="s">
        <v>7</v>
      </c>
    </row>
    <row r="699" spans="1:420" x14ac:dyDescent="0.25">
      <c r="A699" s="7">
        <v>0.10883805264070913</v>
      </c>
      <c r="B699"/>
      <c r="C699"/>
      <c r="D699"/>
      <c r="E699"/>
      <c r="F699" s="27" t="s">
        <v>7</v>
      </c>
      <c r="LO699" s="27" t="s">
        <v>8</v>
      </c>
      <c r="LP699" s="27" t="s">
        <v>7</v>
      </c>
      <c r="LQ699" s="27" t="s">
        <v>8</v>
      </c>
      <c r="LX699" s="27" t="s">
        <v>7</v>
      </c>
      <c r="LY699" s="27" t="s">
        <v>8</v>
      </c>
      <c r="LZ699" s="27" t="s">
        <v>7</v>
      </c>
      <c r="MA699" s="27" t="s">
        <v>8</v>
      </c>
      <c r="MH699" s="27" t="s">
        <v>7</v>
      </c>
      <c r="MJ699" s="27" t="s">
        <v>7</v>
      </c>
      <c r="ML699" s="27" t="s">
        <v>7</v>
      </c>
      <c r="NU699" s="27" t="s">
        <v>8</v>
      </c>
      <c r="NV699" s="27" t="s">
        <v>7</v>
      </c>
      <c r="NW699" s="27" t="s">
        <v>8</v>
      </c>
      <c r="NX699" s="27" t="s">
        <v>7</v>
      </c>
      <c r="OS699" s="27" t="s">
        <v>8</v>
      </c>
      <c r="OU699" s="27" t="s">
        <v>8</v>
      </c>
      <c r="OV699" s="27" t="s">
        <v>7</v>
      </c>
      <c r="OW699" s="27" t="s">
        <v>8</v>
      </c>
      <c r="OX699" s="27" t="s">
        <v>7</v>
      </c>
      <c r="OY699" s="27" t="s">
        <v>8</v>
      </c>
      <c r="OZ699" s="27" t="s">
        <v>7</v>
      </c>
      <c r="PA699" s="27" t="s">
        <v>8</v>
      </c>
    </row>
    <row r="700" spans="1:420" x14ac:dyDescent="0.25">
      <c r="A700" s="7">
        <v>0.10670397317716582</v>
      </c>
      <c r="B700"/>
      <c r="C700"/>
      <c r="D700"/>
      <c r="E700"/>
      <c r="F700" s="27" t="s">
        <v>7</v>
      </c>
      <c r="LO700" s="27" t="s">
        <v>8</v>
      </c>
      <c r="LP700" s="27" t="s">
        <v>7</v>
      </c>
      <c r="LQ700" s="27" t="s">
        <v>8</v>
      </c>
      <c r="LX700" s="27" t="s">
        <v>7</v>
      </c>
      <c r="LY700" s="27" t="s">
        <v>8</v>
      </c>
      <c r="LZ700" s="27" t="s">
        <v>7</v>
      </c>
      <c r="MA700" s="27" t="s">
        <v>8</v>
      </c>
      <c r="ML700" s="27" t="s">
        <v>7</v>
      </c>
      <c r="NQ700" s="27" t="s">
        <v>8</v>
      </c>
      <c r="NU700" s="27" t="s">
        <v>8</v>
      </c>
      <c r="NV700" s="27" t="s">
        <v>7</v>
      </c>
      <c r="NW700" s="27" t="s">
        <v>8</v>
      </c>
      <c r="NX700" s="27" t="s">
        <v>7</v>
      </c>
      <c r="OS700" s="27" t="s">
        <v>8</v>
      </c>
      <c r="OT700" s="27" t="s">
        <v>7</v>
      </c>
      <c r="OU700" s="27" t="s">
        <v>8</v>
      </c>
      <c r="OV700" s="27" t="s">
        <v>7</v>
      </c>
      <c r="OX700" s="27" t="s">
        <v>7</v>
      </c>
      <c r="OZ700" s="27" t="s">
        <v>7</v>
      </c>
      <c r="PA700" s="27" t="s">
        <v>8</v>
      </c>
      <c r="PB700" s="27" t="s">
        <v>7</v>
      </c>
    </row>
    <row r="701" spans="1:420" x14ac:dyDescent="0.25">
      <c r="A701" s="7">
        <v>0.1046117384089861</v>
      </c>
      <c r="B701"/>
      <c r="C701"/>
      <c r="D701"/>
      <c r="E701"/>
      <c r="F701" s="27" t="s">
        <v>7</v>
      </c>
      <c r="LO701" s="27" t="s">
        <v>8</v>
      </c>
      <c r="LP701" s="27" t="s">
        <v>7</v>
      </c>
      <c r="LX701" s="27" t="s">
        <v>7</v>
      </c>
      <c r="LY701" s="27" t="s">
        <v>8</v>
      </c>
      <c r="LZ701" s="27" t="s">
        <v>7</v>
      </c>
      <c r="MA701" s="27" t="s">
        <v>8</v>
      </c>
      <c r="ML701" s="27" t="s">
        <v>7</v>
      </c>
      <c r="NQ701" s="27" t="s">
        <v>8</v>
      </c>
      <c r="NR701" s="27" t="s">
        <v>7</v>
      </c>
      <c r="NU701" s="27" t="s">
        <v>8</v>
      </c>
      <c r="NV701" s="27" t="s">
        <v>7</v>
      </c>
      <c r="NW701" s="27" t="s">
        <v>8</v>
      </c>
      <c r="NX701" s="27" t="s">
        <v>7</v>
      </c>
      <c r="OI701" s="27" t="s">
        <v>8</v>
      </c>
      <c r="OM701" s="27" t="s">
        <v>8</v>
      </c>
      <c r="OO701" s="27" t="s">
        <v>8</v>
      </c>
      <c r="OQ701" s="27" t="s">
        <v>8</v>
      </c>
      <c r="OS701" s="27" t="s">
        <v>8</v>
      </c>
      <c r="OT701" s="27" t="s">
        <v>7</v>
      </c>
      <c r="OU701" s="27" t="s">
        <v>8</v>
      </c>
      <c r="OZ701" s="27" t="s">
        <v>7</v>
      </c>
      <c r="PA701" s="27" t="s">
        <v>8</v>
      </c>
      <c r="PB701" s="27" t="s">
        <v>7</v>
      </c>
    </row>
    <row r="702" spans="1:420" x14ac:dyDescent="0.25">
      <c r="A702" s="7">
        <v>0.10256052785194716</v>
      </c>
      <c r="B702"/>
      <c r="C702"/>
      <c r="D702"/>
      <c r="E702"/>
      <c r="F702" s="27" t="s">
        <v>7</v>
      </c>
      <c r="LO702" s="27" t="s">
        <v>8</v>
      </c>
      <c r="LX702" s="27" t="s">
        <v>7</v>
      </c>
      <c r="LY702" s="27" t="s">
        <v>8</v>
      </c>
      <c r="LZ702" s="27" t="s">
        <v>7</v>
      </c>
      <c r="MA702" s="27" t="s">
        <v>8</v>
      </c>
      <c r="ML702" s="27" t="s">
        <v>7</v>
      </c>
      <c r="NQ702" s="27" t="s">
        <v>8</v>
      </c>
      <c r="NR702" s="27" t="s">
        <v>7</v>
      </c>
      <c r="NU702" s="27" t="s">
        <v>8</v>
      </c>
      <c r="NV702" s="27" t="s">
        <v>7</v>
      </c>
      <c r="NW702" s="27" t="s">
        <v>8</v>
      </c>
      <c r="NX702" s="27" t="s">
        <v>7</v>
      </c>
      <c r="OI702" s="27" t="s">
        <v>8</v>
      </c>
      <c r="OJ702" s="27" t="s">
        <v>7</v>
      </c>
      <c r="OK702" s="27" t="s">
        <v>8</v>
      </c>
      <c r="OM702" s="27" t="s">
        <v>8</v>
      </c>
      <c r="ON702" s="27" t="s">
        <v>7</v>
      </c>
      <c r="OO702" s="27" t="s">
        <v>8</v>
      </c>
      <c r="OP702" s="27" t="s">
        <v>7</v>
      </c>
      <c r="OQ702" s="27" t="s">
        <v>8</v>
      </c>
      <c r="OR702" s="27" t="s">
        <v>7</v>
      </c>
      <c r="OS702" s="27" t="s">
        <v>8</v>
      </c>
      <c r="OT702" s="27" t="s">
        <v>7</v>
      </c>
      <c r="OU702" s="27" t="s">
        <v>8</v>
      </c>
      <c r="OZ702" s="27" t="s">
        <v>7</v>
      </c>
      <c r="PA702" s="27" t="s">
        <v>8</v>
      </c>
      <c r="PB702" s="27" t="s">
        <v>7</v>
      </c>
    </row>
    <row r="703" spans="1:420" x14ac:dyDescent="0.25">
      <c r="A703" s="7">
        <v>0.10054953710975212</v>
      </c>
      <c r="B703"/>
      <c r="C703"/>
      <c r="D703"/>
      <c r="E703"/>
      <c r="F703" s="27" t="s">
        <v>7</v>
      </c>
      <c r="LO703" s="27" t="s">
        <v>8</v>
      </c>
      <c r="LX703" s="27" t="s">
        <v>7</v>
      </c>
      <c r="LY703" s="27" t="s">
        <v>8</v>
      </c>
      <c r="LZ703" s="27" t="s">
        <v>7</v>
      </c>
      <c r="MA703" s="27" t="s">
        <v>8</v>
      </c>
      <c r="ML703" s="27" t="s">
        <v>7</v>
      </c>
      <c r="NQ703" s="27" t="s">
        <v>8</v>
      </c>
      <c r="NR703" s="27" t="s">
        <v>7</v>
      </c>
      <c r="NU703" s="27" t="s">
        <v>8</v>
      </c>
      <c r="NV703" s="27" t="s">
        <v>7</v>
      </c>
      <c r="NW703" s="27" t="s">
        <v>8</v>
      </c>
      <c r="NX703" s="27" t="s">
        <v>7</v>
      </c>
      <c r="NY703" s="27" t="s">
        <v>8</v>
      </c>
      <c r="OI703" s="27" t="s">
        <v>8</v>
      </c>
      <c r="OJ703" s="27" t="s">
        <v>7</v>
      </c>
      <c r="OK703" s="27" t="s">
        <v>8</v>
      </c>
      <c r="OL703" s="27" t="s">
        <v>7</v>
      </c>
      <c r="OM703" s="27" t="s">
        <v>8</v>
      </c>
      <c r="ON703" s="27" t="s">
        <v>7</v>
      </c>
      <c r="OO703" s="27" t="s">
        <v>8</v>
      </c>
      <c r="OP703" s="27" t="s">
        <v>7</v>
      </c>
      <c r="OQ703" s="27" t="s">
        <v>8</v>
      </c>
      <c r="OR703" s="27" t="s">
        <v>7</v>
      </c>
      <c r="OS703" s="27" t="s">
        <v>8</v>
      </c>
      <c r="OT703" s="27" t="s">
        <v>7</v>
      </c>
      <c r="OZ703" s="27" t="s">
        <v>7</v>
      </c>
      <c r="PA703" s="27" t="s">
        <v>8</v>
      </c>
      <c r="PB703" s="27" t="s">
        <v>7</v>
      </c>
      <c r="PC703" s="27" t="s">
        <v>8</v>
      </c>
    </row>
    <row r="704" spans="1:420" x14ac:dyDescent="0.25">
      <c r="A704" s="7">
        <v>9.8577977558580512E-2</v>
      </c>
      <c r="B704"/>
      <c r="C704"/>
      <c r="D704"/>
      <c r="E704"/>
      <c r="F704" s="27" t="s">
        <v>7</v>
      </c>
      <c r="LO704" s="27" t="s">
        <v>8</v>
      </c>
      <c r="LX704" s="27" t="s">
        <v>7</v>
      </c>
      <c r="LY704" s="27" t="s">
        <v>8</v>
      </c>
      <c r="LZ704" s="27" t="s">
        <v>7</v>
      </c>
      <c r="MA704" s="27" t="s">
        <v>8</v>
      </c>
      <c r="ML704" s="27" t="s">
        <v>7</v>
      </c>
      <c r="NQ704" s="27" t="s">
        <v>8</v>
      </c>
      <c r="NR704" s="27" t="s">
        <v>7</v>
      </c>
      <c r="NU704" s="27" t="s">
        <v>8</v>
      </c>
      <c r="NV704" s="27" t="s">
        <v>7</v>
      </c>
      <c r="NX704" s="27" t="s">
        <v>7</v>
      </c>
      <c r="NY704" s="27" t="s">
        <v>8</v>
      </c>
      <c r="NZ704" s="27" t="s">
        <v>7</v>
      </c>
      <c r="OI704" s="27" t="s">
        <v>8</v>
      </c>
      <c r="OJ704" s="27" t="s">
        <v>7</v>
      </c>
      <c r="OK704" s="27" t="s">
        <v>8</v>
      </c>
      <c r="OL704" s="27" t="s">
        <v>7</v>
      </c>
      <c r="OM704" s="27" t="s">
        <v>8</v>
      </c>
      <c r="ON704" s="27" t="s">
        <v>7</v>
      </c>
      <c r="OP704" s="27" t="s">
        <v>7</v>
      </c>
      <c r="OQ704" s="27" t="s">
        <v>8</v>
      </c>
      <c r="OR704" s="27" t="s">
        <v>7</v>
      </c>
      <c r="OZ704" s="27" t="s">
        <v>7</v>
      </c>
      <c r="PB704" s="27" t="s">
        <v>7</v>
      </c>
      <c r="PC704" s="27" t="s">
        <v>8</v>
      </c>
      <c r="PD704" s="27" t="s">
        <v>7</v>
      </c>
    </row>
    <row r="705" spans="1:429" x14ac:dyDescent="0.25">
      <c r="A705" s="7">
        <v>9.6645076037824032E-2</v>
      </c>
      <c r="B705"/>
      <c r="C705"/>
      <c r="D705"/>
      <c r="E705"/>
      <c r="F705" s="27" t="s">
        <v>7</v>
      </c>
      <c r="LM705" s="27" t="s">
        <v>8</v>
      </c>
      <c r="LO705" s="27" t="s">
        <v>8</v>
      </c>
      <c r="LX705" s="27" t="s">
        <v>7</v>
      </c>
      <c r="LY705" s="27" t="s">
        <v>8</v>
      </c>
      <c r="LZ705" s="27" t="s">
        <v>7</v>
      </c>
      <c r="ML705" s="27" t="s">
        <v>7</v>
      </c>
      <c r="NM705" s="27" t="s">
        <v>8</v>
      </c>
      <c r="NQ705" s="27" t="s">
        <v>8</v>
      </c>
      <c r="NR705" s="27" t="s">
        <v>7</v>
      </c>
      <c r="NS705" s="27" t="s">
        <v>8</v>
      </c>
      <c r="NU705" s="27" t="s">
        <v>8</v>
      </c>
      <c r="NX705" s="27" t="s">
        <v>7</v>
      </c>
      <c r="NY705" s="27" t="s">
        <v>8</v>
      </c>
      <c r="NZ705" s="27" t="s">
        <v>7</v>
      </c>
      <c r="OE705" s="27" t="s">
        <v>8</v>
      </c>
      <c r="OG705" s="27" t="s">
        <v>8</v>
      </c>
      <c r="OI705" s="27" t="s">
        <v>8</v>
      </c>
      <c r="OJ705" s="27" t="s">
        <v>7</v>
      </c>
      <c r="OK705" s="27" t="s">
        <v>8</v>
      </c>
      <c r="OL705" s="27" t="s">
        <v>7</v>
      </c>
      <c r="OP705" s="27" t="s">
        <v>7</v>
      </c>
      <c r="OQ705" s="27" t="s">
        <v>8</v>
      </c>
      <c r="PB705" s="27" t="s">
        <v>7</v>
      </c>
      <c r="PC705" s="27" t="s">
        <v>8</v>
      </c>
      <c r="PD705" s="27" t="s">
        <v>7</v>
      </c>
    </row>
    <row r="706" spans="1:429" x14ac:dyDescent="0.25">
      <c r="A706" s="7">
        <v>9.4750074546886304E-2</v>
      </c>
      <c r="B706"/>
      <c r="C706"/>
      <c r="D706"/>
      <c r="E706"/>
      <c r="F706" s="27" t="s">
        <v>7</v>
      </c>
      <c r="LM706" s="27" t="s">
        <v>8</v>
      </c>
      <c r="LN706" s="27" t="s">
        <v>7</v>
      </c>
      <c r="LO706" s="27" t="s">
        <v>8</v>
      </c>
      <c r="LX706" s="27" t="s">
        <v>7</v>
      </c>
      <c r="LY706" s="27" t="s">
        <v>8</v>
      </c>
      <c r="ML706" s="27" t="s">
        <v>7</v>
      </c>
      <c r="NM706" s="27" t="s">
        <v>8</v>
      </c>
      <c r="NN706" s="27" t="s">
        <v>7</v>
      </c>
      <c r="NQ706" s="27" t="s">
        <v>8</v>
      </c>
      <c r="NR706" s="27" t="s">
        <v>7</v>
      </c>
      <c r="NS706" s="27" t="s">
        <v>8</v>
      </c>
      <c r="NT706" s="27" t="s">
        <v>7</v>
      </c>
      <c r="NU706" s="27" t="s">
        <v>8</v>
      </c>
      <c r="NX706" s="27" t="s">
        <v>7</v>
      </c>
      <c r="NY706" s="27" t="s">
        <v>8</v>
      </c>
      <c r="NZ706" s="27" t="s">
        <v>7</v>
      </c>
      <c r="OE706" s="27" t="s">
        <v>8</v>
      </c>
      <c r="OF706" s="27" t="s">
        <v>7</v>
      </c>
      <c r="OG706" s="27" t="s">
        <v>8</v>
      </c>
      <c r="OH706" s="27" t="s">
        <v>7</v>
      </c>
      <c r="OI706" s="27" t="s">
        <v>8</v>
      </c>
      <c r="OJ706" s="27" t="s">
        <v>7</v>
      </c>
      <c r="OK706" s="27" t="s">
        <v>8</v>
      </c>
      <c r="OP706" s="27" t="s">
        <v>7</v>
      </c>
      <c r="OQ706" s="27" t="s">
        <v>8</v>
      </c>
      <c r="PB706" s="27" t="s">
        <v>7</v>
      </c>
      <c r="PC706" s="27" t="s">
        <v>8</v>
      </c>
      <c r="PD706" s="27" t="s">
        <v>7</v>
      </c>
    </row>
    <row r="707" spans="1:429" x14ac:dyDescent="0.25">
      <c r="A707" s="7">
        <v>9.2892229947927743E-2</v>
      </c>
      <c r="B707"/>
      <c r="C707"/>
      <c r="D707"/>
      <c r="E707"/>
      <c r="F707" s="27" t="s">
        <v>7</v>
      </c>
      <c r="LM707" s="27" t="s">
        <v>8</v>
      </c>
      <c r="LN707" s="27" t="s">
        <v>7</v>
      </c>
      <c r="LO707" s="27" t="s">
        <v>8</v>
      </c>
      <c r="LX707" s="27" t="s">
        <v>7</v>
      </c>
      <c r="LY707" s="27" t="s">
        <v>8</v>
      </c>
      <c r="ML707" s="27" t="s">
        <v>7</v>
      </c>
      <c r="MM707" s="27" t="s">
        <v>8</v>
      </c>
      <c r="NM707" s="27" t="s">
        <v>8</v>
      </c>
      <c r="NN707" s="27" t="s">
        <v>7</v>
      </c>
      <c r="NQ707" s="27" t="s">
        <v>8</v>
      </c>
      <c r="NR707" s="27" t="s">
        <v>7</v>
      </c>
      <c r="NS707" s="27" t="s">
        <v>8</v>
      </c>
      <c r="NT707" s="27" t="s">
        <v>7</v>
      </c>
      <c r="NU707" s="27" t="s">
        <v>8</v>
      </c>
      <c r="NX707" s="27" t="s">
        <v>7</v>
      </c>
      <c r="NY707" s="27" t="s">
        <v>8</v>
      </c>
      <c r="NZ707" s="27" t="s">
        <v>7</v>
      </c>
      <c r="OA707" s="27" t="s">
        <v>8</v>
      </c>
      <c r="OE707" s="27" t="s">
        <v>8</v>
      </c>
      <c r="OF707" s="27" t="s">
        <v>7</v>
      </c>
      <c r="OG707" s="27" t="s">
        <v>8</v>
      </c>
      <c r="OH707" s="27" t="s">
        <v>7</v>
      </c>
      <c r="OI707" s="27" t="s">
        <v>8</v>
      </c>
      <c r="OJ707" s="27" t="s">
        <v>7</v>
      </c>
      <c r="OP707" s="27" t="s">
        <v>7</v>
      </c>
      <c r="OQ707" s="27" t="s">
        <v>8</v>
      </c>
      <c r="PB707" s="27" t="s">
        <v>7</v>
      </c>
      <c r="PC707" s="27" t="s">
        <v>8</v>
      </c>
      <c r="PD707" s="27" t="s">
        <v>7</v>
      </c>
      <c r="PG707" s="27" t="s">
        <v>8</v>
      </c>
    </row>
    <row r="708" spans="1:429" x14ac:dyDescent="0.25">
      <c r="A708" s="7">
        <v>9.1070813674438963E-2</v>
      </c>
      <c r="B708"/>
      <c r="C708"/>
      <c r="D708"/>
      <c r="E708"/>
      <c r="F708" s="27" t="s">
        <v>7</v>
      </c>
      <c r="LM708" s="27" t="s">
        <v>8</v>
      </c>
      <c r="LN708" s="27" t="s">
        <v>7</v>
      </c>
      <c r="LO708" s="27" t="s">
        <v>8</v>
      </c>
      <c r="LX708" s="27" t="s">
        <v>7</v>
      </c>
      <c r="ML708" s="27" t="s">
        <v>7</v>
      </c>
      <c r="MM708" s="27" t="s">
        <v>8</v>
      </c>
      <c r="MN708" s="27" t="s">
        <v>7</v>
      </c>
      <c r="NK708" s="27" t="s">
        <v>8</v>
      </c>
      <c r="NM708" s="27" t="s">
        <v>8</v>
      </c>
      <c r="NN708" s="27" t="s">
        <v>7</v>
      </c>
      <c r="NO708" s="27" t="s">
        <v>8</v>
      </c>
      <c r="NQ708" s="27" t="s">
        <v>8</v>
      </c>
      <c r="NR708" s="27" t="s">
        <v>7</v>
      </c>
      <c r="NS708" s="27" t="s">
        <v>8</v>
      </c>
      <c r="NT708" s="27" t="s">
        <v>7</v>
      </c>
      <c r="NU708" s="27" t="s">
        <v>8</v>
      </c>
      <c r="NX708" s="27" t="s">
        <v>7</v>
      </c>
      <c r="NY708" s="27" t="s">
        <v>8</v>
      </c>
      <c r="NZ708" s="27" t="s">
        <v>7</v>
      </c>
      <c r="OA708" s="27" t="s">
        <v>8</v>
      </c>
      <c r="OB708" s="27" t="s">
        <v>7</v>
      </c>
      <c r="OE708" s="27" t="s">
        <v>8</v>
      </c>
      <c r="OF708" s="27" t="s">
        <v>7</v>
      </c>
      <c r="OH708" s="27" t="s">
        <v>7</v>
      </c>
      <c r="OP708" s="27" t="s">
        <v>7</v>
      </c>
      <c r="OQ708" s="27" t="s">
        <v>8</v>
      </c>
      <c r="PB708" s="27" t="s">
        <v>7</v>
      </c>
      <c r="PD708" s="27" t="s">
        <v>7</v>
      </c>
      <c r="PG708" s="27" t="s">
        <v>8</v>
      </c>
      <c r="PH708" s="27" t="s">
        <v>7</v>
      </c>
    </row>
    <row r="709" spans="1:429" x14ac:dyDescent="0.25">
      <c r="A709" s="7">
        <v>8.9285111445528392E-2</v>
      </c>
      <c r="B709"/>
      <c r="C709"/>
      <c r="D709"/>
      <c r="E709"/>
      <c r="F709" s="27" t="s">
        <v>7</v>
      </c>
      <c r="LM709" s="27" t="s">
        <v>8</v>
      </c>
      <c r="LN709" s="27" t="s">
        <v>7</v>
      </c>
      <c r="LO709" s="27" t="s">
        <v>8</v>
      </c>
      <c r="ML709" s="27" t="s">
        <v>7</v>
      </c>
      <c r="MM709" s="27" t="s">
        <v>8</v>
      </c>
      <c r="MN709" s="27" t="s">
        <v>7</v>
      </c>
      <c r="NK709" s="27" t="s">
        <v>8</v>
      </c>
      <c r="NL709" s="27" t="s">
        <v>7</v>
      </c>
      <c r="NM709" s="27" t="s">
        <v>8</v>
      </c>
      <c r="NN709" s="27" t="s">
        <v>7</v>
      </c>
      <c r="NO709" s="27" t="s">
        <v>8</v>
      </c>
      <c r="NP709" s="27" t="s">
        <v>7</v>
      </c>
      <c r="NQ709" s="27" t="s">
        <v>8</v>
      </c>
      <c r="NR709" s="27" t="s">
        <v>7</v>
      </c>
      <c r="NS709" s="27" t="s">
        <v>8</v>
      </c>
      <c r="NT709" s="27" t="s">
        <v>7</v>
      </c>
      <c r="NU709" s="27" t="s">
        <v>8</v>
      </c>
      <c r="NX709" s="27" t="s">
        <v>7</v>
      </c>
      <c r="NY709" s="27" t="s">
        <v>8</v>
      </c>
      <c r="NZ709" s="27" t="s">
        <v>7</v>
      </c>
      <c r="OA709" s="27" t="s">
        <v>8</v>
      </c>
      <c r="OB709" s="27" t="s">
        <v>7</v>
      </c>
      <c r="OC709" s="27" t="s">
        <v>8</v>
      </c>
      <c r="OE709" s="27" t="s">
        <v>8</v>
      </c>
      <c r="OP709" s="27" t="s">
        <v>7</v>
      </c>
      <c r="PD709" s="27" t="s">
        <v>7</v>
      </c>
      <c r="PG709" s="27" t="s">
        <v>8</v>
      </c>
      <c r="PH709" s="27" t="s">
        <v>7</v>
      </c>
    </row>
    <row r="710" spans="1:429" x14ac:dyDescent="0.25">
      <c r="A710" s="7">
        <v>8.7534422985812155E-2</v>
      </c>
      <c r="B710"/>
      <c r="C710"/>
      <c r="D710"/>
      <c r="E710"/>
      <c r="F710" s="27" t="s">
        <v>7</v>
      </c>
      <c r="LM710" s="27" t="s">
        <v>8</v>
      </c>
      <c r="LN710" s="27" t="s">
        <v>7</v>
      </c>
      <c r="LO710" s="27" t="s">
        <v>8</v>
      </c>
      <c r="ML710" s="27" t="s">
        <v>7</v>
      </c>
      <c r="MM710" s="27" t="s">
        <v>8</v>
      </c>
      <c r="MN710" s="27" t="s">
        <v>7</v>
      </c>
      <c r="NK710" s="27" t="s">
        <v>8</v>
      </c>
      <c r="NL710" s="27" t="s">
        <v>7</v>
      </c>
      <c r="NM710" s="27" t="s">
        <v>8</v>
      </c>
      <c r="NN710" s="27" t="s">
        <v>7</v>
      </c>
      <c r="NO710" s="27" t="s">
        <v>8</v>
      </c>
      <c r="NP710" s="27" t="s">
        <v>7</v>
      </c>
      <c r="NQ710" s="27" t="s">
        <v>8</v>
      </c>
      <c r="NR710" s="27" t="s">
        <v>7</v>
      </c>
      <c r="NS710" s="27" t="s">
        <v>8</v>
      </c>
      <c r="NT710" s="27" t="s">
        <v>7</v>
      </c>
      <c r="NX710" s="27" t="s">
        <v>7</v>
      </c>
      <c r="NZ710" s="27" t="s">
        <v>7</v>
      </c>
      <c r="OB710" s="27" t="s">
        <v>7</v>
      </c>
      <c r="OC710" s="27" t="s">
        <v>8</v>
      </c>
      <c r="OD710" s="27" t="s">
        <v>7</v>
      </c>
      <c r="OE710" s="27" t="s">
        <v>8</v>
      </c>
      <c r="PD710" s="27" t="s">
        <v>7</v>
      </c>
      <c r="PE710" s="27" t="s">
        <v>8</v>
      </c>
      <c r="PG710" s="27" t="s">
        <v>8</v>
      </c>
      <c r="PH710" s="27" t="s">
        <v>7</v>
      </c>
    </row>
    <row r="711" spans="1:429" x14ac:dyDescent="0.25">
      <c r="A711" s="7">
        <v>8.5818061750796232E-2</v>
      </c>
      <c r="B711"/>
      <c r="C711"/>
      <c r="D711"/>
      <c r="E711"/>
      <c r="F711" s="27" t="s">
        <v>7</v>
      </c>
      <c r="LM711" s="27" t="s">
        <v>8</v>
      </c>
      <c r="LN711" s="27" t="s">
        <v>7</v>
      </c>
      <c r="LO711" s="27" t="s">
        <v>8</v>
      </c>
      <c r="ML711" s="27" t="s">
        <v>7</v>
      </c>
      <c r="MM711" s="27" t="s">
        <v>8</v>
      </c>
      <c r="MN711" s="27" t="s">
        <v>7</v>
      </c>
      <c r="NK711" s="27" t="s">
        <v>8</v>
      </c>
      <c r="NL711" s="27" t="s">
        <v>7</v>
      </c>
      <c r="NM711" s="27" t="s">
        <v>8</v>
      </c>
      <c r="NN711" s="27" t="s">
        <v>7</v>
      </c>
      <c r="NO711" s="27" t="s">
        <v>8</v>
      </c>
      <c r="NP711" s="27" t="s">
        <v>7</v>
      </c>
      <c r="NQ711" s="27" t="s">
        <v>8</v>
      </c>
      <c r="NR711" s="27" t="s">
        <v>7</v>
      </c>
      <c r="NS711" s="27" t="s">
        <v>8</v>
      </c>
      <c r="OB711" s="27" t="s">
        <v>7</v>
      </c>
      <c r="OC711" s="27" t="s">
        <v>8</v>
      </c>
      <c r="OD711" s="27" t="s">
        <v>7</v>
      </c>
      <c r="OE711" s="27" t="s">
        <v>8</v>
      </c>
      <c r="PD711" s="27" t="s">
        <v>7</v>
      </c>
      <c r="PE711" s="27" t="s">
        <v>8</v>
      </c>
      <c r="PF711" s="27" t="s">
        <v>7</v>
      </c>
      <c r="PG711" s="27" t="s">
        <v>8</v>
      </c>
      <c r="PH711" s="27" t="s">
        <v>7</v>
      </c>
    </row>
    <row r="712" spans="1:429" x14ac:dyDescent="0.25">
      <c r="A712" s="7">
        <v>8.4135354657643366E-2</v>
      </c>
      <c r="B712"/>
      <c r="C712"/>
      <c r="D712"/>
      <c r="E712"/>
      <c r="F712" s="27" t="s">
        <v>7</v>
      </c>
      <c r="LM712" s="27" t="s">
        <v>8</v>
      </c>
      <c r="LN712" s="27" t="s">
        <v>7</v>
      </c>
      <c r="LO712" s="27" t="s">
        <v>8</v>
      </c>
      <c r="ML712" s="27" t="s">
        <v>7</v>
      </c>
      <c r="MM712" s="27" t="s">
        <v>8</v>
      </c>
      <c r="MN712" s="27" t="s">
        <v>7</v>
      </c>
      <c r="MQ712" s="27" t="s">
        <v>8</v>
      </c>
      <c r="NK712" s="27" t="s">
        <v>8</v>
      </c>
      <c r="NL712" s="27" t="s">
        <v>7</v>
      </c>
      <c r="NN712" s="27" t="s">
        <v>7</v>
      </c>
      <c r="NO712" s="27" t="s">
        <v>8</v>
      </c>
      <c r="NP712" s="27" t="s">
        <v>7</v>
      </c>
      <c r="NQ712" s="27" t="s">
        <v>8</v>
      </c>
      <c r="NR712" s="27" t="s">
        <v>7</v>
      </c>
      <c r="NS712" s="27" t="s">
        <v>8</v>
      </c>
      <c r="OB712" s="27" t="s">
        <v>7</v>
      </c>
      <c r="OD712" s="27" t="s">
        <v>7</v>
      </c>
      <c r="PD712" s="27" t="s">
        <v>7</v>
      </c>
      <c r="PE712" s="27" t="s">
        <v>8</v>
      </c>
      <c r="PF712" s="27" t="s">
        <v>7</v>
      </c>
      <c r="PG712" s="27" t="s">
        <v>8</v>
      </c>
      <c r="PH712" s="27" t="s">
        <v>7</v>
      </c>
    </row>
    <row r="713" spans="1:429" x14ac:dyDescent="0.25">
      <c r="A713" s="7">
        <v>8.248564182121898E-2</v>
      </c>
      <c r="B713"/>
      <c r="C713"/>
      <c r="D713"/>
      <c r="E713"/>
      <c r="F713" s="27" t="s">
        <v>7</v>
      </c>
      <c r="LM713" s="27" t="s">
        <v>8</v>
      </c>
      <c r="LN713" s="27" t="s">
        <v>7</v>
      </c>
      <c r="ML713" s="27" t="s">
        <v>7</v>
      </c>
      <c r="MM713" s="27" t="s">
        <v>8</v>
      </c>
      <c r="MN713" s="27" t="s">
        <v>7</v>
      </c>
      <c r="MQ713" s="27" t="s">
        <v>8</v>
      </c>
      <c r="MR713" s="27" t="s">
        <v>7</v>
      </c>
      <c r="MS713" s="27" t="s">
        <v>8</v>
      </c>
      <c r="NK713" s="27" t="s">
        <v>8</v>
      </c>
      <c r="NN713" s="27" t="s">
        <v>7</v>
      </c>
      <c r="NP713" s="27" t="s">
        <v>7</v>
      </c>
      <c r="NR713" s="27" t="s">
        <v>7</v>
      </c>
      <c r="NS713" s="27" t="s">
        <v>8</v>
      </c>
      <c r="PD713" s="27" t="s">
        <v>7</v>
      </c>
      <c r="PE713" s="27" t="s">
        <v>8</v>
      </c>
      <c r="PF713" s="27" t="s">
        <v>7</v>
      </c>
      <c r="PG713" s="27" t="s">
        <v>8</v>
      </c>
      <c r="PH713" s="27" t="s">
        <v>7</v>
      </c>
      <c r="PI713" s="27" t="s">
        <v>8</v>
      </c>
    </row>
    <row r="714" spans="1:429" x14ac:dyDescent="0.25">
      <c r="A714" s="7">
        <v>8.0868276295312735E-2</v>
      </c>
      <c r="B714"/>
      <c r="C714"/>
      <c r="D714"/>
      <c r="E714"/>
      <c r="F714" s="27" t="s">
        <v>7</v>
      </c>
      <c r="LM714" s="27" t="s">
        <v>8</v>
      </c>
      <c r="ML714" s="27" t="s">
        <v>7</v>
      </c>
      <c r="MM714" s="27" t="s">
        <v>8</v>
      </c>
      <c r="MN714" s="27" t="s">
        <v>7</v>
      </c>
      <c r="MQ714" s="27" t="s">
        <v>8</v>
      </c>
      <c r="MR714" s="27" t="s">
        <v>7</v>
      </c>
      <c r="MS714" s="27" t="s">
        <v>8</v>
      </c>
      <c r="MT714" s="27" t="s">
        <v>7</v>
      </c>
      <c r="NK714" s="27" t="s">
        <v>8</v>
      </c>
      <c r="NR714" s="27" t="s">
        <v>7</v>
      </c>
      <c r="NS714" s="27" t="s">
        <v>8</v>
      </c>
      <c r="PD714" s="27" t="s">
        <v>7</v>
      </c>
      <c r="PE714" s="27" t="s">
        <v>8</v>
      </c>
      <c r="PF714" s="27" t="s">
        <v>7</v>
      </c>
      <c r="PG714" s="27" t="s">
        <v>8</v>
      </c>
      <c r="PH714" s="27" t="s">
        <v>7</v>
      </c>
      <c r="PI714" s="27" t="s">
        <v>8</v>
      </c>
      <c r="PJ714" s="27" t="s">
        <v>7</v>
      </c>
    </row>
    <row r="715" spans="1:429" x14ac:dyDescent="0.25">
      <c r="A715" s="7">
        <v>7.9282623818934056E-2</v>
      </c>
      <c r="B715"/>
      <c r="C715"/>
      <c r="D715"/>
      <c r="E715"/>
      <c r="F715" s="27" t="s">
        <v>7</v>
      </c>
      <c r="LM715" s="27" t="s">
        <v>8</v>
      </c>
      <c r="ML715" s="27" t="s">
        <v>7</v>
      </c>
      <c r="MM715" s="27" t="s">
        <v>8</v>
      </c>
      <c r="MN715" s="27" t="s">
        <v>7</v>
      </c>
      <c r="MO715" s="27" t="s">
        <v>8</v>
      </c>
      <c r="MQ715" s="27" t="s">
        <v>8</v>
      </c>
      <c r="MR715" s="27" t="s">
        <v>7</v>
      </c>
      <c r="MS715" s="27" t="s">
        <v>8</v>
      </c>
      <c r="MT715" s="27" t="s">
        <v>7</v>
      </c>
      <c r="NK715" s="27" t="s">
        <v>8</v>
      </c>
      <c r="NR715" s="27" t="s">
        <v>7</v>
      </c>
      <c r="NS715" s="27" t="s">
        <v>8</v>
      </c>
      <c r="PD715" s="27" t="s">
        <v>7</v>
      </c>
      <c r="PE715" s="27" t="s">
        <v>8</v>
      </c>
      <c r="PF715" s="27" t="s">
        <v>7</v>
      </c>
      <c r="PH715" s="27" t="s">
        <v>7</v>
      </c>
      <c r="PI715" s="27" t="s">
        <v>8</v>
      </c>
      <c r="PJ715" s="27" t="s">
        <v>7</v>
      </c>
    </row>
    <row r="716" spans="1:429" x14ac:dyDescent="0.25">
      <c r="A716" s="7">
        <v>7.7728062567582412E-2</v>
      </c>
      <c r="B716"/>
      <c r="C716"/>
      <c r="D716"/>
      <c r="E716"/>
      <c r="F716" s="27" t="s">
        <v>7</v>
      </c>
      <c r="LM716" s="27" t="s">
        <v>8</v>
      </c>
      <c r="ML716" s="27" t="s">
        <v>7</v>
      </c>
      <c r="MM716" s="27" t="s">
        <v>8</v>
      </c>
      <c r="MN716" s="27" t="s">
        <v>7</v>
      </c>
      <c r="MO716" s="27" t="s">
        <v>8</v>
      </c>
      <c r="MP716" s="27" t="s">
        <v>7</v>
      </c>
      <c r="MQ716" s="27" t="s">
        <v>8</v>
      </c>
      <c r="MR716" s="27" t="s">
        <v>7</v>
      </c>
      <c r="MS716" s="27" t="s">
        <v>8</v>
      </c>
      <c r="MT716" s="27" t="s">
        <v>7</v>
      </c>
      <c r="NK716" s="27" t="s">
        <v>8</v>
      </c>
      <c r="NR716" s="27" t="s">
        <v>7</v>
      </c>
      <c r="PD716" s="27" t="s">
        <v>7</v>
      </c>
      <c r="PE716" s="27" t="s">
        <v>8</v>
      </c>
      <c r="PH716" s="27" t="s">
        <v>7</v>
      </c>
      <c r="PI716" s="27" t="s">
        <v>8</v>
      </c>
      <c r="PJ716" s="27" t="s">
        <v>7</v>
      </c>
    </row>
    <row r="717" spans="1:429" x14ac:dyDescent="0.25">
      <c r="A717" s="7">
        <v>7.6203982909394521E-2</v>
      </c>
      <c r="B717"/>
      <c r="C717"/>
      <c r="D717"/>
      <c r="E717"/>
      <c r="F717" s="27" t="s">
        <v>7</v>
      </c>
      <c r="LM717" s="27" t="s">
        <v>8</v>
      </c>
      <c r="ML717" s="27" t="s">
        <v>7</v>
      </c>
      <c r="MM717" s="27" t="s">
        <v>8</v>
      </c>
      <c r="MN717" s="27" t="s">
        <v>7</v>
      </c>
      <c r="MO717" s="27" t="s">
        <v>8</v>
      </c>
      <c r="MP717" s="27" t="s">
        <v>7</v>
      </c>
      <c r="MQ717" s="27" t="s">
        <v>8</v>
      </c>
      <c r="MR717" s="27" t="s">
        <v>7</v>
      </c>
      <c r="MS717" s="27" t="s">
        <v>8</v>
      </c>
      <c r="MT717" s="27" t="s">
        <v>7</v>
      </c>
      <c r="MU717" s="27" t="s">
        <v>8</v>
      </c>
      <c r="NI717" s="27" t="s">
        <v>8</v>
      </c>
      <c r="NK717" s="27" t="s">
        <v>8</v>
      </c>
      <c r="PD717" s="27" t="s">
        <v>7</v>
      </c>
      <c r="PE717" s="27" t="s">
        <v>8</v>
      </c>
      <c r="PH717" s="27" t="s">
        <v>7</v>
      </c>
      <c r="PJ717" s="27" t="s">
        <v>7</v>
      </c>
    </row>
    <row r="718" spans="1:429" x14ac:dyDescent="0.25">
      <c r="A718" s="7">
        <v>7.4709787166073058E-2</v>
      </c>
      <c r="B718"/>
      <c r="C718"/>
      <c r="D718"/>
      <c r="E718"/>
      <c r="F718" s="27" t="s">
        <v>7</v>
      </c>
      <c r="LM718" s="27" t="s">
        <v>8</v>
      </c>
      <c r="ML718" s="27" t="s">
        <v>7</v>
      </c>
      <c r="MM718" s="27" t="s">
        <v>8</v>
      </c>
      <c r="MN718" s="27" t="s">
        <v>7</v>
      </c>
      <c r="MO718" s="27" t="s">
        <v>8</v>
      </c>
      <c r="MP718" s="27" t="s">
        <v>7</v>
      </c>
      <c r="MQ718" s="27" t="s">
        <v>8</v>
      </c>
      <c r="MR718" s="27" t="s">
        <v>7</v>
      </c>
      <c r="MS718" s="27" t="s">
        <v>8</v>
      </c>
      <c r="MT718" s="27" t="s">
        <v>7</v>
      </c>
      <c r="MU718" s="27" t="s">
        <v>8</v>
      </c>
      <c r="MV718" s="27" t="s">
        <v>7</v>
      </c>
      <c r="MW718" s="27" t="s">
        <v>8</v>
      </c>
      <c r="NI718" s="27" t="s">
        <v>8</v>
      </c>
      <c r="NJ718" s="27" t="s">
        <v>7</v>
      </c>
      <c r="NK718" s="27" t="s">
        <v>8</v>
      </c>
      <c r="PD718" s="27" t="s">
        <v>7</v>
      </c>
      <c r="PE718" s="27" t="s">
        <v>8</v>
      </c>
      <c r="PJ718" s="27" t="s">
        <v>7</v>
      </c>
    </row>
    <row r="719" spans="1:429" x14ac:dyDescent="0.25">
      <c r="A719" s="7">
        <v>7.3244889378503E-2</v>
      </c>
      <c r="B719"/>
      <c r="C719"/>
      <c r="D719"/>
      <c r="E719"/>
      <c r="F719" s="27" t="s">
        <v>7</v>
      </c>
      <c r="LM719" s="27" t="s">
        <v>8</v>
      </c>
      <c r="ML719" s="27" t="s">
        <v>7</v>
      </c>
      <c r="MM719" s="27" t="s">
        <v>8</v>
      </c>
      <c r="MN719" s="27" t="s">
        <v>7</v>
      </c>
      <c r="MO719" s="27" t="s">
        <v>8</v>
      </c>
      <c r="MP719" s="27" t="s">
        <v>7</v>
      </c>
      <c r="MQ719" s="27" t="s">
        <v>8</v>
      </c>
      <c r="MR719" s="27" t="s">
        <v>7</v>
      </c>
      <c r="MS719" s="27" t="s">
        <v>8</v>
      </c>
      <c r="MT719" s="27" t="s">
        <v>7</v>
      </c>
      <c r="MU719" s="27" t="s">
        <v>8</v>
      </c>
      <c r="MV719" s="27" t="s">
        <v>7</v>
      </c>
      <c r="MW719" s="27" t="s">
        <v>8</v>
      </c>
      <c r="MX719" s="27" t="s">
        <v>7</v>
      </c>
      <c r="NI719" s="27" t="s">
        <v>8</v>
      </c>
      <c r="NJ719" s="27" t="s">
        <v>7</v>
      </c>
      <c r="NK719" s="27" t="s">
        <v>8</v>
      </c>
      <c r="PD719" s="27" t="s">
        <v>7</v>
      </c>
      <c r="PJ719" s="27" t="s">
        <v>7</v>
      </c>
    </row>
    <row r="720" spans="1:429" x14ac:dyDescent="0.25">
      <c r="A720" s="7">
        <v>7.1808715076963722E-2</v>
      </c>
      <c r="B720"/>
      <c r="C720"/>
      <c r="D720"/>
      <c r="E720"/>
      <c r="F720" s="27" t="s">
        <v>7</v>
      </c>
      <c r="LM720" s="27" t="s">
        <v>8</v>
      </c>
      <c r="ML720" s="27" t="s">
        <v>7</v>
      </c>
      <c r="MM720" s="27" t="s">
        <v>8</v>
      </c>
      <c r="MN720" s="27" t="s">
        <v>7</v>
      </c>
      <c r="MP720" s="27" t="s">
        <v>7</v>
      </c>
      <c r="MQ720" s="27" t="s">
        <v>8</v>
      </c>
      <c r="MR720" s="27" t="s">
        <v>7</v>
      </c>
      <c r="MS720" s="27" t="s">
        <v>8</v>
      </c>
      <c r="MT720" s="27" t="s">
        <v>7</v>
      </c>
      <c r="MU720" s="27" t="s">
        <v>8</v>
      </c>
      <c r="MV720" s="27" t="s">
        <v>7</v>
      </c>
      <c r="MW720" s="27" t="s">
        <v>8</v>
      </c>
      <c r="MX720" s="27" t="s">
        <v>7</v>
      </c>
      <c r="NI720" s="27" t="s">
        <v>8</v>
      </c>
      <c r="NJ720" s="27" t="s">
        <v>7</v>
      </c>
      <c r="NK720" s="27" t="s">
        <v>8</v>
      </c>
      <c r="PJ720" s="27" t="s">
        <v>7</v>
      </c>
      <c r="PK720" s="27" t="s">
        <v>8</v>
      </c>
      <c r="PM720" s="27" t="s">
        <v>8</v>
      </c>
    </row>
    <row r="721" spans="1:434" x14ac:dyDescent="0.25">
      <c r="A721" s="7">
        <v>7.0400701055846782E-2</v>
      </c>
      <c r="B721"/>
      <c r="C721"/>
      <c r="D721"/>
      <c r="E721"/>
      <c r="F721" s="27" t="s">
        <v>7</v>
      </c>
      <c r="LM721" s="27" t="s">
        <v>8</v>
      </c>
      <c r="ML721" s="27" t="s">
        <v>7</v>
      </c>
      <c r="MM721" s="27" t="s">
        <v>8</v>
      </c>
      <c r="MP721" s="27" t="s">
        <v>7</v>
      </c>
      <c r="MQ721" s="27" t="s">
        <v>8</v>
      </c>
      <c r="MR721" s="27" t="s">
        <v>7</v>
      </c>
      <c r="MS721" s="27" t="s">
        <v>8</v>
      </c>
      <c r="MT721" s="27" t="s">
        <v>7</v>
      </c>
      <c r="MU721" s="27" t="s">
        <v>8</v>
      </c>
      <c r="MV721" s="27" t="s">
        <v>7</v>
      </c>
      <c r="MW721" s="27" t="s">
        <v>8</v>
      </c>
      <c r="MX721" s="27" t="s">
        <v>7</v>
      </c>
      <c r="NI721" s="27" t="s">
        <v>8</v>
      </c>
      <c r="NJ721" s="27" t="s">
        <v>7</v>
      </c>
      <c r="PJ721" s="27" t="s">
        <v>7</v>
      </c>
      <c r="PK721" s="27" t="s">
        <v>8</v>
      </c>
      <c r="PL721" s="27" t="s">
        <v>7</v>
      </c>
      <c r="PM721" s="27" t="s">
        <v>8</v>
      </c>
      <c r="PN721" s="27" t="s">
        <v>7</v>
      </c>
    </row>
    <row r="722" spans="1:434" x14ac:dyDescent="0.25">
      <c r="A722" s="7">
        <v>6.9020295152790956E-2</v>
      </c>
      <c r="B722"/>
      <c r="C722"/>
      <c r="D722"/>
      <c r="E722"/>
      <c r="F722" s="27" t="s">
        <v>7</v>
      </c>
      <c r="LM722" s="27" t="s">
        <v>8</v>
      </c>
      <c r="ML722" s="27" t="s">
        <v>7</v>
      </c>
      <c r="MM722" s="27" t="s">
        <v>8</v>
      </c>
      <c r="MP722" s="27" t="s">
        <v>7</v>
      </c>
      <c r="MQ722" s="27" t="s">
        <v>8</v>
      </c>
      <c r="MR722" s="27" t="s">
        <v>7</v>
      </c>
      <c r="MS722" s="27" t="s">
        <v>8</v>
      </c>
      <c r="MT722" s="27" t="s">
        <v>7</v>
      </c>
      <c r="MU722" s="27" t="s">
        <v>8</v>
      </c>
      <c r="MV722" s="27" t="s">
        <v>7</v>
      </c>
      <c r="MW722" s="27" t="s">
        <v>8</v>
      </c>
      <c r="MX722" s="27" t="s">
        <v>7</v>
      </c>
      <c r="NA722" s="27" t="s">
        <v>8</v>
      </c>
      <c r="NI722" s="27" t="s">
        <v>8</v>
      </c>
      <c r="PJ722" s="27" t="s">
        <v>7</v>
      </c>
      <c r="PK722" s="27" t="s">
        <v>8</v>
      </c>
      <c r="PL722" s="27" t="s">
        <v>7</v>
      </c>
      <c r="PM722" s="27" t="s">
        <v>8</v>
      </c>
      <c r="PN722" s="27" t="s">
        <v>7</v>
      </c>
    </row>
    <row r="723" spans="1:434" x14ac:dyDescent="0.25">
      <c r="A723" s="7">
        <v>6.7666956032147993E-2</v>
      </c>
      <c r="B723"/>
      <c r="C723"/>
      <c r="D723"/>
      <c r="E723"/>
      <c r="F723" s="27" t="s">
        <v>7</v>
      </c>
      <c r="LG723" s="27" t="s">
        <v>8</v>
      </c>
      <c r="LM723" s="27" t="s">
        <v>8</v>
      </c>
      <c r="ML723" s="27" t="s">
        <v>7</v>
      </c>
      <c r="MM723" s="27" t="s">
        <v>8</v>
      </c>
      <c r="MP723" s="27" t="s">
        <v>7</v>
      </c>
      <c r="MQ723" s="27" t="s">
        <v>8</v>
      </c>
      <c r="MR723" s="27" t="s">
        <v>7</v>
      </c>
      <c r="MT723" s="27" t="s">
        <v>7</v>
      </c>
      <c r="MV723" s="27" t="s">
        <v>7</v>
      </c>
      <c r="MW723" s="27" t="s">
        <v>8</v>
      </c>
      <c r="MX723" s="27" t="s">
        <v>7</v>
      </c>
      <c r="MY723" s="27" t="s">
        <v>8</v>
      </c>
      <c r="NA723" s="27" t="s">
        <v>8</v>
      </c>
      <c r="NB723" s="27" t="s">
        <v>7</v>
      </c>
      <c r="NC723" s="27" t="s">
        <v>8</v>
      </c>
      <c r="NI723" s="27" t="s">
        <v>8</v>
      </c>
      <c r="PJ723" s="27" t="s">
        <v>7</v>
      </c>
      <c r="PK723" s="27" t="s">
        <v>8</v>
      </c>
      <c r="PL723" s="27" t="s">
        <v>7</v>
      </c>
      <c r="PM723" s="27" t="s">
        <v>8</v>
      </c>
      <c r="PN723" s="27" t="s">
        <v>7</v>
      </c>
    </row>
    <row r="724" spans="1:434" x14ac:dyDescent="0.25">
      <c r="A724" s="7">
        <v>6.6340152972694105E-2</v>
      </c>
      <c r="B724"/>
      <c r="C724"/>
      <c r="D724"/>
      <c r="E724"/>
      <c r="F724" s="27" t="s">
        <v>7</v>
      </c>
      <c r="LG724" s="27" t="s">
        <v>8</v>
      </c>
      <c r="LH724" s="27" t="s">
        <v>7</v>
      </c>
      <c r="LK724" s="27" t="s">
        <v>8</v>
      </c>
      <c r="LM724" s="27" t="s">
        <v>8</v>
      </c>
      <c r="ML724" s="27" t="s">
        <v>7</v>
      </c>
      <c r="MM724" s="27" t="s">
        <v>8</v>
      </c>
      <c r="MP724" s="27" t="s">
        <v>7</v>
      </c>
      <c r="MQ724" s="27" t="s">
        <v>8</v>
      </c>
      <c r="MV724" s="27" t="s">
        <v>7</v>
      </c>
      <c r="MX724" s="27" t="s">
        <v>7</v>
      </c>
      <c r="MY724" s="27" t="s">
        <v>8</v>
      </c>
      <c r="MZ724" s="27" t="s">
        <v>7</v>
      </c>
      <c r="NA724" s="27" t="s">
        <v>8</v>
      </c>
      <c r="NB724" s="27" t="s">
        <v>7</v>
      </c>
      <c r="NC724" s="27" t="s">
        <v>8</v>
      </c>
      <c r="ND724" s="27" t="s">
        <v>7</v>
      </c>
      <c r="NG724" s="27" t="s">
        <v>8</v>
      </c>
      <c r="NI724" s="27" t="s">
        <v>8</v>
      </c>
      <c r="PJ724" s="27" t="s">
        <v>7</v>
      </c>
      <c r="PK724" s="27" t="s">
        <v>8</v>
      </c>
      <c r="PL724" s="27" t="s">
        <v>7</v>
      </c>
      <c r="PN724" s="27" t="s">
        <v>7</v>
      </c>
    </row>
    <row r="725" spans="1:434" x14ac:dyDescent="0.25">
      <c r="A725" s="7">
        <v>6.5039365659504023E-2</v>
      </c>
      <c r="B725"/>
      <c r="C725"/>
      <c r="D725"/>
      <c r="E725"/>
      <c r="F725" s="27" t="s">
        <v>7</v>
      </c>
      <c r="LG725" s="27" t="s">
        <v>8</v>
      </c>
      <c r="LH725" s="27" t="s">
        <v>7</v>
      </c>
      <c r="LI725" s="27" t="s">
        <v>8</v>
      </c>
      <c r="LK725" s="27" t="s">
        <v>8</v>
      </c>
      <c r="LL725" s="27" t="s">
        <v>7</v>
      </c>
      <c r="LM725" s="27" t="s">
        <v>8</v>
      </c>
      <c r="ML725" s="27" t="s">
        <v>7</v>
      </c>
      <c r="MM725" s="27" t="s">
        <v>8</v>
      </c>
      <c r="MP725" s="27" t="s">
        <v>7</v>
      </c>
      <c r="MQ725" s="27" t="s">
        <v>8</v>
      </c>
      <c r="MX725" s="27" t="s">
        <v>7</v>
      </c>
      <c r="MY725" s="27" t="s">
        <v>8</v>
      </c>
      <c r="MZ725" s="27" t="s">
        <v>7</v>
      </c>
      <c r="NA725" s="27" t="s">
        <v>8</v>
      </c>
      <c r="NB725" s="27" t="s">
        <v>7</v>
      </c>
      <c r="NC725" s="27" t="s">
        <v>8</v>
      </c>
      <c r="ND725" s="27" t="s">
        <v>7</v>
      </c>
      <c r="NG725" s="27" t="s">
        <v>8</v>
      </c>
      <c r="NH725" s="27" t="s">
        <v>7</v>
      </c>
      <c r="NI725" s="27" t="s">
        <v>8</v>
      </c>
      <c r="PJ725" s="27" t="s">
        <v>7</v>
      </c>
      <c r="PK725" s="27" t="s">
        <v>8</v>
      </c>
      <c r="PN725" s="27" t="s">
        <v>7</v>
      </c>
    </row>
    <row r="726" spans="1:434" x14ac:dyDescent="0.25">
      <c r="A726" s="7">
        <v>6.3764083979905906E-2</v>
      </c>
      <c r="B726"/>
      <c r="C726"/>
      <c r="D726"/>
      <c r="E726"/>
      <c r="F726" s="27" t="s">
        <v>7</v>
      </c>
      <c r="KS726" s="27" t="s">
        <v>8</v>
      </c>
      <c r="LG726" s="27" t="s">
        <v>8</v>
      </c>
      <c r="LH726" s="27" t="s">
        <v>7</v>
      </c>
      <c r="LI726" s="27" t="s">
        <v>8</v>
      </c>
      <c r="LJ726" s="27" t="s">
        <v>7</v>
      </c>
      <c r="LK726" s="27" t="s">
        <v>8</v>
      </c>
      <c r="LL726" s="27" t="s">
        <v>7</v>
      </c>
      <c r="LM726" s="27" t="s">
        <v>8</v>
      </c>
      <c r="ML726" s="27" t="s">
        <v>7</v>
      </c>
      <c r="MM726" s="27" t="s">
        <v>8</v>
      </c>
      <c r="MP726" s="27" t="s">
        <v>7</v>
      </c>
      <c r="MQ726" s="27" t="s">
        <v>8</v>
      </c>
      <c r="MX726" s="27" t="s">
        <v>7</v>
      </c>
      <c r="MY726" s="27" t="s">
        <v>8</v>
      </c>
      <c r="MZ726" s="27" t="s">
        <v>7</v>
      </c>
      <c r="NA726" s="27" t="s">
        <v>8</v>
      </c>
      <c r="NB726" s="27" t="s">
        <v>7</v>
      </c>
      <c r="ND726" s="27" t="s">
        <v>7</v>
      </c>
      <c r="NG726" s="27" t="s">
        <v>8</v>
      </c>
      <c r="NH726" s="27" t="s">
        <v>7</v>
      </c>
      <c r="NI726" s="27" t="s">
        <v>8</v>
      </c>
      <c r="PJ726" s="27" t="s">
        <v>7</v>
      </c>
      <c r="PK726" s="27" t="s">
        <v>8</v>
      </c>
      <c r="PN726" s="27" t="s">
        <v>7</v>
      </c>
    </row>
    <row r="727" spans="1:434" x14ac:dyDescent="0.25">
      <c r="A727" s="7">
        <v>6.251380782343717E-2</v>
      </c>
      <c r="B727"/>
      <c r="C727"/>
      <c r="D727"/>
      <c r="E727"/>
      <c r="F727" s="27" t="s">
        <v>7</v>
      </c>
      <c r="KS727" s="27" t="s">
        <v>8</v>
      </c>
      <c r="KT727" s="27" t="s">
        <v>7</v>
      </c>
      <c r="LG727" s="27" t="s">
        <v>8</v>
      </c>
      <c r="LH727" s="27" t="s">
        <v>7</v>
      </c>
      <c r="LI727" s="27" t="s">
        <v>8</v>
      </c>
      <c r="LJ727" s="27" t="s">
        <v>7</v>
      </c>
      <c r="LK727" s="27" t="s">
        <v>8</v>
      </c>
      <c r="LL727" s="27" t="s">
        <v>7</v>
      </c>
      <c r="ML727" s="27" t="s">
        <v>7</v>
      </c>
      <c r="MP727" s="27" t="s">
        <v>7</v>
      </c>
      <c r="MQ727" s="27" t="s">
        <v>8</v>
      </c>
      <c r="MX727" s="27" t="s">
        <v>7</v>
      </c>
      <c r="MY727" s="27" t="s">
        <v>8</v>
      </c>
      <c r="MZ727" s="27" t="s">
        <v>7</v>
      </c>
      <c r="NA727" s="27" t="s">
        <v>8</v>
      </c>
      <c r="ND727" s="27" t="s">
        <v>7</v>
      </c>
      <c r="NE727" s="27" t="s">
        <v>8</v>
      </c>
      <c r="NG727" s="27" t="s">
        <v>8</v>
      </c>
      <c r="NH727" s="27" t="s">
        <v>7</v>
      </c>
      <c r="PJ727" s="27" t="s">
        <v>7</v>
      </c>
      <c r="PK727" s="27" t="s">
        <v>8</v>
      </c>
      <c r="PN727" s="27" t="s">
        <v>7</v>
      </c>
    </row>
    <row r="728" spans="1:434" x14ac:dyDescent="0.25">
      <c r="A728" s="7">
        <v>6.1288046885722716E-2</v>
      </c>
      <c r="B728"/>
      <c r="C728"/>
      <c r="D728"/>
      <c r="E728"/>
      <c r="F728" s="27" t="s">
        <v>7</v>
      </c>
      <c r="KS728" s="27" t="s">
        <v>8</v>
      </c>
      <c r="KT728" s="27" t="s">
        <v>7</v>
      </c>
      <c r="KU728" s="27" t="s">
        <v>8</v>
      </c>
      <c r="LG728" s="27" t="s">
        <v>8</v>
      </c>
      <c r="LH728" s="27" t="s">
        <v>7</v>
      </c>
      <c r="LI728" s="27" t="s">
        <v>8</v>
      </c>
      <c r="LJ728" s="27" t="s">
        <v>7</v>
      </c>
      <c r="LK728" s="27" t="s">
        <v>8</v>
      </c>
      <c r="MP728" s="27" t="s">
        <v>7</v>
      </c>
      <c r="MQ728" s="27" t="s">
        <v>8</v>
      </c>
      <c r="MX728" s="27" t="s">
        <v>7</v>
      </c>
      <c r="MY728" s="27" t="s">
        <v>8</v>
      </c>
      <c r="MZ728" s="27" t="s">
        <v>7</v>
      </c>
      <c r="NA728" s="27" t="s">
        <v>8</v>
      </c>
      <c r="ND728" s="27" t="s">
        <v>7</v>
      </c>
      <c r="NE728" s="27" t="s">
        <v>8</v>
      </c>
      <c r="NF728" s="27" t="s">
        <v>7</v>
      </c>
      <c r="NG728" s="27" t="s">
        <v>8</v>
      </c>
      <c r="PJ728" s="27" t="s">
        <v>7</v>
      </c>
      <c r="PN728" s="27" t="s">
        <v>7</v>
      </c>
    </row>
    <row r="729" spans="1:434" x14ac:dyDescent="0.25">
      <c r="A729" s="7">
        <v>6.0086320476198739E-2</v>
      </c>
      <c r="B729"/>
      <c r="C729"/>
      <c r="D729"/>
      <c r="E729"/>
      <c r="F729" s="27" t="s">
        <v>7</v>
      </c>
      <c r="KO729" s="27" t="s">
        <v>8</v>
      </c>
      <c r="KS729" s="27" t="s">
        <v>8</v>
      </c>
      <c r="KT729" s="27" t="s">
        <v>7</v>
      </c>
      <c r="KU729" s="27" t="s">
        <v>8</v>
      </c>
      <c r="KV729" s="27" t="s">
        <v>7</v>
      </c>
      <c r="LG729" s="27" t="s">
        <v>8</v>
      </c>
      <c r="LH729" s="27" t="s">
        <v>7</v>
      </c>
      <c r="LI729" s="27" t="s">
        <v>8</v>
      </c>
      <c r="LJ729" s="27" t="s">
        <v>7</v>
      </c>
      <c r="LK729" s="27" t="s">
        <v>8</v>
      </c>
      <c r="MP729" s="27" t="s">
        <v>7</v>
      </c>
      <c r="MQ729" s="27" t="s">
        <v>8</v>
      </c>
      <c r="MX729" s="27" t="s">
        <v>7</v>
      </c>
      <c r="MY729" s="27" t="s">
        <v>8</v>
      </c>
      <c r="MZ729" s="27" t="s">
        <v>7</v>
      </c>
      <c r="NA729" s="27" t="s">
        <v>8</v>
      </c>
      <c r="ND729" s="27" t="s">
        <v>7</v>
      </c>
      <c r="NE729" s="27" t="s">
        <v>8</v>
      </c>
      <c r="NF729" s="27" t="s">
        <v>7</v>
      </c>
      <c r="NG729" s="27" t="s">
        <v>8</v>
      </c>
      <c r="PN729" s="27" t="s">
        <v>7</v>
      </c>
    </row>
    <row r="730" spans="1:434" x14ac:dyDescent="0.25">
      <c r="A730" s="7">
        <v>5.8908157329606609E-2</v>
      </c>
      <c r="B730"/>
      <c r="C730"/>
      <c r="D730"/>
      <c r="E730"/>
      <c r="F730" s="27" t="s">
        <v>7</v>
      </c>
      <c r="KM730" s="27" t="s">
        <v>8</v>
      </c>
      <c r="KO730" s="27" t="s">
        <v>8</v>
      </c>
      <c r="KP730" s="27" t="s">
        <v>7</v>
      </c>
      <c r="KS730" s="27" t="s">
        <v>8</v>
      </c>
      <c r="KT730" s="27" t="s">
        <v>7</v>
      </c>
      <c r="KU730" s="27" t="s">
        <v>8</v>
      </c>
      <c r="KV730" s="27" t="s">
        <v>7</v>
      </c>
      <c r="LG730" s="27" t="s">
        <v>8</v>
      </c>
      <c r="LH730" s="27" t="s">
        <v>7</v>
      </c>
      <c r="LJ730" s="27" t="s">
        <v>7</v>
      </c>
      <c r="LK730" s="27" t="s">
        <v>8</v>
      </c>
      <c r="MP730" s="27" t="s">
        <v>7</v>
      </c>
      <c r="MQ730" s="27" t="s">
        <v>8</v>
      </c>
      <c r="MX730" s="27" t="s">
        <v>7</v>
      </c>
      <c r="MY730" s="27" t="s">
        <v>8</v>
      </c>
      <c r="MZ730" s="27" t="s">
        <v>7</v>
      </c>
      <c r="ND730" s="27" t="s">
        <v>7</v>
      </c>
      <c r="NE730" s="27" t="s">
        <v>8</v>
      </c>
      <c r="NF730" s="27" t="s">
        <v>7</v>
      </c>
      <c r="NG730" s="27" t="s">
        <v>8</v>
      </c>
      <c r="PN730" s="27" t="s">
        <v>7</v>
      </c>
      <c r="PQ730" s="27" t="s">
        <v>8</v>
      </c>
    </row>
    <row r="731" spans="1:434" x14ac:dyDescent="0.25">
      <c r="A731" s="7">
        <v>5.7753095421182947E-2</v>
      </c>
      <c r="B731"/>
      <c r="C731"/>
      <c r="D731"/>
      <c r="E731"/>
      <c r="F731" s="27" t="s">
        <v>7</v>
      </c>
      <c r="KM731" s="27" t="s">
        <v>8</v>
      </c>
      <c r="KN731" s="27" t="s">
        <v>7</v>
      </c>
      <c r="KO731" s="27" t="s">
        <v>8</v>
      </c>
      <c r="KP731" s="27" t="s">
        <v>7</v>
      </c>
      <c r="KS731" s="27" t="s">
        <v>8</v>
      </c>
      <c r="KT731" s="27" t="s">
        <v>7</v>
      </c>
      <c r="KU731" s="27" t="s">
        <v>8</v>
      </c>
      <c r="KV731" s="27" t="s">
        <v>7</v>
      </c>
      <c r="LG731" s="27" t="s">
        <v>8</v>
      </c>
      <c r="LJ731" s="27" t="s">
        <v>7</v>
      </c>
      <c r="LK731" s="27" t="s">
        <v>8</v>
      </c>
      <c r="MP731" s="27" t="s">
        <v>7</v>
      </c>
      <c r="MQ731" s="27" t="s">
        <v>8</v>
      </c>
      <c r="MX731" s="27" t="s">
        <v>7</v>
      </c>
      <c r="MY731" s="27" t="s">
        <v>8</v>
      </c>
      <c r="ND731" s="27" t="s">
        <v>7</v>
      </c>
      <c r="NE731" s="27" t="s">
        <v>8</v>
      </c>
      <c r="NF731" s="27" t="s">
        <v>7</v>
      </c>
      <c r="PN731" s="27" t="s">
        <v>7</v>
      </c>
      <c r="PO731" s="27" t="s">
        <v>8</v>
      </c>
      <c r="PQ731" s="27" t="s">
        <v>8</v>
      </c>
      <c r="PR731" s="27" t="s">
        <v>7</v>
      </c>
    </row>
    <row r="732" spans="1:434" x14ac:dyDescent="0.25">
      <c r="A732" s="7">
        <v>5.6620681785473484E-2</v>
      </c>
      <c r="B732"/>
      <c r="C732"/>
      <c r="D732"/>
      <c r="E732"/>
      <c r="F732" s="27" t="s">
        <v>7</v>
      </c>
      <c r="KM732" s="27" t="s">
        <v>8</v>
      </c>
      <c r="KN732" s="27" t="s">
        <v>7</v>
      </c>
      <c r="KO732" s="27" t="s">
        <v>8</v>
      </c>
      <c r="KP732" s="27" t="s">
        <v>7</v>
      </c>
      <c r="KS732" s="27" t="s">
        <v>8</v>
      </c>
      <c r="KT732" s="27" t="s">
        <v>7</v>
      </c>
      <c r="KU732" s="27" t="s">
        <v>8</v>
      </c>
      <c r="KV732" s="27" t="s">
        <v>7</v>
      </c>
      <c r="LG732" s="27" t="s">
        <v>8</v>
      </c>
      <c r="LJ732" s="27" t="s">
        <v>7</v>
      </c>
      <c r="LK732" s="27" t="s">
        <v>8</v>
      </c>
      <c r="MP732" s="27" t="s">
        <v>7</v>
      </c>
      <c r="MX732" s="27" t="s">
        <v>7</v>
      </c>
      <c r="MY732" s="27" t="s">
        <v>8</v>
      </c>
      <c r="ND732" s="27" t="s">
        <v>7</v>
      </c>
      <c r="NE732" s="27" t="s">
        <v>8</v>
      </c>
      <c r="PN732" s="27" t="s">
        <v>7</v>
      </c>
      <c r="PO732" s="27" t="s">
        <v>8</v>
      </c>
      <c r="PP732" s="27" t="s">
        <v>7</v>
      </c>
      <c r="PQ732" s="27" t="s">
        <v>8</v>
      </c>
      <c r="PR732" s="27" t="s">
        <v>7</v>
      </c>
    </row>
    <row r="733" spans="1:434" x14ac:dyDescent="0.25">
      <c r="A733" s="7">
        <v>5.5510472338699497E-2</v>
      </c>
      <c r="B733"/>
      <c r="C733"/>
      <c r="D733"/>
      <c r="E733"/>
      <c r="F733" s="27" t="s">
        <v>7</v>
      </c>
      <c r="KM733" s="27" t="s">
        <v>8</v>
      </c>
      <c r="KN733" s="27" t="s">
        <v>7</v>
      </c>
      <c r="KO733" s="27" t="s">
        <v>8</v>
      </c>
      <c r="KP733" s="27" t="s">
        <v>7</v>
      </c>
      <c r="KS733" s="27" t="s">
        <v>8</v>
      </c>
      <c r="KT733" s="27" t="s">
        <v>7</v>
      </c>
      <c r="KV733" s="27" t="s">
        <v>7</v>
      </c>
      <c r="LG733" s="27" t="s">
        <v>8</v>
      </c>
      <c r="LJ733" s="27" t="s">
        <v>7</v>
      </c>
      <c r="LK733" s="27" t="s">
        <v>8</v>
      </c>
      <c r="MX733" s="27" t="s">
        <v>7</v>
      </c>
      <c r="MY733" s="27" t="s">
        <v>8</v>
      </c>
      <c r="ND733" s="27" t="s">
        <v>7</v>
      </c>
      <c r="NE733" s="27" t="s">
        <v>8</v>
      </c>
      <c r="PN733" s="27" t="s">
        <v>7</v>
      </c>
      <c r="PO733" s="27" t="s">
        <v>8</v>
      </c>
      <c r="PP733" s="27" t="s">
        <v>7</v>
      </c>
      <c r="PQ733" s="27" t="s">
        <v>8</v>
      </c>
      <c r="PR733" s="27" t="s">
        <v>7</v>
      </c>
    </row>
    <row r="734" spans="1:434" x14ac:dyDescent="0.25">
      <c r="A734" s="7">
        <v>5.4422031704607354E-2</v>
      </c>
      <c r="B734"/>
      <c r="C734"/>
      <c r="D734"/>
      <c r="E734"/>
      <c r="F734" s="27" t="s">
        <v>7</v>
      </c>
      <c r="KM734" s="27" t="s">
        <v>8</v>
      </c>
      <c r="KN734" s="27" t="s">
        <v>7</v>
      </c>
      <c r="KO734" s="27" t="s">
        <v>8</v>
      </c>
      <c r="KP734" s="27" t="s">
        <v>7</v>
      </c>
      <c r="KQ734" s="27" t="s">
        <v>8</v>
      </c>
      <c r="KS734" s="27" t="s">
        <v>8</v>
      </c>
      <c r="KV734" s="27" t="s">
        <v>7</v>
      </c>
      <c r="LG734" s="27" t="s">
        <v>8</v>
      </c>
      <c r="LJ734" s="27" t="s">
        <v>7</v>
      </c>
      <c r="LK734" s="27" t="s">
        <v>8</v>
      </c>
      <c r="MX734" s="27" t="s">
        <v>7</v>
      </c>
      <c r="MY734" s="27" t="s">
        <v>8</v>
      </c>
      <c r="ND734" s="27" t="s">
        <v>7</v>
      </c>
      <c r="NE734" s="27" t="s">
        <v>8</v>
      </c>
      <c r="PN734" s="27" t="s">
        <v>7</v>
      </c>
      <c r="PO734" s="27" t="s">
        <v>8</v>
      </c>
      <c r="PP734" s="27" t="s">
        <v>7</v>
      </c>
      <c r="PQ734" s="27" t="s">
        <v>8</v>
      </c>
    </row>
    <row r="735" spans="1:434" x14ac:dyDescent="0.25">
      <c r="A735" s="7">
        <v>5.3354933043732705E-2</v>
      </c>
      <c r="B735"/>
      <c r="C735"/>
      <c r="D735"/>
      <c r="E735"/>
      <c r="F735" s="27" t="s">
        <v>7</v>
      </c>
      <c r="KM735" s="27" t="s">
        <v>8</v>
      </c>
      <c r="KN735" s="27" t="s">
        <v>7</v>
      </c>
      <c r="KO735" s="27" t="s">
        <v>8</v>
      </c>
      <c r="KP735" s="27" t="s">
        <v>7</v>
      </c>
      <c r="KQ735" s="27" t="s">
        <v>8</v>
      </c>
      <c r="KR735" s="27" t="s">
        <v>7</v>
      </c>
      <c r="KS735" s="27" t="s">
        <v>8</v>
      </c>
      <c r="KV735" s="27" t="s">
        <v>7</v>
      </c>
      <c r="LA735" s="27" t="s">
        <v>8</v>
      </c>
      <c r="LC735" s="27" t="s">
        <v>8</v>
      </c>
      <c r="LE735" s="27" t="s">
        <v>8</v>
      </c>
      <c r="LG735" s="27" t="s">
        <v>8</v>
      </c>
      <c r="LJ735" s="27" t="s">
        <v>7</v>
      </c>
      <c r="MX735" s="27" t="s">
        <v>7</v>
      </c>
      <c r="MY735" s="27" t="s">
        <v>8</v>
      </c>
      <c r="ND735" s="18" t="s">
        <v>7</v>
      </c>
      <c r="NE735" s="27" t="s">
        <v>8</v>
      </c>
      <c r="PN735" s="27" t="s">
        <v>7</v>
      </c>
      <c r="PP735" s="27" t="s">
        <v>7</v>
      </c>
      <c r="PQ735" s="27" t="s">
        <v>8</v>
      </c>
    </row>
    <row r="736" spans="1:434" x14ac:dyDescent="0.25">
      <c r="A736" s="7">
        <v>5.2308757886012455E-2</v>
      </c>
      <c r="B736"/>
      <c r="C736"/>
      <c r="D736"/>
      <c r="E736"/>
      <c r="F736" s="27" t="s">
        <v>7</v>
      </c>
      <c r="KM736" s="27" t="s">
        <v>8</v>
      </c>
      <c r="KN736" s="27" t="s">
        <v>7</v>
      </c>
      <c r="KP736" s="27" t="s">
        <v>7</v>
      </c>
      <c r="KQ736" s="27" t="s">
        <v>8</v>
      </c>
      <c r="KR736" s="27" t="s">
        <v>7</v>
      </c>
      <c r="KS736" s="27" t="s">
        <v>8</v>
      </c>
      <c r="KV736" s="27" t="s">
        <v>7</v>
      </c>
      <c r="LA736" s="27" t="s">
        <v>8</v>
      </c>
      <c r="LB736" s="27" t="s">
        <v>7</v>
      </c>
      <c r="LC736" s="27" t="s">
        <v>8</v>
      </c>
      <c r="LD736" s="27" t="s">
        <v>7</v>
      </c>
      <c r="LE736" s="27" t="s">
        <v>8</v>
      </c>
      <c r="LF736" s="27" t="s">
        <v>7</v>
      </c>
      <c r="LG736" s="27" t="s">
        <v>8</v>
      </c>
      <c r="MX736" s="27" t="s">
        <v>7</v>
      </c>
      <c r="MY736" s="27" t="s">
        <v>8</v>
      </c>
      <c r="ND736" s="27" t="s">
        <v>7</v>
      </c>
      <c r="NE736" s="27" t="s">
        <v>8</v>
      </c>
      <c r="PP736" s="27" t="s">
        <v>7</v>
      </c>
      <c r="PQ736" s="27" t="s">
        <v>8</v>
      </c>
    </row>
    <row r="737" spans="1:432" x14ac:dyDescent="0.25">
      <c r="A737" s="7">
        <v>5.1283095966678877E-2</v>
      </c>
      <c r="B737"/>
      <c r="C737"/>
      <c r="D737"/>
      <c r="E737"/>
      <c r="F737" s="27" t="s">
        <v>7</v>
      </c>
      <c r="KM737" s="27" t="s">
        <v>8</v>
      </c>
      <c r="KP737" s="27" t="s">
        <v>7</v>
      </c>
      <c r="KQ737" s="27" t="s">
        <v>8</v>
      </c>
      <c r="KR737" s="27" t="s">
        <v>7</v>
      </c>
      <c r="KS737" s="27" t="s">
        <v>8</v>
      </c>
      <c r="KV737" s="27" t="s">
        <v>7</v>
      </c>
      <c r="LA737" s="27" t="s">
        <v>8</v>
      </c>
      <c r="LB737" s="27" t="s">
        <v>7</v>
      </c>
      <c r="LC737" s="27" t="s">
        <v>8</v>
      </c>
      <c r="LD737" s="27" t="s">
        <v>7</v>
      </c>
      <c r="LE737" s="27" t="s">
        <v>8</v>
      </c>
      <c r="LF737" s="27" t="s">
        <v>7</v>
      </c>
      <c r="LG737" s="27" t="s">
        <v>8</v>
      </c>
      <c r="MX737" s="27" t="s">
        <v>7</v>
      </c>
      <c r="MY737" s="27" t="s">
        <v>8</v>
      </c>
      <c r="ND737" s="27" t="s">
        <v>7</v>
      </c>
      <c r="NE737" s="27" t="s">
        <v>8</v>
      </c>
      <c r="PP737" s="27" t="s">
        <v>7</v>
      </c>
    </row>
    <row r="738" spans="1:432" x14ac:dyDescent="0.25">
      <c r="A738" s="7">
        <v>5.0277545065371444E-2</v>
      </c>
      <c r="B738"/>
      <c r="C738"/>
      <c r="D738"/>
      <c r="E738"/>
      <c r="F738" s="27" t="s">
        <v>7</v>
      </c>
      <c r="KK738" s="27" t="s">
        <v>8</v>
      </c>
      <c r="KM738" s="27" t="s">
        <v>8</v>
      </c>
      <c r="KP738" s="27" t="s">
        <v>7</v>
      </c>
      <c r="KQ738" s="27" t="s">
        <v>8</v>
      </c>
      <c r="KR738" s="27" t="s">
        <v>7</v>
      </c>
      <c r="KS738" s="27" t="s">
        <v>8</v>
      </c>
      <c r="KV738" s="27" t="s">
        <v>7</v>
      </c>
      <c r="LA738" s="27" t="s">
        <v>8</v>
      </c>
      <c r="LB738" s="27" t="s">
        <v>7</v>
      </c>
      <c r="LC738" s="27" t="s">
        <v>8</v>
      </c>
      <c r="LD738" s="27" t="s">
        <v>7</v>
      </c>
      <c r="LE738" s="27" t="s">
        <v>8</v>
      </c>
      <c r="LF738" s="27" t="s">
        <v>7</v>
      </c>
      <c r="LG738" s="27" t="s">
        <v>8</v>
      </c>
      <c r="MX738" s="27" t="s">
        <v>7</v>
      </c>
      <c r="MY738" s="27" t="s">
        <v>8</v>
      </c>
      <c r="ND738" s="27" t="s">
        <v>7</v>
      </c>
      <c r="NE738" s="27" t="s">
        <v>8</v>
      </c>
    </row>
    <row r="739" spans="1:432" x14ac:dyDescent="0.25">
      <c r="A739" s="7">
        <v>4.9291710848403378E-2</v>
      </c>
      <c r="B739"/>
      <c r="C739"/>
      <c r="D739"/>
      <c r="E739"/>
      <c r="F739" s="27" t="s">
        <v>7</v>
      </c>
      <c r="IG739" s="27" t="s">
        <v>8</v>
      </c>
      <c r="KK739" s="27" t="s">
        <v>8</v>
      </c>
      <c r="KL739" s="27" t="s">
        <v>7</v>
      </c>
      <c r="KM739" s="27" t="s">
        <v>8</v>
      </c>
      <c r="KP739" s="27" t="s">
        <v>7</v>
      </c>
      <c r="KQ739" s="27" t="s">
        <v>8</v>
      </c>
      <c r="KR739" s="27" t="s">
        <v>7</v>
      </c>
      <c r="KV739" s="27" t="s">
        <v>7</v>
      </c>
      <c r="KW739" s="27" t="s">
        <v>8</v>
      </c>
      <c r="LA739" s="27" t="s">
        <v>8</v>
      </c>
      <c r="LB739" s="27" t="s">
        <v>7</v>
      </c>
      <c r="LD739" s="27" t="s">
        <v>7</v>
      </c>
      <c r="LF739" s="27" t="s">
        <v>7</v>
      </c>
      <c r="LG739" s="27" t="s">
        <v>8</v>
      </c>
      <c r="MX739" s="27" t="s">
        <v>7</v>
      </c>
      <c r="MY739" s="27" t="s">
        <v>8</v>
      </c>
      <c r="ND739" s="27" t="s">
        <v>7</v>
      </c>
    </row>
    <row r="740" spans="1:432" x14ac:dyDescent="0.25">
      <c r="A740" s="7">
        <v>4.8325206714120959E-2</v>
      </c>
      <c r="B740"/>
      <c r="C740"/>
      <c r="D740"/>
      <c r="E740"/>
      <c r="F740" s="27" t="s">
        <v>7</v>
      </c>
      <c r="IG740" s="27" t="s">
        <v>8</v>
      </c>
      <c r="IH740" s="27" t="s">
        <v>7</v>
      </c>
      <c r="KK740" s="27" t="s">
        <v>8</v>
      </c>
      <c r="KL740" s="27" t="s">
        <v>7</v>
      </c>
      <c r="KM740" s="27" t="s">
        <v>8</v>
      </c>
      <c r="KP740" s="27" t="s">
        <v>7</v>
      </c>
      <c r="KQ740" s="27" t="s">
        <v>8</v>
      </c>
      <c r="KV740" s="27" t="s">
        <v>7</v>
      </c>
      <c r="KW740" s="27" t="s">
        <v>8</v>
      </c>
      <c r="KX740" s="27" t="s">
        <v>7</v>
      </c>
      <c r="KY740" s="27" t="s">
        <v>8</v>
      </c>
      <c r="LA740" s="27" t="s">
        <v>8</v>
      </c>
      <c r="LF740" s="27" t="s">
        <v>7</v>
      </c>
      <c r="MX740" s="27" t="s">
        <v>7</v>
      </c>
      <c r="MY740" s="27" t="s">
        <v>8</v>
      </c>
    </row>
    <row r="741" spans="1:432" x14ac:dyDescent="0.25">
      <c r="A741" s="7">
        <v>4.7377653641295057E-2</v>
      </c>
      <c r="B741"/>
      <c r="C741"/>
      <c r="D741"/>
      <c r="E741"/>
      <c r="F741" s="27" t="s">
        <v>7</v>
      </c>
      <c r="IG741" s="27" t="s">
        <v>8</v>
      </c>
      <c r="IH741" s="27" t="s">
        <v>7</v>
      </c>
      <c r="KK741" s="27" t="s">
        <v>8</v>
      </c>
      <c r="KL741" s="27" t="s">
        <v>7</v>
      </c>
      <c r="KM741" s="27" t="s">
        <v>8</v>
      </c>
      <c r="KP741" s="27" t="s">
        <v>7</v>
      </c>
      <c r="KQ741" s="27" t="s">
        <v>8</v>
      </c>
      <c r="KV741" s="27" t="s">
        <v>7</v>
      </c>
      <c r="KW741" s="27" t="s">
        <v>8</v>
      </c>
      <c r="KX741" s="27" t="s">
        <v>7</v>
      </c>
      <c r="KY741" s="27" t="s">
        <v>8</v>
      </c>
      <c r="KZ741" s="27" t="s">
        <v>7</v>
      </c>
      <c r="LA741" s="27" t="s">
        <v>8</v>
      </c>
      <c r="MX741" s="27" t="s">
        <v>7</v>
      </c>
      <c r="MY741" s="27" t="s">
        <v>8</v>
      </c>
    </row>
    <row r="742" spans="1:432" x14ac:dyDescent="0.25">
      <c r="A742" s="7">
        <v>4.644868004048535E-2</v>
      </c>
      <c r="B742"/>
      <c r="C742"/>
      <c r="D742"/>
      <c r="E742"/>
      <c r="F742" s="27" t="s">
        <v>7</v>
      </c>
      <c r="IG742" s="27" t="s">
        <v>8</v>
      </c>
      <c r="IH742" s="27" t="s">
        <v>7</v>
      </c>
      <c r="KK742" s="27" t="s">
        <v>8</v>
      </c>
      <c r="KL742" s="27" t="s">
        <v>7</v>
      </c>
      <c r="KM742" s="27" t="s">
        <v>8</v>
      </c>
      <c r="KP742" s="27" t="s">
        <v>7</v>
      </c>
      <c r="KQ742" s="27" t="s">
        <v>8</v>
      </c>
      <c r="KV742" s="27" t="s">
        <v>7</v>
      </c>
      <c r="KW742" s="27" t="s">
        <v>8</v>
      </c>
      <c r="KX742" s="27" t="s">
        <v>7</v>
      </c>
      <c r="KY742" s="27" t="s">
        <v>8</v>
      </c>
      <c r="KZ742" s="27" t="s">
        <v>7</v>
      </c>
      <c r="LA742" s="27" t="s">
        <v>8</v>
      </c>
      <c r="MX742" s="27" t="s">
        <v>7</v>
      </c>
    </row>
    <row r="743" spans="1:432" x14ac:dyDescent="0.25">
      <c r="A743" s="7">
        <v>4.5537921608318974E-2</v>
      </c>
      <c r="B743"/>
      <c r="C743"/>
      <c r="D743"/>
      <c r="E743"/>
      <c r="F743" s="27" t="s">
        <v>7</v>
      </c>
      <c r="IG743" s="27" t="s">
        <v>8</v>
      </c>
      <c r="IH743" s="27" t="s">
        <v>7</v>
      </c>
      <c r="KK743" s="27" t="s">
        <v>8</v>
      </c>
      <c r="KL743" s="27" t="s">
        <v>7</v>
      </c>
      <c r="KM743" s="27" t="s">
        <v>8</v>
      </c>
      <c r="KP743" s="27" t="s">
        <v>7</v>
      </c>
      <c r="KV743" s="27" t="s">
        <v>7</v>
      </c>
      <c r="KW743" s="27" t="s">
        <v>8</v>
      </c>
      <c r="KX743" s="27" t="s">
        <v>7</v>
      </c>
      <c r="KY743" s="27" t="s">
        <v>8</v>
      </c>
      <c r="KZ743" s="27" t="s">
        <v>7</v>
      </c>
      <c r="LA743" s="27" t="s">
        <v>8</v>
      </c>
    </row>
    <row r="744" spans="1:432" x14ac:dyDescent="0.25">
      <c r="A744" s="7">
        <v>4.4645021184626446E-2</v>
      </c>
      <c r="B744"/>
      <c r="C744"/>
      <c r="D744"/>
      <c r="E744"/>
      <c r="F744" s="27" t="s">
        <v>7</v>
      </c>
      <c r="IG744" s="27" t="s">
        <v>8</v>
      </c>
      <c r="IH744" s="27" t="s">
        <v>7</v>
      </c>
      <c r="KK744" s="27" t="s">
        <v>8</v>
      </c>
      <c r="KL744" s="27" t="s">
        <v>7</v>
      </c>
      <c r="KM744" s="27" t="s">
        <v>8</v>
      </c>
      <c r="KV744" s="27" t="s">
        <v>7</v>
      </c>
      <c r="KW744" s="27" t="s">
        <v>8</v>
      </c>
      <c r="KX744" s="27" t="s">
        <v>7</v>
      </c>
      <c r="KY744" s="27" t="s">
        <v>8</v>
      </c>
      <c r="KZ744" s="27" t="s">
        <v>7</v>
      </c>
      <c r="LA744" s="27" t="s">
        <v>8</v>
      </c>
    </row>
    <row r="745" spans="1:432" x14ac:dyDescent="0.25">
      <c r="A745" s="7">
        <v>4.3769628612378868E-2</v>
      </c>
      <c r="B745"/>
      <c r="C745"/>
      <c r="D745"/>
      <c r="E745"/>
      <c r="F745" s="27" t="s">
        <v>7</v>
      </c>
      <c r="IG745" s="27" t="s">
        <v>8</v>
      </c>
      <c r="IH745" s="27" t="s">
        <v>7</v>
      </c>
      <c r="KC745" s="27" t="s">
        <v>8</v>
      </c>
      <c r="KK745" s="27" t="s">
        <v>8</v>
      </c>
      <c r="KL745" s="27" t="s">
        <v>7</v>
      </c>
      <c r="KM745" s="27" t="s">
        <v>8</v>
      </c>
      <c r="KV745" s="27" t="s">
        <v>7</v>
      </c>
      <c r="KW745" s="27" t="s">
        <v>8</v>
      </c>
      <c r="KX745" s="27" t="s">
        <v>7</v>
      </c>
      <c r="KY745" s="27" t="s">
        <v>8</v>
      </c>
      <c r="KZ745" s="27" t="s">
        <v>7</v>
      </c>
    </row>
    <row r="746" spans="1:432" x14ac:dyDescent="0.25">
      <c r="A746" s="7">
        <v>4.2911400600371442E-2</v>
      </c>
      <c r="B746"/>
      <c r="C746"/>
      <c r="D746"/>
      <c r="E746"/>
      <c r="F746" s="27" t="s">
        <v>7</v>
      </c>
      <c r="IG746" s="27" t="s">
        <v>8</v>
      </c>
      <c r="IH746" s="27" t="s">
        <v>7</v>
      </c>
      <c r="KC746" s="27" t="s">
        <v>8</v>
      </c>
      <c r="KD746" s="27" t="s">
        <v>7</v>
      </c>
      <c r="KK746" s="27" t="s">
        <v>8</v>
      </c>
      <c r="KL746" s="27" t="s">
        <v>7</v>
      </c>
      <c r="KM746" s="27" t="s">
        <v>8</v>
      </c>
      <c r="KV746" s="27" t="s">
        <v>7</v>
      </c>
      <c r="KW746" s="27" t="s">
        <v>8</v>
      </c>
      <c r="KX746" s="27" t="s">
        <v>7</v>
      </c>
    </row>
    <row r="747" spans="1:432" x14ac:dyDescent="0.25">
      <c r="A747" s="7">
        <v>4.2070000588599457E-2</v>
      </c>
      <c r="B747"/>
      <c r="C747"/>
      <c r="D747"/>
      <c r="E747"/>
      <c r="F747" s="27" t="s">
        <v>7</v>
      </c>
      <c r="IG747" s="27" t="s">
        <v>8</v>
      </c>
      <c r="IH747" s="27" t="s">
        <v>7</v>
      </c>
      <c r="KC747" s="27" t="s">
        <v>8</v>
      </c>
      <c r="KD747" s="27" t="s">
        <v>7</v>
      </c>
      <c r="KK747" s="27" t="s">
        <v>8</v>
      </c>
      <c r="KL747" s="27" t="s">
        <v>7</v>
      </c>
      <c r="KV747" s="27" t="s">
        <v>7</v>
      </c>
      <c r="KW747" s="27" t="s">
        <v>8</v>
      </c>
    </row>
    <row r="748" spans="1:432" x14ac:dyDescent="0.25">
      <c r="A748" s="7">
        <v>4.1245098616273977E-2</v>
      </c>
      <c r="B748"/>
      <c r="C748"/>
      <c r="D748"/>
      <c r="E748"/>
      <c r="F748" s="27" t="s">
        <v>7</v>
      </c>
      <c r="IG748" s="27" t="s">
        <v>8</v>
      </c>
      <c r="IH748" s="27" t="s">
        <v>7</v>
      </c>
      <c r="KC748" s="27" t="s">
        <v>8</v>
      </c>
      <c r="KD748" s="27" t="s">
        <v>7</v>
      </c>
      <c r="KK748" s="27" t="s">
        <v>8</v>
      </c>
      <c r="KV748" s="27" t="s">
        <v>7</v>
      </c>
      <c r="KW748" s="27" t="s">
        <v>8</v>
      </c>
    </row>
    <row r="749" spans="1:432" x14ac:dyDescent="0.25">
      <c r="A749" s="7">
        <v>4.043637119242547E-2</v>
      </c>
      <c r="B749"/>
      <c r="C749"/>
      <c r="D749"/>
      <c r="E749"/>
      <c r="F749" s="27" t="s">
        <v>7</v>
      </c>
      <c r="CE749" s="27" t="s">
        <v>8</v>
      </c>
      <c r="CM749" s="27" t="s">
        <v>8</v>
      </c>
      <c r="IG749" s="27" t="s">
        <v>8</v>
      </c>
      <c r="IH749" s="27" t="s">
        <v>7</v>
      </c>
      <c r="KC749" s="27" t="s">
        <v>8</v>
      </c>
      <c r="KD749" s="27" t="s">
        <v>7</v>
      </c>
      <c r="KK749" s="27" t="s">
        <v>8</v>
      </c>
      <c r="KV749" s="27" t="s">
        <v>7</v>
      </c>
      <c r="KW749" s="27" t="s">
        <v>8</v>
      </c>
    </row>
    <row r="750" spans="1:432" x14ac:dyDescent="0.25">
      <c r="A750" s="7">
        <v>3.9643501169044582E-2</v>
      </c>
      <c r="B750"/>
      <c r="C750"/>
      <c r="D750"/>
      <c r="E750"/>
      <c r="F750" s="27" t="s">
        <v>7</v>
      </c>
      <c r="CE750" s="27" t="s">
        <v>8</v>
      </c>
      <c r="CF750" s="27" t="s">
        <v>7</v>
      </c>
      <c r="CM750" s="27" t="s">
        <v>8</v>
      </c>
      <c r="CN750" s="27" t="s">
        <v>7</v>
      </c>
      <c r="IG750" s="27" t="s">
        <v>8</v>
      </c>
      <c r="IH750" s="27" t="s">
        <v>7</v>
      </c>
      <c r="KC750" s="27" t="s">
        <v>8</v>
      </c>
      <c r="KD750" s="27" t="s">
        <v>7</v>
      </c>
      <c r="KK750" s="27" t="s">
        <v>8</v>
      </c>
      <c r="KV750" s="27" t="s">
        <v>7</v>
      </c>
      <c r="KW750" s="27" t="s">
        <v>8</v>
      </c>
    </row>
    <row r="751" spans="1:432" x14ac:dyDescent="0.25">
      <c r="A751" s="7">
        <v>3.8866177616710372E-2</v>
      </c>
      <c r="B751"/>
      <c r="C751"/>
      <c r="D751"/>
      <c r="E751"/>
      <c r="F751" s="27" t="s">
        <v>7</v>
      </c>
      <c r="CE751" s="27" t="s">
        <v>8</v>
      </c>
      <c r="CF751" s="27" t="s">
        <v>7</v>
      </c>
      <c r="CM751" s="27" t="s">
        <v>8</v>
      </c>
      <c r="CN751" s="27" t="s">
        <v>7</v>
      </c>
      <c r="IG751" s="27" t="s">
        <v>8</v>
      </c>
      <c r="IH751" s="27" t="s">
        <v>7</v>
      </c>
      <c r="JC751" s="27" t="s">
        <v>8</v>
      </c>
      <c r="KC751" s="27" t="s">
        <v>8</v>
      </c>
      <c r="KD751" s="27" t="s">
        <v>7</v>
      </c>
      <c r="KK751" s="27" t="s">
        <v>8</v>
      </c>
      <c r="KV751" s="27" t="s">
        <v>7</v>
      </c>
      <c r="KW751" s="27" t="s">
        <v>8</v>
      </c>
    </row>
    <row r="752" spans="1:432" x14ac:dyDescent="0.25">
      <c r="A752" s="7">
        <v>3.8104095702657229E-2</v>
      </c>
      <c r="B752"/>
      <c r="C752"/>
      <c r="D752"/>
      <c r="E752"/>
      <c r="F752" s="27" t="s">
        <v>7</v>
      </c>
      <c r="CE752" s="27" t="s">
        <v>8</v>
      </c>
      <c r="CF752" s="27" t="s">
        <v>7</v>
      </c>
      <c r="CM752" s="27" t="s">
        <v>8</v>
      </c>
      <c r="CN752" s="27" t="s">
        <v>7</v>
      </c>
      <c r="IG752" s="27" t="s">
        <v>8</v>
      </c>
      <c r="IH752" s="27" t="s">
        <v>7</v>
      </c>
      <c r="JC752" s="27" t="s">
        <v>8</v>
      </c>
      <c r="JD752" s="27" t="s">
        <v>7</v>
      </c>
      <c r="KC752" s="27" t="s">
        <v>8</v>
      </c>
      <c r="KD752" s="27" t="s">
        <v>7</v>
      </c>
      <c r="KK752" s="27" t="s">
        <v>8</v>
      </c>
      <c r="KV752" s="27" t="s">
        <v>7</v>
      </c>
    </row>
    <row r="753" spans="1:297" x14ac:dyDescent="0.25">
      <c r="A753" s="7">
        <v>3.7356956571232579E-2</v>
      </c>
      <c r="B753"/>
      <c r="C753"/>
      <c r="D753"/>
      <c r="E753"/>
      <c r="F753" s="27" t="s">
        <v>7</v>
      </c>
      <c r="CE753" s="27" t="s">
        <v>8</v>
      </c>
      <c r="CF753" s="27" t="s">
        <v>7</v>
      </c>
      <c r="CM753" s="27" t="s">
        <v>8</v>
      </c>
      <c r="CN753" s="27" t="s">
        <v>7</v>
      </c>
      <c r="IG753" s="27" t="s">
        <v>8</v>
      </c>
      <c r="IH753" s="27" t="s">
        <v>7</v>
      </c>
      <c r="JC753" s="27" t="s">
        <v>8</v>
      </c>
      <c r="JD753" s="27" t="s">
        <v>7</v>
      </c>
      <c r="KC753" s="27" t="s">
        <v>8</v>
      </c>
      <c r="KD753" s="27" t="s">
        <v>7</v>
      </c>
      <c r="KK753" s="27" t="s">
        <v>8</v>
      </c>
    </row>
    <row r="754" spans="1:297" x14ac:dyDescent="0.25">
      <c r="A754" s="7">
        <v>3.6624467226698605E-2</v>
      </c>
      <c r="B754"/>
      <c r="C754"/>
      <c r="D754"/>
      <c r="E754"/>
      <c r="F754" s="27" t="s">
        <v>7</v>
      </c>
      <c r="CC754" s="27" t="s">
        <v>8</v>
      </c>
      <c r="CE754" s="27" t="s">
        <v>8</v>
      </c>
      <c r="CF754" s="27" t="s">
        <v>7</v>
      </c>
      <c r="CM754" s="27" t="s">
        <v>8</v>
      </c>
      <c r="CN754" s="27" t="s">
        <v>7</v>
      </c>
      <c r="IG754" s="27" t="s">
        <v>8</v>
      </c>
      <c r="IH754" s="27" t="s">
        <v>7</v>
      </c>
      <c r="JC754" s="27" t="s">
        <v>8</v>
      </c>
      <c r="JD754" s="27" t="s">
        <v>7</v>
      </c>
      <c r="JS754" s="27" t="s">
        <v>8</v>
      </c>
      <c r="KC754" s="27" t="s">
        <v>8</v>
      </c>
      <c r="KD754" s="27" t="s">
        <v>7</v>
      </c>
      <c r="KK754" s="27" t="s">
        <v>8</v>
      </c>
    </row>
    <row r="755" spans="1:297" x14ac:dyDescent="0.25">
      <c r="A755" s="7">
        <v>3.5906340418331961E-2</v>
      </c>
      <c r="B755"/>
      <c r="C755"/>
      <c r="D755"/>
      <c r="E755"/>
      <c r="F755" s="27" t="s">
        <v>7</v>
      </c>
      <c r="CC755" s="27" t="s">
        <v>8</v>
      </c>
      <c r="CD755" s="27" t="s">
        <v>7</v>
      </c>
      <c r="CE755" s="27" t="s">
        <v>8</v>
      </c>
      <c r="CF755" s="27" t="s">
        <v>7</v>
      </c>
      <c r="CM755" s="27" t="s">
        <v>8</v>
      </c>
      <c r="CN755" s="27" t="s">
        <v>7</v>
      </c>
      <c r="IG755" s="27" t="s">
        <v>8</v>
      </c>
      <c r="IH755" s="27" t="s">
        <v>7</v>
      </c>
      <c r="IK755" s="27" t="s">
        <v>8</v>
      </c>
      <c r="JC755" s="27" t="s">
        <v>8</v>
      </c>
      <c r="JD755" s="27" t="s">
        <v>7</v>
      </c>
      <c r="JS755" s="27" t="s">
        <v>8</v>
      </c>
      <c r="JT755" s="27" t="s">
        <v>7</v>
      </c>
      <c r="KC755" s="27" t="s">
        <v>8</v>
      </c>
      <c r="KD755" s="27" t="s">
        <v>7</v>
      </c>
      <c r="KI755" s="27" t="s">
        <v>8</v>
      </c>
      <c r="KK755" s="27" t="s">
        <v>8</v>
      </c>
    </row>
    <row r="756" spans="1:297" x14ac:dyDescent="0.25">
      <c r="A756" s="7">
        <v>3.5202294527776436E-2</v>
      </c>
      <c r="B756"/>
      <c r="C756"/>
      <c r="D756"/>
      <c r="E756"/>
      <c r="F756" s="27" t="s">
        <v>7</v>
      </c>
      <c r="CC756" s="27" t="s">
        <v>8</v>
      </c>
      <c r="CD756" s="27" t="s">
        <v>7</v>
      </c>
      <c r="CE756" s="27" t="s">
        <v>8</v>
      </c>
      <c r="CF756" s="27" t="s">
        <v>7</v>
      </c>
      <c r="CG756" s="27" t="s">
        <v>8</v>
      </c>
      <c r="CM756" s="27" t="s">
        <v>8</v>
      </c>
      <c r="CN756" s="27" t="s">
        <v>7</v>
      </c>
      <c r="CO756" s="27" t="s">
        <v>8</v>
      </c>
      <c r="CQ756" s="27" t="s">
        <v>8</v>
      </c>
      <c r="IG756" s="27" t="s">
        <v>8</v>
      </c>
      <c r="IH756" s="27" t="s">
        <v>7</v>
      </c>
      <c r="IK756" s="27" t="s">
        <v>8</v>
      </c>
      <c r="IL756" s="27" t="s">
        <v>7</v>
      </c>
      <c r="JC756" s="27" t="s">
        <v>8</v>
      </c>
      <c r="JD756" s="27" t="s">
        <v>7</v>
      </c>
      <c r="JS756" s="27" t="s">
        <v>8</v>
      </c>
      <c r="JT756" s="27" t="s">
        <v>7</v>
      </c>
      <c r="KC756" s="27" t="s">
        <v>8</v>
      </c>
      <c r="KD756" s="27" t="s">
        <v>7</v>
      </c>
      <c r="KG756" s="27" t="s">
        <v>8</v>
      </c>
      <c r="KI756" s="27" t="s">
        <v>8</v>
      </c>
      <c r="KJ756" s="27" t="s">
        <v>7</v>
      </c>
      <c r="KK756" s="27" t="s">
        <v>8</v>
      </c>
    </row>
    <row r="757" spans="1:297" x14ac:dyDescent="0.25">
      <c r="A757" s="7">
        <v>3.451205345860435E-2</v>
      </c>
      <c r="B757"/>
      <c r="C757"/>
      <c r="D757"/>
      <c r="E757"/>
      <c r="F757" s="27" t="s">
        <v>7</v>
      </c>
      <c r="CC757" s="27" t="s">
        <v>8</v>
      </c>
      <c r="CD757" s="27" t="s">
        <v>7</v>
      </c>
      <c r="CE757" s="27" t="s">
        <v>8</v>
      </c>
      <c r="CF757" s="27" t="s">
        <v>7</v>
      </c>
      <c r="CG757" s="27" t="s">
        <v>8</v>
      </c>
      <c r="CH757" s="27" t="s">
        <v>7</v>
      </c>
      <c r="CM757" s="27" t="s">
        <v>8</v>
      </c>
      <c r="CN757" s="27" t="s">
        <v>7</v>
      </c>
      <c r="CO757" s="27" t="s">
        <v>8</v>
      </c>
      <c r="CP757" s="27" t="s">
        <v>7</v>
      </c>
      <c r="CQ757" s="27" t="s">
        <v>8</v>
      </c>
      <c r="CR757" s="27" t="s">
        <v>7</v>
      </c>
      <c r="IG757" s="27" t="s">
        <v>8</v>
      </c>
      <c r="IH757" s="27" t="s">
        <v>7</v>
      </c>
      <c r="IK757" s="27" t="s">
        <v>8</v>
      </c>
      <c r="IL757" s="27" t="s">
        <v>7</v>
      </c>
      <c r="JC757" s="27" t="s">
        <v>8</v>
      </c>
      <c r="JD757" s="27" t="s">
        <v>7</v>
      </c>
      <c r="JS757" s="27" t="s">
        <v>8</v>
      </c>
      <c r="JT757" s="27" t="s">
        <v>7</v>
      </c>
      <c r="KC757" s="27" t="s">
        <v>8</v>
      </c>
      <c r="KD757" s="27" t="s">
        <v>7</v>
      </c>
      <c r="KE757" s="27" t="s">
        <v>8</v>
      </c>
      <c r="KG757" s="27" t="s">
        <v>8</v>
      </c>
      <c r="KH757" s="27" t="s">
        <v>7</v>
      </c>
      <c r="KI757" s="27" t="s">
        <v>8</v>
      </c>
      <c r="KJ757" s="27" t="s">
        <v>7</v>
      </c>
      <c r="KK757" s="27" t="s">
        <v>8</v>
      </c>
    </row>
    <row r="758" spans="1:297" x14ac:dyDescent="0.25">
      <c r="A758" s="7">
        <v>3.3835346528043479E-2</v>
      </c>
      <c r="B758"/>
      <c r="C758"/>
      <c r="D758"/>
      <c r="E758"/>
      <c r="F758" s="27" t="s">
        <v>7</v>
      </c>
      <c r="AI758" s="27" t="s">
        <v>8</v>
      </c>
      <c r="CC758" s="27" t="s">
        <v>8</v>
      </c>
      <c r="CD758" s="27" t="s">
        <v>7</v>
      </c>
      <c r="CE758" s="27" t="s">
        <v>8</v>
      </c>
      <c r="CF758" s="27" t="s">
        <v>7</v>
      </c>
      <c r="CG758" s="27" t="s">
        <v>8</v>
      </c>
      <c r="CH758" s="27" t="s">
        <v>7</v>
      </c>
      <c r="CI758" s="27" t="s">
        <v>8</v>
      </c>
      <c r="CM758" s="27" t="s">
        <v>8</v>
      </c>
      <c r="CN758" s="27" t="s">
        <v>7</v>
      </c>
      <c r="CO758" s="27" t="s">
        <v>8</v>
      </c>
      <c r="CP758" s="27" t="s">
        <v>7</v>
      </c>
      <c r="CQ758" s="27" t="s">
        <v>8</v>
      </c>
      <c r="CR758" s="27" t="s">
        <v>7</v>
      </c>
      <c r="IG758" s="27" t="s">
        <v>8</v>
      </c>
      <c r="IH758" s="27" t="s">
        <v>7</v>
      </c>
      <c r="IK758" s="27" t="s">
        <v>8</v>
      </c>
      <c r="IL758" s="27" t="s">
        <v>7</v>
      </c>
      <c r="JC758" s="27" t="s">
        <v>8</v>
      </c>
      <c r="JD758" s="27" t="s">
        <v>7</v>
      </c>
      <c r="JE758" s="27" t="s">
        <v>8</v>
      </c>
      <c r="JS758" s="27" t="s">
        <v>8</v>
      </c>
      <c r="JT758" s="27" t="s">
        <v>7</v>
      </c>
      <c r="KC758" s="27" t="s">
        <v>8</v>
      </c>
      <c r="KD758" s="27" t="s">
        <v>7</v>
      </c>
      <c r="KE758" s="27" t="s">
        <v>8</v>
      </c>
      <c r="KF758" s="27" t="s">
        <v>7</v>
      </c>
      <c r="KG758" s="27" t="s">
        <v>8</v>
      </c>
      <c r="KH758" s="27" t="s">
        <v>7</v>
      </c>
      <c r="KI758" s="27" t="s">
        <v>8</v>
      </c>
      <c r="KJ758" s="27" t="s">
        <v>7</v>
      </c>
    </row>
    <row r="759" spans="1:297" x14ac:dyDescent="0.25">
      <c r="A759" s="7">
        <v>3.3171908360826938E-2</v>
      </c>
      <c r="B759"/>
      <c r="C759"/>
      <c r="D759"/>
      <c r="E759"/>
      <c r="F759" s="27" t="s">
        <v>7</v>
      </c>
      <c r="AI759" s="27" t="s">
        <v>8</v>
      </c>
      <c r="AJ759" s="27" t="s">
        <v>7</v>
      </c>
      <c r="BW759" s="27" t="s">
        <v>8</v>
      </c>
      <c r="CC759" s="27" t="s">
        <v>8</v>
      </c>
      <c r="CD759" s="27" t="s">
        <v>7</v>
      </c>
      <c r="CE759" s="27" t="s">
        <v>8</v>
      </c>
      <c r="CF759" s="27" t="s">
        <v>7</v>
      </c>
      <c r="CG759" s="27" t="s">
        <v>8</v>
      </c>
      <c r="CH759" s="27" t="s">
        <v>7</v>
      </c>
      <c r="CI759" s="27" t="s">
        <v>8</v>
      </c>
      <c r="CJ759" s="27" t="s">
        <v>7</v>
      </c>
      <c r="CK759" s="27" t="s">
        <v>8</v>
      </c>
      <c r="CM759" s="27" t="s">
        <v>8</v>
      </c>
      <c r="CN759" s="27" t="s">
        <v>7</v>
      </c>
      <c r="CO759" s="27" t="s">
        <v>8</v>
      </c>
      <c r="CP759" s="27" t="s">
        <v>7</v>
      </c>
      <c r="CQ759" s="27" t="s">
        <v>8</v>
      </c>
      <c r="CR759" s="27" t="s">
        <v>7</v>
      </c>
      <c r="IG759" s="27" t="s">
        <v>8</v>
      </c>
      <c r="IH759" s="27" t="s">
        <v>7</v>
      </c>
      <c r="IK759" s="27" t="s">
        <v>8</v>
      </c>
      <c r="IL759" s="27" t="s">
        <v>7</v>
      </c>
      <c r="JC759" s="27" t="s">
        <v>8</v>
      </c>
      <c r="JD759" s="27" t="s">
        <v>7</v>
      </c>
      <c r="JE759" s="27" t="s">
        <v>8</v>
      </c>
      <c r="JF759" s="27" t="s">
        <v>7</v>
      </c>
      <c r="JQ759" s="27" t="s">
        <v>8</v>
      </c>
      <c r="JS759" s="27" t="s">
        <v>8</v>
      </c>
      <c r="JT759" s="27" t="s">
        <v>7</v>
      </c>
      <c r="KC759" s="27" t="s">
        <v>8</v>
      </c>
      <c r="KD759" s="27" t="s">
        <v>7</v>
      </c>
      <c r="KE759" s="27" t="s">
        <v>8</v>
      </c>
      <c r="KF759" s="27" t="s">
        <v>7</v>
      </c>
      <c r="KG759" s="27" t="s">
        <v>8</v>
      </c>
      <c r="KH759" s="27" t="s">
        <v>7</v>
      </c>
      <c r="KI759" s="27" t="s">
        <v>8</v>
      </c>
    </row>
    <row r="760" spans="1:297" x14ac:dyDescent="0.25">
      <c r="A760" s="7">
        <v>3.2521478785124451E-2</v>
      </c>
      <c r="B760"/>
      <c r="C760"/>
      <c r="D760"/>
      <c r="E760"/>
      <c r="F760" s="27" t="s">
        <v>7</v>
      </c>
      <c r="AI760" s="27" t="s">
        <v>8</v>
      </c>
      <c r="AJ760" s="27" t="s">
        <v>7</v>
      </c>
      <c r="BW760" s="27" t="s">
        <v>8</v>
      </c>
      <c r="BX760" s="27" t="s">
        <v>7</v>
      </c>
      <c r="CC760" s="27" t="s">
        <v>8</v>
      </c>
      <c r="CD760" s="27" t="s">
        <v>7</v>
      </c>
      <c r="CE760" s="27" t="s">
        <v>8</v>
      </c>
      <c r="CF760" s="27" t="s">
        <v>7</v>
      </c>
      <c r="CG760" s="27" t="s">
        <v>8</v>
      </c>
      <c r="CH760" s="27" t="s">
        <v>7</v>
      </c>
      <c r="CI760" s="27" t="s">
        <v>8</v>
      </c>
      <c r="CJ760" s="27" t="s">
        <v>7</v>
      </c>
      <c r="CK760" s="27" t="s">
        <v>8</v>
      </c>
      <c r="CL760" s="27" t="s">
        <v>7</v>
      </c>
      <c r="CM760" s="27" t="s">
        <v>8</v>
      </c>
      <c r="CN760" s="27" t="s">
        <v>7</v>
      </c>
      <c r="CO760" s="27" t="s">
        <v>8</v>
      </c>
      <c r="CP760" s="27" t="s">
        <v>7</v>
      </c>
      <c r="CQ760" s="27" t="s">
        <v>8</v>
      </c>
      <c r="CR760" s="27" t="s">
        <v>7</v>
      </c>
      <c r="IG760" s="27" t="s">
        <v>8</v>
      </c>
      <c r="IH760" s="27" t="s">
        <v>7</v>
      </c>
      <c r="II760" s="27" t="s">
        <v>8</v>
      </c>
      <c r="IK760" s="27" t="s">
        <v>8</v>
      </c>
      <c r="IL760" s="27" t="s">
        <v>7</v>
      </c>
      <c r="JC760" s="27" t="s">
        <v>8</v>
      </c>
      <c r="JD760" s="27" t="s">
        <v>7</v>
      </c>
      <c r="JE760" s="27" t="s">
        <v>8</v>
      </c>
      <c r="JF760" s="27" t="s">
        <v>7</v>
      </c>
      <c r="JI760" s="27" t="s">
        <v>8</v>
      </c>
      <c r="JQ760" s="27" t="s">
        <v>8</v>
      </c>
      <c r="JR760" s="27" t="s">
        <v>7</v>
      </c>
      <c r="JS760" s="27" t="s">
        <v>8</v>
      </c>
      <c r="JT760" s="27" t="s">
        <v>7</v>
      </c>
      <c r="KA760" s="27" t="s">
        <v>8</v>
      </c>
      <c r="KC760" s="27" t="s">
        <v>8</v>
      </c>
      <c r="KD760" s="27" t="s">
        <v>7</v>
      </c>
      <c r="KE760" s="27" t="s">
        <v>8</v>
      </c>
      <c r="KF760" s="27" t="s">
        <v>7</v>
      </c>
      <c r="KG760" s="27" t="s">
        <v>8</v>
      </c>
      <c r="KH760" s="27" t="s">
        <v>7</v>
      </c>
    </row>
    <row r="761" spans="1:297" x14ac:dyDescent="0.25">
      <c r="A761" s="7">
        <v>3.1883802730514173E-2</v>
      </c>
      <c r="B761"/>
      <c r="C761"/>
      <c r="D761"/>
      <c r="E761"/>
      <c r="F761" s="27" t="s">
        <v>7</v>
      </c>
      <c r="AI761" s="27" t="s">
        <v>8</v>
      </c>
      <c r="AJ761" s="27" t="s">
        <v>7</v>
      </c>
      <c r="BW761" s="27" t="s">
        <v>8</v>
      </c>
      <c r="BX761" s="27" t="s">
        <v>7</v>
      </c>
      <c r="CC761" s="27" t="s">
        <v>8</v>
      </c>
      <c r="CD761" s="27" t="s">
        <v>7</v>
      </c>
      <c r="CE761" s="27" t="s">
        <v>8</v>
      </c>
      <c r="CF761" s="27" t="s">
        <v>7</v>
      </c>
      <c r="CH761" s="27" t="s">
        <v>7</v>
      </c>
      <c r="CI761" s="27" t="s">
        <v>8</v>
      </c>
      <c r="CJ761" s="27" t="s">
        <v>7</v>
      </c>
      <c r="CK761" s="27" t="s">
        <v>8</v>
      </c>
      <c r="CL761" s="27" t="s">
        <v>7</v>
      </c>
      <c r="CM761" s="27" t="s">
        <v>8</v>
      </c>
      <c r="CN761" s="27" t="s">
        <v>7</v>
      </c>
      <c r="CO761" s="27" t="s">
        <v>8</v>
      </c>
      <c r="CP761" s="27" t="s">
        <v>7</v>
      </c>
      <c r="CQ761" s="27" t="s">
        <v>8</v>
      </c>
      <c r="CR761" s="27" t="s">
        <v>7</v>
      </c>
      <c r="HY761" s="27" t="s">
        <v>8</v>
      </c>
      <c r="IG761" s="27" t="s">
        <v>8</v>
      </c>
      <c r="IH761" s="27" t="s">
        <v>7</v>
      </c>
      <c r="II761" s="27" t="s">
        <v>8</v>
      </c>
      <c r="IJ761" s="27" t="s">
        <v>7</v>
      </c>
      <c r="IK761" s="27" t="s">
        <v>8</v>
      </c>
      <c r="IL761" s="27" t="s">
        <v>7</v>
      </c>
      <c r="JC761" s="27" t="s">
        <v>8</v>
      </c>
      <c r="JD761" s="27" t="s">
        <v>7</v>
      </c>
      <c r="JE761" s="27" t="s">
        <v>8</v>
      </c>
      <c r="JF761" s="27" t="s">
        <v>7</v>
      </c>
      <c r="JG761" s="27" t="s">
        <v>8</v>
      </c>
      <c r="JI761" s="27" t="s">
        <v>8</v>
      </c>
      <c r="JJ761" s="27" t="s">
        <v>7</v>
      </c>
      <c r="JO761" s="27" t="s">
        <v>8</v>
      </c>
      <c r="JQ761" s="27" t="s">
        <v>8</v>
      </c>
      <c r="JR761" s="27" t="s">
        <v>7</v>
      </c>
      <c r="JS761" s="27" t="s">
        <v>8</v>
      </c>
      <c r="JT761" s="27" t="s">
        <v>7</v>
      </c>
      <c r="JY761" s="27" t="s">
        <v>8</v>
      </c>
      <c r="KA761" s="27" t="s">
        <v>8</v>
      </c>
      <c r="KB761" s="27" t="s">
        <v>7</v>
      </c>
      <c r="KC761" s="27" t="s">
        <v>8</v>
      </c>
      <c r="KD761" s="27" t="s">
        <v>7</v>
      </c>
      <c r="KE761" s="27" t="s">
        <v>8</v>
      </c>
      <c r="KF761" s="27" t="s">
        <v>7</v>
      </c>
      <c r="KG761" s="27" t="s">
        <v>8</v>
      </c>
    </row>
    <row r="762" spans="1:297" x14ac:dyDescent="0.25">
      <c r="A762" s="7">
        <v>3.1258630127955073E-2</v>
      </c>
      <c r="B762"/>
      <c r="C762"/>
      <c r="D762"/>
      <c r="E762"/>
      <c r="F762" s="27" t="s">
        <v>7</v>
      </c>
      <c r="AI762" s="27" t="s">
        <v>8</v>
      </c>
      <c r="AJ762" s="27" t="s">
        <v>7</v>
      </c>
      <c r="BI762" s="27" t="s">
        <v>8</v>
      </c>
      <c r="BW762" s="27" t="s">
        <v>8</v>
      </c>
      <c r="BX762" s="27" t="s">
        <v>7</v>
      </c>
      <c r="CC762" s="27" t="s">
        <v>8</v>
      </c>
      <c r="CD762" s="27" t="s">
        <v>7</v>
      </c>
      <c r="CE762" s="27" t="s">
        <v>8</v>
      </c>
      <c r="CH762" s="27" t="s">
        <v>7</v>
      </c>
      <c r="CJ762" s="27" t="s">
        <v>7</v>
      </c>
      <c r="CK762" s="27" t="s">
        <v>8</v>
      </c>
      <c r="CL762" s="27" t="s">
        <v>7</v>
      </c>
      <c r="CM762" s="27" t="s">
        <v>8</v>
      </c>
      <c r="CN762" s="27" t="s">
        <v>7</v>
      </c>
      <c r="CO762" s="27" t="s">
        <v>8</v>
      </c>
      <c r="CP762" s="27" t="s">
        <v>7</v>
      </c>
      <c r="CQ762" s="27" t="s">
        <v>8</v>
      </c>
      <c r="CR762" s="27" t="s">
        <v>7</v>
      </c>
      <c r="HY762" s="27" t="s">
        <v>8</v>
      </c>
      <c r="HZ762" s="27" t="s">
        <v>7</v>
      </c>
      <c r="IG762" s="27" t="s">
        <v>8</v>
      </c>
      <c r="IH762" s="27" t="s">
        <v>7</v>
      </c>
      <c r="II762" s="27" t="s">
        <v>8</v>
      </c>
      <c r="IJ762" s="27" t="s">
        <v>7</v>
      </c>
      <c r="IK762" s="27" t="s">
        <v>8</v>
      </c>
      <c r="IL762" s="27" t="s">
        <v>7</v>
      </c>
      <c r="IM762" s="27" t="s">
        <v>8</v>
      </c>
      <c r="JC762" s="27" t="s">
        <v>8</v>
      </c>
      <c r="JD762" s="27" t="s">
        <v>7</v>
      </c>
      <c r="JE762" s="27" t="s">
        <v>8</v>
      </c>
      <c r="JF762" s="27" t="s">
        <v>7</v>
      </c>
      <c r="JG762" s="27" t="s">
        <v>8</v>
      </c>
      <c r="JH762" s="27" t="s">
        <v>7</v>
      </c>
      <c r="JI762" s="27" t="s">
        <v>8</v>
      </c>
      <c r="JJ762" s="27" t="s">
        <v>7</v>
      </c>
      <c r="JO762" s="27" t="s">
        <v>8</v>
      </c>
      <c r="JP762" s="27" t="s">
        <v>7</v>
      </c>
      <c r="JQ762" s="27" t="s">
        <v>8</v>
      </c>
      <c r="JR762" s="27" t="s">
        <v>7</v>
      </c>
      <c r="JS762" s="27" t="s">
        <v>8</v>
      </c>
      <c r="JT762" s="27" t="s">
        <v>7</v>
      </c>
      <c r="JU762" s="27" t="s">
        <v>8</v>
      </c>
      <c r="JW762" s="27" t="s">
        <v>8</v>
      </c>
      <c r="JY762" s="27" t="s">
        <v>8</v>
      </c>
      <c r="JZ762" s="27" t="s">
        <v>7</v>
      </c>
      <c r="KA762" s="27" t="s">
        <v>8</v>
      </c>
      <c r="KB762" s="27" t="s">
        <v>7</v>
      </c>
      <c r="KC762" s="27" t="s">
        <v>8</v>
      </c>
      <c r="KD762" s="27" t="s">
        <v>7</v>
      </c>
      <c r="KE762" s="27" t="s">
        <v>8</v>
      </c>
      <c r="KF762" s="27" t="s">
        <v>7</v>
      </c>
    </row>
    <row r="763" spans="1:297" x14ac:dyDescent="0.25">
      <c r="A763" s="7">
        <v>3.064571581172066E-2</v>
      </c>
      <c r="B763"/>
      <c r="C763"/>
      <c r="D763"/>
      <c r="E763"/>
      <c r="F763" s="27" t="s">
        <v>7</v>
      </c>
      <c r="AI763" s="27" t="s">
        <v>8</v>
      </c>
      <c r="AJ763" s="27" t="s">
        <v>7</v>
      </c>
      <c r="BI763" s="27" t="s">
        <v>8</v>
      </c>
      <c r="BJ763" s="27" t="s">
        <v>7</v>
      </c>
      <c r="BK763" s="27" t="s">
        <v>8</v>
      </c>
      <c r="BW763" s="27" t="s">
        <v>8</v>
      </c>
      <c r="BX763" s="27" t="s">
        <v>7</v>
      </c>
      <c r="CC763" s="27" t="s">
        <v>8</v>
      </c>
      <c r="CD763" s="27" t="s">
        <v>7</v>
      </c>
      <c r="CE763" s="27" t="s">
        <v>8</v>
      </c>
      <c r="CJ763" s="27" t="s">
        <v>7</v>
      </c>
      <c r="CK763" s="27" t="s">
        <v>8</v>
      </c>
      <c r="CL763" s="27" t="s">
        <v>7</v>
      </c>
      <c r="CN763" s="27" t="s">
        <v>7</v>
      </c>
      <c r="CP763" s="27" t="s">
        <v>7</v>
      </c>
      <c r="CR763" s="27" t="s">
        <v>7</v>
      </c>
      <c r="HY763" s="27" t="s">
        <v>8</v>
      </c>
      <c r="HZ763" s="27" t="s">
        <v>7</v>
      </c>
      <c r="IG763" s="27" t="s">
        <v>8</v>
      </c>
      <c r="IH763" s="27" t="s">
        <v>7</v>
      </c>
      <c r="II763" s="27" t="s">
        <v>8</v>
      </c>
      <c r="IJ763" s="27" t="s">
        <v>7</v>
      </c>
      <c r="IK763" s="27" t="s">
        <v>8</v>
      </c>
      <c r="IL763" s="27" t="s">
        <v>7</v>
      </c>
      <c r="IM763" s="27" t="s">
        <v>8</v>
      </c>
      <c r="IN763" s="27" t="s">
        <v>7</v>
      </c>
      <c r="JA763" s="27" t="s">
        <v>8</v>
      </c>
      <c r="JC763" s="27" t="s">
        <v>8</v>
      </c>
      <c r="JD763" s="27" t="s">
        <v>7</v>
      </c>
      <c r="JE763" s="27" t="s">
        <v>8</v>
      </c>
      <c r="JF763" s="27" t="s">
        <v>7</v>
      </c>
      <c r="JG763" s="27" t="s">
        <v>8</v>
      </c>
      <c r="JH763" s="27" t="s">
        <v>7</v>
      </c>
      <c r="JI763" s="27" t="s">
        <v>8</v>
      </c>
      <c r="JJ763" s="27" t="s">
        <v>7</v>
      </c>
      <c r="JO763" s="27" t="s">
        <v>8</v>
      </c>
      <c r="JP763" s="27" t="s">
        <v>7</v>
      </c>
      <c r="JQ763" s="27" t="s">
        <v>8</v>
      </c>
      <c r="JR763" s="27" t="s">
        <v>7</v>
      </c>
      <c r="JS763" s="27" t="s">
        <v>8</v>
      </c>
      <c r="JT763" s="27" t="s">
        <v>7</v>
      </c>
      <c r="JU763" s="27" t="s">
        <v>8</v>
      </c>
      <c r="JV763" s="27" t="s">
        <v>7</v>
      </c>
      <c r="JW763" s="27" t="s">
        <v>8</v>
      </c>
      <c r="JX763" s="27" t="s">
        <v>7</v>
      </c>
      <c r="JY763" s="27" t="s">
        <v>8</v>
      </c>
      <c r="JZ763" s="27" t="s">
        <v>7</v>
      </c>
      <c r="KA763" s="27" t="s">
        <v>8</v>
      </c>
      <c r="KB763" s="27" t="s">
        <v>7</v>
      </c>
      <c r="KC763" s="27" t="s">
        <v>8</v>
      </c>
      <c r="KD763" s="27" t="s">
        <v>7</v>
      </c>
    </row>
    <row r="764" spans="1:297" x14ac:dyDescent="0.25">
      <c r="A764" s="7">
        <v>3.0044819423255549E-2</v>
      </c>
      <c r="B764"/>
      <c r="C764"/>
      <c r="D764"/>
      <c r="E764"/>
      <c r="F764" s="27" t="s">
        <v>7</v>
      </c>
      <c r="AI764" s="27" t="s">
        <v>8</v>
      </c>
      <c r="AJ764" s="27" t="s">
        <v>7</v>
      </c>
      <c r="AO764" s="27" t="s">
        <v>8</v>
      </c>
      <c r="BI764" s="27" t="s">
        <v>8</v>
      </c>
      <c r="BJ764" s="27" t="s">
        <v>7</v>
      </c>
      <c r="BK764" s="27" t="s">
        <v>8</v>
      </c>
      <c r="BL764" s="27" t="s">
        <v>7</v>
      </c>
      <c r="BW764" s="27" t="s">
        <v>8</v>
      </c>
      <c r="BX764" s="27" t="s">
        <v>7</v>
      </c>
      <c r="CC764" s="27" t="s">
        <v>8</v>
      </c>
      <c r="CD764" s="27" t="s">
        <v>7</v>
      </c>
      <c r="CJ764" s="27" t="s">
        <v>7</v>
      </c>
      <c r="CK764" s="27" t="s">
        <v>8</v>
      </c>
      <c r="CR764" s="27" t="s">
        <v>7</v>
      </c>
      <c r="CU764" s="27" t="s">
        <v>8</v>
      </c>
      <c r="HY764" s="27" t="s">
        <v>8</v>
      </c>
      <c r="HZ764" s="27" t="s">
        <v>7</v>
      </c>
      <c r="IG764" s="27" t="s">
        <v>8</v>
      </c>
      <c r="IH764" s="27" t="s">
        <v>7</v>
      </c>
      <c r="II764" s="27" t="s">
        <v>8</v>
      </c>
      <c r="IJ764" s="27" t="s">
        <v>7</v>
      </c>
      <c r="IK764" s="27" t="s">
        <v>8</v>
      </c>
      <c r="IL764" s="27" t="s">
        <v>7</v>
      </c>
      <c r="IM764" s="27" t="s">
        <v>8</v>
      </c>
      <c r="IN764" s="27" t="s">
        <v>7</v>
      </c>
      <c r="JA764" s="27" t="s">
        <v>8</v>
      </c>
      <c r="JB764" s="27" t="s">
        <v>7</v>
      </c>
      <c r="JC764" s="27" t="s">
        <v>8</v>
      </c>
      <c r="JD764" s="27" t="s">
        <v>7</v>
      </c>
      <c r="JE764" s="27" t="s">
        <v>8</v>
      </c>
      <c r="JF764" s="27" t="s">
        <v>7</v>
      </c>
      <c r="JH764" s="27" t="s">
        <v>7</v>
      </c>
      <c r="JI764" s="27" t="s">
        <v>8</v>
      </c>
      <c r="JJ764" s="27" t="s">
        <v>7</v>
      </c>
      <c r="JM764" s="27" t="s">
        <v>8</v>
      </c>
      <c r="JO764" s="27" t="s">
        <v>8</v>
      </c>
      <c r="JP764" s="27" t="s">
        <v>7</v>
      </c>
      <c r="JQ764" s="27" t="s">
        <v>8</v>
      </c>
      <c r="JR764" s="27" t="s">
        <v>7</v>
      </c>
      <c r="JS764" s="27" t="s">
        <v>8</v>
      </c>
      <c r="JT764" s="27" t="s">
        <v>7</v>
      </c>
      <c r="JU764" s="27" t="s">
        <v>8</v>
      </c>
      <c r="JV764" s="27" t="s">
        <v>7</v>
      </c>
      <c r="JW764" s="27" t="s">
        <v>8</v>
      </c>
      <c r="JX764" s="27" t="s">
        <v>7</v>
      </c>
      <c r="JY764" s="27" t="s">
        <v>8</v>
      </c>
      <c r="JZ764" s="27" t="s">
        <v>7</v>
      </c>
      <c r="KA764" s="27" t="s">
        <v>8</v>
      </c>
      <c r="KB764" s="27" t="s">
        <v>7</v>
      </c>
      <c r="KC764" s="27" t="s">
        <v>8</v>
      </c>
    </row>
    <row r="765" spans="1:297" x14ac:dyDescent="0.25">
      <c r="A765" s="7">
        <v>2.9455705316917203E-2</v>
      </c>
      <c r="B765"/>
      <c r="C765"/>
      <c r="D765"/>
      <c r="E765"/>
      <c r="F765" s="27" t="s">
        <v>7</v>
      </c>
      <c r="AI765" s="27" t="s">
        <v>8</v>
      </c>
      <c r="AJ765" s="27" t="s">
        <v>7</v>
      </c>
      <c r="AO765" s="27" t="s">
        <v>8</v>
      </c>
      <c r="AP765" s="27" t="s">
        <v>7</v>
      </c>
      <c r="BI765" s="27" t="s">
        <v>8</v>
      </c>
      <c r="BJ765" s="27" t="s">
        <v>7</v>
      </c>
      <c r="BK765" s="27" t="s">
        <v>8</v>
      </c>
      <c r="BL765" s="27" t="s">
        <v>7</v>
      </c>
      <c r="BW765" s="27" t="s">
        <v>8</v>
      </c>
      <c r="BX765" s="27" t="s">
        <v>7</v>
      </c>
      <c r="CA765" s="27" t="s">
        <v>8</v>
      </c>
      <c r="CC765" s="27" t="s">
        <v>8</v>
      </c>
      <c r="CJ765" s="27" t="s">
        <v>7</v>
      </c>
      <c r="CR765" s="27" t="s">
        <v>7</v>
      </c>
      <c r="CS765" s="27" t="s">
        <v>8</v>
      </c>
      <c r="CU765" s="27" t="s">
        <v>8</v>
      </c>
      <c r="CV765" s="27" t="s">
        <v>7</v>
      </c>
      <c r="HY765" s="27" t="s">
        <v>8</v>
      </c>
      <c r="HZ765" s="27" t="s">
        <v>7</v>
      </c>
      <c r="IG765" s="27" t="s">
        <v>8</v>
      </c>
      <c r="IH765" s="27" t="s">
        <v>7</v>
      </c>
      <c r="II765" s="27" t="s">
        <v>8</v>
      </c>
      <c r="IJ765" s="27" t="s">
        <v>7</v>
      </c>
      <c r="IK765" s="27" t="s">
        <v>8</v>
      </c>
      <c r="IL765" s="27" t="s">
        <v>7</v>
      </c>
      <c r="IN765" s="27" t="s">
        <v>7</v>
      </c>
      <c r="IO765" s="27" t="s">
        <v>8</v>
      </c>
      <c r="JA765" s="27" t="s">
        <v>8</v>
      </c>
      <c r="JB765" s="27" t="s">
        <v>7</v>
      </c>
      <c r="JC765" s="27" t="s">
        <v>8</v>
      </c>
      <c r="JD765" s="27" t="s">
        <v>7</v>
      </c>
      <c r="JE765" s="27" t="s">
        <v>8</v>
      </c>
      <c r="JH765" s="27" t="s">
        <v>7</v>
      </c>
      <c r="JI765" s="27" t="s">
        <v>8</v>
      </c>
      <c r="JJ765" s="27" t="s">
        <v>7</v>
      </c>
      <c r="JK765" s="27" t="s">
        <v>8</v>
      </c>
      <c r="JM765" s="27" t="s">
        <v>8</v>
      </c>
      <c r="JN765" s="27" t="s">
        <v>7</v>
      </c>
      <c r="JO765" s="27" t="s">
        <v>8</v>
      </c>
      <c r="JP765" s="27" t="s">
        <v>7</v>
      </c>
      <c r="JQ765" s="27" t="s">
        <v>8</v>
      </c>
      <c r="JR765" s="27" t="s">
        <v>7</v>
      </c>
      <c r="JS765" s="27" t="s">
        <v>8</v>
      </c>
      <c r="JT765" s="27" t="s">
        <v>7</v>
      </c>
      <c r="JU765" s="27" t="s">
        <v>8</v>
      </c>
      <c r="JV765" s="27" t="s">
        <v>7</v>
      </c>
      <c r="JW765" s="27" t="s">
        <v>8</v>
      </c>
      <c r="JX765" s="27" t="s">
        <v>7</v>
      </c>
      <c r="JZ765" s="27" t="s">
        <v>7</v>
      </c>
      <c r="KA765" s="27" t="s">
        <v>8</v>
      </c>
      <c r="KB765" s="27" t="s">
        <v>7</v>
      </c>
      <c r="KC765" s="27" t="s">
        <v>8</v>
      </c>
    </row>
    <row r="766" spans="1:297" x14ac:dyDescent="0.25">
      <c r="A766" s="7">
        <v>2.8878142467565884E-2</v>
      </c>
      <c r="B766"/>
      <c r="C766"/>
      <c r="D766"/>
      <c r="E766"/>
      <c r="F766" s="27" t="s">
        <v>7</v>
      </c>
      <c r="AI766" s="27" t="s">
        <v>8</v>
      </c>
      <c r="AJ766" s="27" t="s">
        <v>7</v>
      </c>
      <c r="AO766" s="27" t="s">
        <v>8</v>
      </c>
      <c r="AP766" s="27" t="s">
        <v>7</v>
      </c>
      <c r="AS766" s="27" t="s">
        <v>8</v>
      </c>
      <c r="BG766" s="27" t="s">
        <v>8</v>
      </c>
      <c r="BI766" s="27" t="s">
        <v>8</v>
      </c>
      <c r="BJ766" s="27" t="s">
        <v>7</v>
      </c>
      <c r="BL766" s="27" t="s">
        <v>7</v>
      </c>
      <c r="BW766" s="27" t="s">
        <v>8</v>
      </c>
      <c r="BX766" s="27" t="s">
        <v>7</v>
      </c>
      <c r="CA766" s="27" t="s">
        <v>8</v>
      </c>
      <c r="CB766" s="27" t="s">
        <v>7</v>
      </c>
      <c r="CC766" s="27" t="s">
        <v>8</v>
      </c>
      <c r="CR766" s="27" t="s">
        <v>7</v>
      </c>
      <c r="CS766" s="27" t="s">
        <v>8</v>
      </c>
      <c r="CT766" s="27" t="s">
        <v>7</v>
      </c>
      <c r="CU766" s="27" t="s">
        <v>8</v>
      </c>
      <c r="CV766" s="27" t="s">
        <v>7</v>
      </c>
      <c r="HY766" s="27" t="s">
        <v>8</v>
      </c>
      <c r="HZ766" s="27" t="s">
        <v>7</v>
      </c>
      <c r="IG766" s="27" t="s">
        <v>8</v>
      </c>
      <c r="IH766" s="27" t="s">
        <v>7</v>
      </c>
      <c r="II766" s="27" t="s">
        <v>8</v>
      </c>
      <c r="IJ766" s="27" t="s">
        <v>7</v>
      </c>
      <c r="IN766" s="27" t="s">
        <v>7</v>
      </c>
      <c r="IO766" s="27" t="s">
        <v>8</v>
      </c>
      <c r="IP766" s="27" t="s">
        <v>7</v>
      </c>
      <c r="IQ766" s="27" t="s">
        <v>8</v>
      </c>
      <c r="IW766" s="27" t="s">
        <v>8</v>
      </c>
      <c r="JA766" s="27" t="s">
        <v>8</v>
      </c>
      <c r="JB766" s="27" t="s">
        <v>7</v>
      </c>
      <c r="JC766" s="27" t="s">
        <v>8</v>
      </c>
      <c r="JD766" s="27" t="s">
        <v>7</v>
      </c>
      <c r="JE766" s="27" t="s">
        <v>8</v>
      </c>
      <c r="JH766" s="27" t="s">
        <v>7</v>
      </c>
      <c r="JI766" s="27" t="s">
        <v>8</v>
      </c>
      <c r="JJ766" s="27" t="s">
        <v>7</v>
      </c>
      <c r="JK766" s="27" t="s">
        <v>8</v>
      </c>
      <c r="JL766" s="27" t="s">
        <v>7</v>
      </c>
      <c r="JM766" s="27" t="s">
        <v>8</v>
      </c>
      <c r="JN766" s="27" t="s">
        <v>7</v>
      </c>
      <c r="JO766" s="27" t="s">
        <v>8</v>
      </c>
      <c r="JP766" s="27" t="s">
        <v>7</v>
      </c>
      <c r="JQ766" s="27" t="s">
        <v>8</v>
      </c>
      <c r="JR766" s="27" t="s">
        <v>7</v>
      </c>
      <c r="JT766" s="27" t="s">
        <v>7</v>
      </c>
      <c r="JU766" s="27" t="s">
        <v>8</v>
      </c>
      <c r="JV766" s="27" t="s">
        <v>7</v>
      </c>
      <c r="JW766" s="27" t="s">
        <v>8</v>
      </c>
      <c r="JZ766" s="27" t="s">
        <v>7</v>
      </c>
      <c r="KA766" s="27" t="s">
        <v>8</v>
      </c>
      <c r="KB766" s="27" t="s">
        <v>7</v>
      </c>
      <c r="KC766" s="27" t="s">
        <v>8</v>
      </c>
    </row>
    <row r="767" spans="1:297" x14ac:dyDescent="0.25">
      <c r="A767" s="7">
        <v>2.8311904379966554E-2</v>
      </c>
      <c r="B767"/>
      <c r="C767"/>
      <c r="D767"/>
      <c r="E767"/>
      <c r="F767" s="27" t="s">
        <v>7</v>
      </c>
      <c r="AI767" s="27" t="s">
        <v>8</v>
      </c>
      <c r="AJ767" s="27" t="s">
        <v>7</v>
      </c>
      <c r="AO767" s="27" t="s">
        <v>8</v>
      </c>
      <c r="AP767" s="27" t="s">
        <v>7</v>
      </c>
      <c r="AS767" s="27" t="s">
        <v>8</v>
      </c>
      <c r="AT767" s="27" t="s">
        <v>7</v>
      </c>
      <c r="BG767" s="27" t="s">
        <v>8</v>
      </c>
      <c r="BH767" s="27" t="s">
        <v>7</v>
      </c>
      <c r="BI767" s="27" t="s">
        <v>8</v>
      </c>
      <c r="BL767" s="27" t="s">
        <v>7</v>
      </c>
      <c r="BW767" s="27" t="s">
        <v>8</v>
      </c>
      <c r="BX767" s="27" t="s">
        <v>7</v>
      </c>
      <c r="BY767" s="27" t="s">
        <v>8</v>
      </c>
      <c r="CA767" s="27" t="s">
        <v>8</v>
      </c>
      <c r="CB767" s="27" t="s">
        <v>7</v>
      </c>
      <c r="CC767" s="27" t="s">
        <v>8</v>
      </c>
      <c r="CR767" s="27" t="s">
        <v>7</v>
      </c>
      <c r="CS767" s="27" t="s">
        <v>8</v>
      </c>
      <c r="CT767" s="27" t="s">
        <v>7</v>
      </c>
      <c r="CU767" s="27" t="s">
        <v>8</v>
      </c>
      <c r="CV767" s="27" t="s">
        <v>7</v>
      </c>
      <c r="HY767" s="27" t="s">
        <v>8</v>
      </c>
      <c r="HZ767" s="27" t="s">
        <v>7</v>
      </c>
      <c r="IG767" s="27" t="s">
        <v>8</v>
      </c>
      <c r="IH767" s="27" t="s">
        <v>7</v>
      </c>
      <c r="II767" s="27" t="s">
        <v>8</v>
      </c>
      <c r="IN767" s="27" t="s">
        <v>7</v>
      </c>
      <c r="IO767" s="27" t="s">
        <v>8</v>
      </c>
      <c r="IP767" s="27" t="s">
        <v>7</v>
      </c>
      <c r="IQ767" s="27" t="s">
        <v>8</v>
      </c>
      <c r="IR767" s="27" t="s">
        <v>7</v>
      </c>
      <c r="IS767" s="27" t="s">
        <v>8</v>
      </c>
      <c r="IW767" s="27" t="s">
        <v>8</v>
      </c>
      <c r="IX767" s="27" t="s">
        <v>7</v>
      </c>
      <c r="JA767" s="27" t="s">
        <v>8</v>
      </c>
      <c r="JB767" s="27" t="s">
        <v>7</v>
      </c>
      <c r="JC767" s="27" t="s">
        <v>8</v>
      </c>
      <c r="JD767" s="27" t="s">
        <v>7</v>
      </c>
      <c r="JE767" s="27" t="s">
        <v>8</v>
      </c>
      <c r="JH767" s="27" t="s">
        <v>7</v>
      </c>
      <c r="JI767" s="27" t="s">
        <v>8</v>
      </c>
      <c r="JJ767" s="27" t="s">
        <v>7</v>
      </c>
      <c r="JK767" s="27" t="s">
        <v>8</v>
      </c>
      <c r="JL767" s="27" t="s">
        <v>7</v>
      </c>
      <c r="JM767" s="27" t="s">
        <v>8</v>
      </c>
      <c r="JN767" s="27" t="s">
        <v>7</v>
      </c>
      <c r="JO767" s="27" t="s">
        <v>8</v>
      </c>
      <c r="JP767" s="27" t="s">
        <v>7</v>
      </c>
      <c r="JQ767" s="27" t="s">
        <v>8</v>
      </c>
      <c r="JT767" s="27" t="s">
        <v>7</v>
      </c>
      <c r="JU767" s="27" t="s">
        <v>8</v>
      </c>
      <c r="JV767" s="27" t="s">
        <v>7</v>
      </c>
      <c r="JZ767" s="27" t="s">
        <v>7</v>
      </c>
      <c r="KA767" s="27" t="s">
        <v>8</v>
      </c>
      <c r="KB767" s="27" t="s">
        <v>7</v>
      </c>
      <c r="KC767" s="27" t="s">
        <v>8</v>
      </c>
    </row>
    <row r="768" spans="1:297" x14ac:dyDescent="0.25">
      <c r="A768" s="7">
        <v>2.7756768999967207E-2</v>
      </c>
      <c r="B768"/>
      <c r="C768"/>
      <c r="D768"/>
      <c r="E768"/>
      <c r="F768" s="27" t="s">
        <v>7</v>
      </c>
      <c r="AI768" s="27" t="s">
        <v>8</v>
      </c>
      <c r="AJ768" s="27" t="s">
        <v>7</v>
      </c>
      <c r="AO768" s="27" t="s">
        <v>8</v>
      </c>
      <c r="AP768" s="27" t="s">
        <v>7</v>
      </c>
      <c r="AQ768" s="27" t="s">
        <v>8</v>
      </c>
      <c r="AS768" s="27" t="s">
        <v>8</v>
      </c>
      <c r="AT768" s="27" t="s">
        <v>7</v>
      </c>
      <c r="BG768" s="27" t="s">
        <v>8</v>
      </c>
      <c r="BH768" s="27" t="s">
        <v>7</v>
      </c>
      <c r="BI768" s="27" t="s">
        <v>8</v>
      </c>
      <c r="BL768" s="27" t="s">
        <v>7</v>
      </c>
      <c r="BW768" s="27" t="s">
        <v>8</v>
      </c>
      <c r="BX768" s="27" t="s">
        <v>7</v>
      </c>
      <c r="BY768" s="27" t="s">
        <v>8</v>
      </c>
      <c r="BZ768" s="27" t="s">
        <v>7</v>
      </c>
      <c r="CA768" s="27" t="s">
        <v>8</v>
      </c>
      <c r="CB768" s="27" t="s">
        <v>7</v>
      </c>
      <c r="CC768" s="27" t="s">
        <v>8</v>
      </c>
      <c r="CR768" s="27" t="s">
        <v>7</v>
      </c>
      <c r="CS768" s="27" t="s">
        <v>8</v>
      </c>
      <c r="CT768" s="27" t="s">
        <v>7</v>
      </c>
      <c r="CU768" s="27" t="s">
        <v>8</v>
      </c>
      <c r="CV768" s="27" t="s">
        <v>7</v>
      </c>
      <c r="HY768" s="27" t="s">
        <v>8</v>
      </c>
      <c r="HZ768" s="27" t="s">
        <v>7</v>
      </c>
      <c r="IA768" s="27" t="s">
        <v>8</v>
      </c>
      <c r="IG768" s="27" t="s">
        <v>8</v>
      </c>
      <c r="IH768" s="27" t="s">
        <v>7</v>
      </c>
      <c r="IN768" s="27" t="s">
        <v>7</v>
      </c>
      <c r="IO768" s="27" t="s">
        <v>8</v>
      </c>
      <c r="IP768" s="27" t="s">
        <v>7</v>
      </c>
      <c r="IQ768" s="27" t="s">
        <v>8</v>
      </c>
      <c r="IR768" s="27" t="s">
        <v>7</v>
      </c>
      <c r="IS768" s="27" t="s">
        <v>8</v>
      </c>
      <c r="IT768" s="27" t="s">
        <v>7</v>
      </c>
      <c r="IU768" s="27" t="s">
        <v>8</v>
      </c>
      <c r="IW768" s="27" t="s">
        <v>8</v>
      </c>
      <c r="IX768" s="27" t="s">
        <v>7</v>
      </c>
      <c r="JA768" s="27" t="s">
        <v>8</v>
      </c>
      <c r="JB768" s="27" t="s">
        <v>7</v>
      </c>
      <c r="JD768" s="27" t="s">
        <v>7</v>
      </c>
      <c r="JE768" s="27" t="s">
        <v>8</v>
      </c>
      <c r="JH768" s="27" t="s">
        <v>7</v>
      </c>
      <c r="JI768" s="27" t="s">
        <v>8</v>
      </c>
      <c r="JJ768" s="27" t="s">
        <v>7</v>
      </c>
      <c r="JK768" s="27" t="s">
        <v>8</v>
      </c>
      <c r="JL768" s="27" t="s">
        <v>7</v>
      </c>
      <c r="JM768" s="27" t="s">
        <v>8</v>
      </c>
      <c r="JN768" s="27" t="s">
        <v>7</v>
      </c>
      <c r="JO768" s="27" t="s">
        <v>8</v>
      </c>
      <c r="JP768" s="27" t="s">
        <v>7</v>
      </c>
      <c r="JQ768" s="27" t="s">
        <v>8</v>
      </c>
      <c r="JT768" s="27" t="s">
        <v>7</v>
      </c>
      <c r="JU768" s="27" t="s">
        <v>8</v>
      </c>
      <c r="JZ768" s="27" t="s">
        <v>7</v>
      </c>
      <c r="KA768" s="27" t="s">
        <v>8</v>
      </c>
      <c r="KB768" s="27" t="s">
        <v>7</v>
      </c>
    </row>
    <row r="769" spans="1:287" x14ac:dyDescent="0.25">
      <c r="A769" s="7">
        <v>2.7212518627418834E-2</v>
      </c>
      <c r="B769"/>
      <c r="C769"/>
      <c r="D769"/>
      <c r="E769"/>
      <c r="F769" s="27" t="s">
        <v>7</v>
      </c>
      <c r="AI769" s="27" t="s">
        <v>8</v>
      </c>
      <c r="AJ769" s="27" t="s">
        <v>7</v>
      </c>
      <c r="AO769" s="27" t="s">
        <v>8</v>
      </c>
      <c r="AP769" s="27" t="s">
        <v>7</v>
      </c>
      <c r="AQ769" s="27" t="s">
        <v>8</v>
      </c>
      <c r="AR769" s="27" t="s">
        <v>7</v>
      </c>
      <c r="AS769" s="27" t="s">
        <v>8</v>
      </c>
      <c r="AT769" s="27" t="s">
        <v>7</v>
      </c>
      <c r="AU769" s="27" t="s">
        <v>8</v>
      </c>
      <c r="BG769" s="27" t="s">
        <v>8</v>
      </c>
      <c r="BH769" s="27" t="s">
        <v>7</v>
      </c>
      <c r="BI769" s="27" t="s">
        <v>8</v>
      </c>
      <c r="BL769" s="27" t="s">
        <v>7</v>
      </c>
      <c r="BM769" s="27" t="s">
        <v>8</v>
      </c>
      <c r="BW769" s="27" t="s">
        <v>8</v>
      </c>
      <c r="BX769" s="27" t="s">
        <v>7</v>
      </c>
      <c r="BY769" s="27" t="s">
        <v>8</v>
      </c>
      <c r="BZ769" s="27" t="s">
        <v>7</v>
      </c>
      <c r="CA769" s="27" t="s">
        <v>8</v>
      </c>
      <c r="CB769" s="27" t="s">
        <v>7</v>
      </c>
      <c r="CC769" s="27" t="s">
        <v>8</v>
      </c>
      <c r="CR769" s="27" t="s">
        <v>7</v>
      </c>
      <c r="CT769" s="27" t="s">
        <v>7</v>
      </c>
      <c r="CU769" s="27" t="s">
        <v>8</v>
      </c>
      <c r="CV769" s="27" t="s">
        <v>7</v>
      </c>
      <c r="HY769" s="27" t="s">
        <v>8</v>
      </c>
      <c r="HZ769" s="27" t="s">
        <v>7</v>
      </c>
      <c r="IA769" s="27" t="s">
        <v>8</v>
      </c>
      <c r="IB769" s="27" t="s">
        <v>7</v>
      </c>
      <c r="IG769" s="27" t="s">
        <v>8</v>
      </c>
      <c r="IN769" s="27" t="s">
        <v>7</v>
      </c>
      <c r="IO769" s="27" t="s">
        <v>8</v>
      </c>
      <c r="IP769" s="27" t="s">
        <v>7</v>
      </c>
      <c r="IQ769" s="27" t="s">
        <v>8</v>
      </c>
      <c r="IR769" s="27" t="s">
        <v>7</v>
      </c>
      <c r="IS769" s="27" t="s">
        <v>8</v>
      </c>
      <c r="IT769" s="27" t="s">
        <v>7</v>
      </c>
      <c r="IU769" s="27" t="s">
        <v>8</v>
      </c>
      <c r="IV769" s="27" t="s">
        <v>7</v>
      </c>
      <c r="IW769" s="27" t="s">
        <v>8</v>
      </c>
      <c r="IX769" s="27" t="s">
        <v>7</v>
      </c>
      <c r="JA769" s="27" t="s">
        <v>8</v>
      </c>
      <c r="JD769" s="27" t="s">
        <v>7</v>
      </c>
      <c r="JH769" s="27" t="s">
        <v>7</v>
      </c>
      <c r="JJ769" s="27" t="s">
        <v>7</v>
      </c>
      <c r="JK769" s="27" t="s">
        <v>8</v>
      </c>
      <c r="JL769" s="27" t="s">
        <v>7</v>
      </c>
      <c r="JM769" s="27" t="s">
        <v>8</v>
      </c>
      <c r="JN769" s="27" t="s">
        <v>7</v>
      </c>
      <c r="JO769" s="27" t="s">
        <v>8</v>
      </c>
      <c r="JP769" s="27" t="s">
        <v>7</v>
      </c>
      <c r="JT769" s="27" t="s">
        <v>7</v>
      </c>
      <c r="JZ769" s="27" t="s">
        <v>7</v>
      </c>
      <c r="KA769" s="27" t="s">
        <v>8</v>
      </c>
    </row>
    <row r="770" spans="1:287" x14ac:dyDescent="0.25">
      <c r="A770" s="7">
        <v>2.6678939830802779E-2</v>
      </c>
      <c r="B770"/>
      <c r="C770"/>
      <c r="D770"/>
      <c r="E770"/>
      <c r="F770" s="27" t="s">
        <v>7</v>
      </c>
      <c r="AI770" s="27" t="s">
        <v>8</v>
      </c>
      <c r="AJ770" s="27" t="s">
        <v>7</v>
      </c>
      <c r="AO770" s="27" t="s">
        <v>8</v>
      </c>
      <c r="AP770" s="27" t="s">
        <v>7</v>
      </c>
      <c r="AQ770" s="27" t="s">
        <v>8</v>
      </c>
      <c r="AR770" s="27" t="s">
        <v>7</v>
      </c>
      <c r="AS770" s="27" t="s">
        <v>8</v>
      </c>
      <c r="AT770" s="27" t="s">
        <v>7</v>
      </c>
      <c r="AU770" s="27" t="s">
        <v>8</v>
      </c>
      <c r="AV770" s="27" t="s">
        <v>7</v>
      </c>
      <c r="BG770" s="27" t="s">
        <v>8</v>
      </c>
      <c r="BH770" s="27" t="s">
        <v>7</v>
      </c>
      <c r="BI770" s="27" t="s">
        <v>8</v>
      </c>
      <c r="BL770" s="27" t="s">
        <v>7</v>
      </c>
      <c r="BM770" s="27" t="s">
        <v>8</v>
      </c>
      <c r="BN770" s="27" t="s">
        <v>7</v>
      </c>
      <c r="BW770" s="27" t="s">
        <v>8</v>
      </c>
      <c r="BX770" s="27" t="s">
        <v>7</v>
      </c>
      <c r="BY770" s="27" t="s">
        <v>8</v>
      </c>
      <c r="BZ770" s="27" t="s">
        <v>7</v>
      </c>
      <c r="CA770" s="27" t="s">
        <v>8</v>
      </c>
      <c r="CB770" s="27" t="s">
        <v>7</v>
      </c>
      <c r="CC770" s="27" t="s">
        <v>8</v>
      </c>
      <c r="CT770" s="27" t="s">
        <v>7</v>
      </c>
      <c r="CU770" s="27" t="s">
        <v>8</v>
      </c>
      <c r="CV770" s="27" t="s">
        <v>7</v>
      </c>
      <c r="FI770" s="27" t="s">
        <v>8</v>
      </c>
      <c r="HY770" s="27" t="s">
        <v>8</v>
      </c>
      <c r="HZ770" s="27" t="s">
        <v>7</v>
      </c>
      <c r="IA770" s="27" t="s">
        <v>8</v>
      </c>
      <c r="IB770" s="27" t="s">
        <v>7</v>
      </c>
      <c r="IG770" s="27" t="s">
        <v>8</v>
      </c>
      <c r="IN770" s="27" t="s">
        <v>7</v>
      </c>
      <c r="IO770" s="27" t="s">
        <v>8</v>
      </c>
      <c r="IP770" s="27" t="s">
        <v>7</v>
      </c>
      <c r="IQ770" s="27" t="s">
        <v>8</v>
      </c>
      <c r="IR770" s="27" t="s">
        <v>7</v>
      </c>
      <c r="IS770" s="27" t="s">
        <v>8</v>
      </c>
      <c r="IT770" s="27" t="s">
        <v>7</v>
      </c>
      <c r="IU770" s="27" t="s">
        <v>8</v>
      </c>
      <c r="IV770" s="27" t="s">
        <v>7</v>
      </c>
      <c r="IW770" s="27" t="s">
        <v>8</v>
      </c>
      <c r="IX770" s="27" t="s">
        <v>7</v>
      </c>
      <c r="IY770" s="27" t="s">
        <v>8</v>
      </c>
      <c r="JA770" s="27" t="s">
        <v>8</v>
      </c>
      <c r="JJ770" s="27" t="s">
        <v>7</v>
      </c>
      <c r="JK770" s="27" t="s">
        <v>8</v>
      </c>
      <c r="JL770" s="27" t="s">
        <v>7</v>
      </c>
      <c r="JN770" s="27" t="s">
        <v>7</v>
      </c>
      <c r="JO770" s="27" t="s">
        <v>8</v>
      </c>
      <c r="JZ770" s="27" t="s">
        <v>7</v>
      </c>
    </row>
    <row r="771" spans="1:287" x14ac:dyDescent="0.25">
      <c r="A771" s="7">
        <v>2.615582336353214E-2</v>
      </c>
      <c r="B771"/>
      <c r="C771"/>
      <c r="D771"/>
      <c r="E771"/>
      <c r="F771" s="27" t="s">
        <v>7</v>
      </c>
      <c r="AI771" s="27" t="s">
        <v>8</v>
      </c>
      <c r="AJ771" s="27" t="s">
        <v>7</v>
      </c>
      <c r="AK771" s="27" t="s">
        <v>8</v>
      </c>
      <c r="AO771" s="27" t="s">
        <v>8</v>
      </c>
      <c r="AP771" s="27" t="s">
        <v>7</v>
      </c>
      <c r="AQ771" s="27" t="s">
        <v>8</v>
      </c>
      <c r="AR771" s="27" t="s">
        <v>7</v>
      </c>
      <c r="AS771" s="27" t="s">
        <v>8</v>
      </c>
      <c r="AT771" s="27" t="s">
        <v>7</v>
      </c>
      <c r="AU771" s="27" t="s">
        <v>8</v>
      </c>
      <c r="AV771" s="27" t="s">
        <v>7</v>
      </c>
      <c r="BG771" s="27" t="s">
        <v>8</v>
      </c>
      <c r="BH771" s="27" t="s">
        <v>7</v>
      </c>
      <c r="BI771" s="27" t="s">
        <v>8</v>
      </c>
      <c r="BL771" s="27" t="s">
        <v>7</v>
      </c>
      <c r="BM771" s="27" t="s">
        <v>8</v>
      </c>
      <c r="BN771" s="27" t="s">
        <v>7</v>
      </c>
      <c r="BU771" s="27" t="s">
        <v>8</v>
      </c>
      <c r="BW771" s="27" t="s">
        <v>8</v>
      </c>
      <c r="BX771" s="27" t="s">
        <v>7</v>
      </c>
      <c r="BY771" s="27" t="s">
        <v>8</v>
      </c>
      <c r="BZ771" s="27" t="s">
        <v>7</v>
      </c>
      <c r="CB771" s="27" t="s">
        <v>7</v>
      </c>
      <c r="CT771" s="27" t="s">
        <v>7</v>
      </c>
      <c r="CU771" s="27" t="s">
        <v>8</v>
      </c>
      <c r="CV771" s="27" t="s">
        <v>7</v>
      </c>
      <c r="FI771" s="27" t="s">
        <v>8</v>
      </c>
      <c r="FJ771" s="27" t="s">
        <v>7</v>
      </c>
      <c r="HY771" s="27" t="s">
        <v>8</v>
      </c>
      <c r="HZ771" s="27" t="s">
        <v>7</v>
      </c>
      <c r="IA771" s="27" t="s">
        <v>8</v>
      </c>
      <c r="IB771" s="27" t="s">
        <v>7</v>
      </c>
      <c r="IG771" s="27" t="s">
        <v>8</v>
      </c>
      <c r="IN771" s="27" t="s">
        <v>7</v>
      </c>
      <c r="IP771" s="27" t="s">
        <v>7</v>
      </c>
      <c r="IQ771" s="27" t="s">
        <v>8</v>
      </c>
      <c r="IR771" s="27" t="s">
        <v>7</v>
      </c>
      <c r="IS771" s="27" t="s">
        <v>8</v>
      </c>
      <c r="IT771" s="27" t="s">
        <v>7</v>
      </c>
      <c r="IU771" s="27" t="s">
        <v>8</v>
      </c>
      <c r="IV771" s="27" t="s">
        <v>7</v>
      </c>
      <c r="IW771" s="27" t="s">
        <v>8</v>
      </c>
      <c r="IX771" s="27" t="s">
        <v>7</v>
      </c>
      <c r="IY771" s="27" t="s">
        <v>8</v>
      </c>
      <c r="IZ771" s="27" t="s">
        <v>7</v>
      </c>
      <c r="JA771" s="27" t="s">
        <v>8</v>
      </c>
      <c r="JJ771" s="27" t="s">
        <v>7</v>
      </c>
      <c r="JK771" s="27" t="s">
        <v>8</v>
      </c>
      <c r="JN771" s="27" t="s">
        <v>7</v>
      </c>
    </row>
    <row r="772" spans="1:287" x14ac:dyDescent="0.25">
      <c r="A772" s="7">
        <v>2.5642964081894253E-2</v>
      </c>
      <c r="B772"/>
      <c r="C772"/>
      <c r="D772"/>
      <c r="E772"/>
      <c r="F772" s="27" t="s">
        <v>7</v>
      </c>
      <c r="AI772" s="27" t="s">
        <v>8</v>
      </c>
      <c r="AJ772" s="27" t="s">
        <v>7</v>
      </c>
      <c r="AK772" s="27" t="s">
        <v>8</v>
      </c>
      <c r="AL772" s="27" t="s">
        <v>7</v>
      </c>
      <c r="AM772" s="27" t="s">
        <v>8</v>
      </c>
      <c r="AO772" s="27" t="s">
        <v>8</v>
      </c>
      <c r="AP772" s="27" t="s">
        <v>7</v>
      </c>
      <c r="AQ772" s="27" t="s">
        <v>8</v>
      </c>
      <c r="AR772" s="27" t="s">
        <v>7</v>
      </c>
      <c r="AS772" s="27" t="s">
        <v>8</v>
      </c>
      <c r="AT772" s="27" t="s">
        <v>7</v>
      </c>
      <c r="AU772" s="27" t="s">
        <v>8</v>
      </c>
      <c r="AV772" s="27" t="s">
        <v>7</v>
      </c>
      <c r="AW772" s="27" t="s">
        <v>8</v>
      </c>
      <c r="BG772" s="27" t="s">
        <v>8</v>
      </c>
      <c r="BH772" s="27" t="s">
        <v>7</v>
      </c>
      <c r="BI772" s="27" t="s">
        <v>8</v>
      </c>
      <c r="BL772" s="27" t="s">
        <v>7</v>
      </c>
      <c r="BM772" s="27" t="s">
        <v>8</v>
      </c>
      <c r="BN772" s="27" t="s">
        <v>7</v>
      </c>
      <c r="BU772" s="27" t="s">
        <v>8</v>
      </c>
      <c r="BV772" s="27" t="s">
        <v>7</v>
      </c>
      <c r="BW772" s="27" t="s">
        <v>8</v>
      </c>
      <c r="BX772" s="27" t="s">
        <v>7</v>
      </c>
      <c r="BY772" s="27" t="s">
        <v>8</v>
      </c>
      <c r="CT772" s="27" t="s">
        <v>7</v>
      </c>
      <c r="CU772" s="27" t="s">
        <v>8</v>
      </c>
      <c r="CV772" s="27" t="s">
        <v>7</v>
      </c>
      <c r="FI772" s="27" t="s">
        <v>8</v>
      </c>
      <c r="FJ772" s="27" t="s">
        <v>7</v>
      </c>
      <c r="HW772" s="27" t="s">
        <v>8</v>
      </c>
      <c r="HY772" s="27" t="s">
        <v>8</v>
      </c>
      <c r="HZ772" s="27" t="s">
        <v>7</v>
      </c>
      <c r="IB772" s="27" t="s">
        <v>7</v>
      </c>
      <c r="IC772" s="27" t="s">
        <v>8</v>
      </c>
      <c r="IG772" s="27" t="s">
        <v>8</v>
      </c>
      <c r="IP772" s="27" t="s">
        <v>7</v>
      </c>
      <c r="IQ772" s="27" t="s">
        <v>8</v>
      </c>
      <c r="IR772" s="27" t="s">
        <v>7</v>
      </c>
      <c r="IS772" s="27" t="s">
        <v>8</v>
      </c>
      <c r="IT772" s="27" t="s">
        <v>7</v>
      </c>
      <c r="IU772" s="27" t="s">
        <v>8</v>
      </c>
      <c r="IV772" s="27" t="s">
        <v>7</v>
      </c>
      <c r="IX772" s="27" t="s">
        <v>7</v>
      </c>
      <c r="IY772" s="27" t="s">
        <v>8</v>
      </c>
      <c r="IZ772" s="27" t="s">
        <v>7</v>
      </c>
      <c r="JA772" s="27" t="s">
        <v>8</v>
      </c>
      <c r="JJ772" s="27" t="s">
        <v>7</v>
      </c>
      <c r="JK772" s="27" t="s">
        <v>8</v>
      </c>
    </row>
    <row r="773" spans="1:287" x14ac:dyDescent="0.25">
      <c r="A773" s="7">
        <v>2.5140160864602207E-2</v>
      </c>
      <c r="B773"/>
      <c r="C773"/>
      <c r="D773"/>
      <c r="E773"/>
      <c r="F773" s="27" t="s">
        <v>7</v>
      </c>
      <c r="AI773" s="27" t="s">
        <v>8</v>
      </c>
      <c r="AJ773" s="27" t="s">
        <v>7</v>
      </c>
      <c r="AK773" s="27" t="s">
        <v>8</v>
      </c>
      <c r="AL773" s="27" t="s">
        <v>7</v>
      </c>
      <c r="AM773" s="27" t="s">
        <v>8</v>
      </c>
      <c r="AN773" s="27" t="s">
        <v>7</v>
      </c>
      <c r="AO773" s="27" t="s">
        <v>8</v>
      </c>
      <c r="AP773" s="27" t="s">
        <v>7</v>
      </c>
      <c r="AR773" s="27" t="s">
        <v>7</v>
      </c>
      <c r="AS773" s="27" t="s">
        <v>8</v>
      </c>
      <c r="AT773" s="27" t="s">
        <v>7</v>
      </c>
      <c r="AV773" s="27" t="s">
        <v>7</v>
      </c>
      <c r="AW773" s="27" t="s">
        <v>8</v>
      </c>
      <c r="AX773" s="27" t="s">
        <v>7</v>
      </c>
      <c r="BG773" s="27" t="s">
        <v>8</v>
      </c>
      <c r="BH773" s="27" t="s">
        <v>7</v>
      </c>
      <c r="BL773" s="27" t="s">
        <v>7</v>
      </c>
      <c r="BN773" s="27" t="s">
        <v>7</v>
      </c>
      <c r="BO773" s="27" t="s">
        <v>8</v>
      </c>
      <c r="BS773" s="27" t="s">
        <v>8</v>
      </c>
      <c r="BU773" s="27" t="s">
        <v>8</v>
      </c>
      <c r="BV773" s="27" t="s">
        <v>7</v>
      </c>
      <c r="BW773" s="27" t="s">
        <v>8</v>
      </c>
      <c r="BX773" s="27" t="s">
        <v>7</v>
      </c>
      <c r="CT773" s="27" t="s">
        <v>7</v>
      </c>
      <c r="CU773" s="27" t="s">
        <v>8</v>
      </c>
      <c r="CV773" s="27" t="s">
        <v>7</v>
      </c>
      <c r="FI773" s="27" t="s">
        <v>8</v>
      </c>
      <c r="FJ773" s="27" t="s">
        <v>7</v>
      </c>
      <c r="HW773" s="27" t="s">
        <v>8</v>
      </c>
      <c r="HX773" s="27" t="s">
        <v>7</v>
      </c>
      <c r="HY773" s="27" t="s">
        <v>8</v>
      </c>
      <c r="IB773" s="27" t="s">
        <v>7</v>
      </c>
      <c r="IC773" s="27" t="s">
        <v>8</v>
      </c>
      <c r="ID773" s="27" t="s">
        <v>7</v>
      </c>
      <c r="IG773" s="27" t="s">
        <v>8</v>
      </c>
      <c r="IP773" s="27" t="s">
        <v>7</v>
      </c>
      <c r="IQ773" s="27" t="s">
        <v>8</v>
      </c>
      <c r="IR773" s="27" t="s">
        <v>7</v>
      </c>
      <c r="IS773" s="27" t="s">
        <v>8</v>
      </c>
      <c r="IT773" s="27" t="s">
        <v>7</v>
      </c>
      <c r="IX773" s="27" t="s">
        <v>7</v>
      </c>
      <c r="IY773" s="27" t="s">
        <v>8</v>
      </c>
      <c r="IZ773" s="27" t="s">
        <v>7</v>
      </c>
      <c r="JA773" s="27" t="s">
        <v>8</v>
      </c>
      <c r="JJ773" s="27" t="s">
        <v>7</v>
      </c>
      <c r="JK773" s="27" t="s">
        <v>8</v>
      </c>
    </row>
    <row r="774" spans="1:287" x14ac:dyDescent="0.25">
      <c r="A774" s="7">
        <v>2.4647216533923735E-2</v>
      </c>
      <c r="B774"/>
      <c r="C774"/>
      <c r="D774"/>
      <c r="E774"/>
      <c r="F774" s="27" t="s">
        <v>7</v>
      </c>
      <c r="G774" s="27" t="s">
        <v>8</v>
      </c>
      <c r="AI774" s="27" t="s">
        <v>8</v>
      </c>
      <c r="AJ774" s="27" t="s">
        <v>7</v>
      </c>
      <c r="AK774" s="27" t="s">
        <v>8</v>
      </c>
      <c r="AL774" s="27" t="s">
        <v>7</v>
      </c>
      <c r="AM774" s="27" t="s">
        <v>8</v>
      </c>
      <c r="AN774" s="27" t="s">
        <v>7</v>
      </c>
      <c r="AO774" s="27" t="s">
        <v>8</v>
      </c>
      <c r="AR774" s="27" t="s">
        <v>7</v>
      </c>
      <c r="AS774" s="27" t="s">
        <v>8</v>
      </c>
      <c r="AV774" s="27" t="s">
        <v>7</v>
      </c>
      <c r="AW774" s="27" t="s">
        <v>8</v>
      </c>
      <c r="AX774" s="27" t="s">
        <v>7</v>
      </c>
      <c r="BG774" s="27" t="s">
        <v>8</v>
      </c>
      <c r="BN774" s="27" t="s">
        <v>7</v>
      </c>
      <c r="BO774" s="27" t="s">
        <v>8</v>
      </c>
      <c r="BP774" s="27" t="s">
        <v>7</v>
      </c>
      <c r="BS774" s="27" t="s">
        <v>8</v>
      </c>
      <c r="BT774" s="27" t="s">
        <v>7</v>
      </c>
      <c r="BU774" s="27" t="s">
        <v>8</v>
      </c>
      <c r="BV774" s="27" t="s">
        <v>7</v>
      </c>
      <c r="BW774" s="27" t="s">
        <v>8</v>
      </c>
      <c r="CT774" s="27" t="s">
        <v>7</v>
      </c>
      <c r="CU774" s="27" t="s">
        <v>8</v>
      </c>
      <c r="CV774" s="27" t="s">
        <v>7</v>
      </c>
      <c r="CW774" s="27" t="s">
        <v>8</v>
      </c>
      <c r="FI774" s="27" t="s">
        <v>8</v>
      </c>
      <c r="FJ774" s="27" t="s">
        <v>7</v>
      </c>
      <c r="HW774" s="27" t="s">
        <v>8</v>
      </c>
      <c r="HX774" s="27" t="s">
        <v>7</v>
      </c>
      <c r="HY774" s="27" t="s">
        <v>8</v>
      </c>
      <c r="IB774" s="27" t="s">
        <v>7</v>
      </c>
      <c r="IC774" s="27" t="s">
        <v>8</v>
      </c>
      <c r="ID774" s="27" t="s">
        <v>7</v>
      </c>
      <c r="IG774" s="27" t="s">
        <v>8</v>
      </c>
      <c r="IP774" s="27" t="s">
        <v>7</v>
      </c>
      <c r="IR774" s="27" t="s">
        <v>7</v>
      </c>
      <c r="IS774" s="27" t="s">
        <v>8</v>
      </c>
      <c r="IX774" s="27" t="s">
        <v>7</v>
      </c>
      <c r="IY774" s="27" t="s">
        <v>8</v>
      </c>
      <c r="IZ774" s="27" t="s">
        <v>7</v>
      </c>
      <c r="JJ774" s="27" t="s">
        <v>7</v>
      </c>
      <c r="JK774" s="27" t="s">
        <v>8</v>
      </c>
    </row>
    <row r="775" spans="1:287" x14ac:dyDescent="0.25">
      <c r="A775" s="7">
        <v>2.4163937778356601E-2</v>
      </c>
      <c r="B775"/>
      <c r="C775"/>
      <c r="D775"/>
      <c r="E775"/>
      <c r="F775" s="27" t="s">
        <v>7</v>
      </c>
      <c r="G775" s="27" t="s">
        <v>8</v>
      </c>
      <c r="H775" s="27" t="s">
        <v>7</v>
      </c>
      <c r="AI775" s="27" t="s">
        <v>8</v>
      </c>
      <c r="AJ775" s="27" t="s">
        <v>7</v>
      </c>
      <c r="AK775" s="27" t="s">
        <v>8</v>
      </c>
      <c r="AL775" s="27" t="s">
        <v>7</v>
      </c>
      <c r="AM775" s="27" t="s">
        <v>8</v>
      </c>
      <c r="AN775" s="27" t="s">
        <v>7</v>
      </c>
      <c r="AO775" s="27" t="s">
        <v>8</v>
      </c>
      <c r="AR775" s="27" t="s">
        <v>7</v>
      </c>
      <c r="AV775" s="27" t="s">
        <v>7</v>
      </c>
      <c r="AW775" s="27" t="s">
        <v>8</v>
      </c>
      <c r="AX775" s="27" t="s">
        <v>7</v>
      </c>
      <c r="AY775" s="27" t="s">
        <v>8</v>
      </c>
      <c r="BE775" s="27" t="s">
        <v>8</v>
      </c>
      <c r="BG775" s="27" t="s">
        <v>8</v>
      </c>
      <c r="BN775" s="27" t="s">
        <v>7</v>
      </c>
      <c r="BO775" s="27" t="s">
        <v>8</v>
      </c>
      <c r="BP775" s="27" t="s">
        <v>7</v>
      </c>
      <c r="BQ775" s="27" t="s">
        <v>8</v>
      </c>
      <c r="BS775" s="27" t="s">
        <v>8</v>
      </c>
      <c r="BT775" s="27" t="s">
        <v>7</v>
      </c>
      <c r="BU775" s="27" t="s">
        <v>8</v>
      </c>
      <c r="BV775" s="27" t="s">
        <v>7</v>
      </c>
      <c r="BW775" s="27" t="s">
        <v>8</v>
      </c>
      <c r="CT775" s="27" t="s">
        <v>7</v>
      </c>
      <c r="CU775" s="27" t="s">
        <v>8</v>
      </c>
      <c r="CV775" s="27" t="s">
        <v>7</v>
      </c>
      <c r="CW775" s="27" t="s">
        <v>8</v>
      </c>
      <c r="CX775" s="27" t="s">
        <v>7</v>
      </c>
      <c r="FI775" s="27" t="s">
        <v>8</v>
      </c>
      <c r="FJ775" s="27" t="s">
        <v>7</v>
      </c>
      <c r="HW775" s="27" t="s">
        <v>8</v>
      </c>
      <c r="HX775" s="27" t="s">
        <v>7</v>
      </c>
      <c r="HY775" s="27" t="s">
        <v>8</v>
      </c>
      <c r="IB775" s="27" t="s">
        <v>7</v>
      </c>
      <c r="IC775" s="27" t="s">
        <v>8</v>
      </c>
      <c r="ID775" s="27" t="s">
        <v>7</v>
      </c>
      <c r="IE775" s="27" t="s">
        <v>8</v>
      </c>
      <c r="IG775" s="27" t="s">
        <v>8</v>
      </c>
      <c r="IR775" s="27" t="s">
        <v>7</v>
      </c>
      <c r="IX775" s="27" t="s">
        <v>7</v>
      </c>
      <c r="IY775" s="27" t="s">
        <v>8</v>
      </c>
      <c r="JJ775" s="27" t="s">
        <v>7</v>
      </c>
    </row>
    <row r="776" spans="1:287" x14ac:dyDescent="0.25">
      <c r="A776" s="7">
        <v>2.3690135076820197E-2</v>
      </c>
      <c r="B776"/>
      <c r="C776"/>
      <c r="D776"/>
      <c r="E776"/>
      <c r="F776" s="27" t="s">
        <v>7</v>
      </c>
      <c r="G776" s="27" t="s">
        <v>8</v>
      </c>
      <c r="H776" s="27" t="s">
        <v>7</v>
      </c>
      <c r="AI776" s="27" t="s">
        <v>8</v>
      </c>
      <c r="AJ776" s="27" t="s">
        <v>7</v>
      </c>
      <c r="AK776" s="27" t="s">
        <v>8</v>
      </c>
      <c r="AL776" s="27" t="s">
        <v>7</v>
      </c>
      <c r="AN776" s="27" t="s">
        <v>7</v>
      </c>
      <c r="AO776" s="27" t="s">
        <v>8</v>
      </c>
      <c r="AV776" s="27" t="s">
        <v>7</v>
      </c>
      <c r="AW776" s="27" t="s">
        <v>8</v>
      </c>
      <c r="AX776" s="27" t="s">
        <v>7</v>
      </c>
      <c r="AY776" s="27" t="s">
        <v>8</v>
      </c>
      <c r="AZ776" s="27" t="s">
        <v>7</v>
      </c>
      <c r="BA776" s="27" t="s">
        <v>8</v>
      </c>
      <c r="BE776" s="27" t="s">
        <v>8</v>
      </c>
      <c r="BF776" s="27" t="s">
        <v>7</v>
      </c>
      <c r="BG776" s="27" t="s">
        <v>8</v>
      </c>
      <c r="BN776" s="27" t="s">
        <v>7</v>
      </c>
      <c r="BO776" s="27" t="s">
        <v>8</v>
      </c>
      <c r="BP776" s="27" t="s">
        <v>7</v>
      </c>
      <c r="BQ776" s="27" t="s">
        <v>8</v>
      </c>
      <c r="BR776" s="27" t="s">
        <v>7</v>
      </c>
      <c r="BS776" s="27" t="s">
        <v>8</v>
      </c>
      <c r="BT776" s="27" t="s">
        <v>7</v>
      </c>
      <c r="BU776" s="27" t="s">
        <v>8</v>
      </c>
      <c r="BV776" s="27" t="s">
        <v>7</v>
      </c>
      <c r="BW776" s="27" t="s">
        <v>8</v>
      </c>
      <c r="CT776" s="27" t="s">
        <v>7</v>
      </c>
      <c r="CU776" s="27" t="s">
        <v>8</v>
      </c>
      <c r="CV776" s="27" t="s">
        <v>7</v>
      </c>
      <c r="CW776" s="27" t="s">
        <v>8</v>
      </c>
      <c r="CX776" s="27" t="s">
        <v>7</v>
      </c>
      <c r="FE776" s="27" t="s">
        <v>8</v>
      </c>
      <c r="FI776" s="27" t="s">
        <v>8</v>
      </c>
      <c r="FJ776" s="27" t="s">
        <v>7</v>
      </c>
      <c r="HW776" s="27" t="s">
        <v>8</v>
      </c>
      <c r="HX776" s="27" t="s">
        <v>7</v>
      </c>
      <c r="IB776" s="27" t="s">
        <v>7</v>
      </c>
      <c r="ID776" s="27" t="s">
        <v>7</v>
      </c>
      <c r="IE776" s="27" t="s">
        <v>8</v>
      </c>
      <c r="IF776" s="27" t="s">
        <v>7</v>
      </c>
      <c r="IG776" s="27" t="s">
        <v>8</v>
      </c>
      <c r="IX776" s="27" t="s">
        <v>7</v>
      </c>
      <c r="IY776" s="27" t="s">
        <v>8</v>
      </c>
    </row>
    <row r="777" spans="1:287" x14ac:dyDescent="0.25">
      <c r="A777" s="7">
        <v>2.3225622624333527E-2</v>
      </c>
      <c r="B777"/>
      <c r="C777"/>
      <c r="D777"/>
      <c r="E777"/>
      <c r="F777" s="27" t="s">
        <v>7</v>
      </c>
      <c r="G777" s="27" t="s">
        <v>8</v>
      </c>
      <c r="H777" s="27" t="s">
        <v>7</v>
      </c>
      <c r="AA777" s="27" t="s">
        <v>8</v>
      </c>
      <c r="AI777" s="27" t="s">
        <v>8</v>
      </c>
      <c r="AJ777" s="27" t="s">
        <v>7</v>
      </c>
      <c r="AK777" s="27" t="s">
        <v>8</v>
      </c>
      <c r="AN777" s="27" t="s">
        <v>7</v>
      </c>
      <c r="AV777" s="27" t="s">
        <v>7</v>
      </c>
      <c r="AX777" s="27" t="s">
        <v>7</v>
      </c>
      <c r="AY777" s="27" t="s">
        <v>8</v>
      </c>
      <c r="AZ777" s="27" t="s">
        <v>7</v>
      </c>
      <c r="BA777" s="27" t="s">
        <v>8</v>
      </c>
      <c r="BB777" s="27" t="s">
        <v>7</v>
      </c>
      <c r="BC777" s="27" t="s">
        <v>8</v>
      </c>
      <c r="BE777" s="27" t="s">
        <v>8</v>
      </c>
      <c r="BF777" s="27" t="s">
        <v>7</v>
      </c>
      <c r="BG777" s="27" t="s">
        <v>8</v>
      </c>
      <c r="BN777" s="27" t="s">
        <v>7</v>
      </c>
      <c r="BO777" s="27" t="s">
        <v>8</v>
      </c>
      <c r="BP777" s="27" t="s">
        <v>7</v>
      </c>
      <c r="BQ777" s="27" t="s">
        <v>8</v>
      </c>
      <c r="BR777" s="27" t="s">
        <v>7</v>
      </c>
      <c r="BS777" s="27" t="s">
        <v>8</v>
      </c>
      <c r="BT777" s="27" t="s">
        <v>7</v>
      </c>
      <c r="BU777" s="27" t="s">
        <v>8</v>
      </c>
      <c r="BV777" s="27" t="s">
        <v>7</v>
      </c>
      <c r="CT777" s="27" t="s">
        <v>7</v>
      </c>
      <c r="CU777" s="27" t="s">
        <v>8</v>
      </c>
      <c r="CV777" s="27" t="s">
        <v>7</v>
      </c>
      <c r="CW777" s="27" t="s">
        <v>8</v>
      </c>
      <c r="CX777" s="27" t="s">
        <v>7</v>
      </c>
      <c r="CY777" s="27" t="s">
        <v>8</v>
      </c>
      <c r="FE777" s="27" t="s">
        <v>8</v>
      </c>
      <c r="FF777" s="27" t="s">
        <v>7</v>
      </c>
      <c r="FI777" s="27" t="s">
        <v>8</v>
      </c>
      <c r="FJ777" s="27" t="s">
        <v>7</v>
      </c>
      <c r="HW777" s="27" t="s">
        <v>8</v>
      </c>
      <c r="ID777" s="27" t="s">
        <v>7</v>
      </c>
      <c r="IE777" s="27" t="s">
        <v>8</v>
      </c>
      <c r="IF777" s="27" t="s">
        <v>7</v>
      </c>
      <c r="IG777" s="27" t="s">
        <v>8</v>
      </c>
      <c r="IX777" s="27" t="s">
        <v>7</v>
      </c>
    </row>
    <row r="778" spans="1:287" x14ac:dyDescent="0.25">
      <c r="A778" s="7">
        <v>2.2770218259150519E-2</v>
      </c>
      <c r="B778"/>
      <c r="C778"/>
      <c r="D778"/>
      <c r="E778"/>
      <c r="F778" s="27" t="s">
        <v>7</v>
      </c>
      <c r="G778" s="27" t="s">
        <v>8</v>
      </c>
      <c r="H778" s="27" t="s">
        <v>7</v>
      </c>
      <c r="AA778" s="27" t="s">
        <v>8</v>
      </c>
      <c r="AB778" s="27" t="s">
        <v>7</v>
      </c>
      <c r="AG778" s="27" t="s">
        <v>8</v>
      </c>
      <c r="AI778" s="27" t="s">
        <v>8</v>
      </c>
      <c r="AJ778" s="27" t="s">
        <v>7</v>
      </c>
      <c r="AK778" s="27" t="s">
        <v>8</v>
      </c>
      <c r="AX778" s="27" t="s">
        <v>7</v>
      </c>
      <c r="AY778" s="27" t="s">
        <v>8</v>
      </c>
      <c r="AZ778" s="27" t="s">
        <v>7</v>
      </c>
      <c r="BA778" s="27" t="s">
        <v>8</v>
      </c>
      <c r="BB778" s="27" t="s">
        <v>7</v>
      </c>
      <c r="BC778" s="27" t="s">
        <v>8</v>
      </c>
      <c r="BD778" s="27" t="s">
        <v>7</v>
      </c>
      <c r="BE778" s="27" t="s">
        <v>8</v>
      </c>
      <c r="BF778" s="27" t="s">
        <v>7</v>
      </c>
      <c r="BG778" s="27" t="s">
        <v>8</v>
      </c>
      <c r="BN778" s="27" t="s">
        <v>7</v>
      </c>
      <c r="BP778" s="27" t="s">
        <v>7</v>
      </c>
      <c r="BQ778" s="27" t="s">
        <v>8</v>
      </c>
      <c r="BR778" s="27" t="s">
        <v>7</v>
      </c>
      <c r="BT778" s="27" t="s">
        <v>7</v>
      </c>
      <c r="BU778" s="27" t="s">
        <v>8</v>
      </c>
      <c r="CT778" s="27" t="s">
        <v>7</v>
      </c>
      <c r="CU778" s="27" t="s">
        <v>8</v>
      </c>
      <c r="CV778" s="27" t="s">
        <v>7</v>
      </c>
      <c r="CW778" s="27" t="s">
        <v>8</v>
      </c>
      <c r="CX778" s="27" t="s">
        <v>7</v>
      </c>
      <c r="CY778" s="27" t="s">
        <v>8</v>
      </c>
      <c r="CZ778" s="27" t="s">
        <v>7</v>
      </c>
      <c r="DY778" s="27" t="s">
        <v>8</v>
      </c>
      <c r="FE778" s="27" t="s">
        <v>8</v>
      </c>
      <c r="FF778" s="27" t="s">
        <v>7</v>
      </c>
      <c r="FI778" s="27" t="s">
        <v>8</v>
      </c>
      <c r="FJ778" s="27" t="s">
        <v>7</v>
      </c>
      <c r="FK778" s="27" t="s">
        <v>8</v>
      </c>
      <c r="HW778" s="27" t="s">
        <v>8</v>
      </c>
      <c r="ID778" s="27" t="s">
        <v>7</v>
      </c>
      <c r="IE778" s="27" t="s">
        <v>8</v>
      </c>
      <c r="IF778" s="27" t="s">
        <v>7</v>
      </c>
    </row>
    <row r="779" spans="1:287" x14ac:dyDescent="0.25">
      <c r="A779" s="7">
        <v>2.2323743391324039E-2</v>
      </c>
      <c r="B779"/>
      <c r="C779"/>
      <c r="D779"/>
      <c r="E779"/>
      <c r="F779" s="27" t="s">
        <v>7</v>
      </c>
      <c r="G779" s="27" t="s">
        <v>8</v>
      </c>
      <c r="H779" s="27" t="s">
        <v>7</v>
      </c>
      <c r="Y779" s="27" t="s">
        <v>8</v>
      </c>
      <c r="AA779" s="27" t="s">
        <v>8</v>
      </c>
      <c r="AB779" s="27" t="s">
        <v>7</v>
      </c>
      <c r="AG779" s="27" t="s">
        <v>8</v>
      </c>
      <c r="AH779" s="27" t="s">
        <v>7</v>
      </c>
      <c r="AI779" s="27" t="s">
        <v>8</v>
      </c>
      <c r="AJ779" s="27" t="s">
        <v>7</v>
      </c>
      <c r="AK779" s="27" t="s">
        <v>8</v>
      </c>
      <c r="AX779" s="27" t="s">
        <v>7</v>
      </c>
      <c r="AZ779" s="27" t="s">
        <v>7</v>
      </c>
      <c r="BA779" s="27" t="s">
        <v>8</v>
      </c>
      <c r="BB779" s="27" t="s">
        <v>7</v>
      </c>
      <c r="BC779" s="27" t="s">
        <v>8</v>
      </c>
      <c r="BD779" s="27" t="s">
        <v>7</v>
      </c>
      <c r="BE779" s="27" t="s">
        <v>8</v>
      </c>
      <c r="BF779" s="27" t="s">
        <v>7</v>
      </c>
      <c r="BP779" s="27" t="s">
        <v>7</v>
      </c>
      <c r="BQ779" s="27" t="s">
        <v>8</v>
      </c>
      <c r="BT779" s="27" t="s">
        <v>7</v>
      </c>
      <c r="CT779" s="27" t="s">
        <v>7</v>
      </c>
      <c r="CU779" s="27" t="s">
        <v>8</v>
      </c>
      <c r="CV779" s="27" t="s">
        <v>7</v>
      </c>
      <c r="CX779" s="27" t="s">
        <v>7</v>
      </c>
      <c r="CY779" s="27" t="s">
        <v>8</v>
      </c>
      <c r="CZ779" s="27" t="s">
        <v>7</v>
      </c>
      <c r="DY779" s="27" t="s">
        <v>8</v>
      </c>
      <c r="DZ779" s="27" t="s">
        <v>7</v>
      </c>
      <c r="FE779" s="27" t="s">
        <v>8</v>
      </c>
      <c r="FF779" s="27" t="s">
        <v>7</v>
      </c>
      <c r="FG779" s="27" t="s">
        <v>8</v>
      </c>
      <c r="FI779" s="27" t="s">
        <v>8</v>
      </c>
      <c r="FJ779" s="27" t="s">
        <v>7</v>
      </c>
      <c r="FK779" s="27" t="s">
        <v>8</v>
      </c>
      <c r="FL779" s="27" t="s">
        <v>7</v>
      </c>
      <c r="HW779" s="27" t="s">
        <v>8</v>
      </c>
      <c r="ID779" s="27" t="s">
        <v>7</v>
      </c>
    </row>
    <row r="780" spans="1:287" x14ac:dyDescent="0.25">
      <c r="A780" s="7">
        <v>2.188602293267063E-2</v>
      </c>
      <c r="B780"/>
      <c r="C780"/>
      <c r="D780"/>
      <c r="E780"/>
      <c r="F780" s="27" t="s">
        <v>7</v>
      </c>
      <c r="G780" s="27" t="s">
        <v>8</v>
      </c>
      <c r="H780" s="27" t="s">
        <v>7</v>
      </c>
      <c r="Y780" s="27" t="s">
        <v>8</v>
      </c>
      <c r="Z780" s="27" t="s">
        <v>7</v>
      </c>
      <c r="AA780" s="27" t="s">
        <v>8</v>
      </c>
      <c r="AB780" s="27" t="s">
        <v>7</v>
      </c>
      <c r="AG780" s="27" t="s">
        <v>8</v>
      </c>
      <c r="AH780" s="27" t="s">
        <v>7</v>
      </c>
      <c r="AI780" s="27" t="s">
        <v>8</v>
      </c>
      <c r="AJ780" s="27" t="s">
        <v>7</v>
      </c>
      <c r="AK780" s="27" t="s">
        <v>8</v>
      </c>
      <c r="AZ780" s="27" t="s">
        <v>7</v>
      </c>
      <c r="BA780" s="27" t="s">
        <v>8</v>
      </c>
      <c r="BB780" s="27" t="s">
        <v>7</v>
      </c>
      <c r="BD780" s="27" t="s">
        <v>7</v>
      </c>
      <c r="BP780" s="27" t="s">
        <v>7</v>
      </c>
      <c r="CT780" s="27" t="s">
        <v>7</v>
      </c>
      <c r="CU780" s="27" t="s">
        <v>8</v>
      </c>
      <c r="CX780" s="27" t="s">
        <v>7</v>
      </c>
      <c r="CY780" s="27" t="s">
        <v>8</v>
      </c>
      <c r="CZ780" s="27" t="s">
        <v>7</v>
      </c>
      <c r="DY780" s="27" t="s">
        <v>8</v>
      </c>
      <c r="DZ780" s="27" t="s">
        <v>7</v>
      </c>
      <c r="FE780" s="27" t="s">
        <v>8</v>
      </c>
      <c r="FF780" s="27" t="s">
        <v>7</v>
      </c>
      <c r="FG780" s="27" t="s">
        <v>8</v>
      </c>
      <c r="FH780" s="27" t="s">
        <v>7</v>
      </c>
      <c r="FI780" s="27" t="s">
        <v>8</v>
      </c>
      <c r="FJ780" s="27" t="s">
        <v>7</v>
      </c>
      <c r="FK780" s="27" t="s">
        <v>8</v>
      </c>
      <c r="FL780" s="27" t="s">
        <v>7</v>
      </c>
      <c r="HW780" s="27" t="s">
        <v>8</v>
      </c>
    </row>
    <row r="781" spans="1:287" x14ac:dyDescent="0.25">
      <c r="A781" s="7">
        <v>2.1456885228108461E-2</v>
      </c>
      <c r="B781"/>
      <c r="C781"/>
      <c r="D781"/>
      <c r="E781"/>
      <c r="F781" s="27" t="s">
        <v>7</v>
      </c>
      <c r="H781" s="27" t="s">
        <v>7</v>
      </c>
      <c r="Y781" s="27" t="s">
        <v>8</v>
      </c>
      <c r="Z781" s="27" t="s">
        <v>7</v>
      </c>
      <c r="AA781" s="27" t="s">
        <v>8</v>
      </c>
      <c r="AB781" s="27" t="s">
        <v>7</v>
      </c>
      <c r="AG781" s="27" t="s">
        <v>8</v>
      </c>
      <c r="AH781" s="27" t="s">
        <v>7</v>
      </c>
      <c r="AJ781" s="27" t="s">
        <v>7</v>
      </c>
      <c r="AK781" s="27" t="s">
        <v>8</v>
      </c>
      <c r="AZ781" s="27" t="s">
        <v>7</v>
      </c>
      <c r="BA781" s="27" t="s">
        <v>8</v>
      </c>
      <c r="CT781" s="27" t="s">
        <v>7</v>
      </c>
      <c r="CU781" s="27" t="s">
        <v>8</v>
      </c>
      <c r="CX781" s="27" t="s">
        <v>7</v>
      </c>
      <c r="CZ781" s="27" t="s">
        <v>7</v>
      </c>
      <c r="DY781" s="27" t="s">
        <v>8</v>
      </c>
      <c r="DZ781" s="27" t="s">
        <v>7</v>
      </c>
      <c r="FE781" s="27" t="s">
        <v>8</v>
      </c>
      <c r="FF781" s="27" t="s">
        <v>7</v>
      </c>
      <c r="FG781" s="27" t="s">
        <v>8</v>
      </c>
      <c r="FH781" s="27" t="s">
        <v>7</v>
      </c>
      <c r="FI781" s="27" t="s">
        <v>8</v>
      </c>
      <c r="FJ781" s="27" t="s">
        <v>7</v>
      </c>
      <c r="FK781" s="27" t="s">
        <v>8</v>
      </c>
      <c r="FL781" s="27" t="s">
        <v>7</v>
      </c>
      <c r="HU781" s="27" t="s">
        <v>8</v>
      </c>
      <c r="HW781" s="27" t="s">
        <v>8</v>
      </c>
    </row>
    <row r="782" spans="1:287" x14ac:dyDescent="0.25">
      <c r="A782" s="7">
        <v>2.1036161988341632E-2</v>
      </c>
      <c r="B782"/>
      <c r="C782"/>
      <c r="D782"/>
      <c r="E782"/>
      <c r="H782" s="27" t="s">
        <v>7</v>
      </c>
      <c r="Y782" s="27" t="s">
        <v>8</v>
      </c>
      <c r="Z782" s="27" t="s">
        <v>7</v>
      </c>
      <c r="AA782" s="27" t="s">
        <v>8</v>
      </c>
      <c r="AB782" s="27" t="s">
        <v>7</v>
      </c>
      <c r="AG782" s="27" t="s">
        <v>8</v>
      </c>
      <c r="AJ782" s="27" t="s">
        <v>7</v>
      </c>
      <c r="AK782" s="27" t="s">
        <v>8</v>
      </c>
      <c r="AZ782" s="27" t="s">
        <v>7</v>
      </c>
      <c r="BA782" s="27" t="s">
        <v>8</v>
      </c>
      <c r="CT782" s="27" t="s">
        <v>7</v>
      </c>
      <c r="CU782" s="27" t="s">
        <v>8</v>
      </c>
      <c r="CZ782" s="27" t="s">
        <v>7</v>
      </c>
      <c r="DA782" s="27" t="s">
        <v>8</v>
      </c>
      <c r="DY782" s="27" t="s">
        <v>8</v>
      </c>
      <c r="DZ782" s="27" t="s">
        <v>7</v>
      </c>
      <c r="FE782" s="27" t="s">
        <v>8</v>
      </c>
      <c r="FF782" s="27" t="s">
        <v>7</v>
      </c>
      <c r="FG782" s="27" t="s">
        <v>8</v>
      </c>
      <c r="FH782" s="27" t="s">
        <v>7</v>
      </c>
      <c r="FJ782" s="27" t="s">
        <v>7</v>
      </c>
      <c r="FK782" s="27" t="s">
        <v>8</v>
      </c>
      <c r="FL782" s="27" t="s">
        <v>7</v>
      </c>
      <c r="FM782" s="27" t="s">
        <v>8</v>
      </c>
      <c r="HQ782" s="27" t="s">
        <v>8</v>
      </c>
      <c r="HS782" s="27" t="s">
        <v>8</v>
      </c>
      <c r="HU782" s="27" t="s">
        <v>8</v>
      </c>
      <c r="HV782" s="27" t="s">
        <v>7</v>
      </c>
      <c r="HW782" s="27" t="s">
        <v>8</v>
      </c>
    </row>
    <row r="783" spans="1:287" x14ac:dyDescent="0.25">
      <c r="A783" s="7">
        <v>2.0623688223864345E-2</v>
      </c>
      <c r="B783"/>
      <c r="C783"/>
      <c r="D783"/>
      <c r="E783"/>
      <c r="H783" s="27" t="s">
        <v>7</v>
      </c>
      <c r="Y783" s="27" t="s">
        <v>8</v>
      </c>
      <c r="Z783" s="27" t="s">
        <v>7</v>
      </c>
      <c r="AA783" s="27" t="s">
        <v>8</v>
      </c>
      <c r="AB783" s="27" t="s">
        <v>7</v>
      </c>
      <c r="AG783" s="27" t="s">
        <v>8</v>
      </c>
      <c r="AJ783" s="27" t="s">
        <v>7</v>
      </c>
      <c r="AZ783" s="27" t="s">
        <v>7</v>
      </c>
      <c r="CT783" s="27" t="s">
        <v>7</v>
      </c>
      <c r="CZ783" s="27" t="s">
        <v>7</v>
      </c>
      <c r="DA783" s="27" t="s">
        <v>8</v>
      </c>
      <c r="DB783" s="27" t="s">
        <v>7</v>
      </c>
      <c r="DY783" s="27" t="s">
        <v>8</v>
      </c>
      <c r="DZ783" s="27" t="s">
        <v>7</v>
      </c>
      <c r="EA783" s="27" t="s">
        <v>8</v>
      </c>
      <c r="FE783" s="27" t="s">
        <v>8</v>
      </c>
      <c r="FF783" s="27" t="s">
        <v>7</v>
      </c>
      <c r="FJ783" s="27" t="s">
        <v>7</v>
      </c>
      <c r="FK783" s="27" t="s">
        <v>8</v>
      </c>
      <c r="FL783" s="27" t="s">
        <v>7</v>
      </c>
      <c r="FM783" s="27" t="s">
        <v>8</v>
      </c>
      <c r="FN783" s="27" t="s">
        <v>7</v>
      </c>
      <c r="HQ783" s="27" t="s">
        <v>8</v>
      </c>
      <c r="HR783" s="27" t="s">
        <v>7</v>
      </c>
      <c r="HS783" s="27" t="s">
        <v>8</v>
      </c>
      <c r="HT783" s="27" t="s">
        <v>7</v>
      </c>
      <c r="HU783" s="27" t="s">
        <v>8</v>
      </c>
      <c r="HV783" s="27" t="s">
        <v>7</v>
      </c>
      <c r="HW783" s="27" t="s">
        <v>8</v>
      </c>
    </row>
    <row r="784" spans="1:287" x14ac:dyDescent="0.25">
      <c r="A784" s="7">
        <v>2.021930218025916E-2</v>
      </c>
      <c r="B784"/>
      <c r="C784"/>
      <c r="D784"/>
      <c r="E784"/>
      <c r="H784" s="27" t="s">
        <v>7</v>
      </c>
      <c r="Y784" s="27" t="s">
        <v>8</v>
      </c>
      <c r="Z784" s="27" t="s">
        <v>7</v>
      </c>
      <c r="AA784" s="27" t="s">
        <v>8</v>
      </c>
      <c r="AB784" s="27" t="s">
        <v>7</v>
      </c>
      <c r="AC784" s="27" t="s">
        <v>8</v>
      </c>
      <c r="AE784" s="27" t="s">
        <v>8</v>
      </c>
      <c r="AG784" s="27" t="s">
        <v>8</v>
      </c>
      <c r="CZ784" s="27" t="s">
        <v>7</v>
      </c>
      <c r="DA784" s="27" t="s">
        <v>8</v>
      </c>
      <c r="DB784" s="27" t="s">
        <v>7</v>
      </c>
      <c r="DY784" s="27" t="s">
        <v>8</v>
      </c>
      <c r="DZ784" s="27" t="s">
        <v>7</v>
      </c>
      <c r="EA784" s="27" t="s">
        <v>8</v>
      </c>
      <c r="EB784" s="27" t="s">
        <v>7</v>
      </c>
      <c r="EE784" s="27" t="s">
        <v>8</v>
      </c>
      <c r="FE784" s="27" t="s">
        <v>8</v>
      </c>
      <c r="FJ784" s="27" t="s">
        <v>7</v>
      </c>
      <c r="FL784" s="27" t="s">
        <v>7</v>
      </c>
      <c r="FM784" s="27" t="s">
        <v>8</v>
      </c>
      <c r="FN784" s="27" t="s">
        <v>7</v>
      </c>
      <c r="HQ784" s="27" t="s">
        <v>8</v>
      </c>
      <c r="HR784" s="27" t="s">
        <v>7</v>
      </c>
      <c r="HS784" s="27" t="s">
        <v>8</v>
      </c>
      <c r="HT784" s="27" t="s">
        <v>7</v>
      </c>
      <c r="HU784" s="27" t="s">
        <v>8</v>
      </c>
      <c r="HV784" s="27" t="s">
        <v>7</v>
      </c>
      <c r="HW784" s="27" t="s">
        <v>8</v>
      </c>
    </row>
    <row r="785" spans="1:231" x14ac:dyDescent="0.25">
      <c r="A785" s="7">
        <v>1.9822845274763884E-2</v>
      </c>
      <c r="B785"/>
      <c r="C785"/>
      <c r="D785"/>
      <c r="E785"/>
      <c r="H785" s="27" t="s">
        <v>7</v>
      </c>
      <c r="Y785" s="27" t="s">
        <v>8</v>
      </c>
      <c r="Z785" s="27" t="s">
        <v>7</v>
      </c>
      <c r="AA785" s="27" t="s">
        <v>8</v>
      </c>
      <c r="AB785" s="27" t="s">
        <v>7</v>
      </c>
      <c r="AC785" s="27" t="s">
        <v>8</v>
      </c>
      <c r="AD785" s="27" t="s">
        <v>7</v>
      </c>
      <c r="AE785" s="27" t="s">
        <v>8</v>
      </c>
      <c r="AF785" s="27" t="s">
        <v>7</v>
      </c>
      <c r="AG785" s="27" t="s">
        <v>8</v>
      </c>
      <c r="CZ785" s="27" t="s">
        <v>7</v>
      </c>
      <c r="DA785" s="27" t="s">
        <v>8</v>
      </c>
      <c r="DB785" s="27" t="s">
        <v>7</v>
      </c>
      <c r="DY785" s="27" t="s">
        <v>8</v>
      </c>
      <c r="DZ785" s="27" t="s">
        <v>7</v>
      </c>
      <c r="EA785" s="27" t="s">
        <v>8</v>
      </c>
      <c r="EB785" s="27" t="s">
        <v>7</v>
      </c>
      <c r="EC785" s="27" t="s">
        <v>8</v>
      </c>
      <c r="EE785" s="27" t="s">
        <v>8</v>
      </c>
      <c r="EF785" s="27" t="s">
        <v>7</v>
      </c>
      <c r="FA785" s="27" t="s">
        <v>8</v>
      </c>
      <c r="FC785" s="27" t="s">
        <v>8</v>
      </c>
      <c r="FE785" s="27" t="s">
        <v>8</v>
      </c>
      <c r="FL785" s="27" t="s">
        <v>7</v>
      </c>
      <c r="FM785" s="27" t="s">
        <v>8</v>
      </c>
      <c r="FN785" s="27" t="s">
        <v>7</v>
      </c>
      <c r="HO785" s="27" t="s">
        <v>8</v>
      </c>
      <c r="HQ785" s="27" t="s">
        <v>8</v>
      </c>
      <c r="HR785" s="27" t="s">
        <v>7</v>
      </c>
      <c r="HS785" s="27" t="s">
        <v>8</v>
      </c>
      <c r="HT785" s="27" t="s">
        <v>7</v>
      </c>
      <c r="HV785" s="27" t="s">
        <v>7</v>
      </c>
      <c r="HW785" s="27" t="s">
        <v>8</v>
      </c>
    </row>
    <row r="786" spans="1:231" x14ac:dyDescent="0.25">
      <c r="A786" s="7">
        <v>1.9434162034082238E-2</v>
      </c>
      <c r="B786"/>
      <c r="C786"/>
      <c r="D786"/>
      <c r="E786"/>
      <c r="H786" s="27" t="s">
        <v>7</v>
      </c>
      <c r="I786" s="27" t="s">
        <v>8</v>
      </c>
      <c r="Y786" s="27" t="s">
        <v>8</v>
      </c>
      <c r="Z786" s="27" t="s">
        <v>7</v>
      </c>
      <c r="AA786" s="27" t="s">
        <v>8</v>
      </c>
      <c r="AB786" s="27" t="s">
        <v>7</v>
      </c>
      <c r="AC786" s="27" t="s">
        <v>8</v>
      </c>
      <c r="AD786" s="27" t="s">
        <v>7</v>
      </c>
      <c r="AE786" s="27" t="s">
        <v>8</v>
      </c>
      <c r="AF786" s="27" t="s">
        <v>7</v>
      </c>
      <c r="AG786" s="27" t="s">
        <v>8</v>
      </c>
      <c r="CZ786" s="27" t="s">
        <v>7</v>
      </c>
      <c r="DB786" s="27" t="s">
        <v>7</v>
      </c>
      <c r="DY786" s="27" t="s">
        <v>8</v>
      </c>
      <c r="DZ786" s="27" t="s">
        <v>7</v>
      </c>
      <c r="EA786" s="27" t="s">
        <v>8</v>
      </c>
      <c r="EB786" s="27" t="s">
        <v>7</v>
      </c>
      <c r="EC786" s="27" t="s">
        <v>8</v>
      </c>
      <c r="ED786" s="27" t="s">
        <v>7</v>
      </c>
      <c r="EE786" s="27" t="s">
        <v>8</v>
      </c>
      <c r="EF786" s="27" t="s">
        <v>7</v>
      </c>
      <c r="FA786" s="27" t="s">
        <v>8</v>
      </c>
      <c r="FB786" s="27" t="s">
        <v>7</v>
      </c>
      <c r="FC786" s="27" t="s">
        <v>8</v>
      </c>
      <c r="FD786" s="27" t="s">
        <v>7</v>
      </c>
      <c r="FE786" s="27" t="s">
        <v>8</v>
      </c>
      <c r="FL786" s="27" t="s">
        <v>7</v>
      </c>
      <c r="FM786" s="27" t="s">
        <v>8</v>
      </c>
      <c r="FN786" s="27" t="s">
        <v>7</v>
      </c>
      <c r="HO786" s="27" t="s">
        <v>8</v>
      </c>
      <c r="HP786" s="27" t="s">
        <v>7</v>
      </c>
      <c r="HQ786" s="27" t="s">
        <v>8</v>
      </c>
      <c r="HR786" s="27" t="s">
        <v>7</v>
      </c>
      <c r="HS786" s="27" t="s">
        <v>8</v>
      </c>
      <c r="HV786" s="27" t="s">
        <v>7</v>
      </c>
      <c r="HW786" s="27" t="s">
        <v>8</v>
      </c>
    </row>
    <row r="787" spans="1:231" x14ac:dyDescent="0.25">
      <c r="A787" s="7">
        <v>1.9053100033413959E-2</v>
      </c>
      <c r="B787"/>
      <c r="C787"/>
      <c r="D787"/>
      <c r="E787"/>
      <c r="H787" s="27" t="s">
        <v>7</v>
      </c>
      <c r="I787" s="27" t="s">
        <v>8</v>
      </c>
      <c r="J787" s="27" t="s">
        <v>7</v>
      </c>
      <c r="Y787" s="27" t="s">
        <v>8</v>
      </c>
      <c r="Z787" s="27" t="s">
        <v>7</v>
      </c>
      <c r="AA787" s="27" t="s">
        <v>8</v>
      </c>
      <c r="AB787" s="27" t="s">
        <v>7</v>
      </c>
      <c r="AC787" s="27" t="s">
        <v>8</v>
      </c>
      <c r="AD787" s="27" t="s">
        <v>7</v>
      </c>
      <c r="AE787" s="27" t="s">
        <v>8</v>
      </c>
      <c r="AF787" s="27" t="s">
        <v>7</v>
      </c>
      <c r="AG787" s="27" t="s">
        <v>8</v>
      </c>
      <c r="DB787" s="27" t="s">
        <v>7</v>
      </c>
      <c r="DY787" s="27" t="s">
        <v>8</v>
      </c>
      <c r="DZ787" s="27" t="s">
        <v>7</v>
      </c>
      <c r="EA787" s="27" t="s">
        <v>8</v>
      </c>
      <c r="EB787" s="27" t="s">
        <v>7</v>
      </c>
      <c r="EC787" s="27" t="s">
        <v>8</v>
      </c>
      <c r="ED787" s="27" t="s">
        <v>7</v>
      </c>
      <c r="EE787" s="27" t="s">
        <v>8</v>
      </c>
      <c r="EF787" s="27" t="s">
        <v>7</v>
      </c>
      <c r="FA787" s="27" t="s">
        <v>8</v>
      </c>
      <c r="FB787" s="27" t="s">
        <v>7</v>
      </c>
      <c r="FC787" s="27" t="s">
        <v>8</v>
      </c>
      <c r="FD787" s="27" t="s">
        <v>7</v>
      </c>
      <c r="FE787" s="27" t="s">
        <v>8</v>
      </c>
      <c r="FL787" s="27" t="s">
        <v>7</v>
      </c>
      <c r="FN787" s="27" t="s">
        <v>7</v>
      </c>
      <c r="HK787" s="27" t="s">
        <v>8</v>
      </c>
      <c r="HM787" s="27" t="s">
        <v>8</v>
      </c>
      <c r="HO787" s="27" t="s">
        <v>8</v>
      </c>
      <c r="HP787" s="27" t="s">
        <v>7</v>
      </c>
      <c r="HQ787" s="27" t="s">
        <v>8</v>
      </c>
      <c r="HR787" s="27" t="s">
        <v>7</v>
      </c>
      <c r="HV787" s="27" t="s">
        <v>7</v>
      </c>
    </row>
    <row r="788" spans="1:231" x14ac:dyDescent="0.25">
      <c r="A788" s="7">
        <v>1.867950983668035E-2</v>
      </c>
      <c r="B788"/>
      <c r="C788"/>
      <c r="D788"/>
      <c r="E788"/>
      <c r="H788" s="27" t="s">
        <v>7</v>
      </c>
      <c r="I788" s="27" t="s">
        <v>8</v>
      </c>
      <c r="J788" s="27" t="s">
        <v>7</v>
      </c>
      <c r="Y788" s="27" t="s">
        <v>8</v>
      </c>
      <c r="Z788" s="27" t="s">
        <v>7</v>
      </c>
      <c r="AA788" s="27" t="s">
        <v>8</v>
      </c>
      <c r="AB788" s="27" t="s">
        <v>7</v>
      </c>
      <c r="AC788" s="27" t="s">
        <v>8</v>
      </c>
      <c r="AD788" s="27" t="s">
        <v>7</v>
      </c>
      <c r="AE788" s="27" t="s">
        <v>8</v>
      </c>
      <c r="AF788" s="27" t="s">
        <v>7</v>
      </c>
      <c r="DB788" s="27" t="s">
        <v>7</v>
      </c>
      <c r="DK788" s="27" t="s">
        <v>8</v>
      </c>
      <c r="DY788" s="27" t="s">
        <v>8</v>
      </c>
      <c r="DZ788" s="27" t="s">
        <v>7</v>
      </c>
      <c r="EB788" s="27" t="s">
        <v>7</v>
      </c>
      <c r="ED788" s="27" t="s">
        <v>7</v>
      </c>
      <c r="EF788" s="27" t="s">
        <v>7</v>
      </c>
      <c r="FA788" s="27" t="s">
        <v>8</v>
      </c>
      <c r="FB788" s="27" t="s">
        <v>7</v>
      </c>
      <c r="FC788" s="27" t="s">
        <v>8</v>
      </c>
      <c r="FD788" s="27" t="s">
        <v>7</v>
      </c>
      <c r="FN788" s="27" t="s">
        <v>7</v>
      </c>
      <c r="HK788" s="27" t="s">
        <v>8</v>
      </c>
      <c r="HL788" s="27" t="s">
        <v>7</v>
      </c>
      <c r="HM788" s="27" t="s">
        <v>8</v>
      </c>
      <c r="HN788" s="27" t="s">
        <v>7</v>
      </c>
      <c r="HO788" s="27" t="s">
        <v>8</v>
      </c>
      <c r="HP788" s="27" t="s">
        <v>7</v>
      </c>
    </row>
    <row r="789" spans="1:231" x14ac:dyDescent="0.25">
      <c r="A789" s="7">
        <v>1.8313244937921913E-2</v>
      </c>
      <c r="B789"/>
      <c r="C789"/>
      <c r="D789"/>
      <c r="E789"/>
      <c r="H789" s="27" t="s">
        <v>7</v>
      </c>
      <c r="I789" s="27" t="s">
        <v>8</v>
      </c>
      <c r="J789" s="27" t="s">
        <v>7</v>
      </c>
      <c r="Y789" s="27" t="s">
        <v>8</v>
      </c>
      <c r="Z789" s="27" t="s">
        <v>7</v>
      </c>
      <c r="AB789" s="27" t="s">
        <v>7</v>
      </c>
      <c r="AD789" s="27" t="s">
        <v>7</v>
      </c>
      <c r="AE789" s="27" t="s">
        <v>8</v>
      </c>
      <c r="DB789" s="27" t="s">
        <v>7</v>
      </c>
      <c r="DC789" s="27" t="s">
        <v>8</v>
      </c>
      <c r="DE789" s="27" t="s">
        <v>8</v>
      </c>
      <c r="DI789" s="27" t="s">
        <v>8</v>
      </c>
      <c r="DK789" s="27" t="s">
        <v>8</v>
      </c>
      <c r="DL789" s="27" t="s">
        <v>7</v>
      </c>
      <c r="DY789" s="27" t="s">
        <v>8</v>
      </c>
      <c r="EF789" s="27" t="s">
        <v>7</v>
      </c>
      <c r="FA789" s="27" t="s">
        <v>8</v>
      </c>
      <c r="FB789" s="27" t="s">
        <v>7</v>
      </c>
      <c r="FN789" s="27" t="s">
        <v>7</v>
      </c>
      <c r="FS789" s="27" t="s">
        <v>8</v>
      </c>
      <c r="HC789" s="27" t="s">
        <v>8</v>
      </c>
      <c r="HK789" s="27" t="s">
        <v>8</v>
      </c>
      <c r="HL789" s="27" t="s">
        <v>7</v>
      </c>
      <c r="HM789" s="27" t="s">
        <v>8</v>
      </c>
      <c r="HN789" s="27" t="s">
        <v>7</v>
      </c>
      <c r="HO789" s="27" t="s">
        <v>8</v>
      </c>
    </row>
    <row r="790" spans="1:231" x14ac:dyDescent="0.25">
      <c r="A790" s="7">
        <v>1.7954161703845013E-2</v>
      </c>
      <c r="B790"/>
      <c r="C790"/>
      <c r="D790"/>
      <c r="E790"/>
      <c r="H790" s="27" t="s">
        <v>7</v>
      </c>
      <c r="I790" s="27" t="s">
        <v>8</v>
      </c>
      <c r="J790" s="27" t="s">
        <v>7</v>
      </c>
      <c r="Y790" s="27" t="s">
        <v>8</v>
      </c>
      <c r="AD790" s="27" t="s">
        <v>7</v>
      </c>
      <c r="AE790" s="27" t="s">
        <v>8</v>
      </c>
      <c r="DB790" s="27" t="s">
        <v>7</v>
      </c>
      <c r="DC790" s="27" t="s">
        <v>8</v>
      </c>
      <c r="DD790" s="27" t="s">
        <v>7</v>
      </c>
      <c r="DE790" s="27" t="s">
        <v>8</v>
      </c>
      <c r="DF790" s="27" t="s">
        <v>7</v>
      </c>
      <c r="DI790" s="27" t="s">
        <v>8</v>
      </c>
      <c r="DJ790" s="27" t="s">
        <v>7</v>
      </c>
      <c r="DK790" s="27" t="s">
        <v>8</v>
      </c>
      <c r="DL790" s="27" t="s">
        <v>7</v>
      </c>
      <c r="DY790" s="27" t="s">
        <v>8</v>
      </c>
      <c r="EF790" s="27" t="s">
        <v>7</v>
      </c>
      <c r="EU790" s="27" t="s">
        <v>8</v>
      </c>
      <c r="EW790" s="27" t="s">
        <v>8</v>
      </c>
      <c r="FA790" s="27" t="s">
        <v>8</v>
      </c>
      <c r="FN790" s="27" t="s">
        <v>7</v>
      </c>
      <c r="FS790" s="27" t="s">
        <v>8</v>
      </c>
      <c r="FT790" s="27" t="s">
        <v>7</v>
      </c>
      <c r="HC790" s="27" t="s">
        <v>8</v>
      </c>
      <c r="HD790" s="27" t="s">
        <v>7</v>
      </c>
      <c r="HI790" s="27" t="s">
        <v>8</v>
      </c>
      <c r="HK790" s="27" t="s">
        <v>8</v>
      </c>
      <c r="HL790" s="27" t="s">
        <v>7</v>
      </c>
      <c r="HM790" s="27" t="s">
        <v>8</v>
      </c>
      <c r="HN790" s="27" t="s">
        <v>7</v>
      </c>
      <c r="HO790" s="27" t="s">
        <v>8</v>
      </c>
    </row>
    <row r="791" spans="1:231" x14ac:dyDescent="0.25">
      <c r="A791" s="7">
        <v>1.7602119317495109E-2</v>
      </c>
      <c r="B791"/>
      <c r="C791"/>
      <c r="D791"/>
      <c r="E791"/>
      <c r="H791" s="27" t="s">
        <v>7</v>
      </c>
      <c r="J791" s="27" t="s">
        <v>7</v>
      </c>
      <c r="Y791" s="27" t="s">
        <v>8</v>
      </c>
      <c r="AD791" s="27" t="s">
        <v>7</v>
      </c>
      <c r="DB791" s="27" t="s">
        <v>7</v>
      </c>
      <c r="DC791" s="27" t="s">
        <v>8</v>
      </c>
      <c r="DD791" s="27" t="s">
        <v>7</v>
      </c>
      <c r="DE791" s="27" t="s">
        <v>8</v>
      </c>
      <c r="DF791" s="27" t="s">
        <v>7</v>
      </c>
      <c r="DI791" s="27" t="s">
        <v>8</v>
      </c>
      <c r="DJ791" s="27" t="s">
        <v>7</v>
      </c>
      <c r="DK791" s="27" t="s">
        <v>8</v>
      </c>
      <c r="DL791" s="27" t="s">
        <v>7</v>
      </c>
      <c r="DY791" s="27" t="s">
        <v>8</v>
      </c>
      <c r="EF791" s="27" t="s">
        <v>7</v>
      </c>
      <c r="EU791" s="27" t="s">
        <v>8</v>
      </c>
      <c r="EV791" s="27" t="s">
        <v>7</v>
      </c>
      <c r="EW791" s="27" t="s">
        <v>8</v>
      </c>
      <c r="EX791" s="27" t="s">
        <v>7</v>
      </c>
      <c r="FA791" s="27" t="s">
        <v>8</v>
      </c>
      <c r="FN791" s="27" t="s">
        <v>7</v>
      </c>
      <c r="FS791" s="27" t="s">
        <v>8</v>
      </c>
      <c r="FT791" s="27" t="s">
        <v>7</v>
      </c>
      <c r="HC791" s="27" t="s">
        <v>8</v>
      </c>
      <c r="HD791" s="27" t="s">
        <v>7</v>
      </c>
      <c r="HI791" s="27" t="s">
        <v>8</v>
      </c>
      <c r="HJ791" s="27" t="s">
        <v>7</v>
      </c>
      <c r="HK791" s="27" t="s">
        <v>8</v>
      </c>
      <c r="HL791" s="27" t="s">
        <v>7</v>
      </c>
      <c r="HM791" s="27" t="s">
        <v>8</v>
      </c>
      <c r="HN791" s="27" t="s">
        <v>7</v>
      </c>
    </row>
    <row r="792" spans="1:231" x14ac:dyDescent="0.25">
      <c r="A792" s="7">
        <v>1.7256979723034419E-2</v>
      </c>
      <c r="B792"/>
      <c r="C792"/>
      <c r="D792"/>
      <c r="E792"/>
      <c r="J792" s="27" t="s">
        <v>7</v>
      </c>
      <c r="W792" s="27" t="s">
        <v>8</v>
      </c>
      <c r="Y792" s="27" t="s">
        <v>8</v>
      </c>
      <c r="DB792" s="27" t="s">
        <v>7</v>
      </c>
      <c r="DC792" s="27" t="s">
        <v>8</v>
      </c>
      <c r="DD792" s="27" t="s">
        <v>7</v>
      </c>
      <c r="DE792" s="27" t="s">
        <v>8</v>
      </c>
      <c r="DF792" s="27" t="s">
        <v>7</v>
      </c>
      <c r="DI792" s="27" t="s">
        <v>8</v>
      </c>
      <c r="DJ792" s="27" t="s">
        <v>7</v>
      </c>
      <c r="DK792" s="27" t="s">
        <v>8</v>
      </c>
      <c r="DL792" s="27" t="s">
        <v>7</v>
      </c>
      <c r="DS792" s="27" t="s">
        <v>8</v>
      </c>
      <c r="DY792" s="27" t="s">
        <v>8</v>
      </c>
      <c r="EF792" s="27" t="s">
        <v>7</v>
      </c>
      <c r="EU792" s="27" t="s">
        <v>8</v>
      </c>
      <c r="EV792" s="27" t="s">
        <v>7</v>
      </c>
      <c r="EW792" s="27" t="s">
        <v>8</v>
      </c>
      <c r="EX792" s="27" t="s">
        <v>7</v>
      </c>
      <c r="EY792" s="27" t="s">
        <v>8</v>
      </c>
      <c r="FA792" s="27" t="s">
        <v>8</v>
      </c>
      <c r="FN792" s="27" t="s">
        <v>7</v>
      </c>
      <c r="FO792" s="27" t="s">
        <v>8</v>
      </c>
      <c r="FQ792" s="27" t="s">
        <v>8</v>
      </c>
      <c r="FS792" s="27" t="s">
        <v>8</v>
      </c>
      <c r="FT792" s="27" t="s">
        <v>7</v>
      </c>
      <c r="HC792" s="27" t="s">
        <v>8</v>
      </c>
      <c r="HD792" s="27" t="s">
        <v>7</v>
      </c>
      <c r="HI792" s="27" t="s">
        <v>8</v>
      </c>
      <c r="HJ792" s="27" t="s">
        <v>7</v>
      </c>
      <c r="HK792" s="27" t="s">
        <v>8</v>
      </c>
      <c r="HL792" s="27" t="s">
        <v>7</v>
      </c>
      <c r="HM792" s="27" t="s">
        <v>8</v>
      </c>
    </row>
    <row r="793" spans="1:231" x14ac:dyDescent="0.25">
      <c r="A793" s="7">
        <v>1.6918607571602372E-2</v>
      </c>
      <c r="B793"/>
      <c r="C793"/>
      <c r="D793"/>
      <c r="E793"/>
      <c r="J793" s="27" t="s">
        <v>7</v>
      </c>
      <c r="O793" s="27" t="s">
        <v>8</v>
      </c>
      <c r="W793" s="27" t="s">
        <v>8</v>
      </c>
      <c r="X793" s="27" t="s">
        <v>7</v>
      </c>
      <c r="Y793" s="27" t="s">
        <v>8</v>
      </c>
      <c r="DB793" s="27" t="s">
        <v>7</v>
      </c>
      <c r="DC793" s="27" t="s">
        <v>8</v>
      </c>
      <c r="DD793" s="27" t="s">
        <v>7</v>
      </c>
      <c r="DE793" s="27" t="s">
        <v>8</v>
      </c>
      <c r="DF793" s="27" t="s">
        <v>7</v>
      </c>
      <c r="DI793" s="27" t="s">
        <v>8</v>
      </c>
      <c r="DJ793" s="27" t="s">
        <v>7</v>
      </c>
      <c r="DK793" s="27" t="s">
        <v>8</v>
      </c>
      <c r="DL793" s="27" t="s">
        <v>7</v>
      </c>
      <c r="DS793" s="27" t="s">
        <v>8</v>
      </c>
      <c r="DT793" s="27" t="s">
        <v>7</v>
      </c>
      <c r="DY793" s="27" t="s">
        <v>8</v>
      </c>
      <c r="EF793" s="27" t="s">
        <v>7</v>
      </c>
      <c r="EU793" s="27" t="s">
        <v>8</v>
      </c>
      <c r="EV793" s="27" t="s">
        <v>7</v>
      </c>
      <c r="EW793" s="27" t="s">
        <v>8</v>
      </c>
      <c r="EX793" s="27" t="s">
        <v>7</v>
      </c>
      <c r="EY793" s="27" t="s">
        <v>8</v>
      </c>
      <c r="EZ793" s="27" t="s">
        <v>7</v>
      </c>
      <c r="FA793" s="27" t="s">
        <v>8</v>
      </c>
      <c r="FN793" s="27" t="s">
        <v>7</v>
      </c>
      <c r="FO793" s="27" t="s">
        <v>8</v>
      </c>
      <c r="FP793" s="27" t="s">
        <v>7</v>
      </c>
      <c r="FQ793" s="27" t="s">
        <v>8</v>
      </c>
      <c r="FR793" s="27" t="s">
        <v>7</v>
      </c>
      <c r="FS793" s="27" t="s">
        <v>8</v>
      </c>
      <c r="FT793" s="27" t="s">
        <v>7</v>
      </c>
      <c r="HA793" s="27" t="s">
        <v>8</v>
      </c>
      <c r="HC793" s="27" t="s">
        <v>8</v>
      </c>
      <c r="HD793" s="27" t="s">
        <v>7</v>
      </c>
      <c r="HI793" s="27" t="s">
        <v>8</v>
      </c>
      <c r="HJ793" s="27" t="s">
        <v>7</v>
      </c>
      <c r="HL793" s="27" t="s">
        <v>7</v>
      </c>
    </row>
    <row r="794" spans="1:231" x14ac:dyDescent="0.25">
      <c r="A794" s="7">
        <v>1.6586870168237622E-2</v>
      </c>
      <c r="B794"/>
      <c r="C794"/>
      <c r="D794"/>
      <c r="E794"/>
      <c r="J794" s="27" t="s">
        <v>7</v>
      </c>
      <c r="O794" s="27" t="s">
        <v>8</v>
      </c>
      <c r="P794" s="27" t="s">
        <v>7</v>
      </c>
      <c r="W794" s="27" t="s">
        <v>8</v>
      </c>
      <c r="X794" s="27" t="s">
        <v>7</v>
      </c>
      <c r="Y794" s="27" t="s">
        <v>8</v>
      </c>
      <c r="DB794" s="27" t="s">
        <v>7</v>
      </c>
      <c r="DD794" s="27" t="s">
        <v>7</v>
      </c>
      <c r="DF794" s="27" t="s">
        <v>7</v>
      </c>
      <c r="DI794" s="27" t="s">
        <v>8</v>
      </c>
      <c r="DJ794" s="27" t="s">
        <v>7</v>
      </c>
      <c r="DL794" s="27" t="s">
        <v>7</v>
      </c>
      <c r="DS794" s="27" t="s">
        <v>8</v>
      </c>
      <c r="DT794" s="27" t="s">
        <v>7</v>
      </c>
      <c r="DU794" s="27" t="s">
        <v>8</v>
      </c>
      <c r="DY794" s="27" t="s">
        <v>8</v>
      </c>
      <c r="EF794" s="27" t="s">
        <v>7</v>
      </c>
      <c r="EU794" s="27" t="s">
        <v>8</v>
      </c>
      <c r="EV794" s="27" t="s">
        <v>7</v>
      </c>
      <c r="EW794" s="27" t="s">
        <v>8</v>
      </c>
      <c r="EX794" s="27" t="s">
        <v>7</v>
      </c>
      <c r="EY794" s="27" t="s">
        <v>8</v>
      </c>
      <c r="EZ794" s="27" t="s">
        <v>7</v>
      </c>
      <c r="FA794" s="27" t="s">
        <v>8</v>
      </c>
      <c r="FN794" s="27" t="s">
        <v>7</v>
      </c>
      <c r="FO794" s="27" t="s">
        <v>8</v>
      </c>
      <c r="FP794" s="27" t="s">
        <v>7</v>
      </c>
      <c r="FQ794" s="27" t="s">
        <v>8</v>
      </c>
      <c r="FR794" s="27" t="s">
        <v>7</v>
      </c>
      <c r="FS794" s="27" t="s">
        <v>8</v>
      </c>
      <c r="FT794" s="27" t="s">
        <v>7</v>
      </c>
      <c r="GO794" s="27" t="s">
        <v>8</v>
      </c>
      <c r="GQ794" s="27" t="s">
        <v>8</v>
      </c>
      <c r="GS794" s="27" t="s">
        <v>8</v>
      </c>
      <c r="GU794" s="27" t="s">
        <v>8</v>
      </c>
      <c r="HA794" s="27" t="s">
        <v>8</v>
      </c>
      <c r="HB794" s="27" t="s">
        <v>7</v>
      </c>
      <c r="HC794" s="27" t="s">
        <v>8</v>
      </c>
      <c r="HD794" s="27" t="s">
        <v>7</v>
      </c>
      <c r="HE794" s="27" t="s">
        <v>8</v>
      </c>
      <c r="HG794" s="27" t="s">
        <v>8</v>
      </c>
      <c r="HI794" s="27" t="s">
        <v>8</v>
      </c>
    </row>
    <row r="795" spans="1:231" x14ac:dyDescent="0.25">
      <c r="A795" s="7">
        <v>1.6261637419840807E-2</v>
      </c>
      <c r="B795"/>
      <c r="C795"/>
      <c r="D795"/>
      <c r="E795"/>
      <c r="J795" s="27" t="s">
        <v>7</v>
      </c>
      <c r="O795" s="27" t="s">
        <v>8</v>
      </c>
      <c r="P795" s="27" t="s">
        <v>7</v>
      </c>
      <c r="W795" s="27" t="s">
        <v>8</v>
      </c>
      <c r="X795" s="27" t="s">
        <v>7</v>
      </c>
      <c r="Y795" s="27" t="s">
        <v>8</v>
      </c>
      <c r="DF795" s="27" t="s">
        <v>7</v>
      </c>
      <c r="DI795" s="27" t="s">
        <v>8</v>
      </c>
      <c r="DL795" s="27" t="s">
        <v>7</v>
      </c>
      <c r="DS795" s="27" t="s">
        <v>8</v>
      </c>
      <c r="DT795" s="27" t="s">
        <v>7</v>
      </c>
      <c r="DU795" s="27" t="s">
        <v>8</v>
      </c>
      <c r="DV795" s="27" t="s">
        <v>7</v>
      </c>
      <c r="DY795" s="27" t="s">
        <v>8</v>
      </c>
      <c r="EF795" s="27" t="s">
        <v>7</v>
      </c>
      <c r="EI795" s="27" t="s">
        <v>8</v>
      </c>
      <c r="EU795" s="27" t="s">
        <v>8</v>
      </c>
      <c r="EV795" s="27" t="s">
        <v>7</v>
      </c>
      <c r="EX795" s="27" t="s">
        <v>7</v>
      </c>
      <c r="EZ795" s="27" t="s">
        <v>7</v>
      </c>
      <c r="FA795" s="27" t="s">
        <v>8</v>
      </c>
      <c r="FN795" s="27" t="s">
        <v>7</v>
      </c>
      <c r="FO795" s="27" t="s">
        <v>8</v>
      </c>
      <c r="FP795" s="27" t="s">
        <v>7</v>
      </c>
      <c r="FR795" s="27" t="s">
        <v>7</v>
      </c>
      <c r="FT795" s="27" t="s">
        <v>7</v>
      </c>
      <c r="GO795" s="27" t="s">
        <v>8</v>
      </c>
      <c r="GP795" s="27" t="s">
        <v>7</v>
      </c>
      <c r="GQ795" s="27" t="s">
        <v>8</v>
      </c>
      <c r="GR795" s="27" t="s">
        <v>7</v>
      </c>
      <c r="GS795" s="27" t="s">
        <v>8</v>
      </c>
      <c r="GT795" s="27" t="s">
        <v>7</v>
      </c>
      <c r="GU795" s="27" t="s">
        <v>8</v>
      </c>
      <c r="GV795" s="27" t="s">
        <v>7</v>
      </c>
      <c r="HA795" s="27" t="s">
        <v>8</v>
      </c>
      <c r="HB795" s="27" t="s">
        <v>7</v>
      </c>
      <c r="HC795" s="27" t="s">
        <v>8</v>
      </c>
      <c r="HD795" s="27" t="s">
        <v>7</v>
      </c>
      <c r="HE795" s="27" t="s">
        <v>8</v>
      </c>
      <c r="HF795" s="27" t="s">
        <v>7</v>
      </c>
      <c r="HG795" s="27" t="s">
        <v>8</v>
      </c>
      <c r="HH795" s="27" t="s">
        <v>7</v>
      </c>
      <c r="HI795" s="27" t="s">
        <v>8</v>
      </c>
    </row>
    <row r="796" spans="1:231" x14ac:dyDescent="0.25">
      <c r="A796" s="7">
        <v>1.5942781784157655E-2</v>
      </c>
      <c r="B796"/>
      <c r="C796"/>
      <c r="D796"/>
      <c r="E796"/>
      <c r="J796" s="27" t="s">
        <v>7</v>
      </c>
      <c r="O796" s="27" t="s">
        <v>8</v>
      </c>
      <c r="P796" s="27" t="s">
        <v>7</v>
      </c>
      <c r="W796" s="27" t="s">
        <v>8</v>
      </c>
      <c r="X796" s="27" t="s">
        <v>7</v>
      </c>
      <c r="Y796" s="27" t="s">
        <v>8</v>
      </c>
      <c r="DF796" s="27" t="s">
        <v>7</v>
      </c>
      <c r="DG796" s="27" t="s">
        <v>8</v>
      </c>
      <c r="DI796" s="27" t="s">
        <v>8</v>
      </c>
      <c r="DL796" s="27" t="s">
        <v>7</v>
      </c>
      <c r="DS796" s="27" t="s">
        <v>8</v>
      </c>
      <c r="DT796" s="27" t="s">
        <v>7</v>
      </c>
      <c r="DU796" s="27" t="s">
        <v>8</v>
      </c>
      <c r="DV796" s="27" t="s">
        <v>7</v>
      </c>
      <c r="DY796" s="27" t="s">
        <v>8</v>
      </c>
      <c r="EF796" s="27" t="s">
        <v>7</v>
      </c>
      <c r="EI796" s="27" t="s">
        <v>8</v>
      </c>
      <c r="EJ796" s="27" t="s">
        <v>7</v>
      </c>
      <c r="EK796" s="27" t="s">
        <v>8</v>
      </c>
      <c r="EU796" s="27" t="s">
        <v>8</v>
      </c>
      <c r="EZ796" s="27" t="s">
        <v>7</v>
      </c>
      <c r="FN796" s="27" t="s">
        <v>7</v>
      </c>
      <c r="FO796" s="27" t="s">
        <v>8</v>
      </c>
      <c r="FT796" s="27" t="s">
        <v>7</v>
      </c>
      <c r="GO796" s="27" t="s">
        <v>8</v>
      </c>
      <c r="GP796" s="27" t="s">
        <v>7</v>
      </c>
      <c r="GQ796" s="27" t="s">
        <v>8</v>
      </c>
      <c r="GR796" s="27" t="s">
        <v>7</v>
      </c>
      <c r="GS796" s="27" t="s">
        <v>8</v>
      </c>
      <c r="GT796" s="27" t="s">
        <v>7</v>
      </c>
      <c r="GU796" s="27" t="s">
        <v>8</v>
      </c>
      <c r="GV796" s="27" t="s">
        <v>7</v>
      </c>
      <c r="HA796" s="27" t="s">
        <v>8</v>
      </c>
      <c r="HB796" s="27" t="s">
        <v>7</v>
      </c>
      <c r="HC796" s="27" t="s">
        <v>8</v>
      </c>
      <c r="HD796" s="27" t="s">
        <v>7</v>
      </c>
      <c r="HE796" s="27" t="s">
        <v>8</v>
      </c>
      <c r="HF796" s="27" t="s">
        <v>7</v>
      </c>
      <c r="HG796" s="27" t="s">
        <v>8</v>
      </c>
      <c r="HH796" s="27" t="s">
        <v>7</v>
      </c>
      <c r="HI796" s="27" t="s">
        <v>8</v>
      </c>
    </row>
    <row r="797" spans="1:231" x14ac:dyDescent="0.25">
      <c r="A797" s="7">
        <v>1.5630178219762408E-2</v>
      </c>
      <c r="B797"/>
      <c r="C797"/>
      <c r="D797"/>
      <c r="E797"/>
      <c r="J797" s="27" t="s">
        <v>7</v>
      </c>
      <c r="O797" s="27" t="s">
        <v>8</v>
      </c>
      <c r="P797" s="27" t="s">
        <v>7</v>
      </c>
      <c r="Q797" s="27" t="s">
        <v>8</v>
      </c>
      <c r="W797" s="27" t="s">
        <v>8</v>
      </c>
      <c r="X797" s="27" t="s">
        <v>7</v>
      </c>
      <c r="Y797" s="27" t="s">
        <v>8</v>
      </c>
      <c r="DF797" s="27" t="s">
        <v>7</v>
      </c>
      <c r="DG797" s="27" t="s">
        <v>8</v>
      </c>
      <c r="DH797" s="27" t="s">
        <v>7</v>
      </c>
      <c r="DI797" s="27" t="s">
        <v>8</v>
      </c>
      <c r="DL797" s="27" t="s">
        <v>7</v>
      </c>
      <c r="DS797" s="27" t="s">
        <v>8</v>
      </c>
      <c r="DT797" s="27" t="s">
        <v>7</v>
      </c>
      <c r="DV797" s="27" t="s">
        <v>7</v>
      </c>
      <c r="DW797" s="27" t="s">
        <v>8</v>
      </c>
      <c r="DY797" s="27" t="s">
        <v>8</v>
      </c>
      <c r="EF797" s="27" t="s">
        <v>7</v>
      </c>
      <c r="EI797" s="27" t="s">
        <v>8</v>
      </c>
      <c r="EJ797" s="27" t="s">
        <v>7</v>
      </c>
      <c r="EK797" s="27" t="s">
        <v>8</v>
      </c>
      <c r="EL797" s="27" t="s">
        <v>7</v>
      </c>
      <c r="EU797" s="27" t="s">
        <v>8</v>
      </c>
      <c r="FN797" s="27" t="s">
        <v>7</v>
      </c>
      <c r="FT797" s="27" t="s">
        <v>7</v>
      </c>
      <c r="GO797" s="27" t="s">
        <v>8</v>
      </c>
      <c r="GP797" s="27" t="s">
        <v>7</v>
      </c>
      <c r="GQ797" s="27" t="s">
        <v>8</v>
      </c>
      <c r="GR797" s="27" t="s">
        <v>7</v>
      </c>
      <c r="GS797" s="27" t="s">
        <v>8</v>
      </c>
      <c r="GT797" s="27" t="s">
        <v>7</v>
      </c>
      <c r="GV797" s="27" t="s">
        <v>7</v>
      </c>
      <c r="GY797" s="27" t="s">
        <v>8</v>
      </c>
      <c r="HA797" s="27" t="s">
        <v>8</v>
      </c>
      <c r="HB797" s="27" t="s">
        <v>7</v>
      </c>
      <c r="HD797" s="27" t="s">
        <v>7</v>
      </c>
      <c r="HE797" s="27" t="s">
        <v>8</v>
      </c>
      <c r="HF797" s="27" t="s">
        <v>7</v>
      </c>
      <c r="HG797" s="27" t="s">
        <v>8</v>
      </c>
      <c r="HH797" s="27" t="s">
        <v>7</v>
      </c>
      <c r="HI797" s="27" t="s">
        <v>8</v>
      </c>
    </row>
    <row r="798" spans="1:231" x14ac:dyDescent="0.25">
      <c r="A798" s="7">
        <v>1.5323704137021967E-2</v>
      </c>
      <c r="B798"/>
      <c r="C798"/>
      <c r="D798"/>
      <c r="E798"/>
      <c r="J798" s="27" t="s">
        <v>7</v>
      </c>
      <c r="O798" s="27" t="s">
        <v>8</v>
      </c>
      <c r="P798" s="27" t="s">
        <v>7</v>
      </c>
      <c r="Q798" s="27" t="s">
        <v>8</v>
      </c>
      <c r="R798" s="27" t="s">
        <v>7</v>
      </c>
      <c r="W798" s="27" t="s">
        <v>8</v>
      </c>
      <c r="X798" s="27" t="s">
        <v>7</v>
      </c>
      <c r="DF798" s="27" t="s">
        <v>7</v>
      </c>
      <c r="DG798" s="27" t="s">
        <v>8</v>
      </c>
      <c r="DH798" s="27" t="s">
        <v>7</v>
      </c>
      <c r="DI798" s="27" t="s">
        <v>8</v>
      </c>
      <c r="DL798" s="27" t="s">
        <v>7</v>
      </c>
      <c r="DS798" s="27" t="s">
        <v>8</v>
      </c>
      <c r="DV798" s="27" t="s">
        <v>7</v>
      </c>
      <c r="DW798" s="27" t="s">
        <v>8</v>
      </c>
      <c r="DX798" s="27" t="s">
        <v>7</v>
      </c>
      <c r="DY798" s="27" t="s">
        <v>8</v>
      </c>
      <c r="EF798" s="27" t="s">
        <v>7</v>
      </c>
      <c r="EI798" s="27" t="s">
        <v>8</v>
      </c>
      <c r="EJ798" s="27" t="s">
        <v>7</v>
      </c>
      <c r="EK798" s="27" t="s">
        <v>8</v>
      </c>
      <c r="EL798" s="27" t="s">
        <v>7</v>
      </c>
      <c r="EU798" s="27" t="s">
        <v>8</v>
      </c>
      <c r="FT798" s="27" t="s">
        <v>7</v>
      </c>
      <c r="FU798" s="27" t="s">
        <v>8</v>
      </c>
      <c r="GO798" s="27" t="s">
        <v>8</v>
      </c>
      <c r="GP798" s="27" t="s">
        <v>7</v>
      </c>
      <c r="GR798" s="27" t="s">
        <v>7</v>
      </c>
      <c r="GV798" s="27" t="s">
        <v>7</v>
      </c>
      <c r="GW798" s="27" t="s">
        <v>8</v>
      </c>
      <c r="GY798" s="27" t="s">
        <v>8</v>
      </c>
      <c r="GZ798" s="27" t="s">
        <v>7</v>
      </c>
      <c r="HA798" s="27" t="s">
        <v>8</v>
      </c>
      <c r="HD798" s="27" t="s">
        <v>7</v>
      </c>
      <c r="HF798" s="27" t="s">
        <v>7</v>
      </c>
      <c r="HG798" s="27" t="s">
        <v>8</v>
      </c>
      <c r="HH798" s="27" t="s">
        <v>7</v>
      </c>
      <c r="HI798" s="27" t="s">
        <v>8</v>
      </c>
    </row>
    <row r="799" spans="1:231" x14ac:dyDescent="0.25">
      <c r="A799" s="7">
        <v>1.5023239350021535E-2</v>
      </c>
      <c r="B799"/>
      <c r="C799"/>
      <c r="D799"/>
      <c r="E799"/>
      <c r="J799" s="27" t="s">
        <v>7</v>
      </c>
      <c r="K799" s="27" t="s">
        <v>8</v>
      </c>
      <c r="O799" s="27" t="s">
        <v>8</v>
      </c>
      <c r="P799" s="27" t="s">
        <v>7</v>
      </c>
      <c r="Q799" s="27" t="s">
        <v>8</v>
      </c>
      <c r="R799" s="27" t="s">
        <v>7</v>
      </c>
      <c r="W799" s="27" t="s">
        <v>8</v>
      </c>
      <c r="DF799" s="27" t="s">
        <v>7</v>
      </c>
      <c r="DG799" s="27" t="s">
        <v>8</v>
      </c>
      <c r="DH799" s="27" t="s">
        <v>7</v>
      </c>
      <c r="DI799" s="27" t="s">
        <v>8</v>
      </c>
      <c r="DL799" s="27" t="s">
        <v>7</v>
      </c>
      <c r="DQ799" s="27" t="s">
        <v>8</v>
      </c>
      <c r="DS799" s="27" t="s">
        <v>8</v>
      </c>
      <c r="DV799" s="27" t="s">
        <v>7</v>
      </c>
      <c r="DW799" s="27" t="s">
        <v>8</v>
      </c>
      <c r="DX799" s="27" t="s">
        <v>7</v>
      </c>
      <c r="DY799" s="27" t="s">
        <v>8</v>
      </c>
      <c r="EF799" s="27" t="s">
        <v>7</v>
      </c>
      <c r="EG799" s="27" t="s">
        <v>8</v>
      </c>
      <c r="EI799" s="27" t="s">
        <v>8</v>
      </c>
      <c r="EJ799" s="27" t="s">
        <v>7</v>
      </c>
      <c r="EL799" s="27" t="s">
        <v>7</v>
      </c>
      <c r="EO799" s="27" t="s">
        <v>8</v>
      </c>
      <c r="EU799" s="27" t="s">
        <v>8</v>
      </c>
      <c r="FT799" s="27" t="s">
        <v>7</v>
      </c>
      <c r="FU799" s="27" t="s">
        <v>8</v>
      </c>
      <c r="FV799" s="27" t="s">
        <v>7</v>
      </c>
      <c r="GO799" s="27" t="s">
        <v>8</v>
      </c>
      <c r="GV799" s="27" t="s">
        <v>7</v>
      </c>
      <c r="GW799" s="27" t="s">
        <v>8</v>
      </c>
      <c r="GX799" s="27" t="s">
        <v>7</v>
      </c>
      <c r="GY799" s="27" t="s">
        <v>8</v>
      </c>
      <c r="GZ799" s="27" t="s">
        <v>7</v>
      </c>
      <c r="HA799" s="27" t="s">
        <v>8</v>
      </c>
      <c r="HF799" s="27" t="s">
        <v>7</v>
      </c>
      <c r="HH799" s="27" t="s">
        <v>7</v>
      </c>
    </row>
    <row r="800" spans="1:231" x14ac:dyDescent="0.25">
      <c r="A800" s="7">
        <v>1.4728666029432878E-2</v>
      </c>
      <c r="B800"/>
      <c r="C800"/>
      <c r="D800"/>
      <c r="E800"/>
      <c r="J800" s="27" t="s">
        <v>7</v>
      </c>
      <c r="K800" s="27" t="s">
        <v>8</v>
      </c>
      <c r="L800" s="27" t="s">
        <v>7</v>
      </c>
      <c r="O800" s="27" t="s">
        <v>8</v>
      </c>
      <c r="P800" s="27" t="s">
        <v>7</v>
      </c>
      <c r="Q800" s="27" t="s">
        <v>8</v>
      </c>
      <c r="R800" s="27" t="s">
        <v>7</v>
      </c>
      <c r="S800" s="27" t="s">
        <v>8</v>
      </c>
      <c r="W800" s="27" t="s">
        <v>8</v>
      </c>
      <c r="DF800" s="27" t="s">
        <v>7</v>
      </c>
      <c r="DG800" s="27" t="s">
        <v>8</v>
      </c>
      <c r="DH800" s="27" t="s">
        <v>7</v>
      </c>
      <c r="DI800" s="27" t="s">
        <v>8</v>
      </c>
      <c r="DL800" s="27" t="s">
        <v>7</v>
      </c>
      <c r="DQ800" s="27" t="s">
        <v>8</v>
      </c>
      <c r="DR800" s="27" t="s">
        <v>7</v>
      </c>
      <c r="DS800" s="27" t="s">
        <v>8</v>
      </c>
      <c r="DV800" s="27" t="s">
        <v>7</v>
      </c>
      <c r="DX800" s="27" t="s">
        <v>7</v>
      </c>
      <c r="DY800" s="27" t="s">
        <v>8</v>
      </c>
      <c r="EF800" s="27" t="s">
        <v>7</v>
      </c>
      <c r="EG800" s="27" t="s">
        <v>8</v>
      </c>
      <c r="EH800" s="27" t="s">
        <v>7</v>
      </c>
      <c r="EI800" s="27" t="s">
        <v>8</v>
      </c>
      <c r="EL800" s="27" t="s">
        <v>7</v>
      </c>
      <c r="EM800" s="27" t="s">
        <v>8</v>
      </c>
      <c r="EO800" s="27" t="s">
        <v>8</v>
      </c>
      <c r="EP800" s="27" t="s">
        <v>7</v>
      </c>
      <c r="ES800" s="27" t="s">
        <v>8</v>
      </c>
      <c r="EU800" s="27" t="s">
        <v>8</v>
      </c>
      <c r="FT800" s="27" t="s">
        <v>7</v>
      </c>
      <c r="FU800" s="27" t="s">
        <v>8</v>
      </c>
      <c r="FV800" s="27" t="s">
        <v>7</v>
      </c>
      <c r="GO800" s="27" t="s">
        <v>8</v>
      </c>
      <c r="GV800" s="27" t="s">
        <v>7</v>
      </c>
      <c r="GW800" s="27" t="s">
        <v>8</v>
      </c>
      <c r="GX800" s="27" t="s">
        <v>7</v>
      </c>
      <c r="GY800" s="27" t="s">
        <v>8</v>
      </c>
      <c r="GZ800" s="27" t="s">
        <v>7</v>
      </c>
      <c r="HA800" s="27" t="s">
        <v>8</v>
      </c>
    </row>
    <row r="801" spans="1:209" x14ac:dyDescent="0.25">
      <c r="A801" s="7">
        <v>1.4439868656306743E-2</v>
      </c>
      <c r="B801"/>
      <c r="C801"/>
      <c r="D801"/>
      <c r="E801"/>
      <c r="J801" s="27" t="s">
        <v>7</v>
      </c>
      <c r="K801" s="27" t="s">
        <v>8</v>
      </c>
      <c r="L801" s="27" t="s">
        <v>7</v>
      </c>
      <c r="O801" s="27" t="s">
        <v>8</v>
      </c>
      <c r="P801" s="27" t="s">
        <v>7</v>
      </c>
      <c r="Q801" s="27" t="s">
        <v>8</v>
      </c>
      <c r="R801" s="27" t="s">
        <v>7</v>
      </c>
      <c r="S801" s="27" t="s">
        <v>8</v>
      </c>
      <c r="T801" s="27" t="s">
        <v>7</v>
      </c>
      <c r="W801" s="27" t="s">
        <v>8</v>
      </c>
      <c r="DF801" s="27" t="s">
        <v>7</v>
      </c>
      <c r="DG801" s="27" t="s">
        <v>8</v>
      </c>
      <c r="DH801" s="27" t="s">
        <v>7</v>
      </c>
      <c r="DL801" s="27" t="s">
        <v>7</v>
      </c>
      <c r="DQ801" s="27" t="s">
        <v>8</v>
      </c>
      <c r="DR801" s="27" t="s">
        <v>7</v>
      </c>
      <c r="DS801" s="27" t="s">
        <v>8</v>
      </c>
      <c r="DX801" s="27" t="s">
        <v>7</v>
      </c>
      <c r="DY801" s="27" t="s">
        <v>8</v>
      </c>
      <c r="EF801" s="27" t="s">
        <v>7</v>
      </c>
      <c r="EG801" s="27" t="s">
        <v>8</v>
      </c>
      <c r="EH801" s="27" t="s">
        <v>7</v>
      </c>
      <c r="EI801" s="27" t="s">
        <v>8</v>
      </c>
      <c r="EL801" s="27" t="s">
        <v>7</v>
      </c>
      <c r="EM801" s="27" t="s">
        <v>8</v>
      </c>
      <c r="EN801" s="27" t="s">
        <v>7</v>
      </c>
      <c r="EO801" s="27" t="s">
        <v>8</v>
      </c>
      <c r="EP801" s="27" t="s">
        <v>7</v>
      </c>
      <c r="ES801" s="27" t="s">
        <v>8</v>
      </c>
      <c r="ET801" s="27" t="s">
        <v>7</v>
      </c>
      <c r="EU801" s="27" t="s">
        <v>8</v>
      </c>
      <c r="FT801" s="27" t="s">
        <v>7</v>
      </c>
      <c r="FU801" s="27" t="s">
        <v>8</v>
      </c>
      <c r="FV801" s="27" t="s">
        <v>7</v>
      </c>
      <c r="GO801" s="27" t="s">
        <v>8</v>
      </c>
      <c r="GV801" s="27" t="s">
        <v>7</v>
      </c>
      <c r="GW801" s="27" t="s">
        <v>8</v>
      </c>
      <c r="GX801" s="27" t="s">
        <v>7</v>
      </c>
      <c r="GY801" s="27" t="s">
        <v>8</v>
      </c>
      <c r="GZ801" s="27" t="s">
        <v>7</v>
      </c>
      <c r="HA801" s="27" t="s">
        <v>8</v>
      </c>
    </row>
    <row r="802" spans="1:209" x14ac:dyDescent="0.25">
      <c r="A802" s="7">
        <v>1.4156733976771318E-2</v>
      </c>
      <c r="B802"/>
      <c r="C802"/>
      <c r="D802"/>
      <c r="E802"/>
      <c r="J802" s="27" t="s">
        <v>7</v>
      </c>
      <c r="K802" s="27" t="s">
        <v>8</v>
      </c>
      <c r="L802" s="27" t="s">
        <v>7</v>
      </c>
      <c r="O802" s="27" t="s">
        <v>8</v>
      </c>
      <c r="P802" s="27" t="s">
        <v>7</v>
      </c>
      <c r="Q802" s="27" t="s">
        <v>8</v>
      </c>
      <c r="R802" s="27" t="s">
        <v>7</v>
      </c>
      <c r="S802" s="27" t="s">
        <v>8</v>
      </c>
      <c r="T802" s="27" t="s">
        <v>7</v>
      </c>
      <c r="W802" s="27" t="s">
        <v>8</v>
      </c>
      <c r="DF802" s="27" t="s">
        <v>7</v>
      </c>
      <c r="DL802" s="27" t="s">
        <v>7</v>
      </c>
      <c r="DQ802" s="27" t="s">
        <v>8</v>
      </c>
      <c r="DR802" s="27" t="s">
        <v>7</v>
      </c>
      <c r="DS802" s="27" t="s">
        <v>8</v>
      </c>
      <c r="DX802" s="27" t="s">
        <v>7</v>
      </c>
      <c r="DY802" s="27" t="s">
        <v>8</v>
      </c>
      <c r="EF802" s="27" t="s">
        <v>7</v>
      </c>
      <c r="EG802" s="27" t="s">
        <v>8</v>
      </c>
      <c r="EH802" s="27" t="s">
        <v>7</v>
      </c>
      <c r="EI802" s="27" t="s">
        <v>8</v>
      </c>
      <c r="EL802" s="27" t="s">
        <v>7</v>
      </c>
      <c r="EM802" s="27" t="s">
        <v>8</v>
      </c>
      <c r="EN802" s="27" t="s">
        <v>7</v>
      </c>
      <c r="EO802" s="27" t="s">
        <v>8</v>
      </c>
      <c r="EP802" s="27" t="s">
        <v>7</v>
      </c>
      <c r="ES802" s="27" t="s">
        <v>8</v>
      </c>
      <c r="ET802" s="27" t="s">
        <v>7</v>
      </c>
      <c r="EU802" s="27" t="s">
        <v>8</v>
      </c>
      <c r="FT802" s="27" t="s">
        <v>7</v>
      </c>
      <c r="FV802" s="27" t="s">
        <v>7</v>
      </c>
      <c r="GM802" s="27" t="s">
        <v>8</v>
      </c>
      <c r="GO802" s="27" t="s">
        <v>8</v>
      </c>
      <c r="GV802" s="27" t="s">
        <v>7</v>
      </c>
      <c r="GW802" s="27" t="s">
        <v>8</v>
      </c>
      <c r="GX802" s="27" t="s">
        <v>7</v>
      </c>
      <c r="GY802" s="27" t="s">
        <v>8</v>
      </c>
      <c r="GZ802" s="27" t="s">
        <v>7</v>
      </c>
    </row>
    <row r="803" spans="1:209" x14ac:dyDescent="0.25">
      <c r="A803" s="7">
        <v>1.3879150957618939E-2</v>
      </c>
      <c r="B803"/>
      <c r="C803"/>
      <c r="D803"/>
      <c r="E803"/>
      <c r="J803" s="27" t="s">
        <v>7</v>
      </c>
      <c r="K803" s="27" t="s">
        <v>8</v>
      </c>
      <c r="L803" s="27" t="s">
        <v>7</v>
      </c>
      <c r="O803" s="27" t="s">
        <v>8</v>
      </c>
      <c r="P803" s="27" t="s">
        <v>7</v>
      </c>
      <c r="Q803" s="27" t="s">
        <v>8</v>
      </c>
      <c r="R803" s="27" t="s">
        <v>7</v>
      </c>
      <c r="S803" s="27" t="s">
        <v>8</v>
      </c>
      <c r="T803" s="27" t="s">
        <v>7</v>
      </c>
      <c r="U803" s="27" t="s">
        <v>8</v>
      </c>
      <c r="W803" s="27" t="s">
        <v>8</v>
      </c>
      <c r="DL803" s="27" t="s">
        <v>7</v>
      </c>
      <c r="DO803" s="27" t="s">
        <v>8</v>
      </c>
      <c r="DQ803" s="27" t="s">
        <v>8</v>
      </c>
      <c r="DR803" s="27" t="s">
        <v>7</v>
      </c>
      <c r="DX803" s="27" t="s">
        <v>7</v>
      </c>
      <c r="EF803" s="27" t="s">
        <v>7</v>
      </c>
      <c r="EG803" s="27" t="s">
        <v>8</v>
      </c>
      <c r="EH803" s="27" t="s">
        <v>7</v>
      </c>
      <c r="EI803" s="27" t="s">
        <v>8</v>
      </c>
      <c r="EL803" s="27" t="s">
        <v>7</v>
      </c>
      <c r="EM803" s="27" t="s">
        <v>8</v>
      </c>
      <c r="EN803" s="27" t="s">
        <v>7</v>
      </c>
      <c r="EO803" s="27" t="s">
        <v>8</v>
      </c>
      <c r="EP803" s="27" t="s">
        <v>7</v>
      </c>
      <c r="EQ803" s="27" t="s">
        <v>8</v>
      </c>
      <c r="ES803" s="27" t="s">
        <v>8</v>
      </c>
      <c r="ET803" s="27" t="s">
        <v>7</v>
      </c>
      <c r="FV803" s="27" t="s">
        <v>7</v>
      </c>
      <c r="GG803" s="27" t="s">
        <v>8</v>
      </c>
      <c r="GM803" s="27" t="s">
        <v>8</v>
      </c>
      <c r="GN803" s="27" t="s">
        <v>7</v>
      </c>
      <c r="GO803" s="27" t="s">
        <v>8</v>
      </c>
      <c r="GV803" s="27" t="s">
        <v>7</v>
      </c>
      <c r="GW803" s="27" t="s">
        <v>8</v>
      </c>
      <c r="GX803" s="27" t="s">
        <v>7</v>
      </c>
    </row>
    <row r="804" spans="1:209" x14ac:dyDescent="0.25">
      <c r="A804" s="7">
        <v>1.3607010742763666E-2</v>
      </c>
      <c r="B804"/>
      <c r="C804"/>
      <c r="D804"/>
      <c r="E804"/>
      <c r="J804" s="27" t="s">
        <v>7</v>
      </c>
      <c r="K804" s="27" t="s">
        <v>8</v>
      </c>
      <c r="L804" s="27" t="s">
        <v>7</v>
      </c>
      <c r="O804" s="27" t="s">
        <v>8</v>
      </c>
      <c r="P804" s="27" t="s">
        <v>7</v>
      </c>
      <c r="R804" s="27" t="s">
        <v>7</v>
      </c>
      <c r="S804" s="27" t="s">
        <v>8</v>
      </c>
      <c r="T804" s="27" t="s">
        <v>7</v>
      </c>
      <c r="U804" s="27" t="s">
        <v>8</v>
      </c>
      <c r="V804" s="27" t="s">
        <v>7</v>
      </c>
      <c r="W804" s="27" t="s">
        <v>8</v>
      </c>
      <c r="DL804" s="27" t="s">
        <v>7</v>
      </c>
      <c r="DO804" s="27" t="s">
        <v>8</v>
      </c>
      <c r="DP804" s="27" t="s">
        <v>7</v>
      </c>
      <c r="DQ804" s="27" t="s">
        <v>8</v>
      </c>
      <c r="EF804" s="27" t="s">
        <v>7</v>
      </c>
      <c r="EG804" s="27" t="s">
        <v>8</v>
      </c>
      <c r="EH804" s="27" t="s">
        <v>7</v>
      </c>
      <c r="EI804" s="27" t="s">
        <v>8</v>
      </c>
      <c r="EL804" s="27" t="s">
        <v>7</v>
      </c>
      <c r="EM804" s="27" t="s">
        <v>8</v>
      </c>
      <c r="EN804" s="27" t="s">
        <v>7</v>
      </c>
      <c r="EO804" s="27" t="s">
        <v>8</v>
      </c>
      <c r="EP804" s="27" t="s">
        <v>7</v>
      </c>
      <c r="EQ804" s="27" t="s">
        <v>8</v>
      </c>
      <c r="ER804" s="27" t="s">
        <v>7</v>
      </c>
      <c r="ES804" s="27" t="s">
        <v>8</v>
      </c>
      <c r="FV804" s="27" t="s">
        <v>7</v>
      </c>
      <c r="GG804" s="27" t="s">
        <v>8</v>
      </c>
      <c r="GH804" s="27" t="s">
        <v>7</v>
      </c>
      <c r="GM804" s="27" t="s">
        <v>8</v>
      </c>
      <c r="GN804" s="27" t="s">
        <v>7</v>
      </c>
      <c r="GO804" s="27" t="s">
        <v>8</v>
      </c>
      <c r="GV804" s="27" t="s">
        <v>7</v>
      </c>
      <c r="GW804" s="27" t="s">
        <v>8</v>
      </c>
    </row>
    <row r="805" spans="1:209" x14ac:dyDescent="0.25">
      <c r="A805" s="7">
        <v>1.3340206610552614E-2</v>
      </c>
      <c r="B805"/>
      <c r="C805"/>
      <c r="D805"/>
      <c r="E805"/>
      <c r="J805" s="27" t="s">
        <v>7</v>
      </c>
      <c r="K805" s="27" t="s">
        <v>8</v>
      </c>
      <c r="L805" s="27" t="s">
        <v>7</v>
      </c>
      <c r="O805" s="27" t="s">
        <v>8</v>
      </c>
      <c r="R805" s="27" t="s">
        <v>7</v>
      </c>
      <c r="T805" s="27" t="s">
        <v>7</v>
      </c>
      <c r="U805" s="27" t="s">
        <v>8</v>
      </c>
      <c r="V805" s="27" t="s">
        <v>7</v>
      </c>
      <c r="W805" s="27" t="s">
        <v>8</v>
      </c>
      <c r="DL805" s="27" t="s">
        <v>7</v>
      </c>
      <c r="DM805" s="27" t="s">
        <v>8</v>
      </c>
      <c r="DO805" s="27" t="s">
        <v>8</v>
      </c>
      <c r="DP805" s="27" t="s">
        <v>7</v>
      </c>
      <c r="DQ805" s="27" t="s">
        <v>8</v>
      </c>
      <c r="EF805" s="27" t="s">
        <v>7</v>
      </c>
      <c r="EH805" s="27" t="s">
        <v>7</v>
      </c>
      <c r="EI805" s="27" t="s">
        <v>8</v>
      </c>
      <c r="EL805" s="27" t="s">
        <v>7</v>
      </c>
      <c r="EN805" s="27" t="s">
        <v>7</v>
      </c>
      <c r="EO805" s="27" t="s">
        <v>8</v>
      </c>
      <c r="EP805" s="27" t="s">
        <v>7</v>
      </c>
      <c r="EQ805" s="27" t="s">
        <v>8</v>
      </c>
      <c r="ER805" s="27" t="s">
        <v>7</v>
      </c>
      <c r="ES805" s="27" t="s">
        <v>8</v>
      </c>
      <c r="FV805" s="27" t="s">
        <v>7</v>
      </c>
      <c r="GG805" s="27" t="s">
        <v>8</v>
      </c>
      <c r="GH805" s="27" t="s">
        <v>7</v>
      </c>
      <c r="GK805" s="27" t="s">
        <v>8</v>
      </c>
      <c r="GM805" s="27" t="s">
        <v>8</v>
      </c>
      <c r="GN805" s="27" t="s">
        <v>7</v>
      </c>
      <c r="GV805" s="27" t="s">
        <v>7</v>
      </c>
      <c r="GW805" s="27" t="s">
        <v>8</v>
      </c>
    </row>
    <row r="806" spans="1:209" x14ac:dyDescent="0.25">
      <c r="A806" s="7">
        <v>1.3078633931914328E-2</v>
      </c>
      <c r="B806"/>
      <c r="C806"/>
      <c r="D806"/>
      <c r="E806"/>
      <c r="J806" s="27" t="s">
        <v>7</v>
      </c>
      <c r="K806" s="27" t="s">
        <v>8</v>
      </c>
      <c r="L806" s="27" t="s">
        <v>7</v>
      </c>
      <c r="M806" s="27" t="s">
        <v>8</v>
      </c>
      <c r="O806" s="27" t="s">
        <v>8</v>
      </c>
      <c r="T806" s="27" t="s">
        <v>7</v>
      </c>
      <c r="U806" s="27" t="s">
        <v>8</v>
      </c>
      <c r="V806" s="27" t="s">
        <v>7</v>
      </c>
      <c r="W806" s="27" t="s">
        <v>8</v>
      </c>
      <c r="DL806" s="27" t="s">
        <v>7</v>
      </c>
      <c r="DM806" s="27" t="s">
        <v>8</v>
      </c>
      <c r="DN806" s="27" t="s">
        <v>7</v>
      </c>
      <c r="DO806" s="27" t="s">
        <v>8</v>
      </c>
      <c r="DP806" s="27" t="s">
        <v>7</v>
      </c>
      <c r="DQ806" s="27" t="s">
        <v>8</v>
      </c>
      <c r="EH806" s="27" t="s">
        <v>7</v>
      </c>
      <c r="EN806" s="27" t="s">
        <v>7</v>
      </c>
      <c r="EO806" s="27" t="s">
        <v>8</v>
      </c>
      <c r="EP806" s="27" t="s">
        <v>7</v>
      </c>
      <c r="ER806" s="27" t="s">
        <v>7</v>
      </c>
      <c r="ES806" s="27" t="s">
        <v>8</v>
      </c>
      <c r="FV806" s="27" t="s">
        <v>7</v>
      </c>
      <c r="GG806" s="27" t="s">
        <v>8</v>
      </c>
      <c r="GH806" s="27" t="s">
        <v>7</v>
      </c>
      <c r="GI806" s="27" t="s">
        <v>8</v>
      </c>
      <c r="GK806" s="27" t="s">
        <v>8</v>
      </c>
      <c r="GL806" s="27" t="s">
        <v>7</v>
      </c>
      <c r="GM806" s="27" t="s">
        <v>8</v>
      </c>
      <c r="GV806" s="27" t="s">
        <v>7</v>
      </c>
    </row>
    <row r="807" spans="1:209" x14ac:dyDescent="0.25">
      <c r="A807" s="7">
        <v>1.2822190129327771E-2</v>
      </c>
      <c r="B807"/>
      <c r="C807"/>
      <c r="D807"/>
      <c r="E807"/>
      <c r="J807" s="27" t="s">
        <v>7</v>
      </c>
      <c r="L807" s="27" t="s">
        <v>7</v>
      </c>
      <c r="M807" s="27" t="s">
        <v>8</v>
      </c>
      <c r="N807" s="27" t="s">
        <v>7</v>
      </c>
      <c r="O807" s="27" t="s">
        <v>8</v>
      </c>
      <c r="T807" s="27" t="s">
        <v>7</v>
      </c>
      <c r="U807" s="27" t="s">
        <v>8</v>
      </c>
      <c r="V807" s="27" t="s">
        <v>7</v>
      </c>
      <c r="W807" s="27" t="s">
        <v>8</v>
      </c>
      <c r="DL807" s="27" t="s">
        <v>7</v>
      </c>
      <c r="DM807" s="27" t="s">
        <v>8</v>
      </c>
      <c r="DN807" s="27" t="s">
        <v>7</v>
      </c>
      <c r="DO807" s="27" t="s">
        <v>8</v>
      </c>
      <c r="DP807" s="27" t="s">
        <v>7</v>
      </c>
      <c r="EN807" s="27" t="s">
        <v>7</v>
      </c>
      <c r="EO807" s="27" t="s">
        <v>8</v>
      </c>
      <c r="ER807" s="27" t="s">
        <v>7</v>
      </c>
      <c r="FV807" s="27" t="s">
        <v>7</v>
      </c>
      <c r="GG807" s="27" t="s">
        <v>8</v>
      </c>
      <c r="GH807" s="27" t="s">
        <v>7</v>
      </c>
      <c r="GI807" s="27" t="s">
        <v>8</v>
      </c>
      <c r="GJ807" s="27" t="s">
        <v>7</v>
      </c>
      <c r="GK807" s="27" t="s">
        <v>8</v>
      </c>
      <c r="GL807" s="27" t="s">
        <v>7</v>
      </c>
      <c r="GM807" s="27" t="s">
        <v>8</v>
      </c>
    </row>
    <row r="808" spans="1:209" x14ac:dyDescent="0.25">
      <c r="A808" s="7">
        <v>1.2570774636595854E-2</v>
      </c>
      <c r="B808"/>
      <c r="C808"/>
      <c r="D808"/>
      <c r="E808"/>
      <c r="L808" s="27" t="s">
        <v>7</v>
      </c>
      <c r="M808" s="27" t="s">
        <v>8</v>
      </c>
      <c r="N808" s="27" t="s">
        <v>7</v>
      </c>
      <c r="O808" s="27" t="s">
        <v>8</v>
      </c>
      <c r="T808" s="27" t="s">
        <v>7</v>
      </c>
      <c r="U808" s="27" t="s">
        <v>8</v>
      </c>
      <c r="V808" s="27" t="s">
        <v>7</v>
      </c>
      <c r="DL808" s="27" t="s">
        <v>7</v>
      </c>
      <c r="DM808" s="27" t="s">
        <v>8</v>
      </c>
      <c r="DN808" s="27" t="s">
        <v>7</v>
      </c>
      <c r="DO808" s="27" t="s">
        <v>8</v>
      </c>
      <c r="EN808" s="27" t="s">
        <v>7</v>
      </c>
      <c r="EO808" s="27" t="s">
        <v>8</v>
      </c>
      <c r="FV808" s="27" t="s">
        <v>7</v>
      </c>
      <c r="GA808" s="27" t="s">
        <v>8</v>
      </c>
      <c r="GE808" s="27" t="s">
        <v>8</v>
      </c>
      <c r="GG808" s="27" t="s">
        <v>8</v>
      </c>
      <c r="GH808" s="27" t="s">
        <v>7</v>
      </c>
      <c r="GI808" s="27" t="s">
        <v>8</v>
      </c>
      <c r="GJ808" s="27" t="s">
        <v>7</v>
      </c>
      <c r="GK808" s="27" t="s">
        <v>8</v>
      </c>
      <c r="GL808" s="27" t="s">
        <v>7</v>
      </c>
      <c r="GM808" s="27" t="s">
        <v>8</v>
      </c>
    </row>
    <row r="809" spans="1:209" x14ac:dyDescent="0.25">
      <c r="A809" s="7">
        <v>1.23242888594077E-2</v>
      </c>
      <c r="B809"/>
      <c r="C809"/>
      <c r="D809"/>
      <c r="E809"/>
      <c r="L809" s="27" t="s">
        <v>7</v>
      </c>
      <c r="M809" s="27" t="s">
        <v>8</v>
      </c>
      <c r="N809" s="27" t="s">
        <v>7</v>
      </c>
      <c r="O809" s="27" t="s">
        <v>8</v>
      </c>
      <c r="T809" s="27" t="s">
        <v>7</v>
      </c>
      <c r="DL809" s="27" t="s">
        <v>7</v>
      </c>
      <c r="DM809" s="27" t="s">
        <v>8</v>
      </c>
      <c r="DN809" s="27" t="s">
        <v>7</v>
      </c>
      <c r="DO809" s="27" t="s">
        <v>8</v>
      </c>
      <c r="EN809" s="27" t="s">
        <v>7</v>
      </c>
      <c r="EO809" s="27" t="s">
        <v>8</v>
      </c>
      <c r="FV809" s="27" t="s">
        <v>7</v>
      </c>
      <c r="GA809" s="27" t="s">
        <v>8</v>
      </c>
      <c r="GB809" s="27" t="s">
        <v>7</v>
      </c>
      <c r="GE809" s="27" t="s">
        <v>8</v>
      </c>
      <c r="GF809" s="27" t="s">
        <v>7</v>
      </c>
      <c r="GG809" s="27" t="s">
        <v>8</v>
      </c>
      <c r="GH809" s="27" t="s">
        <v>7</v>
      </c>
      <c r="GI809" s="27" t="s">
        <v>8</v>
      </c>
      <c r="GJ809" s="27" t="s">
        <v>7</v>
      </c>
      <c r="GK809" s="27" t="s">
        <v>8</v>
      </c>
      <c r="GL809" s="27" t="s">
        <v>7</v>
      </c>
    </row>
    <row r="810" spans="1:209" x14ac:dyDescent="0.25">
      <c r="A810" s="7">
        <v>1.2082636136674216E-2</v>
      </c>
      <c r="B810"/>
      <c r="C810"/>
      <c r="D810"/>
      <c r="E810"/>
      <c r="L810" s="27" t="s">
        <v>7</v>
      </c>
      <c r="M810" s="27" t="s">
        <v>8</v>
      </c>
      <c r="N810" s="27" t="s">
        <v>7</v>
      </c>
      <c r="O810" s="27" t="s">
        <v>8</v>
      </c>
      <c r="DL810" s="27" t="s">
        <v>7</v>
      </c>
      <c r="DM810" s="27" t="s">
        <v>8</v>
      </c>
      <c r="DN810" s="27" t="s">
        <v>7</v>
      </c>
      <c r="EN810" s="27" t="s">
        <v>7</v>
      </c>
      <c r="FV810" s="27" t="s">
        <v>7</v>
      </c>
      <c r="GA810" s="27" t="s">
        <v>8</v>
      </c>
      <c r="GB810" s="27" t="s">
        <v>7</v>
      </c>
      <c r="GC810" s="27" t="s">
        <v>8</v>
      </c>
      <c r="GE810" s="27" t="s">
        <v>8</v>
      </c>
      <c r="GF810" s="27" t="s">
        <v>7</v>
      </c>
      <c r="GG810" s="27" t="s">
        <v>8</v>
      </c>
      <c r="GH810" s="27" t="s">
        <v>7</v>
      </c>
      <c r="GJ810" s="27" t="s">
        <v>7</v>
      </c>
      <c r="GK810" s="27" t="s">
        <v>8</v>
      </c>
    </row>
    <row r="811" spans="1:209" x14ac:dyDescent="0.25">
      <c r="A811" s="7">
        <v>1.184572170262178E-2</v>
      </c>
      <c r="B811"/>
      <c r="C811"/>
      <c r="D811"/>
      <c r="E811"/>
      <c r="L811" s="27" t="s">
        <v>7</v>
      </c>
      <c r="M811" s="27" t="s">
        <v>8</v>
      </c>
      <c r="N811" s="27" t="s">
        <v>7</v>
      </c>
      <c r="O811" s="27" t="s">
        <v>8</v>
      </c>
      <c r="DL811" s="27" t="s">
        <v>7</v>
      </c>
      <c r="DM811" s="27" t="s">
        <v>8</v>
      </c>
      <c r="FV811" s="27" t="s">
        <v>7</v>
      </c>
      <c r="GA811" s="27" t="s">
        <v>8</v>
      </c>
      <c r="GB811" s="27" t="s">
        <v>7</v>
      </c>
      <c r="GC811" s="27" t="s">
        <v>8</v>
      </c>
      <c r="GD811" s="27" t="s">
        <v>7</v>
      </c>
      <c r="GE811" s="27" t="s">
        <v>8</v>
      </c>
      <c r="GF811" s="27" t="s">
        <v>7</v>
      </c>
      <c r="GJ811" s="27" t="s">
        <v>7</v>
      </c>
    </row>
    <row r="812" spans="1:209" x14ac:dyDescent="0.25">
      <c r="A812" s="7">
        <v>1.1613452649629196E-2</v>
      </c>
      <c r="B812"/>
      <c r="C812"/>
      <c r="D812"/>
      <c r="E812"/>
      <c r="L812" s="27" t="s">
        <v>7</v>
      </c>
      <c r="M812" s="27" t="s">
        <v>8</v>
      </c>
      <c r="N812" s="27" t="s">
        <v>7</v>
      </c>
      <c r="O812" s="27" t="s">
        <v>8</v>
      </c>
      <c r="DL812" s="27" t="s">
        <v>7</v>
      </c>
      <c r="DM812" s="27" t="s">
        <v>8</v>
      </c>
      <c r="FV812" s="27" t="s">
        <v>7</v>
      </c>
      <c r="GA812" s="27" t="s">
        <v>8</v>
      </c>
      <c r="GB812" s="27" t="s">
        <v>7</v>
      </c>
      <c r="GC812" s="27" t="s">
        <v>8</v>
      </c>
      <c r="GD812" s="27" t="s">
        <v>7</v>
      </c>
      <c r="GE812" s="27" t="s">
        <v>8</v>
      </c>
    </row>
    <row r="813" spans="1:209" x14ac:dyDescent="0.25">
      <c r="A813" s="7">
        <v>1.138573789179333E-2</v>
      </c>
      <c r="B813"/>
      <c r="C813"/>
      <c r="D813"/>
      <c r="E813"/>
      <c r="L813" s="27" t="s">
        <v>7</v>
      </c>
      <c r="M813" s="27" t="s">
        <v>8</v>
      </c>
      <c r="N813" s="27" t="s">
        <v>7</v>
      </c>
      <c r="DL813" s="27" t="s">
        <v>7</v>
      </c>
      <c r="FV813" s="27" t="s">
        <v>7</v>
      </c>
      <c r="GA813" s="27" t="s">
        <v>8</v>
      </c>
      <c r="GB813" s="27" t="s">
        <v>7</v>
      </c>
      <c r="GC813" s="27" t="s">
        <v>8</v>
      </c>
      <c r="GD813" s="27" t="s">
        <v>7</v>
      </c>
      <c r="GE813" s="27" t="s">
        <v>8</v>
      </c>
    </row>
    <row r="814" spans="1:209" x14ac:dyDescent="0.25">
      <c r="A814" s="7">
        <v>1.1162488129209149E-2</v>
      </c>
      <c r="B814"/>
      <c r="C814"/>
      <c r="D814"/>
      <c r="E814"/>
      <c r="L814" s="27" t="s">
        <v>7</v>
      </c>
      <c r="FV814" s="27" t="s">
        <v>7</v>
      </c>
      <c r="GA814" s="27" t="s">
        <v>8</v>
      </c>
      <c r="GB814" s="27" t="s">
        <v>7</v>
      </c>
      <c r="GC814" s="27" t="s">
        <v>8</v>
      </c>
      <c r="GD814" s="27" t="s">
        <v>7</v>
      </c>
      <c r="GE814" s="27" t="s">
        <v>8</v>
      </c>
    </row>
    <row r="815" spans="1:209" x14ac:dyDescent="0.25">
      <c r="A815" s="7">
        <v>1.0943615812950145E-2</v>
      </c>
      <c r="B815"/>
      <c r="C815"/>
      <c r="D815"/>
      <c r="E815"/>
      <c r="FV815" s="27" t="s">
        <v>7</v>
      </c>
      <c r="FW815" s="27" t="s">
        <v>8</v>
      </c>
      <c r="GA815" s="27" t="s">
        <v>8</v>
      </c>
      <c r="GB815" s="27" t="s">
        <v>7</v>
      </c>
      <c r="GC815" s="27" t="s">
        <v>8</v>
      </c>
      <c r="GD815" s="27" t="s">
        <v>7</v>
      </c>
      <c r="GE815" s="27" t="s">
        <v>8</v>
      </c>
    </row>
    <row r="816" spans="1:209" x14ac:dyDescent="0.25">
      <c r="A816" s="7">
        <v>1.0729035110735436E-2</v>
      </c>
      <c r="B816"/>
      <c r="C816"/>
      <c r="D816"/>
      <c r="E816"/>
      <c r="FV816" s="27" t="s">
        <v>7</v>
      </c>
      <c r="FW816" s="27" t="s">
        <v>8</v>
      </c>
      <c r="FX816" s="27" t="s">
        <v>7</v>
      </c>
      <c r="GA816" s="27" t="s">
        <v>8</v>
      </c>
      <c r="GB816" s="27" t="s">
        <v>7</v>
      </c>
      <c r="GC816" s="27" t="s">
        <v>8</v>
      </c>
      <c r="GD816" s="27" t="s">
        <v>7</v>
      </c>
    </row>
    <row r="817" spans="1:185" x14ac:dyDescent="0.25">
      <c r="A817" s="7">
        <v>1.0518661873270036E-2</v>
      </c>
      <c r="B817"/>
      <c r="C817"/>
      <c r="D817"/>
      <c r="E817"/>
      <c r="FV817" s="27" t="s">
        <v>7</v>
      </c>
      <c r="FW817" s="27" t="s">
        <v>8</v>
      </c>
      <c r="FX817" s="27" t="s">
        <v>7</v>
      </c>
      <c r="GA817" s="27" t="s">
        <v>8</v>
      </c>
      <c r="GB817" s="27" t="s">
        <v>7</v>
      </c>
      <c r="GC817" s="27" t="s">
        <v>8</v>
      </c>
    </row>
    <row r="818" spans="1:185" x14ac:dyDescent="0.25">
      <c r="A818" s="7">
        <v>1.0312413601245135E-2</v>
      </c>
      <c r="B818"/>
      <c r="C818"/>
      <c r="D818"/>
      <c r="E818"/>
      <c r="FV818" s="27" t="s">
        <v>7</v>
      </c>
      <c r="FW818" s="27" t="s">
        <v>8</v>
      </c>
      <c r="FX818" s="27" t="s">
        <v>7</v>
      </c>
      <c r="FY818" s="27" t="s">
        <v>8</v>
      </c>
      <c r="GA818" s="27" t="s">
        <v>8</v>
      </c>
      <c r="GB818" s="27" t="s">
        <v>7</v>
      </c>
      <c r="GC818" s="27" t="s">
        <v>8</v>
      </c>
    </row>
    <row r="819" spans="1:185" x14ac:dyDescent="0.25">
      <c r="A819" s="7">
        <v>1.0110209412985426E-2</v>
      </c>
      <c r="B819"/>
      <c r="C819"/>
      <c r="D819"/>
      <c r="E819"/>
      <c r="FV819" s="27" t="s">
        <v>7</v>
      </c>
      <c r="FW819" s="27" t="s">
        <v>8</v>
      </c>
      <c r="FX819" s="27" t="s">
        <v>7</v>
      </c>
      <c r="FY819" s="27" t="s">
        <v>8</v>
      </c>
      <c r="FZ819" s="27" t="s">
        <v>7</v>
      </c>
      <c r="GA819" s="27" t="s">
        <v>8</v>
      </c>
      <c r="GB819" s="27" t="s">
        <v>7</v>
      </c>
    </row>
    <row r="820" spans="1:185" x14ac:dyDescent="0.25">
      <c r="A820" s="7">
        <v>9.9119700127308103E-3</v>
      </c>
      <c r="B820"/>
      <c r="C820"/>
      <c r="D820"/>
      <c r="E820"/>
      <c r="FV820" s="27" t="s">
        <v>7</v>
      </c>
      <c r="FW820" s="27" t="s">
        <v>8</v>
      </c>
      <c r="FX820" s="27" t="s">
        <v>7</v>
      </c>
      <c r="FY820" s="27" t="s">
        <v>8</v>
      </c>
      <c r="FZ820" s="27" t="s">
        <v>7</v>
      </c>
      <c r="GA820" s="27" t="s">
        <v>8</v>
      </c>
    </row>
    <row r="821" spans="1:185" x14ac:dyDescent="0.25">
      <c r="A821" s="7">
        <v>9.717617659540009E-3</v>
      </c>
      <c r="B821"/>
      <c r="C821"/>
      <c r="D821"/>
      <c r="E821"/>
      <c r="FV821" s="27" t="s">
        <v>7</v>
      </c>
      <c r="FW821" s="27" t="s">
        <v>8</v>
      </c>
      <c r="FX821" s="27" t="s">
        <v>7</v>
      </c>
      <c r="FY821" s="27" t="s">
        <v>8</v>
      </c>
      <c r="FZ821" s="27" t="s">
        <v>7</v>
      </c>
    </row>
    <row r="822" spans="1:185" x14ac:dyDescent="0.25">
      <c r="A822" s="7">
        <v>9.5270761368039299E-3</v>
      </c>
      <c r="B822"/>
      <c r="C822"/>
      <c r="D822"/>
      <c r="E822"/>
      <c r="FV822" s="27" t="s">
        <v>7</v>
      </c>
      <c r="FW822" s="27" t="s">
        <v>8</v>
      </c>
      <c r="FX822" s="27" t="s">
        <v>7</v>
      </c>
      <c r="FY822" s="27" t="s">
        <v>8</v>
      </c>
    </row>
    <row r="823" spans="1:185" x14ac:dyDescent="0.25">
      <c r="A823" s="7">
        <v>9.3402707223567936E-3</v>
      </c>
      <c r="B823"/>
      <c r="C823"/>
      <c r="D823"/>
      <c r="E823"/>
      <c r="FV823" s="27" t="s">
        <v>7</v>
      </c>
      <c r="FW823" s="27" t="s">
        <v>8</v>
      </c>
      <c r="FX823" s="27" t="s">
        <v>7</v>
      </c>
      <c r="FY823" s="27" t="s">
        <v>8</v>
      </c>
    </row>
    <row r="824" spans="1:185" x14ac:dyDescent="0.25">
      <c r="A824" s="7">
        <v>9.1571281591733261E-3</v>
      </c>
      <c r="B824"/>
      <c r="C824"/>
      <c r="D824"/>
      <c r="E824"/>
      <c r="FV824" s="27" t="s">
        <v>7</v>
      </c>
      <c r="FW824" s="27" t="s">
        <v>8</v>
      </c>
      <c r="FX824" s="27" t="s">
        <v>7</v>
      </c>
      <c r="FY824" s="27" t="s">
        <v>8</v>
      </c>
    </row>
    <row r="825" spans="1:185" x14ac:dyDescent="0.25">
      <c r="A825" s="7">
        <v>8.9775766266405148E-3</v>
      </c>
      <c r="B825"/>
      <c r="C825"/>
      <c r="D825"/>
      <c r="E825"/>
      <c r="FV825" s="27" t="s">
        <v>7</v>
      </c>
      <c r="FW825" s="27" t="s">
        <v>8</v>
      </c>
      <c r="FX825" s="27" t="s">
        <v>7</v>
      </c>
      <c r="FY825" s="27" t="s">
        <v>8</v>
      </c>
    </row>
    <row r="826" spans="1:185" x14ac:dyDescent="0.25">
      <c r="A826" s="7">
        <v>8.8015457123926614E-3</v>
      </c>
      <c r="B826"/>
      <c r="C826"/>
      <c r="D826"/>
      <c r="E826"/>
      <c r="FV826" s="27" t="s">
        <v>7</v>
      </c>
      <c r="FW826" s="27" t="s">
        <v>8</v>
      </c>
      <c r="FX826" s="27" t="s">
        <v>7</v>
      </c>
      <c r="FY826" s="27" t="s">
        <v>8</v>
      </c>
    </row>
    <row r="827" spans="1:185" x14ac:dyDescent="0.25">
      <c r="A827" s="7">
        <v>8.6289663846986879E-3</v>
      </c>
      <c r="B827"/>
      <c r="C827"/>
      <c r="D827"/>
      <c r="E827"/>
      <c r="FV827" s="27" t="s">
        <v>7</v>
      </c>
      <c r="FW827" s="27" t="s">
        <v>8</v>
      </c>
      <c r="FX827" s="27" t="s">
        <v>7</v>
      </c>
    </row>
    <row r="828" spans="1:185" x14ac:dyDescent="0.25">
      <c r="A828" s="7">
        <v>8.4597709653908715E-3</v>
      </c>
      <c r="B828"/>
      <c r="C828"/>
      <c r="D828"/>
      <c r="E828"/>
      <c r="FV828" s="27" t="s">
        <v>7</v>
      </c>
      <c r="FW828" s="27" t="s">
        <v>8</v>
      </c>
    </row>
    <row r="829" spans="1:185" x14ac:dyDescent="0.25">
      <c r="A829" s="7">
        <v>8.2938931033243839E-3</v>
      </c>
      <c r="B829"/>
      <c r="C829"/>
      <c r="D829"/>
      <c r="E829"/>
      <c r="FV829" s="27" t="s">
        <v>7</v>
      </c>
      <c r="FW829" s="27" t="s">
        <v>8</v>
      </c>
    </row>
    <row r="830" spans="1:185" x14ac:dyDescent="0.25">
      <c r="A830" s="7">
        <v>8.1312677483572383E-3</v>
      </c>
      <c r="B830"/>
      <c r="C830"/>
      <c r="D830"/>
      <c r="E830"/>
      <c r="FV830" s="27" t="s">
        <v>7</v>
      </c>
      <c r="FW830" s="27" t="s">
        <v>8</v>
      </c>
    </row>
    <row r="831" spans="1:185" x14ac:dyDescent="0.25">
      <c r="A831" s="7">
        <v>7.9718311258404305E-3</v>
      </c>
      <c r="B831"/>
      <c r="C831"/>
      <c r="D831"/>
      <c r="E831"/>
      <c r="FV831" s="27" t="s">
        <v>7</v>
      </c>
      <c r="FW831" s="27" t="s">
        <v>8</v>
      </c>
    </row>
    <row r="832" spans="1:185" x14ac:dyDescent="0.25">
      <c r="A832" s="7">
        <v>7.8155207116082648E-3</v>
      </c>
      <c r="B832"/>
      <c r="C832"/>
      <c r="D832"/>
      <c r="E832"/>
      <c r="FV832" s="27" t="s">
        <v>7</v>
      </c>
      <c r="FW832" s="27" t="s">
        <v>8</v>
      </c>
    </row>
    <row r="833" spans="1:179" x14ac:dyDescent="0.25">
      <c r="A833" s="7">
        <v>7.6622752074590825E-3</v>
      </c>
      <c r="B833"/>
      <c r="C833"/>
      <c r="D833"/>
      <c r="E833"/>
      <c r="FV833" s="27" t="s">
        <v>7</v>
      </c>
      <c r="FW833" s="27" t="s">
        <v>8</v>
      </c>
    </row>
    <row r="834" spans="1:179" x14ac:dyDescent="0.25">
      <c r="A834" s="7">
        <v>7.5120345171167469E-3</v>
      </c>
      <c r="B834"/>
      <c r="C834"/>
      <c r="D834"/>
      <c r="E834"/>
      <c r="FV834" s="27" t="s">
        <v>7</v>
      </c>
      <c r="FW834" s="27" t="s">
        <v>8</v>
      </c>
    </row>
    <row r="835" spans="1:179" x14ac:dyDescent="0.25">
      <c r="A835" s="7">
        <v>7.3647397226634772E-3</v>
      </c>
      <c r="B835"/>
      <c r="C835"/>
      <c r="D835"/>
      <c r="E835"/>
      <c r="FV835" s="27" t="s">
        <v>7</v>
      </c>
      <c r="FW835" s="27" t="s">
        <v>8</v>
      </c>
    </row>
    <row r="836" spans="1:179" x14ac:dyDescent="0.25">
      <c r="A836" s="7">
        <v>7.2203330614347815E-3</v>
      </c>
      <c r="B836"/>
      <c r="C836"/>
      <c r="D836"/>
      <c r="E836"/>
      <c r="FV836" s="27" t="s">
        <v>7</v>
      </c>
      <c r="FW836" s="27" t="s">
        <v>8</v>
      </c>
    </row>
    <row r="837" spans="1:179" x14ac:dyDescent="0.25">
      <c r="A837" s="7">
        <v>7.0787579033674327E-3</v>
      </c>
      <c r="B837"/>
      <c r="C837"/>
      <c r="D837"/>
      <c r="E837"/>
      <c r="FV837" s="27" t="s">
        <v>7</v>
      </c>
      <c r="FW837" s="27" t="s">
        <v>8</v>
      </c>
    </row>
    <row r="838" spans="1:179" x14ac:dyDescent="0.25">
      <c r="A838" s="7">
        <v>6.9399587287916013E-3</v>
      </c>
      <c r="B838"/>
      <c r="C838"/>
      <c r="D838"/>
      <c r="E838"/>
      <c r="FV838" s="27" t="s">
        <v>7</v>
      </c>
    </row>
    <row r="839" spans="1:179" x14ac:dyDescent="0.25">
      <c r="A839" s="7">
        <v>6.8038811066584333E-3</v>
      </c>
      <c r="B839"/>
      <c r="C839"/>
      <c r="D839"/>
      <c r="E839"/>
    </row>
    <row r="840" spans="1:179" x14ac:dyDescent="0.25">
      <c r="A840" s="7">
        <v>6.6704716731945425E-3</v>
      </c>
      <c r="B840"/>
      <c r="C840"/>
      <c r="D840"/>
      <c r="E840"/>
    </row>
    <row r="841" spans="1:179" x14ac:dyDescent="0.25">
      <c r="A841" s="7">
        <v>6.5396781109750427E-3</v>
      </c>
      <c r="B841"/>
      <c r="C841"/>
      <c r="D841"/>
      <c r="E841"/>
    </row>
    <row r="842" spans="1:179" x14ac:dyDescent="0.25">
      <c r="A842" s="7">
        <v>6.4114491284069045E-3</v>
      </c>
      <c r="B842"/>
      <c r="C842"/>
      <c r="D842"/>
      <c r="E842"/>
    </row>
    <row r="843" spans="1:179" x14ac:dyDescent="0.25">
      <c r="A843" s="7">
        <v>6.2857344396146115E-3</v>
      </c>
      <c r="B843"/>
      <c r="C843"/>
      <c r="D843"/>
      <c r="E843"/>
    </row>
    <row r="844" spans="1:179" x14ac:dyDescent="0.25">
      <c r="A844" s="7">
        <v>6.1624847447202076E-3</v>
      </c>
      <c r="B844"/>
      <c r="C844"/>
      <c r="D844"/>
      <c r="E844"/>
    </row>
    <row r="845" spans="1:179" x14ac:dyDescent="0.25">
      <c r="A845" s="7">
        <v>6.0416517105100079E-3</v>
      </c>
      <c r="B845"/>
      <c r="C845"/>
      <c r="D845"/>
      <c r="E845"/>
    </row>
    <row r="846" spans="1:179" x14ac:dyDescent="0.25">
      <c r="A846" s="7">
        <v>5.9231879514803996E-3</v>
      </c>
      <c r="B846"/>
      <c r="C846"/>
      <c r="D846"/>
      <c r="E846"/>
    </row>
    <row r="847" spans="1:179" x14ac:dyDescent="0.25">
      <c r="A847" s="7">
        <v>5.8070470112552936E-3</v>
      </c>
      <c r="B847"/>
      <c r="C847"/>
      <c r="D847"/>
      <c r="E847"/>
    </row>
    <row r="848" spans="1:179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75" zoomScale="90" zoomScaleNormal="90" workbookViewId="0">
      <pane xSplit="4" topLeftCell="CL1" activePane="topRight" state="frozen"/>
      <selection activeCell="A109" sqref="A109"/>
      <selection pane="topRight" activeCell="DZ300" sqref="DZ30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$A$299</v>
      </c>
      <c r="D111" s="1" t="str">
        <f>ADDRESS(C121-1,D121,1,1)</f>
        <v>$DZ$299</v>
      </c>
      <c r="E111"/>
    </row>
    <row r="112" spans="1:5" x14ac:dyDescent="0.25">
      <c r="A112" s="30">
        <v>515.50191262726139</v>
      </c>
      <c r="C112" s="1" t="str">
        <f>ADDRESS(C121,1,1,1)</f>
        <v>$A$300</v>
      </c>
      <c r="D112" s="1" t="str">
        <f>ADDRESS(C121,D121-1,1,1)</f>
        <v>$DY$300</v>
      </c>
      <c r="E112"/>
    </row>
    <row r="113" spans="1:5" x14ac:dyDescent="0.25">
      <c r="A113" s="30">
        <v>490.95420250215363</v>
      </c>
      <c r="C113" s="1" t="str">
        <f>ADDRESS(C121+1,1,1,1)</f>
        <v>$A$301</v>
      </c>
      <c r="D113" s="1" t="str">
        <f>ADDRESS(C121-1,D121+1,1,1)</f>
        <v>$EA$299</v>
      </c>
    </row>
    <row r="114" spans="1:5" x14ac:dyDescent="0.25">
      <c r="A114" s="30">
        <v>467.57543095443202</v>
      </c>
      <c r="C114" s="1" t="str">
        <f>ADDRESS(C121,D121,1,1)</f>
        <v>$DZ$300</v>
      </c>
      <c r="D114" s="1" t="str">
        <f>ADDRESS(C121+1,D121+1,1,1)</f>
        <v>$EA$301</v>
      </c>
    </row>
    <row r="115" spans="1:5" x14ac:dyDescent="0.25">
      <c r="A115" s="30">
        <v>445.30993424231622</v>
      </c>
      <c r="C115" s="1" t="str">
        <f>ADDRESS(C121+1,D121,1,1)</f>
        <v>$DZ$301</v>
      </c>
    </row>
    <row r="116" spans="1:5" x14ac:dyDescent="0.25">
      <c r="A116" s="30">
        <v>424.10469927839637</v>
      </c>
      <c r="C116" s="1">
        <f>C117-1</f>
        <v>299</v>
      </c>
    </row>
    <row r="117" spans="1:5" x14ac:dyDescent="0.25">
      <c r="A117" s="30">
        <v>403.9092374079965</v>
      </c>
      <c r="C117" s="1">
        <f>C121</f>
        <v>300</v>
      </c>
      <c r="D117" s="1">
        <f>D121</f>
        <v>130</v>
      </c>
    </row>
    <row r="118" spans="1:5" x14ac:dyDescent="0.25">
      <c r="A118" s="30">
        <v>384.6754641980919</v>
      </c>
      <c r="C118" s="1">
        <f>C117+1</f>
        <v>301</v>
      </c>
      <c r="D118" s="1">
        <f>D117+1</f>
        <v>131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300</v>
      </c>
      <c r="D121" s="19">
        <v>130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R300</v>
      </c>
      <c r="D123" s="1" t="str">
        <f>"C"&amp;D121</f>
        <v>C130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5.3535523746492994E-2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126" x14ac:dyDescent="0.25">
      <c r="A273" s="30">
        <v>0.19987253960121379</v>
      </c>
      <c r="B273"/>
      <c r="C273"/>
      <c r="D273"/>
      <c r="E273"/>
      <c r="F273" s="27" t="s">
        <v>7</v>
      </c>
    </row>
    <row r="274" spans="1:126" x14ac:dyDescent="0.25">
      <c r="A274" s="30">
        <v>0.19035479962020352</v>
      </c>
      <c r="B274"/>
      <c r="C274"/>
      <c r="D274"/>
      <c r="E274"/>
      <c r="F274" s="27" t="s">
        <v>7</v>
      </c>
    </row>
    <row r="275" spans="1:126" x14ac:dyDescent="0.25">
      <c r="A275" s="30">
        <v>0.18129028535257471</v>
      </c>
      <c r="B275"/>
      <c r="C275"/>
      <c r="D275"/>
      <c r="E275"/>
      <c r="F275" s="27" t="s">
        <v>7</v>
      </c>
    </row>
    <row r="276" spans="1:126" x14ac:dyDescent="0.25">
      <c r="A276" s="30">
        <v>0.17265741462149967</v>
      </c>
      <c r="B276"/>
      <c r="C276"/>
      <c r="D276"/>
      <c r="E276"/>
      <c r="F276" s="27" t="s">
        <v>7</v>
      </c>
      <c r="CO276" s="27" t="s">
        <v>8</v>
      </c>
    </row>
    <row r="277" spans="1:126" x14ac:dyDescent="0.25">
      <c r="A277" s="30">
        <v>0.16443563297285677</v>
      </c>
      <c r="B277"/>
      <c r="C277"/>
      <c r="D277"/>
      <c r="E277"/>
      <c r="F277" s="27" t="s">
        <v>7</v>
      </c>
      <c r="CO277" s="27" t="s">
        <v>8</v>
      </c>
      <c r="CP277" s="27" t="s">
        <v>7</v>
      </c>
      <c r="CU277" s="31" t="s">
        <v>8</v>
      </c>
    </row>
    <row r="278" spans="1:126" x14ac:dyDescent="0.25">
      <c r="A278" s="30">
        <v>0.15660536473605399</v>
      </c>
      <c r="B278"/>
      <c r="C278"/>
      <c r="D278"/>
      <c r="E278"/>
      <c r="F278" s="27" t="s">
        <v>7</v>
      </c>
      <c r="CO278" s="27" t="s">
        <v>8</v>
      </c>
      <c r="CP278" s="27" t="s">
        <v>7</v>
      </c>
      <c r="CU278" s="27" t="s">
        <v>8</v>
      </c>
      <c r="CV278" s="31" t="s">
        <v>7</v>
      </c>
    </row>
    <row r="279" spans="1:126" x14ac:dyDescent="0.25">
      <c r="A279" s="30">
        <v>0.14914796641528946</v>
      </c>
      <c r="B279"/>
      <c r="C279"/>
      <c r="D279"/>
      <c r="E279"/>
      <c r="F279" s="27" t="s">
        <v>7</v>
      </c>
      <c r="CM279" s="27" t="s">
        <v>8</v>
      </c>
      <c r="CO279" s="27" t="s">
        <v>8</v>
      </c>
      <c r="CP279" s="27" t="s">
        <v>7</v>
      </c>
      <c r="CU279" s="27" t="s">
        <v>8</v>
      </c>
      <c r="CV279" s="27" t="s">
        <v>7</v>
      </c>
      <c r="CW279" s="31"/>
    </row>
    <row r="280" spans="1:126" x14ac:dyDescent="0.25">
      <c r="A280" s="30">
        <v>0.14204568230027562</v>
      </c>
      <c r="B280"/>
      <c r="C280"/>
      <c r="D280"/>
      <c r="E280"/>
      <c r="F280" s="27" t="s">
        <v>7</v>
      </c>
      <c r="CM280" s="27" t="s">
        <v>8</v>
      </c>
      <c r="CN280" s="27" t="s">
        <v>7</v>
      </c>
      <c r="CO280" s="27" t="s">
        <v>8</v>
      </c>
      <c r="CP280" s="27" t="s">
        <v>7</v>
      </c>
      <c r="CQ280" s="27" t="s">
        <v>8</v>
      </c>
      <c r="CU280" s="27" t="s">
        <v>8</v>
      </c>
      <c r="CV280" s="27" t="s">
        <v>7</v>
      </c>
      <c r="CW280" s="27" t="s">
        <v>8</v>
      </c>
      <c r="CX280" s="31"/>
    </row>
    <row r="281" spans="1:126" x14ac:dyDescent="0.25">
      <c r="A281" s="30">
        <v>0.13528160219073862</v>
      </c>
      <c r="B281"/>
      <c r="C281"/>
      <c r="D281"/>
      <c r="E281"/>
      <c r="F281" s="27" t="s">
        <v>7</v>
      </c>
      <c r="CM281" s="27" t="s">
        <v>8</v>
      </c>
      <c r="CN281" s="27" t="s">
        <v>7</v>
      </c>
      <c r="CO281" s="27" t="s">
        <v>8</v>
      </c>
      <c r="CP281" s="27" t="s">
        <v>7</v>
      </c>
      <c r="CQ281" s="27" t="s">
        <v>8</v>
      </c>
      <c r="CR281" s="27" t="s">
        <v>7</v>
      </c>
      <c r="CS281" s="27" t="s">
        <v>8</v>
      </c>
      <c r="CU281" s="27" t="s">
        <v>8</v>
      </c>
      <c r="CV281" s="27" t="s">
        <v>7</v>
      </c>
      <c r="CW281" s="27" t="s">
        <v>8</v>
      </c>
      <c r="CX281" s="27" t="s">
        <v>7</v>
      </c>
      <c r="CY281" s="31"/>
    </row>
    <row r="282" spans="1:126" x14ac:dyDescent="0.25">
      <c r="A282" s="30">
        <v>0.12883962113403674</v>
      </c>
      <c r="B282"/>
      <c r="C282"/>
      <c r="D282"/>
      <c r="E282"/>
      <c r="F282" s="27" t="s">
        <v>7</v>
      </c>
      <c r="CM282" s="27" t="s">
        <v>8</v>
      </c>
      <c r="CN282" s="27" t="s">
        <v>7</v>
      </c>
      <c r="CO282" s="27" t="s">
        <v>8</v>
      </c>
      <c r="CP282" s="27" t="s">
        <v>7</v>
      </c>
      <c r="CQ282" s="27" t="s">
        <v>8</v>
      </c>
      <c r="CR282" s="27" t="s">
        <v>7</v>
      </c>
      <c r="CS282" s="27" t="s">
        <v>8</v>
      </c>
      <c r="CT282" s="27" t="s">
        <v>7</v>
      </c>
      <c r="CU282" s="27" t="s">
        <v>8</v>
      </c>
      <c r="CV282" s="27" t="s">
        <v>7</v>
      </c>
      <c r="CW282" s="27" t="s">
        <v>8</v>
      </c>
      <c r="CX282" s="27" t="s">
        <v>7</v>
      </c>
      <c r="CY282" s="27" t="s">
        <v>8</v>
      </c>
      <c r="CZ282" s="31"/>
      <c r="DU282" s="27" t="s">
        <v>8</v>
      </c>
    </row>
    <row r="283" spans="1:126" x14ac:dyDescent="0.25">
      <c r="A283" s="30">
        <v>0.12270440108003494</v>
      </c>
      <c r="B283"/>
      <c r="C283"/>
      <c r="D283"/>
      <c r="E283"/>
      <c r="F283" s="27" t="s">
        <v>7</v>
      </c>
      <c r="CM283" s="27" t="s">
        <v>8</v>
      </c>
      <c r="CN283" s="27" t="s">
        <v>7</v>
      </c>
      <c r="CO283" s="27" t="s">
        <v>8</v>
      </c>
      <c r="CP283" s="27" t="s">
        <v>7</v>
      </c>
      <c r="CR283" s="27" t="s">
        <v>7</v>
      </c>
      <c r="CS283" s="27" t="s">
        <v>8</v>
      </c>
      <c r="CT283" s="27" t="s">
        <v>7</v>
      </c>
      <c r="CU283" s="27" t="s">
        <v>8</v>
      </c>
      <c r="CV283" s="27" t="s">
        <v>7</v>
      </c>
      <c r="CX283" s="27" t="s">
        <v>7</v>
      </c>
      <c r="CY283" s="27" t="s">
        <v>8</v>
      </c>
      <c r="CZ283" s="27" t="s">
        <v>7</v>
      </c>
      <c r="DA283" s="31"/>
      <c r="DQ283" s="27" t="s">
        <v>8</v>
      </c>
      <c r="DU283" s="27" t="s">
        <v>8</v>
      </c>
      <c r="DV283" s="27" t="s">
        <v>7</v>
      </c>
    </row>
    <row r="284" spans="1:126" x14ac:dyDescent="0.25">
      <c r="A284" s="30">
        <v>0.11686133436193799</v>
      </c>
      <c r="B284"/>
      <c r="C284"/>
      <c r="D284"/>
      <c r="E284"/>
      <c r="F284" s="27" t="s">
        <v>7</v>
      </c>
      <c r="CM284" s="27" t="s">
        <v>8</v>
      </c>
      <c r="CN284" s="27" t="s">
        <v>7</v>
      </c>
      <c r="CO284" s="27" t="s">
        <v>8</v>
      </c>
      <c r="CR284" s="27" t="s">
        <v>7</v>
      </c>
      <c r="CT284" s="27" t="s">
        <v>7</v>
      </c>
      <c r="CU284" s="27" t="s">
        <v>8</v>
      </c>
      <c r="CX284" s="32" t="s">
        <v>7</v>
      </c>
      <c r="CY284" s="27" t="s">
        <v>8</v>
      </c>
      <c r="CZ284" s="27" t="s">
        <v>7</v>
      </c>
      <c r="DB284" s="31"/>
      <c r="DO284" s="27" t="s">
        <v>8</v>
      </c>
      <c r="DQ284" s="27" t="s">
        <v>8</v>
      </c>
      <c r="DR284" s="27" t="s">
        <v>7</v>
      </c>
      <c r="DU284" s="27" t="s">
        <v>8</v>
      </c>
      <c r="DV284" s="27" t="s">
        <v>7</v>
      </c>
    </row>
    <row r="285" spans="1:126" x14ac:dyDescent="0.25">
      <c r="A285" s="30">
        <v>0.11129650891613138</v>
      </c>
      <c r="B285"/>
      <c r="C285"/>
      <c r="D285"/>
      <c r="E285"/>
      <c r="F285" s="27" t="s">
        <v>7</v>
      </c>
      <c r="CM285" s="27" t="s">
        <v>8</v>
      </c>
      <c r="CN285" s="27" t="s">
        <v>7</v>
      </c>
      <c r="CO285" s="27" t="s">
        <v>8</v>
      </c>
      <c r="CT285" s="27" t="s">
        <v>7</v>
      </c>
      <c r="CU285" s="27" t="s">
        <v>8</v>
      </c>
      <c r="CX285" s="27" t="s">
        <v>7</v>
      </c>
      <c r="CZ285" s="27" t="s">
        <v>7</v>
      </c>
      <c r="DC285" s="31"/>
      <c r="DO285" s="27" t="s">
        <v>8</v>
      </c>
      <c r="DP285" s="27" t="s">
        <v>7</v>
      </c>
      <c r="DQ285" s="27" t="s">
        <v>8</v>
      </c>
      <c r="DR285" s="27" t="s">
        <v>7</v>
      </c>
      <c r="DU285" s="27" t="s">
        <v>8</v>
      </c>
      <c r="DV285" s="27" t="s">
        <v>7</v>
      </c>
    </row>
    <row r="286" spans="1:126" x14ac:dyDescent="0.25">
      <c r="A286" s="30">
        <v>0.10599667515822032</v>
      </c>
      <c r="B286"/>
      <c r="C286"/>
      <c r="D286"/>
      <c r="E286"/>
      <c r="F286" s="27" t="s">
        <v>7</v>
      </c>
      <c r="CM286" s="27" t="s">
        <v>8</v>
      </c>
      <c r="CN286" s="27" t="s">
        <v>7</v>
      </c>
      <c r="CT286" s="27" t="s">
        <v>7</v>
      </c>
      <c r="CU286" s="27" t="s">
        <v>8</v>
      </c>
      <c r="CZ286" s="27" t="s">
        <v>7</v>
      </c>
      <c r="DD286" s="31"/>
      <c r="DM286" s="27" t="s">
        <v>8</v>
      </c>
      <c r="DO286" s="27" t="s">
        <v>8</v>
      </c>
      <c r="DP286" s="27" t="s">
        <v>7</v>
      </c>
      <c r="DQ286" s="27" t="s">
        <v>8</v>
      </c>
      <c r="DR286" s="27" t="s">
        <v>7</v>
      </c>
      <c r="DS286" s="27" t="s">
        <v>8</v>
      </c>
      <c r="DU286" s="27" t="s">
        <v>8</v>
      </c>
      <c r="DV286" s="27" t="s">
        <v>7</v>
      </c>
    </row>
    <row r="287" spans="1:126" x14ac:dyDescent="0.25">
      <c r="A287" s="30">
        <v>0.10094921443640027</v>
      </c>
      <c r="B287"/>
      <c r="C287"/>
      <c r="D287"/>
      <c r="E287"/>
      <c r="F287" s="27" t="s">
        <v>7</v>
      </c>
      <c r="CM287" s="27" t="s">
        <v>8</v>
      </c>
      <c r="CT287" s="27" t="s">
        <v>7</v>
      </c>
      <c r="CU287" s="27" t="s">
        <v>8</v>
      </c>
      <c r="CZ287" s="27" t="s">
        <v>7</v>
      </c>
      <c r="DE287" s="31"/>
      <c r="DM287" s="27" t="s">
        <v>8</v>
      </c>
      <c r="DN287" s="27" t="s">
        <v>7</v>
      </c>
      <c r="DO287" s="27" t="s">
        <v>8</v>
      </c>
      <c r="DP287" s="27" t="s">
        <v>7</v>
      </c>
      <c r="DR287" s="27" t="s">
        <v>7</v>
      </c>
      <c r="DS287" s="27" t="s">
        <v>8</v>
      </c>
      <c r="DT287" s="27" t="s">
        <v>7</v>
      </c>
      <c r="DU287" s="27" t="s">
        <v>8</v>
      </c>
      <c r="DV287" s="27" t="s">
        <v>7</v>
      </c>
    </row>
    <row r="288" spans="1:126" x14ac:dyDescent="0.25">
      <c r="A288" s="30">
        <v>9.6142108987047836E-2</v>
      </c>
      <c r="B288"/>
      <c r="C288"/>
      <c r="D288"/>
      <c r="E288"/>
      <c r="F288" s="27" t="s">
        <v>7</v>
      </c>
      <c r="CK288" s="27" t="s">
        <v>8</v>
      </c>
      <c r="CM288" s="27" t="s">
        <v>8</v>
      </c>
      <c r="CT288" s="27" t="s">
        <v>7</v>
      </c>
      <c r="CU288" s="27" t="s">
        <v>8</v>
      </c>
      <c r="CZ288" s="27" t="s">
        <v>7</v>
      </c>
      <c r="DF288" s="31"/>
      <c r="DK288" s="27" t="s">
        <v>8</v>
      </c>
      <c r="DM288" s="27" t="s">
        <v>8</v>
      </c>
      <c r="DN288" s="27" t="s">
        <v>7</v>
      </c>
      <c r="DO288" s="27" t="s">
        <v>8</v>
      </c>
      <c r="DR288" s="27" t="s">
        <v>7</v>
      </c>
      <c r="DS288" s="27" t="s">
        <v>8</v>
      </c>
      <c r="DT288" s="27" t="s">
        <v>7</v>
      </c>
      <c r="DU288" s="27" t="s">
        <v>8</v>
      </c>
      <c r="DV288" s="27" t="s">
        <v>7</v>
      </c>
    </row>
    <row r="289" spans="1:130" x14ac:dyDescent="0.25">
      <c r="A289" s="30">
        <v>9.1563913320997906E-2</v>
      </c>
      <c r="B289"/>
      <c r="C289"/>
      <c r="D289"/>
      <c r="E289"/>
      <c r="F289" s="27" t="s">
        <v>7</v>
      </c>
      <c r="CK289" s="27" t="s">
        <v>8</v>
      </c>
      <c r="CL289" s="27" t="s">
        <v>7</v>
      </c>
      <c r="CM289" s="27" t="s">
        <v>8</v>
      </c>
      <c r="CT289" s="27" t="s">
        <v>7</v>
      </c>
      <c r="CZ289" s="27" t="s">
        <v>7</v>
      </c>
      <c r="DA289" s="27" t="s">
        <v>8</v>
      </c>
      <c r="DG289" s="31"/>
      <c r="DK289" s="27" t="s">
        <v>8</v>
      </c>
      <c r="DL289" s="27" t="s">
        <v>7</v>
      </c>
      <c r="DM289" s="27" t="s">
        <v>8</v>
      </c>
      <c r="DN289" s="27" t="s">
        <v>7</v>
      </c>
      <c r="DO289" s="27" t="s">
        <v>8</v>
      </c>
      <c r="DR289" s="27" t="s">
        <v>7</v>
      </c>
      <c r="DS289" s="27" t="s">
        <v>8</v>
      </c>
      <c r="DT289" s="27" t="s">
        <v>7</v>
      </c>
      <c r="DV289" s="27" t="s">
        <v>7</v>
      </c>
      <c r="DW289" s="27" t="s">
        <v>8</v>
      </c>
    </row>
    <row r="290" spans="1:130" x14ac:dyDescent="0.25">
      <c r="A290" s="30">
        <v>8.7203726972378923E-2</v>
      </c>
      <c r="B290"/>
      <c r="C290"/>
      <c r="D290"/>
      <c r="E290"/>
      <c r="F290" s="27" t="s">
        <v>7</v>
      </c>
      <c r="CK290" s="27" t="s">
        <v>8</v>
      </c>
      <c r="CL290" s="27" t="s">
        <v>7</v>
      </c>
      <c r="CM290" s="27" t="s">
        <v>8</v>
      </c>
      <c r="CZ290" s="27" t="s">
        <v>7</v>
      </c>
      <c r="DA290" s="27" t="s">
        <v>8</v>
      </c>
      <c r="DB290" s="27" t="s">
        <v>7</v>
      </c>
      <c r="DH290" s="31"/>
      <c r="DK290" s="27" t="s">
        <v>8</v>
      </c>
      <c r="DL290" s="27" t="s">
        <v>7</v>
      </c>
      <c r="DM290" s="27" t="s">
        <v>8</v>
      </c>
      <c r="DN290" s="27" t="s">
        <v>7</v>
      </c>
      <c r="DO290" s="27" t="s">
        <v>8</v>
      </c>
      <c r="DR290" s="27" t="s">
        <v>7</v>
      </c>
      <c r="DS290" s="27" t="s">
        <v>8</v>
      </c>
      <c r="DV290" s="27" t="s">
        <v>7</v>
      </c>
      <c r="DW290" s="27" t="s">
        <v>8</v>
      </c>
      <c r="DX290" s="27" t="s">
        <v>7</v>
      </c>
    </row>
    <row r="291" spans="1:130" x14ac:dyDescent="0.25">
      <c r="A291" s="30">
        <v>8.3051168545122747E-2</v>
      </c>
      <c r="B291"/>
      <c r="C291"/>
      <c r="D291"/>
      <c r="E291"/>
      <c r="F291" s="27" t="s">
        <v>7</v>
      </c>
      <c r="CK291" s="27" t="s">
        <v>8</v>
      </c>
      <c r="CL291" s="27" t="s">
        <v>7</v>
      </c>
      <c r="CZ291" s="27" t="s">
        <v>7</v>
      </c>
      <c r="DA291" s="27" t="s">
        <v>8</v>
      </c>
      <c r="DB291" s="27" t="s">
        <v>7</v>
      </c>
      <c r="DC291" s="27" t="s">
        <v>8</v>
      </c>
      <c r="DI291" s="31"/>
      <c r="DK291" s="27" t="s">
        <v>8</v>
      </c>
      <c r="DL291" s="27" t="s">
        <v>7</v>
      </c>
      <c r="DN291" s="27" t="s">
        <v>7</v>
      </c>
      <c r="DO291" s="27" t="s">
        <v>8</v>
      </c>
      <c r="DR291" s="27" t="s">
        <v>7</v>
      </c>
      <c r="DV291" s="27" t="s">
        <v>7</v>
      </c>
      <c r="DW291" s="27" t="s">
        <v>8</v>
      </c>
      <c r="DX291" s="27" t="s">
        <v>7</v>
      </c>
    </row>
    <row r="292" spans="1:130" x14ac:dyDescent="0.25">
      <c r="A292" s="30">
        <v>7.9096350995354961E-2</v>
      </c>
      <c r="B292"/>
      <c r="C292"/>
      <c r="D292"/>
      <c r="E292"/>
      <c r="F292" s="27" t="s">
        <v>7</v>
      </c>
      <c r="CK292" s="27" t="s">
        <v>8</v>
      </c>
      <c r="CZ292" s="27" t="s">
        <v>7</v>
      </c>
      <c r="DA292" s="27" t="s">
        <v>8</v>
      </c>
      <c r="DB292" s="27" t="s">
        <v>7</v>
      </c>
      <c r="DC292" s="27" t="s">
        <v>8</v>
      </c>
      <c r="DD292" s="27" t="s">
        <v>7</v>
      </c>
      <c r="DE292" s="27" t="s">
        <v>8</v>
      </c>
      <c r="DJ292" s="31"/>
      <c r="DK292" s="27" t="s">
        <v>8</v>
      </c>
      <c r="DN292" s="27" t="s">
        <v>7</v>
      </c>
      <c r="DV292" s="27" t="s">
        <v>7</v>
      </c>
      <c r="DW292" s="27" t="s">
        <v>8</v>
      </c>
      <c r="DX292" s="27" t="s">
        <v>7</v>
      </c>
    </row>
    <row r="293" spans="1:130" x14ac:dyDescent="0.25">
      <c r="A293" s="30">
        <v>7.5329858090814217E-2</v>
      </c>
      <c r="B293"/>
      <c r="C293"/>
      <c r="D293"/>
      <c r="E293"/>
      <c r="F293" s="27" t="s">
        <v>7</v>
      </c>
      <c r="CK293" s="27" t="s">
        <v>8</v>
      </c>
      <c r="CZ293" s="27" t="s">
        <v>7</v>
      </c>
      <c r="DA293" s="27" t="s">
        <v>8</v>
      </c>
      <c r="DB293" s="27" t="s">
        <v>7</v>
      </c>
      <c r="DC293" s="27" t="s">
        <v>8</v>
      </c>
      <c r="DD293" s="27" t="s">
        <v>7</v>
      </c>
      <c r="DE293" s="27" t="s">
        <v>8</v>
      </c>
      <c r="DF293" s="27" t="s">
        <v>7</v>
      </c>
      <c r="DK293" s="31" t="s">
        <v>8</v>
      </c>
      <c r="DV293" s="27" t="s">
        <v>7</v>
      </c>
      <c r="DX293" s="27" t="s">
        <v>7</v>
      </c>
    </row>
    <row r="294" spans="1:130" x14ac:dyDescent="0.25">
      <c r="A294" s="30">
        <v>7.1742721991251604E-2</v>
      </c>
      <c r="B294"/>
      <c r="C294"/>
      <c r="D294"/>
      <c r="E294"/>
      <c r="F294" s="27" t="s">
        <v>7</v>
      </c>
      <c r="CK294" s="27" t="s">
        <v>8</v>
      </c>
      <c r="CZ294" s="27" t="s">
        <v>7</v>
      </c>
      <c r="DA294" s="27" t="s">
        <v>8</v>
      </c>
      <c r="DB294" s="27" t="s">
        <v>7</v>
      </c>
      <c r="DC294" s="27" t="s">
        <v>8</v>
      </c>
      <c r="DD294" s="27" t="s">
        <v>7</v>
      </c>
      <c r="DE294" s="27" t="s">
        <v>8</v>
      </c>
      <c r="DF294" s="27" t="s">
        <v>7</v>
      </c>
      <c r="DK294" s="33" t="s">
        <v>8</v>
      </c>
      <c r="DL294" s="19"/>
      <c r="DX294" s="27" t="s">
        <v>7</v>
      </c>
      <c r="DY294" s="27" t="s">
        <v>8</v>
      </c>
    </row>
    <row r="295" spans="1:130" x14ac:dyDescent="0.25">
      <c r="A295" s="30">
        <v>6.8326401896430078E-2</v>
      </c>
      <c r="B295"/>
      <c r="C295"/>
      <c r="D295"/>
      <c r="E295"/>
      <c r="F295" s="27" t="s">
        <v>7</v>
      </c>
      <c r="CI295" s="27" t="s">
        <v>8</v>
      </c>
      <c r="CK295" s="27" t="s">
        <v>8</v>
      </c>
      <c r="CZ295" s="27" t="s">
        <v>7</v>
      </c>
      <c r="DA295" s="27" t="s">
        <v>8</v>
      </c>
      <c r="DB295" s="27" t="s">
        <v>7</v>
      </c>
      <c r="DC295" s="27" t="s">
        <v>8</v>
      </c>
      <c r="DD295" s="27" t="s">
        <v>7</v>
      </c>
      <c r="DF295" s="27" t="s">
        <v>7</v>
      </c>
      <c r="DG295" s="27" t="s">
        <v>8</v>
      </c>
      <c r="DI295" s="27" t="s">
        <v>8</v>
      </c>
      <c r="DK295" s="27" t="s">
        <v>8</v>
      </c>
      <c r="DX295" s="27" t="s">
        <v>7</v>
      </c>
      <c r="DY295" s="27" t="s">
        <v>8</v>
      </c>
      <c r="DZ295" s="27" t="s">
        <v>7</v>
      </c>
    </row>
    <row r="296" spans="1:130" x14ac:dyDescent="0.25">
      <c r="A296" s="30">
        <v>6.5072763710885759E-2</v>
      </c>
      <c r="B296"/>
      <c r="C296"/>
      <c r="D296"/>
      <c r="E296"/>
      <c r="F296" s="27" t="s">
        <v>7</v>
      </c>
      <c r="CI296" s="27" t="s">
        <v>8</v>
      </c>
      <c r="CJ296" s="27" t="s">
        <v>7</v>
      </c>
      <c r="CK296" s="27" t="s">
        <v>8</v>
      </c>
      <c r="CZ296" s="27" t="s">
        <v>7</v>
      </c>
      <c r="DB296" s="27" t="s">
        <v>7</v>
      </c>
      <c r="DC296" s="27" t="s">
        <v>8</v>
      </c>
      <c r="DF296" s="27" t="s">
        <v>7</v>
      </c>
      <c r="DG296" s="27" t="s">
        <v>8</v>
      </c>
      <c r="DH296" s="27" t="s">
        <v>7</v>
      </c>
      <c r="DI296" s="27" t="s">
        <v>8</v>
      </c>
      <c r="DJ296" s="27" t="s">
        <v>7</v>
      </c>
      <c r="DK296" s="27" t="s">
        <v>8</v>
      </c>
      <c r="DX296" s="27" t="s">
        <v>7</v>
      </c>
      <c r="DY296" s="27" t="s">
        <v>8</v>
      </c>
      <c r="DZ296" s="27" t="s">
        <v>7</v>
      </c>
    </row>
    <row r="297" spans="1:130" x14ac:dyDescent="0.25">
      <c r="A297" s="30">
        <v>6.197406067703403E-2</v>
      </c>
      <c r="B297"/>
      <c r="C297"/>
      <c r="D297"/>
      <c r="E297"/>
      <c r="F297" s="27" t="s">
        <v>7</v>
      </c>
      <c r="CG297" s="27" t="s">
        <v>8</v>
      </c>
      <c r="CI297" s="27" t="s">
        <v>8</v>
      </c>
      <c r="CJ297" s="27" t="s">
        <v>7</v>
      </c>
      <c r="CK297" s="27" t="s">
        <v>8</v>
      </c>
      <c r="DB297" s="27" t="s">
        <v>7</v>
      </c>
      <c r="DC297" s="27" t="s">
        <v>8</v>
      </c>
      <c r="DF297" s="27" t="s">
        <v>7</v>
      </c>
      <c r="DG297" s="27" t="s">
        <v>8</v>
      </c>
      <c r="DH297" s="27" t="s">
        <v>7</v>
      </c>
      <c r="DI297" s="27" t="s">
        <v>8</v>
      </c>
      <c r="DJ297" s="27" t="s">
        <v>7</v>
      </c>
      <c r="DK297" s="27" t="s">
        <v>8</v>
      </c>
      <c r="DX297" s="27" t="s">
        <v>7</v>
      </c>
      <c r="DZ297" s="27" t="s">
        <v>7</v>
      </c>
    </row>
    <row r="298" spans="1:130" x14ac:dyDescent="0.25">
      <c r="A298" s="30">
        <v>5.9022914930508576E-2</v>
      </c>
      <c r="B298"/>
      <c r="C298"/>
      <c r="D298"/>
      <c r="E298"/>
      <c r="F298" s="27" t="s">
        <v>7</v>
      </c>
      <c r="CE298" s="27" t="s">
        <v>8</v>
      </c>
      <c r="CG298" s="27" t="s">
        <v>8</v>
      </c>
      <c r="CH298" s="27" t="s">
        <v>7</v>
      </c>
      <c r="CI298" s="27" t="s">
        <v>8</v>
      </c>
      <c r="CJ298" s="27" t="s">
        <v>7</v>
      </c>
      <c r="CK298" s="27" t="s">
        <v>8</v>
      </c>
      <c r="DB298" s="27" t="s">
        <v>7</v>
      </c>
      <c r="DC298" s="27" t="s">
        <v>8</v>
      </c>
      <c r="DF298" s="27" t="s">
        <v>7</v>
      </c>
      <c r="DG298" s="27" t="s">
        <v>8</v>
      </c>
      <c r="DH298" s="27" t="s">
        <v>7</v>
      </c>
      <c r="DJ298" s="27" t="s">
        <v>7</v>
      </c>
      <c r="DK298" s="27" t="s">
        <v>8</v>
      </c>
      <c r="DM298" s="31"/>
      <c r="DZ298" s="27" t="s">
        <v>7</v>
      </c>
    </row>
    <row r="299" spans="1:130" x14ac:dyDescent="0.25">
      <c r="A299" s="30">
        <v>5.6212299933817669E-2</v>
      </c>
      <c r="B299"/>
      <c r="C299"/>
      <c r="D299"/>
      <c r="E299"/>
      <c r="F299" s="27" t="s">
        <v>7</v>
      </c>
      <c r="CE299" s="27" t="s">
        <v>8</v>
      </c>
      <c r="CF299" s="27" t="s">
        <v>7</v>
      </c>
      <c r="CG299" s="27" t="s">
        <v>8</v>
      </c>
      <c r="CH299" s="27" t="s">
        <v>7</v>
      </c>
      <c r="CI299" s="27" t="s">
        <v>8</v>
      </c>
      <c r="CJ299" s="27" t="s">
        <v>7</v>
      </c>
      <c r="CK299" s="27" t="s">
        <v>8</v>
      </c>
      <c r="DB299" s="27" t="s">
        <v>7</v>
      </c>
      <c r="DF299" s="27" t="s">
        <v>7</v>
      </c>
      <c r="DG299" s="27" t="s">
        <v>8</v>
      </c>
      <c r="DJ299" s="27" t="s">
        <v>7</v>
      </c>
      <c r="DK299" s="27" t="s">
        <v>8</v>
      </c>
      <c r="DL299" s="31"/>
      <c r="DZ299" s="27" t="s">
        <v>7</v>
      </c>
    </row>
    <row r="300" spans="1:130" x14ac:dyDescent="0.25">
      <c r="A300" s="30">
        <v>5.3535523746492994E-2</v>
      </c>
      <c r="B300"/>
      <c r="C300"/>
      <c r="D300"/>
      <c r="E300"/>
      <c r="F300" s="27" t="s">
        <v>7</v>
      </c>
      <c r="CE300" s="27" t="s">
        <v>8</v>
      </c>
      <c r="CF300" s="27" t="s">
        <v>7</v>
      </c>
      <c r="CG300" s="27" t="s">
        <v>8</v>
      </c>
      <c r="CH300" s="27" t="s">
        <v>7</v>
      </c>
      <c r="CI300" s="27" t="s">
        <v>8</v>
      </c>
      <c r="CJ300" s="27" t="s">
        <v>7</v>
      </c>
      <c r="DF300" s="27" t="s">
        <v>7</v>
      </c>
      <c r="DG300" s="27" t="s">
        <v>8</v>
      </c>
      <c r="DJ300" s="18" t="s">
        <v>7</v>
      </c>
      <c r="DK300" s="31" t="s">
        <v>8</v>
      </c>
      <c r="DZ300" s="27" t="s">
        <v>7</v>
      </c>
    </row>
    <row r="301" spans="1:130" x14ac:dyDescent="0.25">
      <c r="A301" s="30">
        <v>5.0986213091898068E-2</v>
      </c>
      <c r="B301"/>
      <c r="C301"/>
      <c r="D301"/>
      <c r="E301"/>
      <c r="F301" s="27" t="s">
        <v>7</v>
      </c>
      <c r="CE301" s="27" t="s">
        <v>8</v>
      </c>
      <c r="CF301" s="27" t="s">
        <v>7</v>
      </c>
      <c r="CG301" s="27" t="s">
        <v>8</v>
      </c>
      <c r="CH301" s="27" t="s">
        <v>7</v>
      </c>
      <c r="CI301" s="27" t="s">
        <v>8</v>
      </c>
      <c r="DF301" s="27" t="s">
        <v>7</v>
      </c>
      <c r="DG301" s="27" t="s">
        <v>8</v>
      </c>
      <c r="DJ301" s="31" t="s">
        <v>7</v>
      </c>
    </row>
    <row r="302" spans="1:130" x14ac:dyDescent="0.25">
      <c r="A302" s="30">
        <v>4.8558298182760043E-2</v>
      </c>
      <c r="B302"/>
      <c r="C302"/>
      <c r="D302"/>
      <c r="E302"/>
      <c r="F302" s="27" t="s">
        <v>7</v>
      </c>
      <c r="BG302" s="27" t="s">
        <v>8</v>
      </c>
      <c r="CC302" s="27" t="s">
        <v>8</v>
      </c>
      <c r="CE302" s="27" t="s">
        <v>8</v>
      </c>
      <c r="CF302" s="27" t="s">
        <v>7</v>
      </c>
      <c r="CG302" s="27" t="s">
        <v>8</v>
      </c>
      <c r="CH302" s="27" t="s">
        <v>7</v>
      </c>
      <c r="CI302" s="27" t="s">
        <v>8</v>
      </c>
      <c r="DF302" s="27" t="s">
        <v>7</v>
      </c>
    </row>
    <row r="303" spans="1:130" x14ac:dyDescent="0.25">
      <c r="A303" s="30">
        <v>4.6245998269295263E-2</v>
      </c>
      <c r="B303"/>
      <c r="C303"/>
      <c r="D303"/>
      <c r="E303"/>
      <c r="F303" s="27" t="s">
        <v>7</v>
      </c>
      <c r="BG303" s="27" t="s">
        <v>8</v>
      </c>
      <c r="BH303" s="27" t="s">
        <v>7</v>
      </c>
      <c r="CC303" s="27" t="s">
        <v>8</v>
      </c>
      <c r="CD303" s="27" t="s">
        <v>7</v>
      </c>
      <c r="CE303" s="27" t="s">
        <v>8</v>
      </c>
      <c r="CF303" s="27" t="s">
        <v>7</v>
      </c>
      <c r="CH303" s="27" t="s">
        <v>7</v>
      </c>
      <c r="CI303" s="27" t="s">
        <v>8</v>
      </c>
    </row>
    <row r="304" spans="1:130" x14ac:dyDescent="0.25">
      <c r="A304" s="30">
        <v>4.4043807875519279E-2</v>
      </c>
      <c r="B304"/>
      <c r="C304"/>
      <c r="D304"/>
      <c r="E304"/>
      <c r="F304" s="27" t="s">
        <v>7</v>
      </c>
      <c r="BG304" s="27" t="s">
        <v>8</v>
      </c>
      <c r="BH304" s="27" t="s">
        <v>7</v>
      </c>
      <c r="CA304" s="27" t="s">
        <v>8</v>
      </c>
      <c r="CC304" s="27" t="s">
        <v>8</v>
      </c>
      <c r="CD304" s="27" t="s">
        <v>7</v>
      </c>
      <c r="CE304" s="27" t="s">
        <v>8</v>
      </c>
      <c r="CH304" s="27" t="s">
        <v>7</v>
      </c>
      <c r="CI304" s="27" t="s">
        <v>8</v>
      </c>
    </row>
    <row r="305" spans="1:87" x14ac:dyDescent="0.25">
      <c r="A305" s="30">
        <v>4.1946483690970725E-2</v>
      </c>
      <c r="B305"/>
      <c r="C305"/>
      <c r="D305"/>
      <c r="E305"/>
      <c r="F305" s="27" t="s">
        <v>7</v>
      </c>
      <c r="BG305" s="27" t="s">
        <v>8</v>
      </c>
      <c r="BH305" s="27" t="s">
        <v>7</v>
      </c>
      <c r="CA305" s="27" t="s">
        <v>8</v>
      </c>
      <c r="CB305" s="27" t="s">
        <v>7</v>
      </c>
      <c r="CC305" s="27" t="s">
        <v>8</v>
      </c>
      <c r="CD305" s="27" t="s">
        <v>7</v>
      </c>
      <c r="CH305" s="27" t="s">
        <v>7</v>
      </c>
      <c r="CI305" s="27" t="s">
        <v>8</v>
      </c>
    </row>
    <row r="306" spans="1:87" x14ac:dyDescent="0.25">
      <c r="A306" s="30">
        <v>3.9949032086638768E-2</v>
      </c>
      <c r="B306"/>
      <c r="C306"/>
      <c r="D306"/>
      <c r="E306"/>
      <c r="F306" s="27" t="s">
        <v>7</v>
      </c>
      <c r="AC306" s="27" t="s">
        <v>8</v>
      </c>
      <c r="AE306" s="27" t="s">
        <v>8</v>
      </c>
      <c r="BG306" s="27" t="s">
        <v>8</v>
      </c>
      <c r="BH306" s="27" t="s">
        <v>7</v>
      </c>
      <c r="CA306" s="27" t="s">
        <v>8</v>
      </c>
      <c r="CB306" s="27" t="s">
        <v>7</v>
      </c>
      <c r="CC306" s="27" t="s">
        <v>8</v>
      </c>
      <c r="CH306" s="27" t="s">
        <v>7</v>
      </c>
      <c r="CI306" s="27" t="s">
        <v>8</v>
      </c>
    </row>
    <row r="307" spans="1:87" x14ac:dyDescent="0.25">
      <c r="A307" s="30">
        <v>3.8046697225370241E-2</v>
      </c>
      <c r="B307"/>
      <c r="C307"/>
      <c r="D307"/>
      <c r="E307"/>
      <c r="F307" s="27" t="s">
        <v>7</v>
      </c>
      <c r="AC307" s="27" t="s">
        <v>8</v>
      </c>
      <c r="AD307" s="27" t="s">
        <v>7</v>
      </c>
      <c r="AE307" s="27" t="s">
        <v>8</v>
      </c>
      <c r="AF307" s="27" t="s">
        <v>7</v>
      </c>
      <c r="BG307" s="27" t="s">
        <v>8</v>
      </c>
      <c r="BH307" s="27" t="s">
        <v>7</v>
      </c>
      <c r="BO307" s="27" t="s">
        <v>8</v>
      </c>
      <c r="CA307" s="27" t="s">
        <v>8</v>
      </c>
      <c r="CB307" s="27" t="s">
        <v>7</v>
      </c>
      <c r="CC307" s="27" t="s">
        <v>8</v>
      </c>
      <c r="CH307" s="27" t="s">
        <v>7</v>
      </c>
    </row>
    <row r="308" spans="1:87" x14ac:dyDescent="0.25">
      <c r="A308" s="30">
        <v>3.6234949738447833E-2</v>
      </c>
      <c r="B308"/>
      <c r="C308"/>
      <c r="D308"/>
      <c r="E308"/>
      <c r="F308" s="27" t="s">
        <v>7</v>
      </c>
      <c r="AA308" s="27" t="s">
        <v>8</v>
      </c>
      <c r="AC308" s="27" t="s">
        <v>8</v>
      </c>
      <c r="AD308" s="27" t="s">
        <v>7</v>
      </c>
      <c r="AE308" s="27" t="s">
        <v>8</v>
      </c>
      <c r="AF308" s="27" t="s">
        <v>7</v>
      </c>
      <c r="BG308" s="27" t="s">
        <v>8</v>
      </c>
      <c r="BH308" s="27" t="s">
        <v>7</v>
      </c>
      <c r="BO308" s="27" t="s">
        <v>8</v>
      </c>
      <c r="BP308" s="27" t="s">
        <v>7</v>
      </c>
      <c r="BW308" s="27" t="s">
        <v>8</v>
      </c>
      <c r="CA308" s="27" t="s">
        <v>8</v>
      </c>
      <c r="CB308" s="27" t="s">
        <v>7</v>
      </c>
      <c r="CC308" s="27" t="s">
        <v>8</v>
      </c>
    </row>
    <row r="309" spans="1:87" x14ac:dyDescent="0.25">
      <c r="A309" s="30">
        <v>3.4509475941378875E-2</v>
      </c>
      <c r="B309"/>
      <c r="C309"/>
      <c r="D309"/>
      <c r="E309"/>
      <c r="F309" s="27" t="s">
        <v>7</v>
      </c>
      <c r="AA309" s="27" t="s">
        <v>8</v>
      </c>
      <c r="AB309" s="27" t="s">
        <v>7</v>
      </c>
      <c r="AC309" s="27" t="s">
        <v>8</v>
      </c>
      <c r="AD309" s="27" t="s">
        <v>7</v>
      </c>
      <c r="AE309" s="27" t="s">
        <v>8</v>
      </c>
      <c r="AF309" s="27" t="s">
        <v>7</v>
      </c>
      <c r="BG309" s="27" t="s">
        <v>8</v>
      </c>
      <c r="BH309" s="27" t="s">
        <v>7</v>
      </c>
      <c r="BI309" s="27" t="s">
        <v>8</v>
      </c>
      <c r="BO309" s="27" t="s">
        <v>8</v>
      </c>
      <c r="BP309" s="27" t="s">
        <v>7</v>
      </c>
      <c r="BW309" s="27" t="s">
        <v>8</v>
      </c>
      <c r="BX309" s="27" t="s">
        <v>7</v>
      </c>
      <c r="CA309" s="27" t="s">
        <v>8</v>
      </c>
      <c r="CB309" s="27" t="s">
        <v>7</v>
      </c>
      <c r="CC309" s="27" t="s">
        <v>8</v>
      </c>
    </row>
    <row r="310" spans="1:87" x14ac:dyDescent="0.25">
      <c r="A310" s="30">
        <v>3.286616756321796E-2</v>
      </c>
      <c r="B310"/>
      <c r="C310"/>
      <c r="D310"/>
      <c r="E310"/>
      <c r="F310" s="27" t="s">
        <v>7</v>
      </c>
      <c r="O310" s="27" t="s">
        <v>8</v>
      </c>
      <c r="W310" s="27" t="s">
        <v>8</v>
      </c>
      <c r="AA310" s="27" t="s">
        <v>8</v>
      </c>
      <c r="AB310" s="27" t="s">
        <v>7</v>
      </c>
      <c r="AC310" s="27" t="s">
        <v>8</v>
      </c>
      <c r="AD310" s="27" t="s">
        <v>7</v>
      </c>
      <c r="AE310" s="27" t="s">
        <v>8</v>
      </c>
      <c r="AF310" s="27" t="s">
        <v>7</v>
      </c>
      <c r="BG310" s="27" t="s">
        <v>8</v>
      </c>
      <c r="BH310" s="27" t="s">
        <v>7</v>
      </c>
      <c r="BI310" s="27" t="s">
        <v>8</v>
      </c>
      <c r="BJ310" s="27" t="s">
        <v>7</v>
      </c>
      <c r="BO310" s="27" t="s">
        <v>8</v>
      </c>
      <c r="BP310" s="27" t="s">
        <v>7</v>
      </c>
      <c r="BQ310" s="27" t="s">
        <v>8</v>
      </c>
      <c r="BS310" s="27" t="s">
        <v>8</v>
      </c>
      <c r="BW310" s="27" t="s">
        <v>8</v>
      </c>
      <c r="BX310" s="27" t="s">
        <v>7</v>
      </c>
      <c r="CA310" s="27" t="s">
        <v>8</v>
      </c>
      <c r="CB310" s="27" t="s">
        <v>7</v>
      </c>
      <c r="CC310" s="27" t="s">
        <v>8</v>
      </c>
    </row>
    <row r="311" spans="1:87" x14ac:dyDescent="0.25">
      <c r="A311" s="30">
        <v>3.1301111964969472E-2</v>
      </c>
      <c r="B311"/>
      <c r="C311"/>
      <c r="D311"/>
      <c r="E311"/>
      <c r="F311" s="27" t="s">
        <v>7</v>
      </c>
      <c r="O311" s="27" t="s">
        <v>8</v>
      </c>
      <c r="P311" s="27" t="s">
        <v>7</v>
      </c>
      <c r="U311" s="27" t="s">
        <v>8</v>
      </c>
      <c r="W311" s="27" t="s">
        <v>8</v>
      </c>
      <c r="X311" s="27" t="s">
        <v>7</v>
      </c>
      <c r="AA311" s="27" t="s">
        <v>8</v>
      </c>
      <c r="AB311" s="27" t="s">
        <v>7</v>
      </c>
      <c r="AC311" s="27" t="s">
        <v>8</v>
      </c>
      <c r="AD311" s="27" t="s">
        <v>7</v>
      </c>
      <c r="AE311" s="27" t="s">
        <v>8</v>
      </c>
      <c r="AF311" s="27" t="s">
        <v>7</v>
      </c>
      <c r="BE311" s="27" t="s">
        <v>8</v>
      </c>
      <c r="BG311" s="27" t="s">
        <v>8</v>
      </c>
      <c r="BH311" s="27" t="s">
        <v>7</v>
      </c>
      <c r="BI311" s="27" t="s">
        <v>8</v>
      </c>
      <c r="BJ311" s="27" t="s">
        <v>7</v>
      </c>
      <c r="BO311" s="27" t="s">
        <v>8</v>
      </c>
      <c r="BP311" s="27" t="s">
        <v>7</v>
      </c>
      <c r="BQ311" s="27" t="s">
        <v>8</v>
      </c>
      <c r="BR311" s="27" t="s">
        <v>7</v>
      </c>
      <c r="BS311" s="27" t="s">
        <v>8</v>
      </c>
      <c r="BT311" s="27" t="s">
        <v>7</v>
      </c>
      <c r="BU311" s="27" t="s">
        <v>8</v>
      </c>
      <c r="BW311" s="27" t="s">
        <v>8</v>
      </c>
      <c r="BX311" s="27" t="s">
        <v>7</v>
      </c>
      <c r="BY311" s="27" t="s">
        <v>8</v>
      </c>
      <c r="CA311" s="27" t="s">
        <v>8</v>
      </c>
      <c r="CB311" s="27" t="s">
        <v>7</v>
      </c>
    </row>
    <row r="312" spans="1:87" x14ac:dyDescent="0.25">
      <c r="A312" s="30">
        <v>2.9810582823780438E-2</v>
      </c>
      <c r="B312"/>
      <c r="C312"/>
      <c r="D312"/>
      <c r="E312"/>
      <c r="F312" s="27" t="s">
        <v>7</v>
      </c>
      <c r="O312" s="27" t="s">
        <v>8</v>
      </c>
      <c r="P312" s="27" t="s">
        <v>7</v>
      </c>
      <c r="Q312" s="27" t="s">
        <v>8</v>
      </c>
      <c r="U312" s="27" t="s">
        <v>8</v>
      </c>
      <c r="V312" s="27" t="s">
        <v>7</v>
      </c>
      <c r="W312" s="27" t="s">
        <v>8</v>
      </c>
      <c r="X312" s="27" t="s">
        <v>7</v>
      </c>
      <c r="Y312" s="27" t="s">
        <v>8</v>
      </c>
      <c r="AA312" s="27" t="s">
        <v>8</v>
      </c>
      <c r="AB312" s="27" t="s">
        <v>7</v>
      </c>
      <c r="AD312" s="27" t="s">
        <v>7</v>
      </c>
      <c r="AF312" s="27" t="s">
        <v>7</v>
      </c>
      <c r="AG312" s="27" t="s">
        <v>8</v>
      </c>
      <c r="BE312" s="27" t="s">
        <v>8</v>
      </c>
      <c r="BF312" s="27" t="s">
        <v>7</v>
      </c>
      <c r="BG312" s="27" t="s">
        <v>8</v>
      </c>
      <c r="BH312" s="27" t="s">
        <v>7</v>
      </c>
      <c r="BI312" s="27" t="s">
        <v>8</v>
      </c>
      <c r="BJ312" s="27" t="s">
        <v>7</v>
      </c>
      <c r="BO312" s="27" t="s">
        <v>8</v>
      </c>
      <c r="BP312" s="27" t="s">
        <v>7</v>
      </c>
      <c r="BQ312" s="27" t="s">
        <v>8</v>
      </c>
      <c r="BR312" s="27" t="s">
        <v>7</v>
      </c>
      <c r="BS312" s="27" t="s">
        <v>8</v>
      </c>
      <c r="BT312" s="27" t="s">
        <v>7</v>
      </c>
      <c r="BU312" s="27" t="s">
        <v>8</v>
      </c>
      <c r="BV312" s="27" t="s">
        <v>7</v>
      </c>
      <c r="BW312" s="27" t="s">
        <v>8</v>
      </c>
      <c r="BX312" s="27" t="s">
        <v>7</v>
      </c>
      <c r="BY312" s="27" t="s">
        <v>8</v>
      </c>
      <c r="BZ312" s="27" t="s">
        <v>7</v>
      </c>
      <c r="CA312" s="27" t="s">
        <v>8</v>
      </c>
    </row>
    <row r="313" spans="1:87" x14ac:dyDescent="0.25">
      <c r="A313" s="30">
        <v>2.8391031260743264E-2</v>
      </c>
      <c r="B313"/>
      <c r="C313"/>
      <c r="D313"/>
      <c r="E313"/>
      <c r="F313" s="27" t="s">
        <v>7</v>
      </c>
      <c r="O313" s="27" t="s">
        <v>8</v>
      </c>
      <c r="P313" s="27" t="s">
        <v>7</v>
      </c>
      <c r="Q313" s="27" t="s">
        <v>8</v>
      </c>
      <c r="R313" s="27" t="s">
        <v>7</v>
      </c>
      <c r="S313" s="27" t="s">
        <v>8</v>
      </c>
      <c r="U313" s="27" t="s">
        <v>8</v>
      </c>
      <c r="V313" s="27" t="s">
        <v>7</v>
      </c>
      <c r="W313" s="27" t="s">
        <v>8</v>
      </c>
      <c r="X313" s="27" t="s">
        <v>7</v>
      </c>
      <c r="Y313" s="27" t="s">
        <v>8</v>
      </c>
      <c r="Z313" s="27" t="s">
        <v>7</v>
      </c>
      <c r="AA313" s="27" t="s">
        <v>8</v>
      </c>
      <c r="AF313" s="27" t="s">
        <v>7</v>
      </c>
      <c r="AG313" s="27" t="s">
        <v>8</v>
      </c>
      <c r="AH313" s="27" t="s">
        <v>7</v>
      </c>
      <c r="BE313" s="27" t="s">
        <v>8</v>
      </c>
      <c r="BF313" s="27" t="s">
        <v>7</v>
      </c>
      <c r="BG313" s="27" t="s">
        <v>8</v>
      </c>
      <c r="BH313" s="27" t="s">
        <v>7</v>
      </c>
      <c r="BJ313" s="27" t="s">
        <v>7</v>
      </c>
      <c r="BK313" s="27" t="s">
        <v>8</v>
      </c>
      <c r="BM313" s="27" t="s">
        <v>8</v>
      </c>
      <c r="BO313" s="27" t="s">
        <v>8</v>
      </c>
      <c r="BP313" s="27" t="s">
        <v>7</v>
      </c>
      <c r="BR313" s="27" t="s">
        <v>7</v>
      </c>
      <c r="BS313" s="27" t="s">
        <v>8</v>
      </c>
      <c r="BT313" s="27" t="s">
        <v>7</v>
      </c>
      <c r="BU313" s="27" t="s">
        <v>8</v>
      </c>
      <c r="BV313" s="27" t="s">
        <v>7</v>
      </c>
      <c r="BW313" s="27" t="s">
        <v>8</v>
      </c>
      <c r="BX313" s="27" t="s">
        <v>7</v>
      </c>
      <c r="BY313" s="27" t="s">
        <v>8</v>
      </c>
      <c r="BZ313" s="27" t="s">
        <v>7</v>
      </c>
      <c r="CA313" s="27" t="s">
        <v>8</v>
      </c>
    </row>
    <row r="314" spans="1:87" x14ac:dyDescent="0.25">
      <c r="A314" s="30">
        <v>2.7039077391184052E-2</v>
      </c>
      <c r="B314"/>
      <c r="C314"/>
      <c r="D314"/>
      <c r="E314"/>
      <c r="F314" s="27" t="s">
        <v>7</v>
      </c>
      <c r="O314" s="27" t="s">
        <v>8</v>
      </c>
      <c r="P314" s="27" t="s">
        <v>7</v>
      </c>
      <c r="Q314" s="27" t="s">
        <v>8</v>
      </c>
      <c r="R314" s="27" t="s">
        <v>7</v>
      </c>
      <c r="S314" s="27" t="s">
        <v>8</v>
      </c>
      <c r="T314" s="27" t="s">
        <v>7</v>
      </c>
      <c r="U314" s="27" t="s">
        <v>8</v>
      </c>
      <c r="V314" s="27" t="s">
        <v>7</v>
      </c>
      <c r="W314" s="27" t="s">
        <v>8</v>
      </c>
      <c r="X314" s="27" t="s">
        <v>7</v>
      </c>
      <c r="Y314" s="27" t="s">
        <v>8</v>
      </c>
      <c r="Z314" s="27" t="s">
        <v>7</v>
      </c>
      <c r="AA314" s="27" t="s">
        <v>8</v>
      </c>
      <c r="AF314" s="27" t="s">
        <v>7</v>
      </c>
      <c r="AG314" s="27" t="s">
        <v>8</v>
      </c>
      <c r="AH314" s="27" t="s">
        <v>7</v>
      </c>
      <c r="BE314" s="27" t="s">
        <v>8</v>
      </c>
      <c r="BF314" s="27" t="s">
        <v>7</v>
      </c>
      <c r="BG314" s="27" t="s">
        <v>8</v>
      </c>
      <c r="BJ314" s="27" t="s">
        <v>7</v>
      </c>
      <c r="BK314" s="27" t="s">
        <v>8</v>
      </c>
      <c r="BL314" s="27" t="s">
        <v>7</v>
      </c>
      <c r="BM314" s="27" t="s">
        <v>8</v>
      </c>
      <c r="BN314" s="27" t="s">
        <v>7</v>
      </c>
      <c r="BO314" s="27" t="s">
        <v>8</v>
      </c>
      <c r="BR314" s="27" t="s">
        <v>7</v>
      </c>
      <c r="BT314" s="27" t="s">
        <v>7</v>
      </c>
      <c r="BU314" s="27" t="s">
        <v>8</v>
      </c>
      <c r="BV314" s="27" t="s">
        <v>7</v>
      </c>
      <c r="BX314" s="27" t="s">
        <v>7</v>
      </c>
      <c r="BZ314" s="27" t="s">
        <v>7</v>
      </c>
    </row>
    <row r="315" spans="1:87" x14ac:dyDescent="0.25">
      <c r="A315" s="30">
        <v>2.5751502277318133E-2</v>
      </c>
      <c r="B315"/>
      <c r="C315"/>
      <c r="D315"/>
      <c r="E315"/>
      <c r="F315" s="27" t="s">
        <v>7</v>
      </c>
      <c r="O315" s="27" t="s">
        <v>8</v>
      </c>
      <c r="P315" s="27" t="s">
        <v>7</v>
      </c>
      <c r="Q315" s="27" t="s">
        <v>8</v>
      </c>
      <c r="R315" s="27" t="s">
        <v>7</v>
      </c>
      <c r="S315" s="27" t="s">
        <v>8</v>
      </c>
      <c r="T315" s="27" t="s">
        <v>7</v>
      </c>
      <c r="U315" s="27" t="s">
        <v>8</v>
      </c>
      <c r="V315" s="27" t="s">
        <v>7</v>
      </c>
      <c r="W315" s="27" t="s">
        <v>8</v>
      </c>
      <c r="X315" s="27" t="s">
        <v>7</v>
      </c>
      <c r="Z315" s="27" t="s">
        <v>7</v>
      </c>
      <c r="AF315" s="27" t="s">
        <v>7</v>
      </c>
      <c r="AG315" s="27" t="s">
        <v>8</v>
      </c>
      <c r="AH315" s="27" t="s">
        <v>7</v>
      </c>
      <c r="AS315" s="27" t="s">
        <v>8</v>
      </c>
      <c r="BE315" s="27" t="s">
        <v>8</v>
      </c>
      <c r="BF315" s="27" t="s">
        <v>7</v>
      </c>
      <c r="BG315" s="27" t="s">
        <v>8</v>
      </c>
      <c r="BJ315" s="27" t="s">
        <v>7</v>
      </c>
      <c r="BK315" s="27" t="s">
        <v>8</v>
      </c>
      <c r="BL315" s="27" t="s">
        <v>7</v>
      </c>
      <c r="BM315" s="27" t="s">
        <v>8</v>
      </c>
      <c r="BN315" s="27" t="s">
        <v>7</v>
      </c>
      <c r="BO315" s="27" t="s">
        <v>8</v>
      </c>
      <c r="BT315" s="27" t="s">
        <v>7</v>
      </c>
      <c r="BU315" s="27" t="s">
        <v>8</v>
      </c>
    </row>
    <row r="316" spans="1:87" x14ac:dyDescent="0.25">
      <c r="A316" s="30">
        <v>2.4525240264112496E-2</v>
      </c>
      <c r="B316"/>
      <c r="C316"/>
      <c r="D316"/>
      <c r="E316"/>
      <c r="F316" s="27" t="s">
        <v>7</v>
      </c>
      <c r="O316" s="27" t="s">
        <v>8</v>
      </c>
      <c r="P316" s="27" t="s">
        <v>7</v>
      </c>
      <c r="Q316" s="27" t="s">
        <v>8</v>
      </c>
      <c r="R316" s="27" t="s">
        <v>7</v>
      </c>
      <c r="T316" s="27" t="s">
        <v>7</v>
      </c>
      <c r="U316" s="27" t="s">
        <v>8</v>
      </c>
      <c r="V316" s="27" t="s">
        <v>7</v>
      </c>
      <c r="W316" s="27" t="s">
        <v>8</v>
      </c>
      <c r="AF316" s="27" t="s">
        <v>7</v>
      </c>
      <c r="AG316" s="27" t="s">
        <v>8</v>
      </c>
      <c r="AH316" s="27" t="s">
        <v>7</v>
      </c>
      <c r="AS316" s="27" t="s">
        <v>8</v>
      </c>
      <c r="AT316" s="27" t="s">
        <v>7</v>
      </c>
      <c r="BE316" s="27" t="s">
        <v>8</v>
      </c>
      <c r="BF316" s="27" t="s">
        <v>7</v>
      </c>
      <c r="BG316" s="27" t="s">
        <v>8</v>
      </c>
      <c r="BJ316" s="27" t="s">
        <v>7</v>
      </c>
      <c r="BL316" s="27" t="s">
        <v>7</v>
      </c>
      <c r="BN316" s="27" t="s">
        <v>7</v>
      </c>
      <c r="BO316" s="27" t="s">
        <v>8</v>
      </c>
      <c r="BT316" s="27" t="s">
        <v>7</v>
      </c>
    </row>
    <row r="317" spans="1:87" x14ac:dyDescent="0.25">
      <c r="A317" s="30">
        <v>2.3357371680107129E-2</v>
      </c>
      <c r="B317"/>
      <c r="C317"/>
      <c r="D317"/>
      <c r="E317"/>
      <c r="F317" s="27" t="s">
        <v>7</v>
      </c>
      <c r="M317" s="27" t="s">
        <v>8</v>
      </c>
      <c r="O317" s="27" t="s">
        <v>8</v>
      </c>
      <c r="P317" s="27" t="s">
        <v>7</v>
      </c>
      <c r="Q317" s="27" t="s">
        <v>8</v>
      </c>
      <c r="T317" s="27" t="s">
        <v>7</v>
      </c>
      <c r="U317" s="27" t="s">
        <v>8</v>
      </c>
      <c r="V317" s="27" t="s">
        <v>7</v>
      </c>
      <c r="W317" s="27" t="s">
        <v>8</v>
      </c>
      <c r="AF317" s="27" t="s">
        <v>7</v>
      </c>
      <c r="AG317" s="27" t="s">
        <v>8</v>
      </c>
      <c r="AH317" s="27" t="s">
        <v>7</v>
      </c>
      <c r="AS317" s="27" t="s">
        <v>8</v>
      </c>
      <c r="AT317" s="27" t="s">
        <v>7</v>
      </c>
      <c r="BE317" s="27" t="s">
        <v>8</v>
      </c>
      <c r="BF317" s="27" t="s">
        <v>7</v>
      </c>
      <c r="BG317" s="27" t="s">
        <v>8</v>
      </c>
      <c r="BN317" s="27" t="s">
        <v>7</v>
      </c>
    </row>
    <row r="318" spans="1:87" x14ac:dyDescent="0.25">
      <c r="A318" s="30">
        <v>2.2245115885816305E-2</v>
      </c>
      <c r="B318"/>
      <c r="C318"/>
      <c r="D318"/>
      <c r="E318"/>
      <c r="F318" s="27" t="s">
        <v>7</v>
      </c>
      <c r="K318" s="27" t="s">
        <v>8</v>
      </c>
      <c r="M318" s="27" t="s">
        <v>8</v>
      </c>
      <c r="N318" s="27" t="s">
        <v>7</v>
      </c>
      <c r="O318" s="27" t="s">
        <v>8</v>
      </c>
      <c r="P318" s="27" t="s">
        <v>7</v>
      </c>
      <c r="Q318" s="27" t="s">
        <v>8</v>
      </c>
      <c r="T318" s="27" t="s">
        <v>7</v>
      </c>
      <c r="U318" s="27" t="s">
        <v>8</v>
      </c>
      <c r="V318" s="27" t="s">
        <v>7</v>
      </c>
      <c r="AF318" s="27" t="s">
        <v>7</v>
      </c>
      <c r="AG318" s="27" t="s">
        <v>8</v>
      </c>
      <c r="AH318" s="27" t="s">
        <v>7</v>
      </c>
      <c r="AM318" s="27" t="s">
        <v>8</v>
      </c>
      <c r="AS318" s="27" t="s">
        <v>8</v>
      </c>
      <c r="AT318" s="27" t="s">
        <v>7</v>
      </c>
      <c r="BE318" s="27" t="s">
        <v>8</v>
      </c>
      <c r="BF318" s="27" t="s">
        <v>7</v>
      </c>
    </row>
    <row r="319" spans="1:87" x14ac:dyDescent="0.25">
      <c r="A319" s="30">
        <v>2.1185824653158377E-2</v>
      </c>
      <c r="B319"/>
      <c r="C319"/>
      <c r="D319"/>
      <c r="E319"/>
      <c r="F319" s="27" t="s">
        <v>7</v>
      </c>
      <c r="K319" s="27" t="s">
        <v>8</v>
      </c>
      <c r="L319" s="27" t="s">
        <v>7</v>
      </c>
      <c r="M319" s="27" t="s">
        <v>8</v>
      </c>
      <c r="N319" s="27" t="s">
        <v>7</v>
      </c>
      <c r="O319" s="27" t="s">
        <v>8</v>
      </c>
      <c r="P319" s="27" t="s">
        <v>7</v>
      </c>
      <c r="T319" s="27" t="s">
        <v>7</v>
      </c>
      <c r="AF319" s="27" t="s">
        <v>7</v>
      </c>
      <c r="AH319" s="27" t="s">
        <v>7</v>
      </c>
      <c r="AM319" s="27" t="s">
        <v>8</v>
      </c>
      <c r="AN319" s="27" t="s">
        <v>7</v>
      </c>
      <c r="AS319" s="27" t="s">
        <v>8</v>
      </c>
      <c r="AT319" s="27" t="s">
        <v>7</v>
      </c>
      <c r="BE319" s="27" t="s">
        <v>8</v>
      </c>
    </row>
    <row r="320" spans="1:87" x14ac:dyDescent="0.25">
      <c r="A320" s="30">
        <v>2.0176975860150829E-2</v>
      </c>
      <c r="B320"/>
      <c r="C320"/>
      <c r="D320"/>
      <c r="E320"/>
      <c r="F320" s="27" t="s">
        <v>7</v>
      </c>
      <c r="K320" s="27" t="s">
        <v>8</v>
      </c>
      <c r="L320" s="27" t="s">
        <v>7</v>
      </c>
      <c r="M320" s="27" t="s">
        <v>8</v>
      </c>
      <c r="N320" s="27" t="s">
        <v>7</v>
      </c>
      <c r="O320" s="27" t="s">
        <v>8</v>
      </c>
      <c r="AH320" s="27" t="s">
        <v>7</v>
      </c>
      <c r="AM320" s="27" t="s">
        <v>8</v>
      </c>
      <c r="AN320" s="27" t="s">
        <v>7</v>
      </c>
      <c r="AS320" s="27" t="s">
        <v>8</v>
      </c>
      <c r="AT320" s="27" t="s">
        <v>7</v>
      </c>
      <c r="BE320" s="27" t="s">
        <v>8</v>
      </c>
    </row>
    <row r="321" spans="1:57" x14ac:dyDescent="0.25">
      <c r="A321" s="30">
        <v>1.9216167485857926E-2</v>
      </c>
      <c r="B321"/>
      <c r="C321"/>
      <c r="D321"/>
      <c r="E321"/>
      <c r="F321" s="27" t="s">
        <v>7</v>
      </c>
      <c r="K321" s="27" t="s">
        <v>8</v>
      </c>
      <c r="L321" s="27" t="s">
        <v>7</v>
      </c>
      <c r="M321" s="27" t="s">
        <v>8</v>
      </c>
      <c r="N321" s="27" t="s">
        <v>7</v>
      </c>
      <c r="O321" s="27" t="s">
        <v>8</v>
      </c>
      <c r="AH321" s="27" t="s">
        <v>7</v>
      </c>
      <c r="AM321" s="27" t="s">
        <v>8</v>
      </c>
      <c r="AN321" s="27" t="s">
        <v>7</v>
      </c>
      <c r="AS321" s="27" t="s">
        <v>8</v>
      </c>
      <c r="AT321" s="27" t="s">
        <v>7</v>
      </c>
      <c r="BE321" s="27" t="s">
        <v>8</v>
      </c>
    </row>
    <row r="322" spans="1:57" x14ac:dyDescent="0.25">
      <c r="A322" s="30">
        <v>1.8301111891293256E-2</v>
      </c>
      <c r="B322"/>
      <c r="C322"/>
      <c r="D322"/>
      <c r="E322"/>
      <c r="F322" s="27" t="s">
        <v>7</v>
      </c>
      <c r="K322" s="27" t="s">
        <v>8</v>
      </c>
      <c r="L322" s="27" t="s">
        <v>7</v>
      </c>
      <c r="N322" s="27" t="s">
        <v>7</v>
      </c>
      <c r="AH322" s="27" t="s">
        <v>7</v>
      </c>
      <c r="AI322" s="27" t="s">
        <v>8</v>
      </c>
      <c r="AM322" s="27" t="s">
        <v>8</v>
      </c>
      <c r="AN322" s="27" t="s">
        <v>7</v>
      </c>
      <c r="AS322" s="27" t="s">
        <v>8</v>
      </c>
      <c r="AT322" s="27" t="s">
        <v>7</v>
      </c>
      <c r="AU322" s="27" t="s">
        <v>8</v>
      </c>
      <c r="BC322" s="27" t="s">
        <v>8</v>
      </c>
      <c r="BE322" s="27" t="s">
        <v>8</v>
      </c>
    </row>
    <row r="323" spans="1:57" x14ac:dyDescent="0.25">
      <c r="A323" s="30">
        <v>1.7429630372660238E-2</v>
      </c>
      <c r="B323"/>
      <c r="C323"/>
      <c r="D323"/>
      <c r="E323"/>
      <c r="F323" s="27" t="s">
        <v>7</v>
      </c>
      <c r="K323" s="27" t="s">
        <v>8</v>
      </c>
      <c r="AH323" s="27" t="s">
        <v>7</v>
      </c>
      <c r="AI323" s="27" t="s">
        <v>8</v>
      </c>
      <c r="AJ323" s="27" t="s">
        <v>7</v>
      </c>
      <c r="AK323" s="27" t="s">
        <v>8</v>
      </c>
      <c r="AM323" s="27" t="s">
        <v>8</v>
      </c>
      <c r="AN323" s="27" t="s">
        <v>7</v>
      </c>
      <c r="AS323" s="27" t="s">
        <v>8</v>
      </c>
      <c r="AT323" s="27" t="s">
        <v>7</v>
      </c>
      <c r="AU323" s="27" t="s">
        <v>8</v>
      </c>
      <c r="AV323" s="27" t="s">
        <v>7</v>
      </c>
      <c r="BC323" s="27" t="s">
        <v>8</v>
      </c>
      <c r="BD323" s="27" t="s">
        <v>7</v>
      </c>
      <c r="BE323" s="27" t="s">
        <v>8</v>
      </c>
    </row>
    <row r="324" spans="1:57" x14ac:dyDescent="0.25">
      <c r="A324" s="30">
        <v>1.6599647973962125E-2</v>
      </c>
      <c r="B324"/>
      <c r="C324"/>
      <c r="D324"/>
      <c r="E324"/>
      <c r="F324" s="27" t="s">
        <v>7</v>
      </c>
      <c r="I324" s="27" t="s">
        <v>8</v>
      </c>
      <c r="K324" s="27" t="s">
        <v>8</v>
      </c>
      <c r="AH324" s="27" t="s">
        <v>7</v>
      </c>
      <c r="AI324" s="27" t="s">
        <v>8</v>
      </c>
      <c r="AJ324" s="27" t="s">
        <v>7</v>
      </c>
      <c r="AK324" s="27" t="s">
        <v>8</v>
      </c>
      <c r="AL324" s="27" t="s">
        <v>7</v>
      </c>
      <c r="AM324" s="27" t="s">
        <v>8</v>
      </c>
      <c r="AN324" s="27" t="s">
        <v>7</v>
      </c>
      <c r="AS324" s="27" t="s">
        <v>8</v>
      </c>
      <c r="AT324" s="27" t="s">
        <v>7</v>
      </c>
      <c r="AU324" s="27" t="s">
        <v>8</v>
      </c>
      <c r="AV324" s="27" t="s">
        <v>7</v>
      </c>
      <c r="BA324" s="27" t="s">
        <v>8</v>
      </c>
      <c r="BC324" s="27" t="s">
        <v>8</v>
      </c>
      <c r="BD324" s="27" t="s">
        <v>7</v>
      </c>
      <c r="BE324" s="27" t="s">
        <v>8</v>
      </c>
    </row>
    <row r="325" spans="1:57" x14ac:dyDescent="0.25">
      <c r="A325" s="30">
        <v>1.580918854663059E-2</v>
      </c>
      <c r="B325"/>
      <c r="C325"/>
      <c r="D325"/>
      <c r="E325"/>
      <c r="F325" s="27" t="s">
        <v>7</v>
      </c>
      <c r="I325" s="27" t="s">
        <v>8</v>
      </c>
      <c r="J325" s="27" t="s">
        <v>7</v>
      </c>
      <c r="K325" s="27" t="s">
        <v>8</v>
      </c>
      <c r="AH325" s="27" t="s">
        <v>7</v>
      </c>
      <c r="AI325" s="27" t="s">
        <v>8</v>
      </c>
      <c r="AJ325" s="27" t="s">
        <v>7</v>
      </c>
      <c r="AK325" s="27" t="s">
        <v>8</v>
      </c>
      <c r="AL325" s="27" t="s">
        <v>7</v>
      </c>
      <c r="AM325" s="27" t="s">
        <v>8</v>
      </c>
      <c r="AN325" s="27" t="s">
        <v>7</v>
      </c>
      <c r="AO325" s="27" t="s">
        <v>8</v>
      </c>
      <c r="AS325" s="27" t="s">
        <v>8</v>
      </c>
      <c r="AT325" s="27" t="s">
        <v>7</v>
      </c>
      <c r="AV325" s="27" t="s">
        <v>7</v>
      </c>
      <c r="BA325" s="27" t="s">
        <v>8</v>
      </c>
      <c r="BB325" s="27" t="s">
        <v>7</v>
      </c>
      <c r="BC325" s="27" t="s">
        <v>8</v>
      </c>
      <c r="BD325" s="27" t="s">
        <v>7</v>
      </c>
      <c r="BE325" s="27" t="s">
        <v>8</v>
      </c>
    </row>
    <row r="326" spans="1:57" x14ac:dyDescent="0.25">
      <c r="A326" s="30">
        <v>1.5056370044410079E-2</v>
      </c>
      <c r="B326"/>
      <c r="C326"/>
      <c r="D326"/>
      <c r="E326"/>
      <c r="F326" s="27" t="s">
        <v>7</v>
      </c>
      <c r="G326" s="27" t="s">
        <v>8</v>
      </c>
      <c r="I326" s="27" t="s">
        <v>8</v>
      </c>
      <c r="J326" s="27" t="s">
        <v>7</v>
      </c>
      <c r="K326" s="27" t="s">
        <v>8</v>
      </c>
      <c r="AH326" s="27" t="s">
        <v>7</v>
      </c>
      <c r="AI326" s="27" t="s">
        <v>8</v>
      </c>
      <c r="AJ326" s="27" t="s">
        <v>7</v>
      </c>
      <c r="AK326" s="27" t="s">
        <v>8</v>
      </c>
      <c r="AL326" s="27" t="s">
        <v>7</v>
      </c>
      <c r="AM326" s="27" t="s">
        <v>8</v>
      </c>
      <c r="AN326" s="27" t="s">
        <v>7</v>
      </c>
      <c r="AO326" s="27" t="s">
        <v>8</v>
      </c>
      <c r="AP326" s="27" t="s">
        <v>7</v>
      </c>
      <c r="AQ326" s="27" t="s">
        <v>8</v>
      </c>
      <c r="AS326" s="27" t="s">
        <v>8</v>
      </c>
      <c r="AV326" s="27" t="s">
        <v>7</v>
      </c>
      <c r="BA326" s="27" t="s">
        <v>8</v>
      </c>
      <c r="BB326" s="27" t="s">
        <v>7</v>
      </c>
      <c r="BC326" s="27" t="s">
        <v>8</v>
      </c>
      <c r="BD326" s="27" t="s">
        <v>7</v>
      </c>
    </row>
    <row r="327" spans="1:57" x14ac:dyDescent="0.25">
      <c r="A327" s="30">
        <v>1.4339400042295308E-2</v>
      </c>
      <c r="B327"/>
      <c r="C327"/>
      <c r="D327"/>
      <c r="E327"/>
      <c r="F327" s="27" t="s">
        <v>7</v>
      </c>
      <c r="G327" s="27" t="s">
        <v>8</v>
      </c>
      <c r="H327" s="27" t="s">
        <v>7</v>
      </c>
      <c r="I327" s="27" t="s">
        <v>8</v>
      </c>
      <c r="J327" s="27" t="s">
        <v>7</v>
      </c>
      <c r="K327" s="27" t="s">
        <v>8</v>
      </c>
      <c r="AH327" s="27" t="s">
        <v>7</v>
      </c>
      <c r="AJ327" s="27" t="s">
        <v>7</v>
      </c>
      <c r="AK327" s="27" t="s">
        <v>8</v>
      </c>
      <c r="AL327" s="27" t="s">
        <v>7</v>
      </c>
      <c r="AM327" s="27" t="s">
        <v>8</v>
      </c>
      <c r="AN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AS327" s="27" t="s">
        <v>8</v>
      </c>
      <c r="AV327" s="27" t="s">
        <v>7</v>
      </c>
      <c r="BA327" s="27" t="s">
        <v>8</v>
      </c>
      <c r="BB327" s="27" t="s">
        <v>7</v>
      </c>
      <c r="BC327" s="27" t="s">
        <v>8</v>
      </c>
    </row>
    <row r="328" spans="1:57" x14ac:dyDescent="0.25">
      <c r="A328" s="30">
        <v>1.365657146885267E-2</v>
      </c>
      <c r="B328"/>
      <c r="C328"/>
      <c r="D328"/>
      <c r="E328"/>
      <c r="F328" s="27" t="s">
        <v>7</v>
      </c>
      <c r="G328" s="27" t="s">
        <v>8</v>
      </c>
      <c r="H328" s="27" t="s">
        <v>7</v>
      </c>
      <c r="I328" s="27" t="s">
        <v>8</v>
      </c>
      <c r="J328" s="27" t="s">
        <v>7</v>
      </c>
      <c r="K328" s="27" t="s">
        <v>8</v>
      </c>
      <c r="AJ328" s="27" t="s">
        <v>7</v>
      </c>
      <c r="AK328" s="27" t="s">
        <v>8</v>
      </c>
      <c r="AL328" s="27" t="s">
        <v>7</v>
      </c>
      <c r="AN328" s="27" t="s">
        <v>7</v>
      </c>
      <c r="AO328" s="27" t="s">
        <v>8</v>
      </c>
      <c r="AP328" s="27" t="s">
        <v>7</v>
      </c>
      <c r="AQ328" s="27" t="s">
        <v>8</v>
      </c>
      <c r="AR328" s="27" t="s">
        <v>7</v>
      </c>
      <c r="AS328" s="27" t="s">
        <v>8</v>
      </c>
      <c r="AV328" s="27" t="s">
        <v>7</v>
      </c>
      <c r="BA328" s="27" t="s">
        <v>8</v>
      </c>
      <c r="BB328" s="27" t="s">
        <v>7</v>
      </c>
      <c r="BC328" s="27" t="s">
        <v>8</v>
      </c>
    </row>
    <row r="329" spans="1:57" x14ac:dyDescent="0.25">
      <c r="A329" s="30">
        <v>1.3006258541764442E-2</v>
      </c>
      <c r="B329"/>
      <c r="C329"/>
      <c r="D329"/>
      <c r="E329"/>
      <c r="F329" s="27" t="s">
        <v>7</v>
      </c>
      <c r="H329" s="27" t="s">
        <v>7</v>
      </c>
      <c r="I329" s="27" t="s">
        <v>8</v>
      </c>
      <c r="J329" s="27" t="s">
        <v>7</v>
      </c>
      <c r="K329" s="27" t="s">
        <v>8</v>
      </c>
      <c r="AJ329" s="27" t="s">
        <v>7</v>
      </c>
      <c r="AK329" s="27" t="s">
        <v>8</v>
      </c>
      <c r="AN329" s="27" t="s">
        <v>7</v>
      </c>
      <c r="AP329" s="27" t="s">
        <v>7</v>
      </c>
      <c r="AQ329" s="27" t="s">
        <v>8</v>
      </c>
      <c r="AR329" s="27" t="s">
        <v>7</v>
      </c>
      <c r="AV329" s="27" t="s">
        <v>7</v>
      </c>
      <c r="BA329" s="27" t="s">
        <v>8</v>
      </c>
      <c r="BB329" s="27" t="s">
        <v>7</v>
      </c>
    </row>
    <row r="330" spans="1:57" x14ac:dyDescent="0.25">
      <c r="A330" s="30">
        <v>1.2386912896918512E-2</v>
      </c>
      <c r="B330"/>
      <c r="C330"/>
      <c r="D330"/>
      <c r="E330"/>
      <c r="H330" s="27" t="s">
        <v>7</v>
      </c>
      <c r="I330" s="27" t="s">
        <v>8</v>
      </c>
      <c r="J330" s="27" t="s">
        <v>7</v>
      </c>
      <c r="AJ330" s="27" t="s">
        <v>7</v>
      </c>
      <c r="AK330" s="27" t="s">
        <v>8</v>
      </c>
      <c r="AP330" s="27" t="s">
        <v>7</v>
      </c>
      <c r="AV330" s="27" t="s">
        <v>7</v>
      </c>
      <c r="AY330" s="27" t="s">
        <v>8</v>
      </c>
      <c r="BA330" s="27" t="s">
        <v>8</v>
      </c>
    </row>
    <row r="331" spans="1:57" x14ac:dyDescent="0.25">
      <c r="A331" s="30">
        <v>1.179705990182715E-2</v>
      </c>
      <c r="B331"/>
      <c r="C331"/>
      <c r="D331"/>
      <c r="E331"/>
      <c r="H331" s="27" t="s">
        <v>7</v>
      </c>
      <c r="I331" s="27" t="s">
        <v>8</v>
      </c>
      <c r="AJ331" s="27" t="s">
        <v>7</v>
      </c>
      <c r="AK331" s="27" t="s">
        <v>8</v>
      </c>
      <c r="AV331" s="27" t="s">
        <v>7</v>
      </c>
      <c r="AY331" s="27" t="s">
        <v>8</v>
      </c>
      <c r="AZ331" s="27" t="s">
        <v>7</v>
      </c>
      <c r="BA331" s="27" t="s">
        <v>8</v>
      </c>
    </row>
    <row r="332" spans="1:57" x14ac:dyDescent="0.25">
      <c r="A332" s="30">
        <v>1.1235295144597281E-2</v>
      </c>
      <c r="B332"/>
      <c r="C332"/>
      <c r="D332"/>
      <c r="E332"/>
      <c r="H332" s="27" t="s">
        <v>7</v>
      </c>
      <c r="AJ332" s="27" t="s">
        <v>7</v>
      </c>
      <c r="AV332" s="27" t="s">
        <v>7</v>
      </c>
      <c r="AY332" s="27" t="s">
        <v>8</v>
      </c>
      <c r="AZ332" s="27" t="s">
        <v>7</v>
      </c>
      <c r="BA332" s="27" t="s">
        <v>8</v>
      </c>
    </row>
    <row r="333" spans="1:57" x14ac:dyDescent="0.25">
      <c r="A333" s="30">
        <v>1.0700281090092644E-2</v>
      </c>
      <c r="B333"/>
      <c r="C333"/>
      <c r="D333"/>
      <c r="E333"/>
      <c r="AV333" s="27" t="s">
        <v>7</v>
      </c>
      <c r="AW333" s="27" t="s">
        <v>8</v>
      </c>
      <c r="AY333" s="27" t="s">
        <v>8</v>
      </c>
      <c r="AZ333" s="27" t="s">
        <v>7</v>
      </c>
      <c r="BA333" s="27" t="s">
        <v>8</v>
      </c>
    </row>
    <row r="334" spans="1:57" x14ac:dyDescent="0.25">
      <c r="A334" s="30">
        <v>1.0190743895326324E-2</v>
      </c>
      <c r="B334"/>
      <c r="C334"/>
      <c r="D334"/>
      <c r="E334"/>
      <c r="AV334" s="27" t="s">
        <v>7</v>
      </c>
      <c r="AW334" s="27" t="s">
        <v>8</v>
      </c>
      <c r="AX334" s="27" t="s">
        <v>7</v>
      </c>
      <c r="AY334" s="27" t="s">
        <v>8</v>
      </c>
      <c r="AZ334" s="27" t="s">
        <v>7</v>
      </c>
    </row>
    <row r="335" spans="1:57" x14ac:dyDescent="0.25">
      <c r="A335" s="30">
        <v>9.7054703765012563E-3</v>
      </c>
      <c r="B335"/>
      <c r="C335"/>
      <c r="D335"/>
      <c r="E335"/>
      <c r="AV335" s="27" t="s">
        <v>7</v>
      </c>
      <c r="AW335" s="27" t="s">
        <v>8</v>
      </c>
      <c r="AX335" s="27" t="s">
        <v>7</v>
      </c>
      <c r="AY335" s="27" t="s">
        <v>8</v>
      </c>
    </row>
    <row r="336" spans="1:57" x14ac:dyDescent="0.25">
      <c r="A336" s="30">
        <v>9.2433051204773835E-3</v>
      </c>
      <c r="B336"/>
      <c r="C336"/>
      <c r="D336"/>
      <c r="E336"/>
      <c r="AV336" s="27" t="s">
        <v>7</v>
      </c>
      <c r="AW336" s="27" t="s">
        <v>8</v>
      </c>
      <c r="AX336" s="27" t="s">
        <v>7</v>
      </c>
      <c r="AY336" s="27" t="s">
        <v>8</v>
      </c>
    </row>
    <row r="337" spans="1:50" x14ac:dyDescent="0.25">
      <c r="A337" s="30">
        <v>8.8031477337879808E-3</v>
      </c>
      <c r="B337"/>
      <c r="C337"/>
      <c r="D337"/>
      <c r="E337"/>
      <c r="AV337" s="27" t="s">
        <v>7</v>
      </c>
      <c r="AW337" s="27" t="s">
        <v>8</v>
      </c>
      <c r="AX337" s="27" t="s">
        <v>7</v>
      </c>
    </row>
    <row r="338" spans="1:50" x14ac:dyDescent="0.25">
      <c r="A338" s="30">
        <v>8.3839502226552166E-3</v>
      </c>
      <c r="B338"/>
      <c r="C338"/>
      <c r="D338"/>
      <c r="E338"/>
      <c r="AV338" s="27" t="s">
        <v>7</v>
      </c>
      <c r="AW338" s="27" t="s">
        <v>8</v>
      </c>
    </row>
    <row r="339" spans="1:50" x14ac:dyDescent="0.25">
      <c r="A339" s="30">
        <v>7.9847144977668698E-3</v>
      </c>
      <c r="B339"/>
      <c r="C339"/>
      <c r="D339"/>
      <c r="E339"/>
      <c r="AV339" s="27" t="s">
        <v>7</v>
      </c>
      <c r="AW339" s="27" t="s">
        <v>8</v>
      </c>
    </row>
    <row r="340" spans="1:50" x14ac:dyDescent="0.25">
      <c r="A340" s="30">
        <v>7.6044899978732058E-3</v>
      </c>
      <c r="B340"/>
      <c r="C340"/>
      <c r="D340"/>
      <c r="E340"/>
      <c r="AV340" s="27" t="s">
        <v>7</v>
      </c>
      <c r="AW340" s="27" t="s">
        <v>8</v>
      </c>
    </row>
    <row r="341" spans="1:50" x14ac:dyDescent="0.25">
      <c r="A341" s="30">
        <v>7.2423714265459072E-3</v>
      </c>
      <c r="B341"/>
      <c r="C341"/>
      <c r="D341"/>
      <c r="E341"/>
      <c r="AV341" s="27" t="s">
        <v>7</v>
      </c>
      <c r="AW341" s="27" t="s">
        <v>8</v>
      </c>
    </row>
    <row r="342" spans="1:50" x14ac:dyDescent="0.25">
      <c r="A342" s="30">
        <v>6.8974965967103846E-3</v>
      </c>
      <c r="B342"/>
      <c r="C342"/>
      <c r="D342"/>
      <c r="E342"/>
      <c r="AV342" s="27" t="s">
        <v>7</v>
      </c>
    </row>
    <row r="343" spans="1:50" x14ac:dyDescent="0.25">
      <c r="A343" s="30">
        <v>6.5690443778194116E-3</v>
      </c>
      <c r="B343"/>
      <c r="C343"/>
      <c r="D343"/>
      <c r="E343"/>
    </row>
    <row r="344" spans="1:50" x14ac:dyDescent="0.25">
      <c r="A344" s="30">
        <v>6.2562327407803897E-3</v>
      </c>
      <c r="B344"/>
      <c r="C344"/>
      <c r="D344"/>
      <c r="E344"/>
    </row>
    <row r="345" spans="1:50" x14ac:dyDescent="0.25">
      <c r="A345" s="30">
        <v>5.9583168959813212E-3</v>
      </c>
      <c r="B345"/>
      <c r="C345"/>
      <c r="D345"/>
      <c r="E345"/>
    </row>
    <row r="346" spans="1:50" x14ac:dyDescent="0.25">
      <c r="A346" s="30">
        <v>5.6745875199822084E-3</v>
      </c>
      <c r="B346"/>
      <c r="C346"/>
      <c r="D346"/>
      <c r="E346"/>
    </row>
    <row r="347" spans="1:50" x14ac:dyDescent="0.25">
      <c r="A347" s="30">
        <v>5.4043690666497205E-3</v>
      </c>
      <c r="B347"/>
      <c r="C347"/>
      <c r="D347"/>
      <c r="E347"/>
    </row>
    <row r="348" spans="1:50" x14ac:dyDescent="0.25">
      <c r="A348" s="30">
        <v>5.1470181587140174E-3</v>
      </c>
      <c r="B348"/>
      <c r="C348"/>
      <c r="D348"/>
      <c r="E348"/>
    </row>
    <row r="349" spans="1:50" x14ac:dyDescent="0.25">
      <c r="A349" s="30">
        <v>4.9019220559181099E-3</v>
      </c>
      <c r="B349"/>
      <c r="C349"/>
      <c r="D349"/>
      <c r="E349"/>
    </row>
    <row r="350" spans="1:50" x14ac:dyDescent="0.25">
      <c r="A350" s="30">
        <v>4.6684971961124836E-3</v>
      </c>
      <c r="B350"/>
      <c r="C350"/>
      <c r="D350"/>
      <c r="E350"/>
    </row>
    <row r="351" spans="1:50" x14ac:dyDescent="0.25">
      <c r="A351" s="30">
        <v>4.4461878058214112E-3</v>
      </c>
      <c r="B351"/>
      <c r="C351"/>
      <c r="D351"/>
      <c r="E351"/>
    </row>
    <row r="352" spans="1:50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Z152" sqref="AZ15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$A$151</v>
      </c>
      <c r="D111" s="1" t="str">
        <f>ADDRESS(C121-1,D121,1,1)</f>
        <v>$AZ$151</v>
      </c>
      <c r="E111"/>
    </row>
    <row r="112" spans="1:5" x14ac:dyDescent="0.25">
      <c r="A112" s="30">
        <v>2.3579476910000019</v>
      </c>
      <c r="C112" s="1" t="str">
        <f>ADDRESS(C121,1,1,1)</f>
        <v>$A$152</v>
      </c>
      <c r="D112" s="1" t="str">
        <f>ADDRESS(C121,D121-1,1,1)</f>
        <v>$AY$152</v>
      </c>
      <c r="E112"/>
    </row>
    <row r="113" spans="1:6" x14ac:dyDescent="0.25">
      <c r="A113" s="30">
        <v>2.1435888100000016</v>
      </c>
      <c r="C113" s="1" t="str">
        <f>ADDRESS(C121+1,1,1,1)</f>
        <v>$A$153</v>
      </c>
      <c r="D113" s="1" t="str">
        <f>ADDRESS(C121-1,D121+1,1,1)</f>
        <v>$BA$151</v>
      </c>
    </row>
    <row r="114" spans="1:6" x14ac:dyDescent="0.25">
      <c r="A114" s="30">
        <v>1.9487171000000014</v>
      </c>
      <c r="C114" s="1" t="str">
        <f>ADDRESS(C121,D121,1,1)</f>
        <v>$AZ$152</v>
      </c>
      <c r="D114" s="1" t="str">
        <f>ADDRESS(C121+1,D121+1,1,1)</f>
        <v>$BA$153</v>
      </c>
    </row>
    <row r="115" spans="1:6" x14ac:dyDescent="0.25">
      <c r="A115" s="30">
        <v>1.7715610000000011</v>
      </c>
      <c r="C115" s="1" t="str">
        <f>ADDRESS(C121+1,D121,1,1)</f>
        <v>$AZ$153</v>
      </c>
    </row>
    <row r="116" spans="1:6" x14ac:dyDescent="0.25">
      <c r="A116" s="30">
        <v>1.6105100000000008</v>
      </c>
      <c r="C116" s="1">
        <f>C117-1</f>
        <v>151</v>
      </c>
    </row>
    <row r="117" spans="1:6" x14ac:dyDescent="0.25">
      <c r="A117" s="30">
        <v>1.4641000000000006</v>
      </c>
      <c r="C117" s="1">
        <f>C121</f>
        <v>152</v>
      </c>
      <c r="D117" s="1">
        <f>D121</f>
        <v>52</v>
      </c>
    </row>
    <row r="118" spans="1:6" x14ac:dyDescent="0.25">
      <c r="A118" s="30">
        <v>1.3310000000000004</v>
      </c>
      <c r="C118" s="1">
        <f>C117+1</f>
        <v>153</v>
      </c>
      <c r="D118" s="1">
        <f>D117+1</f>
        <v>53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152</v>
      </c>
      <c r="D121" s="19">
        <v>52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R152</v>
      </c>
      <c r="D123" s="1" t="str">
        <f>"C"&amp;D121</f>
        <v>C52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5.2098684819243464E-2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5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52" x14ac:dyDescent="0.25">
      <c r="A130" s="30">
        <v>0.42409761837248428</v>
      </c>
      <c r="C130" s="6"/>
      <c r="D130" s="6"/>
      <c r="E130"/>
      <c r="F130" s="27" t="s">
        <v>7</v>
      </c>
    </row>
    <row r="131" spans="1:52" x14ac:dyDescent="0.25">
      <c r="A131" s="30">
        <v>0.38554328942953109</v>
      </c>
      <c r="E131"/>
      <c r="F131" s="27" t="s">
        <v>7</v>
      </c>
    </row>
    <row r="132" spans="1:52" x14ac:dyDescent="0.25">
      <c r="A132" s="30">
        <v>0.35049389948139187</v>
      </c>
      <c r="C132" s="1" t="s">
        <v>13</v>
      </c>
      <c r="E132"/>
      <c r="F132" s="27" t="s">
        <v>7</v>
      </c>
    </row>
    <row r="133" spans="1:52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52" x14ac:dyDescent="0.25">
      <c r="A134" s="30">
        <v>0.28966437973668741</v>
      </c>
      <c r="C134"/>
      <c r="D134"/>
      <c r="E134"/>
      <c r="F134" s="27" t="s">
        <v>7</v>
      </c>
    </row>
    <row r="135" spans="1:52" x14ac:dyDescent="0.25">
      <c r="A135" s="30">
        <v>0.2633312543060794</v>
      </c>
      <c r="C135" s="1" t="s">
        <v>14</v>
      </c>
      <c r="E135"/>
      <c r="F135" s="27" t="s">
        <v>7</v>
      </c>
    </row>
    <row r="136" spans="1:5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52" x14ac:dyDescent="0.25">
      <c r="A137" s="30">
        <v>0.2176291357901482</v>
      </c>
      <c r="E137"/>
      <c r="F137" s="27" t="s">
        <v>7</v>
      </c>
    </row>
    <row r="138" spans="1:5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52" x14ac:dyDescent="0.25">
      <c r="A139" s="30">
        <v>0.17985878990921333</v>
      </c>
      <c r="E139"/>
      <c r="F139" s="27" t="s">
        <v>7</v>
      </c>
      <c r="AM139" s="27" t="s">
        <v>8</v>
      </c>
    </row>
    <row r="140" spans="1:52" x14ac:dyDescent="0.25">
      <c r="A140" s="30">
        <v>0.16350799082655756</v>
      </c>
      <c r="C140" s="1">
        <v>0</v>
      </c>
      <c r="E140"/>
      <c r="F140" s="27" t="s">
        <v>7</v>
      </c>
      <c r="AM140" s="27" t="s">
        <v>8</v>
      </c>
      <c r="AN140" s="27" t="s">
        <v>7</v>
      </c>
      <c r="AO140" s="27" t="s">
        <v>8</v>
      </c>
    </row>
    <row r="141" spans="1:52" x14ac:dyDescent="0.25">
      <c r="A141" s="30">
        <v>0.14864362802414322</v>
      </c>
      <c r="C141" s="1">
        <v>1</v>
      </c>
      <c r="E141"/>
      <c r="F141" s="27" t="s">
        <v>7</v>
      </c>
      <c r="AK141" s="27" t="s">
        <v>8</v>
      </c>
      <c r="AM141" s="27" t="s">
        <v>8</v>
      </c>
      <c r="AN141" s="27" t="s">
        <v>7</v>
      </c>
      <c r="AO141" s="27" t="s">
        <v>8</v>
      </c>
      <c r="AP141" s="27" t="s">
        <v>7</v>
      </c>
    </row>
    <row r="142" spans="1:52" x14ac:dyDescent="0.25">
      <c r="A142" s="30">
        <v>0.13513057093103928</v>
      </c>
      <c r="C142" s="1">
        <v>2</v>
      </c>
      <c r="E142"/>
      <c r="F142" s="27" t="s">
        <v>7</v>
      </c>
      <c r="AK142" s="27" t="s">
        <v>8</v>
      </c>
      <c r="AL142" s="27" t="s">
        <v>7</v>
      </c>
      <c r="AM142" s="27" t="s">
        <v>8</v>
      </c>
      <c r="AN142" s="27" t="s">
        <v>7</v>
      </c>
      <c r="AO142" s="27" t="s">
        <v>8</v>
      </c>
      <c r="AP142" s="27" t="s">
        <v>7</v>
      </c>
    </row>
    <row r="143" spans="1:52" x14ac:dyDescent="0.25">
      <c r="A143" s="30">
        <v>0.12284597357367205</v>
      </c>
      <c r="C143" s="1">
        <v>3</v>
      </c>
      <c r="E143"/>
      <c r="F143" s="27" t="s">
        <v>7</v>
      </c>
      <c r="AK143" s="27" t="s">
        <v>8</v>
      </c>
      <c r="AL143" s="27" t="s">
        <v>7</v>
      </c>
      <c r="AM143" s="27" t="s">
        <v>8</v>
      </c>
      <c r="AN143" s="27" t="s">
        <v>7</v>
      </c>
      <c r="AO143" s="27" t="s">
        <v>8</v>
      </c>
      <c r="AP143" s="27" t="s">
        <v>7</v>
      </c>
      <c r="AW143" s="27" t="s">
        <v>8</v>
      </c>
      <c r="AY143" s="27" t="s">
        <v>8</v>
      </c>
    </row>
    <row r="144" spans="1:52" x14ac:dyDescent="0.25">
      <c r="A144" s="30">
        <v>0.11167815779424731</v>
      </c>
      <c r="C144" s="1">
        <v>4</v>
      </c>
      <c r="E144"/>
      <c r="F144" s="27" t="s">
        <v>7</v>
      </c>
      <c r="AK144" s="27" t="s">
        <v>8</v>
      </c>
      <c r="AL144" s="27" t="s">
        <v>7</v>
      </c>
      <c r="AN144" s="27" t="s">
        <v>7</v>
      </c>
      <c r="AO144" s="27" t="s">
        <v>8</v>
      </c>
      <c r="AP144" s="27" t="s">
        <v>7</v>
      </c>
      <c r="AW144" s="27" t="s">
        <v>8</v>
      </c>
      <c r="AX144" s="27" t="s">
        <v>7</v>
      </c>
      <c r="AY144" s="27" t="s">
        <v>8</v>
      </c>
      <c r="AZ144" s="27" t="s">
        <v>7</v>
      </c>
    </row>
    <row r="145" spans="1:52" x14ac:dyDescent="0.25">
      <c r="A145" s="30">
        <v>0.10152559799477026</v>
      </c>
      <c r="B145"/>
      <c r="C145"/>
      <c r="D145"/>
      <c r="E145"/>
      <c r="F145" s="27" t="s">
        <v>7</v>
      </c>
      <c r="AK145" s="27" t="s">
        <v>8</v>
      </c>
      <c r="AN145" s="27" t="s">
        <v>7</v>
      </c>
      <c r="AO145" s="27" t="s">
        <v>8</v>
      </c>
      <c r="AP145" s="27" t="s">
        <v>7</v>
      </c>
      <c r="AW145" s="27" t="s">
        <v>8</v>
      </c>
      <c r="AX145" s="27" t="s">
        <v>7</v>
      </c>
      <c r="AY145" s="27" t="s">
        <v>8</v>
      </c>
      <c r="AZ145" s="27" t="s">
        <v>7</v>
      </c>
    </row>
    <row r="146" spans="1:52" x14ac:dyDescent="0.25">
      <c r="A146" s="30">
        <v>9.2295998177063854E-2</v>
      </c>
      <c r="B146"/>
      <c r="C146"/>
      <c r="D146"/>
      <c r="E146"/>
      <c r="F146" s="27" t="s">
        <v>7</v>
      </c>
      <c r="AK146" s="27" t="s">
        <v>8</v>
      </c>
      <c r="AN146" s="27" t="s">
        <v>7</v>
      </c>
      <c r="AP146" s="27" t="s">
        <v>7</v>
      </c>
      <c r="AQ146" s="27" t="s">
        <v>8</v>
      </c>
      <c r="AW146" s="27" t="s">
        <v>8</v>
      </c>
      <c r="AX146" s="27" t="s">
        <v>7</v>
      </c>
      <c r="AY146" s="27" t="s">
        <v>8</v>
      </c>
      <c r="AZ146" s="27" t="s">
        <v>7</v>
      </c>
    </row>
    <row r="147" spans="1:52" x14ac:dyDescent="0.25">
      <c r="A147" s="30">
        <v>8.3905452888239848E-2</v>
      </c>
      <c r="B147"/>
      <c r="C147"/>
      <c r="D147"/>
      <c r="E147"/>
      <c r="F147" s="27" t="s">
        <v>7</v>
      </c>
      <c r="AK147" s="27" t="s">
        <v>8</v>
      </c>
      <c r="AP147" s="27" t="s">
        <v>7</v>
      </c>
      <c r="AQ147" s="27" t="s">
        <v>8</v>
      </c>
      <c r="AR147" s="27" t="s">
        <v>7</v>
      </c>
      <c r="AS147" s="27" t="s">
        <v>8</v>
      </c>
      <c r="AW147" s="27" t="s">
        <v>8</v>
      </c>
      <c r="AX147" s="27" t="s">
        <v>7</v>
      </c>
      <c r="AZ147" s="27" t="s">
        <v>7</v>
      </c>
    </row>
    <row r="148" spans="1:52" x14ac:dyDescent="0.25">
      <c r="A148" s="30">
        <v>7.6277684443854396E-2</v>
      </c>
      <c r="B148"/>
      <c r="C148"/>
      <c r="D148"/>
      <c r="E148"/>
      <c r="F148" s="27" t="s">
        <v>7</v>
      </c>
      <c r="AK148" s="27" t="s">
        <v>8</v>
      </c>
      <c r="AP148" s="27" t="s">
        <v>7</v>
      </c>
      <c r="AQ148" s="27" t="s">
        <v>8</v>
      </c>
      <c r="AR148" s="27" t="s">
        <v>7</v>
      </c>
      <c r="AS148" s="27" t="s">
        <v>8</v>
      </c>
      <c r="AT148" s="27" t="s">
        <v>7</v>
      </c>
      <c r="AW148" s="27" t="s">
        <v>8</v>
      </c>
      <c r="AZ148" s="27" t="s">
        <v>7</v>
      </c>
    </row>
    <row r="149" spans="1:52" x14ac:dyDescent="0.25">
      <c r="A149" s="30">
        <v>6.9343349494413078E-2</v>
      </c>
      <c r="B149"/>
      <c r="C149"/>
      <c r="D149"/>
      <c r="E149"/>
      <c r="F149" s="27" t="s">
        <v>7</v>
      </c>
      <c r="AK149" s="27" t="s">
        <v>8</v>
      </c>
      <c r="AP149" s="27" t="s">
        <v>7</v>
      </c>
      <c r="AQ149" s="27" t="s">
        <v>8</v>
      </c>
      <c r="AR149" s="27" t="s">
        <v>7</v>
      </c>
      <c r="AS149" s="27" t="s">
        <v>8</v>
      </c>
      <c r="AT149" s="27" t="s">
        <v>7</v>
      </c>
      <c r="AU149" s="18" t="s">
        <v>8</v>
      </c>
      <c r="AW149" s="27" t="s">
        <v>8</v>
      </c>
      <c r="AZ149" s="27" t="s">
        <v>7</v>
      </c>
    </row>
    <row r="150" spans="1:52" x14ac:dyDescent="0.25">
      <c r="A150" s="30">
        <v>6.3039408631284613E-2</v>
      </c>
      <c r="B150"/>
      <c r="C150"/>
      <c r="D150"/>
      <c r="E150"/>
      <c r="F150" s="27" t="s">
        <v>7</v>
      </c>
      <c r="AI150" s="27" t="s">
        <v>8</v>
      </c>
      <c r="AK150" s="27" t="s">
        <v>8</v>
      </c>
      <c r="AP150" s="27" t="s">
        <v>7</v>
      </c>
      <c r="AR150" s="27" t="s">
        <v>7</v>
      </c>
      <c r="AS150" s="27" t="s">
        <v>8</v>
      </c>
      <c r="AT150" s="27" t="s">
        <v>7</v>
      </c>
      <c r="AU150" s="27" t="s">
        <v>8</v>
      </c>
      <c r="AV150" s="27" t="s">
        <v>7</v>
      </c>
      <c r="AW150" s="27" t="s">
        <v>8</v>
      </c>
      <c r="AZ150" s="27" t="s">
        <v>7</v>
      </c>
    </row>
    <row r="151" spans="1:52" x14ac:dyDescent="0.25">
      <c r="A151" s="30">
        <v>5.7308553301167818E-2</v>
      </c>
      <c r="B151"/>
      <c r="C151"/>
      <c r="D151"/>
      <c r="E151"/>
      <c r="F151" s="27" t="s">
        <v>7</v>
      </c>
      <c r="AI151" s="27" t="s">
        <v>8</v>
      </c>
      <c r="AJ151" s="27" t="s">
        <v>7</v>
      </c>
      <c r="AK151" s="27" t="s">
        <v>8</v>
      </c>
      <c r="AR151" s="27" t="s">
        <v>7</v>
      </c>
      <c r="AT151" s="27" t="s">
        <v>7</v>
      </c>
      <c r="AU151" s="27" t="s">
        <v>8</v>
      </c>
      <c r="AV151" s="27" t="s">
        <v>7</v>
      </c>
      <c r="AW151" s="27" t="s">
        <v>8</v>
      </c>
      <c r="AZ151" s="27" t="s">
        <v>7</v>
      </c>
    </row>
    <row r="152" spans="1:52" x14ac:dyDescent="0.25">
      <c r="A152" s="30">
        <v>5.2098684819243464E-2</v>
      </c>
      <c r="B152"/>
      <c r="C152"/>
      <c r="D152"/>
      <c r="E152"/>
      <c r="F152" s="27" t="s">
        <v>7</v>
      </c>
      <c r="AI152" s="27" t="s">
        <v>8</v>
      </c>
      <c r="AJ152" s="27" t="s">
        <v>7</v>
      </c>
      <c r="AK152" s="27" t="s">
        <v>8</v>
      </c>
      <c r="AT152" s="27" t="s">
        <v>7</v>
      </c>
      <c r="AU152" s="27" t="s">
        <v>8</v>
      </c>
      <c r="AV152" s="27" t="s">
        <v>7</v>
      </c>
      <c r="AZ152" s="27" t="s">
        <v>7</v>
      </c>
    </row>
    <row r="153" spans="1:52" x14ac:dyDescent="0.25">
      <c r="A153" s="30">
        <v>4.7362440744766775E-2</v>
      </c>
      <c r="B153"/>
      <c r="C153"/>
      <c r="D153"/>
      <c r="E153"/>
      <c r="F153" s="27" t="s">
        <v>7</v>
      </c>
      <c r="AA153" s="27" t="s">
        <v>8</v>
      </c>
      <c r="AI153" s="27" t="s">
        <v>8</v>
      </c>
      <c r="AJ153" s="27" t="s">
        <v>7</v>
      </c>
      <c r="AK153" s="27" t="s">
        <v>8</v>
      </c>
      <c r="AT153" s="27" t="s">
        <v>7</v>
      </c>
    </row>
    <row r="154" spans="1:52" x14ac:dyDescent="0.25">
      <c r="A154" s="30">
        <v>4.3056764313424332E-2</v>
      </c>
      <c r="B154"/>
      <c r="C154"/>
      <c r="D154"/>
      <c r="E154"/>
      <c r="F154" s="27" t="s">
        <v>7</v>
      </c>
      <c r="AA154" s="27" t="s">
        <v>8</v>
      </c>
      <c r="AB154" s="27" t="s">
        <v>7</v>
      </c>
      <c r="AG154" s="27" t="s">
        <v>8</v>
      </c>
      <c r="AI154" s="27" t="s">
        <v>8</v>
      </c>
      <c r="AJ154" s="27" t="s">
        <v>7</v>
      </c>
      <c r="AK154" s="27" t="s">
        <v>8</v>
      </c>
    </row>
    <row r="155" spans="1:52" x14ac:dyDescent="0.25">
      <c r="A155" s="30">
        <v>3.9142513012203929E-2</v>
      </c>
      <c r="B155"/>
      <c r="C155"/>
      <c r="D155"/>
      <c r="E155"/>
      <c r="F155" s="27" t="s">
        <v>7</v>
      </c>
      <c r="O155" s="27" t="s">
        <v>8</v>
      </c>
      <c r="Q155" s="27" t="s">
        <v>8</v>
      </c>
      <c r="AA155" s="27" t="s">
        <v>8</v>
      </c>
      <c r="AB155" s="27" t="s">
        <v>7</v>
      </c>
      <c r="AC155" s="27" t="s">
        <v>8</v>
      </c>
      <c r="AG155" s="27" t="s">
        <v>8</v>
      </c>
      <c r="AH155" s="27" t="s">
        <v>7</v>
      </c>
      <c r="AI155" s="27" t="s">
        <v>8</v>
      </c>
      <c r="AJ155" s="27" t="s">
        <v>7</v>
      </c>
    </row>
    <row r="156" spans="1:52" x14ac:dyDescent="0.25">
      <c r="A156" s="30">
        <v>3.55841027383672E-2</v>
      </c>
      <c r="B156"/>
      <c r="C156"/>
      <c r="D156"/>
      <c r="E156"/>
      <c r="F156" s="27" t="s">
        <v>7</v>
      </c>
      <c r="O156" s="27" t="s">
        <v>8</v>
      </c>
      <c r="P156" s="27" t="s">
        <v>7</v>
      </c>
      <c r="Q156" s="27" t="s">
        <v>8</v>
      </c>
      <c r="R156" s="27" t="s">
        <v>7</v>
      </c>
      <c r="AA156" s="27" t="s">
        <v>8</v>
      </c>
      <c r="AB156" s="27" t="s">
        <v>7</v>
      </c>
      <c r="AC156" s="27" t="s">
        <v>8</v>
      </c>
      <c r="AD156" s="27" t="s">
        <v>7</v>
      </c>
      <c r="AE156" s="27" t="s">
        <v>8</v>
      </c>
      <c r="AG156" s="27" t="s">
        <v>8</v>
      </c>
      <c r="AH156" s="27" t="s">
        <v>7</v>
      </c>
      <c r="AI156" s="27" t="s">
        <v>8</v>
      </c>
    </row>
    <row r="157" spans="1:52" x14ac:dyDescent="0.25">
      <c r="A157" s="30">
        <v>3.2349184307606541E-2</v>
      </c>
      <c r="B157"/>
      <c r="C157"/>
      <c r="D157"/>
      <c r="E157"/>
      <c r="F157" s="27" t="s">
        <v>7</v>
      </c>
      <c r="I157" s="27" t="s">
        <v>8</v>
      </c>
      <c r="O157" s="27" t="s">
        <v>8</v>
      </c>
      <c r="P157" s="27" t="s">
        <v>7</v>
      </c>
      <c r="Q157" s="27" t="s">
        <v>8</v>
      </c>
      <c r="R157" s="27" t="s">
        <v>7</v>
      </c>
      <c r="Y157" s="27" t="s">
        <v>8</v>
      </c>
      <c r="AA157" s="27" t="s">
        <v>8</v>
      </c>
      <c r="AB157" s="27" t="s">
        <v>7</v>
      </c>
      <c r="AC157" s="27" t="s">
        <v>8</v>
      </c>
      <c r="AD157" s="27" t="s">
        <v>7</v>
      </c>
      <c r="AE157" s="27" t="s">
        <v>8</v>
      </c>
      <c r="AF157" s="27" t="s">
        <v>7</v>
      </c>
      <c r="AG157" s="27" t="s">
        <v>8</v>
      </c>
      <c r="AH157" s="27" t="s">
        <v>7</v>
      </c>
    </row>
    <row r="158" spans="1:52" x14ac:dyDescent="0.25">
      <c r="A158" s="30">
        <v>2.9408349370551395E-2</v>
      </c>
      <c r="B158"/>
      <c r="C158"/>
      <c r="D158"/>
      <c r="E158"/>
      <c r="F158" s="27" t="s">
        <v>7</v>
      </c>
      <c r="I158" s="27" t="s">
        <v>8</v>
      </c>
      <c r="J158" s="27" t="s">
        <v>7</v>
      </c>
      <c r="K158" s="27" t="s">
        <v>8</v>
      </c>
      <c r="M158" s="27" t="s">
        <v>8</v>
      </c>
      <c r="O158" s="27" t="s">
        <v>8</v>
      </c>
      <c r="P158" s="27" t="s">
        <v>7</v>
      </c>
      <c r="R158" s="27" t="s">
        <v>7</v>
      </c>
      <c r="S158" s="27" t="s">
        <v>8</v>
      </c>
      <c r="Y158" s="27" t="s">
        <v>8</v>
      </c>
      <c r="Z158" s="27" t="s">
        <v>7</v>
      </c>
      <c r="AA158" s="27" t="s">
        <v>8</v>
      </c>
      <c r="AB158" s="27" t="s">
        <v>7</v>
      </c>
      <c r="AC158" s="27" t="s">
        <v>8</v>
      </c>
      <c r="AD158" s="27" t="s">
        <v>7</v>
      </c>
      <c r="AE158" s="27" t="s">
        <v>8</v>
      </c>
      <c r="AF158" s="27" t="s">
        <v>7</v>
      </c>
      <c r="AG158" s="27" t="s">
        <v>8</v>
      </c>
    </row>
    <row r="159" spans="1:52" x14ac:dyDescent="0.25">
      <c r="A159" s="30">
        <v>2.6734863064137627E-2</v>
      </c>
      <c r="B159"/>
      <c r="C159"/>
      <c r="D159"/>
      <c r="E159"/>
      <c r="F159" s="27" t="s">
        <v>7</v>
      </c>
      <c r="I159" s="27" t="s">
        <v>8</v>
      </c>
      <c r="J159" s="27" t="s">
        <v>7</v>
      </c>
      <c r="K159" s="27" t="s">
        <v>8</v>
      </c>
      <c r="L159" s="27" t="s">
        <v>7</v>
      </c>
      <c r="M159" s="27" t="s">
        <v>8</v>
      </c>
      <c r="N159" s="27" t="s">
        <v>7</v>
      </c>
      <c r="O159" s="27" t="s">
        <v>8</v>
      </c>
      <c r="R159" s="27" t="s">
        <v>7</v>
      </c>
      <c r="S159" s="27" t="s">
        <v>8</v>
      </c>
      <c r="T159" s="27" t="s">
        <v>7</v>
      </c>
      <c r="W159" s="27" t="s">
        <v>8</v>
      </c>
      <c r="Y159" s="27" t="s">
        <v>8</v>
      </c>
      <c r="Z159" s="27" t="s">
        <v>7</v>
      </c>
      <c r="AA159" s="27" t="s">
        <v>8</v>
      </c>
      <c r="AB159" s="27" t="s">
        <v>7</v>
      </c>
      <c r="AC159" s="27" t="s">
        <v>8</v>
      </c>
      <c r="AD159" s="27" t="s">
        <v>7</v>
      </c>
      <c r="AE159" s="27" t="s">
        <v>8</v>
      </c>
      <c r="AF159" s="27" t="s">
        <v>7</v>
      </c>
    </row>
    <row r="160" spans="1:52" x14ac:dyDescent="0.25">
      <c r="A160" s="30">
        <v>2.4304420967397839E-2</v>
      </c>
      <c r="B160"/>
      <c r="C160"/>
      <c r="D160"/>
      <c r="E160"/>
      <c r="F160" s="27" t="s">
        <v>7</v>
      </c>
      <c r="I160" s="27" t="s">
        <v>8</v>
      </c>
      <c r="J160" s="27" t="s">
        <v>7</v>
      </c>
      <c r="K160" s="27" t="s">
        <v>8</v>
      </c>
      <c r="L160" s="27" t="s">
        <v>7</v>
      </c>
      <c r="M160" s="27" t="s">
        <v>8</v>
      </c>
      <c r="N160" s="27" t="s">
        <v>7</v>
      </c>
      <c r="O160" s="27" t="s">
        <v>8</v>
      </c>
      <c r="R160" s="27" t="s">
        <v>7</v>
      </c>
      <c r="S160" s="27" t="s">
        <v>8</v>
      </c>
      <c r="T160" s="27" t="s">
        <v>7</v>
      </c>
      <c r="W160" s="27" t="s">
        <v>8</v>
      </c>
      <c r="X160" s="27" t="s">
        <v>7</v>
      </c>
      <c r="Y160" s="27" t="s">
        <v>8</v>
      </c>
      <c r="Z160" s="27" t="s">
        <v>7</v>
      </c>
      <c r="AA160" s="27" t="s">
        <v>8</v>
      </c>
      <c r="AB160" s="27" t="s">
        <v>7</v>
      </c>
      <c r="AD160" s="27" t="s">
        <v>7</v>
      </c>
    </row>
    <row r="161" spans="1:26" x14ac:dyDescent="0.25">
      <c r="A161" s="30">
        <v>2.2094928152179852E-2</v>
      </c>
      <c r="B161"/>
      <c r="C161"/>
      <c r="D161"/>
      <c r="E161"/>
      <c r="F161" s="27" t="s">
        <v>7</v>
      </c>
      <c r="I161" s="27" t="s">
        <v>8</v>
      </c>
      <c r="J161" s="27" t="s">
        <v>7</v>
      </c>
      <c r="L161" s="27" t="s">
        <v>7</v>
      </c>
      <c r="N161" s="27" t="s">
        <v>7</v>
      </c>
      <c r="R161" s="27" t="s">
        <v>7</v>
      </c>
      <c r="T161" s="27" t="s">
        <v>7</v>
      </c>
      <c r="U161" s="27" t="s">
        <v>8</v>
      </c>
      <c r="W161" s="27" t="s">
        <v>8</v>
      </c>
      <c r="X161" s="27" t="s">
        <v>7</v>
      </c>
      <c r="Y161" s="27" t="s">
        <v>8</v>
      </c>
      <c r="Z161" s="27" t="s">
        <v>7</v>
      </c>
    </row>
    <row r="162" spans="1:26" x14ac:dyDescent="0.25">
      <c r="A162" s="30">
        <v>2.0086298320163499E-2</v>
      </c>
      <c r="B162"/>
      <c r="C162"/>
      <c r="D162"/>
      <c r="E162"/>
      <c r="F162" s="27" t="s">
        <v>7</v>
      </c>
      <c r="I162" s="27" t="s">
        <v>8</v>
      </c>
      <c r="T162" s="27" t="s">
        <v>7</v>
      </c>
      <c r="U162" s="27" t="s">
        <v>8</v>
      </c>
      <c r="V162" s="27" t="s">
        <v>7</v>
      </c>
      <c r="W162" s="27" t="s">
        <v>8</v>
      </c>
      <c r="X162" s="27" t="s">
        <v>7</v>
      </c>
      <c r="Y162" s="27" t="s">
        <v>8</v>
      </c>
    </row>
    <row r="163" spans="1:26" x14ac:dyDescent="0.25">
      <c r="A163" s="30">
        <v>1.8260271200148632E-2</v>
      </c>
      <c r="B163"/>
      <c r="C163"/>
      <c r="D163"/>
      <c r="E163"/>
      <c r="F163" s="27" t="s">
        <v>7</v>
      </c>
      <c r="I163" s="27" t="s">
        <v>8</v>
      </c>
      <c r="T163" s="27" t="s">
        <v>7</v>
      </c>
      <c r="U163" s="27" t="s">
        <v>8</v>
      </c>
      <c r="V163" s="27" t="s">
        <v>7</v>
      </c>
      <c r="W163" s="27" t="s">
        <v>8</v>
      </c>
      <c r="X163" s="27" t="s">
        <v>7</v>
      </c>
      <c r="Y163" s="27" t="s">
        <v>8</v>
      </c>
    </row>
    <row r="164" spans="1:26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I164" s="27" t="s">
        <v>8</v>
      </c>
      <c r="T164" s="27" t="s">
        <v>7</v>
      </c>
      <c r="U164" s="27" t="s">
        <v>8</v>
      </c>
      <c r="V164" s="27" t="s">
        <v>7</v>
      </c>
      <c r="W164" s="27" t="s">
        <v>8</v>
      </c>
      <c r="X164" s="27" t="s">
        <v>7</v>
      </c>
      <c r="Y164" s="27" t="s">
        <v>8</v>
      </c>
    </row>
    <row r="165" spans="1:26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I165" s="27" t="s">
        <v>8</v>
      </c>
      <c r="T165" s="27" t="s">
        <v>7</v>
      </c>
      <c r="U165" s="27" t="s">
        <v>8</v>
      </c>
      <c r="V165" s="27" t="s">
        <v>7</v>
      </c>
      <c r="W165" s="27" t="s">
        <v>8</v>
      </c>
      <c r="X165" s="27" t="s">
        <v>7</v>
      </c>
      <c r="Y165" s="27" t="s">
        <v>8</v>
      </c>
    </row>
    <row r="166" spans="1:26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  <c r="T166" s="27" t="s">
        <v>7</v>
      </c>
      <c r="U166" s="27" t="s">
        <v>8</v>
      </c>
      <c r="V166" s="27" t="s">
        <v>7</v>
      </c>
      <c r="W166" s="27" t="s">
        <v>8</v>
      </c>
      <c r="X166" s="27" t="s">
        <v>7</v>
      </c>
      <c r="Y166" s="27" t="s">
        <v>8</v>
      </c>
    </row>
    <row r="167" spans="1:26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T167" s="27" t="s">
        <v>7</v>
      </c>
      <c r="U167" s="27" t="s">
        <v>8</v>
      </c>
      <c r="V167" s="27" t="s">
        <v>7</v>
      </c>
      <c r="X167" s="27" t="s">
        <v>7</v>
      </c>
      <c r="Y167" s="27" t="s">
        <v>8</v>
      </c>
    </row>
    <row r="168" spans="1:26" x14ac:dyDescent="0.25">
      <c r="A168" s="30">
        <v>1.1338191753015267E-2</v>
      </c>
      <c r="B168"/>
      <c r="C168"/>
      <c r="D168"/>
      <c r="E168"/>
      <c r="F168" s="27" t="s">
        <v>7</v>
      </c>
      <c r="T168" s="27" t="s">
        <v>7</v>
      </c>
      <c r="X168" s="27" t="s">
        <v>7</v>
      </c>
      <c r="Y168" s="27" t="s">
        <v>8</v>
      </c>
    </row>
    <row r="169" spans="1:26" x14ac:dyDescent="0.25">
      <c r="A169" s="30">
        <v>1.0307447048195697E-2</v>
      </c>
      <c r="B169"/>
      <c r="C169"/>
      <c r="D169"/>
      <c r="E169"/>
      <c r="X169" s="27" t="s">
        <v>7</v>
      </c>
      <c r="Y169" s="27" t="s">
        <v>8</v>
      </c>
    </row>
    <row r="170" spans="1:26" x14ac:dyDescent="0.25">
      <c r="A170" s="30">
        <v>9.3704064074506318E-3</v>
      </c>
      <c r="B170"/>
      <c r="C170"/>
      <c r="D170"/>
      <c r="E170"/>
      <c r="X170" s="27" t="s">
        <v>7</v>
      </c>
      <c r="Y170" s="27" t="s">
        <v>8</v>
      </c>
    </row>
    <row r="171" spans="1:26" x14ac:dyDescent="0.25">
      <c r="A171" s="30">
        <v>8.5185512795005747E-3</v>
      </c>
      <c r="X171" s="27" t="s">
        <v>7</v>
      </c>
      <c r="Y171" s="27" t="s">
        <v>8</v>
      </c>
    </row>
    <row r="172" spans="1:26" x14ac:dyDescent="0.25">
      <c r="A172" s="30">
        <v>7.744137526818704E-3</v>
      </c>
      <c r="X172" s="27" t="s">
        <v>7</v>
      </c>
      <c r="Y172" s="27" t="s">
        <v>8</v>
      </c>
    </row>
    <row r="173" spans="1:26" x14ac:dyDescent="0.25">
      <c r="A173" s="30">
        <v>7.0401250243806394E-3</v>
      </c>
      <c r="X173" s="27" t="s">
        <v>7</v>
      </c>
    </row>
    <row r="174" spans="1:26" x14ac:dyDescent="0.25">
      <c r="A174" s="30">
        <v>6.4001136585278536E-3</v>
      </c>
    </row>
    <row r="175" spans="1:26" x14ac:dyDescent="0.25">
      <c r="A175" s="30">
        <v>5.8182851441162305E-3</v>
      </c>
    </row>
    <row r="176" spans="1:26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4.8558298182760043E-2</v>
      </c>
      <c r="F3" s="30">
        <v>5.3535523746492994E-2</v>
      </c>
      <c r="G3" s="30">
        <v>9.6142108987047836E-2</v>
      </c>
      <c r="H3" s="25">
        <f>IF(G3="","",(3*(G3-F3))+E3)</f>
        <v>0.17637805390442457</v>
      </c>
      <c r="I3" s="7"/>
      <c r="J3" s="7">
        <f>(E3+G3)/2</f>
        <v>7.2350203584903933E-2</v>
      </c>
      <c r="K3" s="7">
        <f>H3/2</f>
        <v>8.8189026952212285E-2</v>
      </c>
      <c r="M3" s="26">
        <f>IF(OR(J3="",H3=""),"",H3/J3)</f>
        <v>2.437837700034148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2022-01-28T01:22:24Z</dcterms:modified>
</cp:coreProperties>
</file>